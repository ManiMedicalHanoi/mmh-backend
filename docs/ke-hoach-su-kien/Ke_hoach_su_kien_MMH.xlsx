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Điều phối" sheetId="2" state="visible" r:id="rId2"/>
    <sheet xmlns:r="http://schemas.openxmlformats.org/officeDocument/2006/relationships" name="Giao việc" sheetId="3" state="visible" r:id="rId3"/>
    <sheet xmlns:r="http://schemas.openxmlformats.org/officeDocument/2006/relationships" name="Sự kiện" sheetId="4" state="visible" r:id="rId4"/>
    <sheet xmlns:r="http://schemas.openxmlformats.org/officeDocument/2006/relationships" name="Nhật ký" sheetId="5" state="visible" r:id="rId5"/>
    <sheet xmlns:r="http://schemas.openxmlformats.org/officeDocument/2006/relationships" name="Mẫu việc" sheetId="6" state="visible" r:id="rId6"/>
    <sheet xmlns:r="http://schemas.openxmlformats.org/officeDocument/2006/relationships" name="Cài đặt" sheetId="7" state="visible" r:id="rId7"/>
    <sheet xmlns:r="http://schemas.openxmlformats.org/officeDocument/2006/relationships" name="Hướng dẫn" sheetId="8" state="visible" r:id="rId8"/>
  </sheets>
  <definedNames>
    <definedName name="PEOPLE">'Cài đặt'!$D$5:$D$44</definedName>
    <definedName name="HOLI">'Cài đặt'!$H$5:$H$64</definedName>
    <definedName name="SK_A">'Sự kiện'!$A$5:$A$304</definedName>
    <definedName name="SK_B">'Sự kiện'!$B$5:$B$304</definedName>
    <definedName name="SK_C">'Sự kiện'!$C$5:$C$304</definedName>
    <definedName name="SK_D">'Sự kiện'!$D$5:$D$304</definedName>
    <definedName name="SK_TD">'Sự kiện'!$P$5:$P$304</definedName>
    <definedName name="SEL_K">'Điều phối'!$H$3</definedName>
    <definedName name="SEL_N">'Điều phối'!$B$3</definedName>
    <definedName name="_xlnm._FilterDatabase" localSheetId="2" hidden="1">'Giao việc'!$A$4:$N$3004</definedName>
    <definedName name="_xlnm._FilterDatabase" localSheetId="3" hidden="1">'Sự kiện'!$A$4:$W$304</definedName>
    <definedName name="_xlnm._FilterDatabase" localSheetId="4" hidden="1">'Nhật ký'!$A$4:$I$504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yyyy-mm-dd"/>
    <numFmt numFmtId="166" formatCode="dd/mm/yy"/>
    <numFmt numFmtId="167" formatCode="yyyy-mm-dd h:mm:ss"/>
    <numFmt numFmtId="168" formatCode="dd/mm"/>
    <numFmt numFmtId="169" formatCode="dd/mm hh:mm"/>
    <numFmt numFmtId="170" formatCode="dd/mm/yyyy (ddd)"/>
  </numFmts>
  <fonts count="29">
    <font>
      <name val="Calibri"/>
      <family val="2"/>
      <color theme="1"/>
      <sz val="11"/>
      <scheme val="minor"/>
    </font>
    <font>
      <name val="Arial"/>
      <b val="1"/>
      <color rgb="00003047"/>
      <sz val="16"/>
    </font>
    <font>
      <name val="Arial"/>
      <i val="1"/>
      <color rgb="005B6B7B"/>
      <sz val="9"/>
    </font>
    <font>
      <name val="Arial"/>
      <b val="1"/>
      <color rgb="00FFFFFF"/>
      <sz val="9"/>
    </font>
    <font>
      <name val="Arial"/>
      <i val="1"/>
      <color rgb="005B6B7B"/>
      <sz val="8"/>
    </font>
    <font>
      <name val="Arial"/>
      <sz val="9"/>
    </font>
    <font>
      <name val="Arial"/>
      <color rgb="005B6B7B"/>
      <sz val="9"/>
    </font>
    <font>
      <name val="Arial"/>
      <color rgb="003A5CAA"/>
      <sz val="9"/>
    </font>
    <font>
      <name val="Arial"/>
      <b val="1"/>
      <color rgb="005B6B7B"/>
      <sz val="9"/>
    </font>
    <font>
      <name val="Arial"/>
      <b val="1"/>
      <color rgb="00003047"/>
      <sz val="11"/>
    </font>
    <font>
      <name val="Arial"/>
      <b val="1"/>
      <color rgb="00003047"/>
      <sz val="12"/>
    </font>
    <font>
      <name val="Arial"/>
      <color rgb="00B0B8C2"/>
      <sz val="8"/>
    </font>
    <font>
      <name val="Arial"/>
      <b val="1"/>
      <color rgb="005B6B7B"/>
      <sz val="8"/>
    </font>
    <font>
      <name val="Arial"/>
      <b val="1"/>
      <color rgb="00003047"/>
      <sz val="14"/>
    </font>
    <font>
      <name val="Arial"/>
      <b val="1"/>
      <color rgb="003A5CAA"/>
      <sz val="14"/>
    </font>
    <font>
      <name val="Arial"/>
      <b val="1"/>
      <color rgb="00003047"/>
      <sz val="20"/>
    </font>
    <font>
      <name val="Arial"/>
      <b val="1"/>
      <color rgb="00C0392B"/>
      <sz val="20"/>
    </font>
    <font>
      <name val="Arial"/>
      <b val="1"/>
      <color rgb="00B7791F"/>
      <sz val="20"/>
    </font>
    <font>
      <name val="Arial"/>
      <b val="1"/>
      <color rgb="006B4FA0"/>
      <sz val="20"/>
    </font>
    <font>
      <name val="Arial"/>
      <b val="1"/>
      <color rgb="00B85C1E"/>
      <sz val="20"/>
    </font>
    <font>
      <name val="Arial"/>
      <b val="1"/>
      <sz val="9"/>
    </font>
    <font>
      <name val="Arial"/>
      <b val="1"/>
      <color rgb="00003047"/>
      <sz val="22"/>
    </font>
    <font>
      <name val="Arial"/>
      <b val="1"/>
      <color rgb="00C0392B"/>
      <sz val="22"/>
    </font>
    <font>
      <name val="Arial"/>
      <b val="1"/>
      <color rgb="00B7791F"/>
      <sz val="22"/>
    </font>
    <font>
      <name val="Arial"/>
      <b val="1"/>
      <color rgb="006B4FA0"/>
      <sz val="22"/>
    </font>
    <font>
      <name val="Arial"/>
      <b val="1"/>
      <color rgb="00B85C1E"/>
      <sz val="22"/>
    </font>
    <font>
      <name val="Arial"/>
      <b val="1"/>
      <color rgb="00B85C1E"/>
      <sz val="9"/>
    </font>
    <font>
      <name val="Arial"/>
      <b val="1"/>
      <color rgb="00003047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03047"/>
        <bgColor rgb="00003047"/>
      </patternFill>
    </fill>
    <fill>
      <patternFill patternType="solid">
        <fgColor rgb="003A5CAA"/>
        <bgColor rgb="003A5CAA"/>
      </patternFill>
    </fill>
    <fill>
      <patternFill patternType="solid">
        <fgColor rgb="00FFF7D6"/>
        <bgColor rgb="00FFF7D6"/>
      </patternFill>
    </fill>
    <fill>
      <patternFill patternType="solid">
        <fgColor rgb="00F0F7FF"/>
        <bgColor rgb="00F0F7FF"/>
      </patternFill>
    </fill>
  </fills>
  <borders count="6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left/>
      <right/>
      <top style="thin">
        <color rgb="00D5DCE4"/>
      </top>
      <bottom style="thin">
        <color rgb="00D5DCE4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2" fillId="5" borderId="0" applyAlignment="1" pivotButton="0" quotePrefix="0" xfId="0">
      <alignment horizontal="center" vertical="center" wrapText="1"/>
    </xf>
    <xf numFmtId="0" fontId="21" fillId="5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4" fillId="5" borderId="0" applyAlignment="1" pivotButton="0" quotePrefix="0" xfId="0">
      <alignment horizontal="center" vertical="center" wrapText="1"/>
    </xf>
    <xf numFmtId="0" fontId="25" fillId="5" borderId="0" applyAlignment="1" pivotButton="0" quotePrefix="0" xfId="0">
      <alignment horizontal="center" vertical="center" wrapText="1"/>
    </xf>
    <xf numFmtId="9" fontId="21" fillId="5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6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9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5" fillId="0" borderId="1" pivotButton="0" quotePrefix="0" xfId="0"/>
    <xf numFmtId="9" fontId="5" fillId="0" borderId="1" pivotButton="0" quotePrefix="0" xfId="0"/>
    <xf numFmtId="0" fontId="7" fillId="0" borderId="1" pivotButton="0" quotePrefix="0" xfId="0"/>
    <xf numFmtId="0" fontId="26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168" fontId="5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horizontal="right" vertical="center"/>
    </xf>
    <xf numFmtId="0" fontId="10" fillId="4" borderId="1" pivotButton="0" quotePrefix="0" xfId="0"/>
    <xf numFmtId="0" fontId="11" fillId="0" borderId="0" pivotButton="0" quotePrefix="0" xfId="0"/>
    <xf numFmtId="170" fontId="13" fillId="5" borderId="0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9" fontId="15" fillId="5" borderId="0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9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5" borderId="1" pivotButton="0" quotePrefix="0" xfId="0"/>
    <xf numFmtId="0" fontId="20" fillId="5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20" fillId="0" borderId="1" pivotButton="0" quotePrefix="0" xfId="0"/>
    <xf numFmtId="9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168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16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0" fillId="4" borderId="1" pivotButton="0" quotePrefix="0" xfId="0"/>
    <xf numFmtId="164" fontId="0" fillId="4" borderId="1" pivotButton="0" quotePrefix="0" xfId="0"/>
    <xf numFmtId="0" fontId="4" fillId="0" borderId="0" pivotButton="0" quotePrefix="0" xfId="0"/>
    <xf numFmtId="0" fontId="27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9">
    <dxf>
      <font>
        <name val="Arial"/>
        <b val="1"/>
        <color rgb="00C0392B"/>
      </font>
      <fill>
        <patternFill patternType="solid">
          <fgColor rgb="00FDE4E1"/>
          <bgColor rgb="00FDE4E1"/>
        </patternFill>
      </fill>
    </dxf>
    <dxf>
      <font>
        <name val="Arial"/>
        <b val="1"/>
      </font>
      <fill>
        <patternFill patternType="solid">
          <fgColor rgb="00FFF4D6"/>
          <bgColor rgb="00FFF4D6"/>
        </patternFill>
      </fill>
    </dxf>
    <dxf>
      <font>
        <name val="Arial"/>
        <b val="1"/>
        <color rgb="003A5CAA"/>
      </font>
    </dxf>
    <dxf>
      <font>
        <name val="Arial"/>
        <b val="1"/>
        <color rgb="006B4FA0"/>
      </font>
      <fill>
        <patternFill patternType="solid">
          <fgColor rgb="00EFEAF7"/>
          <bgColor rgb="00EFEAF7"/>
        </patternFill>
      </fill>
    </dxf>
    <dxf>
      <fill>
        <patternFill patternType="solid">
          <fgColor rgb="00FDE4E1"/>
          <bgColor rgb="00FDE4E1"/>
        </patternFill>
      </fill>
    </dxf>
    <dxf>
      <fill>
        <patternFill patternType="solid">
          <fgColor rgb="00FFF4D6"/>
          <bgColor rgb="00FFF4D6"/>
        </patternFill>
      </fill>
    </dxf>
    <dxf>
      <fill>
        <patternFill patternType="solid">
          <fgColor rgb="00EFEAF7"/>
          <bgColor rgb="00EFEAF7"/>
        </patternFill>
      </fill>
    </dxf>
    <dxf>
      <fill>
        <patternFill patternType="solid">
          <fgColor rgb="00E89B2F"/>
          <bgColor rgb="00E89B2F"/>
        </patternFill>
      </fill>
    </dxf>
    <dxf>
      <font>
        <name val="Arial"/>
        <b val="1"/>
        <color rgb="008E2B20"/>
      </font>
      <fill>
        <patternFill patternType="solid">
          <fgColor rgb="00F4B7B0"/>
          <bgColor rgb="00F4B7B0"/>
        </patternFill>
      </fill>
    </dxf>
    <dxf>
      <font>
        <name val="Arial"/>
        <color rgb="007A5A00"/>
      </font>
      <fill>
        <patternFill patternType="solid">
          <fgColor rgb="00FBE3A8"/>
          <bgColor rgb="00FBE3A8"/>
        </patternFill>
      </fill>
    </dxf>
    <dxf>
      <font>
        <name val="Arial"/>
        <color rgb="001F6B3A"/>
      </font>
      <fill>
        <patternFill patternType="solid">
          <fgColor rgb="00BFE3CB"/>
          <bgColor rgb="00BFE3CB"/>
        </patternFill>
      </fill>
    </dxf>
    <dxf>
      <font>
        <name val="Arial"/>
        <color rgb="00003047"/>
      </font>
      <fill>
        <patternFill patternType="solid">
          <fgColor rgb="00DCE7F5"/>
          <bgColor rgb="00DCE7F5"/>
        </patternFill>
      </fill>
    </dxf>
    <dxf>
      <font>
        <name val="Arial"/>
        <b val="1"/>
      </font>
      <fill>
        <patternFill patternType="solid">
          <fgColor rgb="00F6C9A8"/>
          <bgColor rgb="00F6C9A8"/>
        </patternFill>
      </fill>
    </dxf>
    <dxf>
      <fill>
        <patternFill patternType="solid">
          <fgColor rgb="00F6C9A8"/>
          <bgColor rgb="00F6C9A8"/>
        </patternFill>
      </fill>
    </dxf>
    <dxf>
      <font>
        <name val="Arial"/>
        <color rgb="005B6B7B"/>
      </font>
    </dxf>
    <dxf>
      <font>
        <name val="Arial"/>
        <color rgb="00B0B8C2"/>
      </font>
    </dxf>
    <dxf>
      <fill>
        <patternFill patternType="solid">
          <fgColor rgb="00EAF6EE"/>
          <bgColor rgb="00EAF6EE"/>
        </patternFill>
      </fill>
    </dxf>
    <dxf>
      <font>
        <name val="Arial"/>
        <b val="1"/>
        <color rgb="00003047"/>
      </font>
    </dxf>
    <dxf>
      <font>
        <name val="Arial"/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Việc theo sự kiện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'Dashboard'!E8</f>
            </strRef>
          </tx>
          <spPr>
            <a:solidFill xmlns:a="http://schemas.openxmlformats.org/drawingml/2006/main">
              <a:srgbClr val="3E9B5F"/>
            </a:solidFill>
            <a:ln xmlns:a="http://schemas.openxmlformats.org/drawingml/2006/main">
              <a:solidFill>
                <a:srgbClr val="3E9B5F"/>
              </a:solidFill>
              <a:prstDash val="solid"/>
            </a:ln>
          </spPr>
          <cat>
            <numRef>
              <f>'Dashboard'!$A$9:$A$20</f>
            </numRef>
          </cat>
          <val>
            <numRef>
              <f>'Dashboard'!$E$9:$E$20</f>
            </numRef>
          </val>
        </ser>
        <ser>
          <idx val="1"/>
          <order val="1"/>
          <tx>
            <strRef>
              <f>'Dashboard'!F8</f>
            </strRef>
          </tx>
          <spPr>
            <a:solidFill xmlns:a="http://schemas.openxmlformats.org/drawingml/2006/main">
              <a:srgbClr val="9DB4D6"/>
            </a:solidFill>
            <a:ln xmlns:a="http://schemas.openxmlformats.org/drawingml/2006/main">
              <a:solidFill>
                <a:srgbClr val="9DB4D6"/>
              </a:solidFill>
              <a:prstDash val="solid"/>
            </a:ln>
          </spPr>
          <cat>
            <numRef>
              <f>'Dashboard'!$A$9:$A$20</f>
            </numRef>
          </cat>
          <val>
            <numRef>
              <f>'Dashboard'!$F$9:$F$20</f>
            </numRef>
          </val>
        </ser>
        <ser>
          <idx val="2"/>
          <order val="2"/>
          <tx>
            <strRef>
              <f>'Dashboard'!G8</f>
            </strRef>
          </tx>
          <spPr>
            <a:solidFill xmlns:a="http://schemas.openxmlformats.org/drawingml/2006/main">
              <a:srgbClr val="E0574B"/>
            </a:solidFill>
            <a:ln xmlns:a="http://schemas.openxmlformats.org/drawingml/2006/main">
              <a:solidFill>
                <a:srgbClr val="E0574B"/>
              </a:solidFill>
              <a:prstDash val="solid"/>
            </a:ln>
          </spPr>
          <cat>
            <numRef>
              <f>'Dashboard'!$A$9:$A$20</f>
            </numRef>
          </cat>
          <val>
            <numRef>
              <f>'Dashboard'!$G$9:$G$20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6</row>
      <rowOff>0</rowOff>
    </from>
    <ext cx="61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3047"/>
    <outlinePr summaryBelow="1" summaryRight="1"/>
    <pageSetUpPr/>
  </sheetPr>
  <dimension ref="A1:J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3" customWidth="1" min="3" max="3"/>
    <col width="18" customWidth="1" min="4" max="4"/>
    <col width="7" customWidth="1" min="5" max="5"/>
    <col width="7" customWidth="1" min="6" max="6"/>
    <col width="8" customWidth="1" min="7" max="7"/>
    <col width="8" customWidth="1" min="8" max="8"/>
    <col width="7" customWidth="1" min="9" max="9"/>
    <col width="13" customWidth="1" min="10" max="10"/>
  </cols>
  <sheetData>
    <row r="1" ht="26" customHeight="1">
      <c r="A1" s="1" t="inlineStr">
        <is>
          <t>DASHBOARD TIẾN ĐỘ SỰ KIỆN</t>
        </is>
      </c>
    </row>
    <row r="2">
      <c r="A2" s="2">
        <f>"Cập nhật đến "&amp;TEXT(TODAY(),"dd/mm/yyyy")&amp;" · sự kiện đang theo dõi (Sự kiện ▸ Theo dõi = Có) · xem chi tiết 1 sự kiện ở tab Điều phối"</f>
        <v/>
      </c>
    </row>
    <row r="4">
      <c r="A4" s="3" t="inlineStr">
        <is>
          <t>Sự kiện đang theo dõi</t>
        </is>
      </c>
      <c r="B4" s="3" t="inlineStr">
        <is>
          <t>Việc đang mở</t>
        </is>
      </c>
      <c r="D4" s="3" t="inlineStr">
        <is>
          <t>QUÁ HẠN</t>
        </is>
      </c>
      <c r="E4" s="3" t="inlineStr">
        <is>
          <t>Đến hạn ≤ 3 ngày</t>
        </is>
      </c>
      <c r="G4" s="3" t="inlineStr">
        <is>
          <t>Chờ đối tác</t>
        </is>
      </c>
      <c r="I4" s="3" t="inlineStr">
        <is>
          <t>Chưa giao</t>
        </is>
      </c>
      <c r="J4" s="3" t="inlineStr">
        <is>
          <t>% việc đã xong</t>
        </is>
      </c>
    </row>
    <row r="5" ht="40" customHeight="1">
      <c r="A5" s="4">
        <f>COUNT('Sự kiện'!$X$5:$X$304)</f>
        <v/>
      </c>
      <c r="B5" s="4">
        <f>COUNTIFS('Giao việc'!$T$5:$T$3004,"Có",'Giao việc'!$J$5:$J$3004,"&lt;&gt;Xong",'Giao việc'!$J$5:$J$3004,"&lt;&gt;Bỏ qua",'Giao việc'!$E$5:$E$3004,"&lt;&gt;")</f>
        <v/>
      </c>
      <c r="D5" s="5">
        <f>COUNTIFS('Giao việc'!$T$5:$T$3004,"Có",'Giao việc'!$M$5:$M$3004,"*QUÁ HẠN*")</f>
        <v/>
      </c>
      <c r="E5" s="6">
        <f>COUNTIFS('Giao việc'!$T$5:$T$3004,"Có",'Giao việc'!$M$5:$M$3004,"*Đến hạn*")</f>
        <v/>
      </c>
      <c r="G5" s="7">
        <f>COUNTIFS('Giao việc'!$T$5:$T$3004,"Có",'Giao việc'!$J$5:$J$3004,"Chờ đối tác")</f>
        <v/>
      </c>
      <c r="I5" s="8">
        <f>COUNTIFS('Giao việc'!$T$5:$T$3004,"Có",'Giao việc'!$M$5:$M$3004,"*CHƯA GIAO*")</f>
        <v/>
      </c>
      <c r="J5" s="9">
        <f>IFERROR(COUNTIFS('Giao việc'!$T$5:$T$3004,"Có",'Giao việc'!$J$5:$J$3004,"Xong")/COUNTIFS('Giao việc'!$T$5:$T$3004,"Có",'Giao việc'!$J$5:$J$3004,"&lt;&gt;Bỏ qua",'Giao việc'!$E$5:$E$3004,"&lt;&gt;"),0)</f>
        <v/>
      </c>
    </row>
    <row r="7">
      <c r="A7" s="10" t="inlineStr">
        <is>
          <t>TIẾN ĐỘ TỪNG SỰ KIỆN (sắp tới trước)</t>
        </is>
      </c>
    </row>
    <row r="8" ht="28" customHeight="1">
      <c r="A8" s="11" t="inlineStr">
        <is>
          <t>Sự kiện</t>
        </is>
      </c>
      <c r="B8" s="11" t="inlineStr">
        <is>
          <t>Ngày D</t>
        </is>
      </c>
      <c r="C8" s="11" t="inlineStr">
        <is>
          <t>Thời gian</t>
        </is>
      </c>
      <c r="D8" s="11" t="inlineStr">
        <is>
          <t>Owner</t>
        </is>
      </c>
      <c r="E8" s="11" t="inlineStr">
        <is>
          <t>Xong</t>
        </is>
      </c>
      <c r="F8" s="11" t="inlineStr">
        <is>
          <t>Còn lại</t>
        </is>
      </c>
      <c r="G8" s="11" t="inlineStr">
        <is>
          <t>Quá hạn</t>
        </is>
      </c>
      <c r="H8" s="11" t="inlineStr">
        <is>
          <t>Chưa giao</t>
        </is>
      </c>
      <c r="I8" s="11" t="inlineStr">
        <is>
          <t>%</t>
        </is>
      </c>
      <c r="J8" s="11" t="inlineStr">
        <is>
          <t>Tiến độ</t>
        </is>
      </c>
    </row>
    <row r="9" ht="30" customHeight="1">
      <c r="A9" s="12">
        <f>IF(IFERROR(MATCH(SMALL('Sự kiện'!$X$5:$X$304,1),'Sự kiện'!$X$5:$X$304,0),0)=0,"",INDEX('Sự kiện'!$B$5:$B$304,IFERROR(MATCH(SMALL('Sự kiện'!$X$5:$X$304,1),'Sự kiện'!$X$5:$X$304,0),0))&amp;"")</f>
        <v/>
      </c>
      <c r="B9" s="13">
        <f>IF(IFERROR(MATCH(SMALL('Sự kiện'!$X$5:$X$304,1),'Sự kiện'!$X$5:$X$304,0),0)=0,"",INDEX('Sự kiện'!$C$5:$C$304,IFERROR(MATCH(SMALL('Sự kiện'!$X$5:$X$304,1),'Sự kiện'!$X$5:$X$304,0),0)))</f>
        <v/>
      </c>
      <c r="C9" s="14">
        <f>IF(IFERROR(MATCH(SMALL('Sự kiện'!$X$5:$X$304,1),'Sự kiện'!$X$5:$X$304,0),0)=0,"",INDEX('Sự kiện'!$W$5:$W$304,IFERROR(MATCH(SMALL('Sự kiện'!$X$5:$X$304,1),'Sự kiện'!$X$5:$X$304,0),0))&amp;"")</f>
        <v/>
      </c>
      <c r="D9" s="14">
        <f>IF(IFERROR(MATCH(SMALL('Sự kiện'!$X$5:$X$304,1),'Sự kiện'!$X$5:$X$304,0),0)=0,"",INDEX('Sự kiện'!$K$5:$K$304,IFERROR(MATCH(SMALL('Sự kiện'!$X$5:$X$304,1),'Sự kiện'!$X$5:$X$304,0),0))&amp;"")</f>
        <v/>
      </c>
      <c r="E9" s="14">
        <f>IF(IFERROR(MATCH(SMALL('Sự kiện'!$X$5:$X$304,1),'Sự kiện'!$X$5:$X$304,0),0)=0,"",INDEX('Sự kiện'!$R$5:$R$304,IFERROR(MATCH(SMALL('Sự kiện'!$X$5:$X$304,1),'Sự kiện'!$X$5:$X$304,0),0)))</f>
        <v/>
      </c>
      <c r="F9" s="14">
        <f>IF(A9="","",N(INDEX('Sự kiện'!$Q$5:$Q$304,IFERROR(MATCH(SMALL('Sự kiện'!$X$5:$X$304,1),'Sự kiện'!$X$5:$X$304,0),0)))-N(E9)-N(G9))</f>
        <v/>
      </c>
      <c r="G9" s="14">
        <f>IF(IFERROR(MATCH(SMALL('Sự kiện'!$X$5:$X$304,1),'Sự kiện'!$X$5:$X$304,0),0)=0,"",INDEX('Sự kiện'!$S$5:$S$304,IFERROR(MATCH(SMALL('Sự kiện'!$X$5:$X$304,1),'Sự kiện'!$X$5:$X$304,0),0)))</f>
        <v/>
      </c>
      <c r="H9" s="14">
        <f>IF(IFERROR(MATCH(SMALL('Sự kiện'!$X$5:$X$304,1),'Sự kiện'!$X$5:$X$304,0),0)=0,"",INDEX('Sự kiện'!$T$5:$T$304,IFERROR(MATCH(SMALL('Sự kiện'!$X$5:$X$304,1),'Sự kiện'!$X$5:$X$304,0),0)))</f>
        <v/>
      </c>
      <c r="I9" s="15">
        <f>IF(IFERROR(MATCH(SMALL('Sự kiện'!$X$5:$X$304,1),'Sự kiện'!$X$5:$X$304,0),0)=0,"",INDEX('Sự kiện'!$U$5:$U$304,IFERROR(MATCH(SMALL('Sự kiện'!$X$5:$X$304,1),'Sự kiện'!$X$5:$X$304,0),0)))</f>
        <v/>
      </c>
      <c r="J9" s="16">
        <f>IF(IFERROR(MATCH(SMALL('Sự kiện'!$X$5:$X$304,1),'Sự kiện'!$X$5:$X$304,0),0)=0,"",INDEX('Sự kiện'!$V$5:$V$304,IFERROR(MATCH(SMALL('Sự kiện'!$X$5:$X$304,1),'Sự kiện'!$X$5:$X$304,0),0))&amp;"")</f>
        <v/>
      </c>
    </row>
    <row r="10" ht="30" customHeight="1">
      <c r="A10" s="12">
        <f>IF(IFERROR(MATCH(SMALL('Sự kiện'!$X$5:$X$304,2),'Sự kiện'!$X$5:$X$304,0),0)=0,"",INDEX('Sự kiện'!$B$5:$B$304,IFERROR(MATCH(SMALL('Sự kiện'!$X$5:$X$304,2),'Sự kiện'!$X$5:$X$304,0),0))&amp;"")</f>
        <v/>
      </c>
      <c r="B10" s="13">
        <f>IF(IFERROR(MATCH(SMALL('Sự kiện'!$X$5:$X$304,2),'Sự kiện'!$X$5:$X$304,0),0)=0,"",INDEX('Sự kiện'!$C$5:$C$304,IFERROR(MATCH(SMALL('Sự kiện'!$X$5:$X$304,2),'Sự kiện'!$X$5:$X$304,0),0)))</f>
        <v/>
      </c>
      <c r="C10" s="14">
        <f>IF(IFERROR(MATCH(SMALL('Sự kiện'!$X$5:$X$304,2),'Sự kiện'!$X$5:$X$304,0),0)=0,"",INDEX('Sự kiện'!$W$5:$W$304,IFERROR(MATCH(SMALL('Sự kiện'!$X$5:$X$304,2),'Sự kiện'!$X$5:$X$304,0),0))&amp;"")</f>
        <v/>
      </c>
      <c r="D10" s="14">
        <f>IF(IFERROR(MATCH(SMALL('Sự kiện'!$X$5:$X$304,2),'Sự kiện'!$X$5:$X$304,0),0)=0,"",INDEX('Sự kiện'!$K$5:$K$304,IFERROR(MATCH(SMALL('Sự kiện'!$X$5:$X$304,2),'Sự kiện'!$X$5:$X$304,0),0))&amp;"")</f>
        <v/>
      </c>
      <c r="E10" s="14">
        <f>IF(IFERROR(MATCH(SMALL('Sự kiện'!$X$5:$X$304,2),'Sự kiện'!$X$5:$X$304,0),0)=0,"",INDEX('Sự kiện'!$R$5:$R$304,IFERROR(MATCH(SMALL('Sự kiện'!$X$5:$X$304,2),'Sự kiện'!$X$5:$X$304,0),0)))</f>
        <v/>
      </c>
      <c r="F10" s="14">
        <f>IF(A10="","",N(INDEX('Sự kiện'!$Q$5:$Q$304,IFERROR(MATCH(SMALL('Sự kiện'!$X$5:$X$304,2),'Sự kiện'!$X$5:$X$304,0),0)))-N(E10)-N(G10))</f>
        <v/>
      </c>
      <c r="G10" s="14">
        <f>IF(IFERROR(MATCH(SMALL('Sự kiện'!$X$5:$X$304,2),'Sự kiện'!$X$5:$X$304,0),0)=0,"",INDEX('Sự kiện'!$S$5:$S$304,IFERROR(MATCH(SMALL('Sự kiện'!$X$5:$X$304,2),'Sự kiện'!$X$5:$X$304,0),0)))</f>
        <v/>
      </c>
      <c r="H10" s="14">
        <f>IF(IFERROR(MATCH(SMALL('Sự kiện'!$X$5:$X$304,2),'Sự kiện'!$X$5:$X$304,0),0)=0,"",INDEX('Sự kiện'!$T$5:$T$304,IFERROR(MATCH(SMALL('Sự kiện'!$X$5:$X$304,2),'Sự kiện'!$X$5:$X$304,0),0)))</f>
        <v/>
      </c>
      <c r="I10" s="15">
        <f>IF(IFERROR(MATCH(SMALL('Sự kiện'!$X$5:$X$304,2),'Sự kiện'!$X$5:$X$304,0),0)=0,"",INDEX('Sự kiện'!$U$5:$U$304,IFERROR(MATCH(SMALL('Sự kiện'!$X$5:$X$304,2),'Sự kiện'!$X$5:$X$304,0),0)))</f>
        <v/>
      </c>
      <c r="J10" s="16">
        <f>IF(IFERROR(MATCH(SMALL('Sự kiện'!$X$5:$X$304,2),'Sự kiện'!$X$5:$X$304,0),0)=0,"",INDEX('Sự kiện'!$V$5:$V$304,IFERROR(MATCH(SMALL('Sự kiện'!$X$5:$X$304,2),'Sự kiện'!$X$5:$X$304,0),0))&amp;"")</f>
        <v/>
      </c>
    </row>
    <row r="11" ht="30" customHeight="1">
      <c r="A11" s="12">
        <f>IF(IFERROR(MATCH(SMALL('Sự kiện'!$X$5:$X$304,3),'Sự kiện'!$X$5:$X$304,0),0)=0,"",INDEX('Sự kiện'!$B$5:$B$304,IFERROR(MATCH(SMALL('Sự kiện'!$X$5:$X$304,3),'Sự kiện'!$X$5:$X$304,0),0))&amp;"")</f>
        <v/>
      </c>
      <c r="B11" s="13">
        <f>IF(IFERROR(MATCH(SMALL('Sự kiện'!$X$5:$X$304,3),'Sự kiện'!$X$5:$X$304,0),0)=0,"",INDEX('Sự kiện'!$C$5:$C$304,IFERROR(MATCH(SMALL('Sự kiện'!$X$5:$X$304,3),'Sự kiện'!$X$5:$X$304,0),0)))</f>
        <v/>
      </c>
      <c r="C11" s="14">
        <f>IF(IFERROR(MATCH(SMALL('Sự kiện'!$X$5:$X$304,3),'Sự kiện'!$X$5:$X$304,0),0)=0,"",INDEX('Sự kiện'!$W$5:$W$304,IFERROR(MATCH(SMALL('Sự kiện'!$X$5:$X$304,3),'Sự kiện'!$X$5:$X$304,0),0))&amp;"")</f>
        <v/>
      </c>
      <c r="D11" s="14">
        <f>IF(IFERROR(MATCH(SMALL('Sự kiện'!$X$5:$X$304,3),'Sự kiện'!$X$5:$X$304,0),0)=0,"",INDEX('Sự kiện'!$K$5:$K$304,IFERROR(MATCH(SMALL('Sự kiện'!$X$5:$X$304,3),'Sự kiện'!$X$5:$X$304,0),0))&amp;"")</f>
        <v/>
      </c>
      <c r="E11" s="14">
        <f>IF(IFERROR(MATCH(SMALL('Sự kiện'!$X$5:$X$304,3),'Sự kiện'!$X$5:$X$304,0),0)=0,"",INDEX('Sự kiện'!$R$5:$R$304,IFERROR(MATCH(SMALL('Sự kiện'!$X$5:$X$304,3),'Sự kiện'!$X$5:$X$304,0),0)))</f>
        <v/>
      </c>
      <c r="F11" s="14">
        <f>IF(A11="","",N(INDEX('Sự kiện'!$Q$5:$Q$304,IFERROR(MATCH(SMALL('Sự kiện'!$X$5:$X$304,3),'Sự kiện'!$X$5:$X$304,0),0)))-N(E11)-N(G11))</f>
        <v/>
      </c>
      <c r="G11" s="14">
        <f>IF(IFERROR(MATCH(SMALL('Sự kiện'!$X$5:$X$304,3),'Sự kiện'!$X$5:$X$304,0),0)=0,"",INDEX('Sự kiện'!$S$5:$S$304,IFERROR(MATCH(SMALL('Sự kiện'!$X$5:$X$304,3),'Sự kiện'!$X$5:$X$304,0),0)))</f>
        <v/>
      </c>
      <c r="H11" s="14">
        <f>IF(IFERROR(MATCH(SMALL('Sự kiện'!$X$5:$X$304,3),'Sự kiện'!$X$5:$X$304,0),0)=0,"",INDEX('Sự kiện'!$T$5:$T$304,IFERROR(MATCH(SMALL('Sự kiện'!$X$5:$X$304,3),'Sự kiện'!$X$5:$X$304,0),0)))</f>
        <v/>
      </c>
      <c r="I11" s="15">
        <f>IF(IFERROR(MATCH(SMALL('Sự kiện'!$X$5:$X$304,3),'Sự kiện'!$X$5:$X$304,0),0)=0,"",INDEX('Sự kiện'!$U$5:$U$304,IFERROR(MATCH(SMALL('Sự kiện'!$X$5:$X$304,3),'Sự kiện'!$X$5:$X$304,0),0)))</f>
        <v/>
      </c>
      <c r="J11" s="16">
        <f>IF(IFERROR(MATCH(SMALL('Sự kiện'!$X$5:$X$304,3),'Sự kiện'!$X$5:$X$304,0),0)=0,"",INDEX('Sự kiện'!$V$5:$V$304,IFERROR(MATCH(SMALL('Sự kiện'!$X$5:$X$304,3),'Sự kiện'!$X$5:$X$304,0),0))&amp;"")</f>
        <v/>
      </c>
    </row>
    <row r="12" ht="30" customHeight="1">
      <c r="A12" s="12">
        <f>IF(IFERROR(MATCH(SMALL('Sự kiện'!$X$5:$X$304,4),'Sự kiện'!$X$5:$X$304,0),0)=0,"",INDEX('Sự kiện'!$B$5:$B$304,IFERROR(MATCH(SMALL('Sự kiện'!$X$5:$X$304,4),'Sự kiện'!$X$5:$X$304,0),0))&amp;"")</f>
        <v/>
      </c>
      <c r="B12" s="13">
        <f>IF(IFERROR(MATCH(SMALL('Sự kiện'!$X$5:$X$304,4),'Sự kiện'!$X$5:$X$304,0),0)=0,"",INDEX('Sự kiện'!$C$5:$C$304,IFERROR(MATCH(SMALL('Sự kiện'!$X$5:$X$304,4),'Sự kiện'!$X$5:$X$304,0),0)))</f>
        <v/>
      </c>
      <c r="C12" s="14">
        <f>IF(IFERROR(MATCH(SMALL('Sự kiện'!$X$5:$X$304,4),'Sự kiện'!$X$5:$X$304,0),0)=0,"",INDEX('Sự kiện'!$W$5:$W$304,IFERROR(MATCH(SMALL('Sự kiện'!$X$5:$X$304,4),'Sự kiện'!$X$5:$X$304,0),0))&amp;"")</f>
        <v/>
      </c>
      <c r="D12" s="14">
        <f>IF(IFERROR(MATCH(SMALL('Sự kiện'!$X$5:$X$304,4),'Sự kiện'!$X$5:$X$304,0),0)=0,"",INDEX('Sự kiện'!$K$5:$K$304,IFERROR(MATCH(SMALL('Sự kiện'!$X$5:$X$304,4),'Sự kiện'!$X$5:$X$304,0),0))&amp;"")</f>
        <v/>
      </c>
      <c r="E12" s="14">
        <f>IF(IFERROR(MATCH(SMALL('Sự kiện'!$X$5:$X$304,4),'Sự kiện'!$X$5:$X$304,0),0)=0,"",INDEX('Sự kiện'!$R$5:$R$304,IFERROR(MATCH(SMALL('Sự kiện'!$X$5:$X$304,4),'Sự kiện'!$X$5:$X$304,0),0)))</f>
        <v/>
      </c>
      <c r="F12" s="14">
        <f>IF(A12="","",N(INDEX('Sự kiện'!$Q$5:$Q$304,IFERROR(MATCH(SMALL('Sự kiện'!$X$5:$X$304,4),'Sự kiện'!$X$5:$X$304,0),0)))-N(E12)-N(G12))</f>
        <v/>
      </c>
      <c r="G12" s="14">
        <f>IF(IFERROR(MATCH(SMALL('Sự kiện'!$X$5:$X$304,4),'Sự kiện'!$X$5:$X$304,0),0)=0,"",INDEX('Sự kiện'!$S$5:$S$304,IFERROR(MATCH(SMALL('Sự kiện'!$X$5:$X$304,4),'Sự kiện'!$X$5:$X$304,0),0)))</f>
        <v/>
      </c>
      <c r="H12" s="14">
        <f>IF(IFERROR(MATCH(SMALL('Sự kiện'!$X$5:$X$304,4),'Sự kiện'!$X$5:$X$304,0),0)=0,"",INDEX('Sự kiện'!$T$5:$T$304,IFERROR(MATCH(SMALL('Sự kiện'!$X$5:$X$304,4),'Sự kiện'!$X$5:$X$304,0),0)))</f>
        <v/>
      </c>
      <c r="I12" s="15">
        <f>IF(IFERROR(MATCH(SMALL('Sự kiện'!$X$5:$X$304,4),'Sự kiện'!$X$5:$X$304,0),0)=0,"",INDEX('Sự kiện'!$U$5:$U$304,IFERROR(MATCH(SMALL('Sự kiện'!$X$5:$X$304,4),'Sự kiện'!$X$5:$X$304,0),0)))</f>
        <v/>
      </c>
      <c r="J12" s="16">
        <f>IF(IFERROR(MATCH(SMALL('Sự kiện'!$X$5:$X$304,4),'Sự kiện'!$X$5:$X$304,0),0)=0,"",INDEX('Sự kiện'!$V$5:$V$304,IFERROR(MATCH(SMALL('Sự kiện'!$X$5:$X$304,4),'Sự kiện'!$X$5:$X$304,0),0))&amp;"")</f>
        <v/>
      </c>
    </row>
    <row r="13" ht="30" customHeight="1">
      <c r="A13" s="12">
        <f>IF(IFERROR(MATCH(SMALL('Sự kiện'!$X$5:$X$304,5),'Sự kiện'!$X$5:$X$304,0),0)=0,"",INDEX('Sự kiện'!$B$5:$B$304,IFERROR(MATCH(SMALL('Sự kiện'!$X$5:$X$304,5),'Sự kiện'!$X$5:$X$304,0),0))&amp;"")</f>
        <v/>
      </c>
      <c r="B13" s="13">
        <f>IF(IFERROR(MATCH(SMALL('Sự kiện'!$X$5:$X$304,5),'Sự kiện'!$X$5:$X$304,0),0)=0,"",INDEX('Sự kiện'!$C$5:$C$304,IFERROR(MATCH(SMALL('Sự kiện'!$X$5:$X$304,5),'Sự kiện'!$X$5:$X$304,0),0)))</f>
        <v/>
      </c>
      <c r="C13" s="14">
        <f>IF(IFERROR(MATCH(SMALL('Sự kiện'!$X$5:$X$304,5),'Sự kiện'!$X$5:$X$304,0),0)=0,"",INDEX('Sự kiện'!$W$5:$W$304,IFERROR(MATCH(SMALL('Sự kiện'!$X$5:$X$304,5),'Sự kiện'!$X$5:$X$304,0),0))&amp;"")</f>
        <v/>
      </c>
      <c r="D13" s="14">
        <f>IF(IFERROR(MATCH(SMALL('Sự kiện'!$X$5:$X$304,5),'Sự kiện'!$X$5:$X$304,0),0)=0,"",INDEX('Sự kiện'!$K$5:$K$304,IFERROR(MATCH(SMALL('Sự kiện'!$X$5:$X$304,5),'Sự kiện'!$X$5:$X$304,0),0))&amp;"")</f>
        <v/>
      </c>
      <c r="E13" s="14">
        <f>IF(IFERROR(MATCH(SMALL('Sự kiện'!$X$5:$X$304,5),'Sự kiện'!$X$5:$X$304,0),0)=0,"",INDEX('Sự kiện'!$R$5:$R$304,IFERROR(MATCH(SMALL('Sự kiện'!$X$5:$X$304,5),'Sự kiện'!$X$5:$X$304,0),0)))</f>
        <v/>
      </c>
      <c r="F13" s="14">
        <f>IF(A13="","",N(INDEX('Sự kiện'!$Q$5:$Q$304,IFERROR(MATCH(SMALL('Sự kiện'!$X$5:$X$304,5),'Sự kiện'!$X$5:$X$304,0),0)))-N(E13)-N(G13))</f>
        <v/>
      </c>
      <c r="G13" s="14">
        <f>IF(IFERROR(MATCH(SMALL('Sự kiện'!$X$5:$X$304,5),'Sự kiện'!$X$5:$X$304,0),0)=0,"",INDEX('Sự kiện'!$S$5:$S$304,IFERROR(MATCH(SMALL('Sự kiện'!$X$5:$X$304,5),'Sự kiện'!$X$5:$X$304,0),0)))</f>
        <v/>
      </c>
      <c r="H13" s="14">
        <f>IF(IFERROR(MATCH(SMALL('Sự kiện'!$X$5:$X$304,5),'Sự kiện'!$X$5:$X$304,0),0)=0,"",INDEX('Sự kiện'!$T$5:$T$304,IFERROR(MATCH(SMALL('Sự kiện'!$X$5:$X$304,5),'Sự kiện'!$X$5:$X$304,0),0)))</f>
        <v/>
      </c>
      <c r="I13" s="15">
        <f>IF(IFERROR(MATCH(SMALL('Sự kiện'!$X$5:$X$304,5),'Sự kiện'!$X$5:$X$304,0),0)=0,"",INDEX('Sự kiện'!$U$5:$U$304,IFERROR(MATCH(SMALL('Sự kiện'!$X$5:$X$304,5),'Sự kiện'!$X$5:$X$304,0),0)))</f>
        <v/>
      </c>
      <c r="J13" s="16">
        <f>IF(IFERROR(MATCH(SMALL('Sự kiện'!$X$5:$X$304,5),'Sự kiện'!$X$5:$X$304,0),0)=0,"",INDEX('Sự kiện'!$V$5:$V$304,IFERROR(MATCH(SMALL('Sự kiện'!$X$5:$X$304,5),'Sự kiện'!$X$5:$X$304,0),0))&amp;"")</f>
        <v/>
      </c>
    </row>
    <row r="14" ht="30" customHeight="1">
      <c r="A14" s="12">
        <f>IF(IFERROR(MATCH(SMALL('Sự kiện'!$X$5:$X$304,6),'Sự kiện'!$X$5:$X$304,0),0)=0,"",INDEX('Sự kiện'!$B$5:$B$304,IFERROR(MATCH(SMALL('Sự kiện'!$X$5:$X$304,6),'Sự kiện'!$X$5:$X$304,0),0))&amp;"")</f>
        <v/>
      </c>
      <c r="B14" s="13">
        <f>IF(IFERROR(MATCH(SMALL('Sự kiện'!$X$5:$X$304,6),'Sự kiện'!$X$5:$X$304,0),0)=0,"",INDEX('Sự kiện'!$C$5:$C$304,IFERROR(MATCH(SMALL('Sự kiện'!$X$5:$X$304,6),'Sự kiện'!$X$5:$X$304,0),0)))</f>
        <v/>
      </c>
      <c r="C14" s="14">
        <f>IF(IFERROR(MATCH(SMALL('Sự kiện'!$X$5:$X$304,6),'Sự kiện'!$X$5:$X$304,0),0)=0,"",INDEX('Sự kiện'!$W$5:$W$304,IFERROR(MATCH(SMALL('Sự kiện'!$X$5:$X$304,6),'Sự kiện'!$X$5:$X$304,0),0))&amp;"")</f>
        <v/>
      </c>
      <c r="D14" s="14">
        <f>IF(IFERROR(MATCH(SMALL('Sự kiện'!$X$5:$X$304,6),'Sự kiện'!$X$5:$X$304,0),0)=0,"",INDEX('Sự kiện'!$K$5:$K$304,IFERROR(MATCH(SMALL('Sự kiện'!$X$5:$X$304,6),'Sự kiện'!$X$5:$X$304,0),0))&amp;"")</f>
        <v/>
      </c>
      <c r="E14" s="14">
        <f>IF(IFERROR(MATCH(SMALL('Sự kiện'!$X$5:$X$304,6),'Sự kiện'!$X$5:$X$304,0),0)=0,"",INDEX('Sự kiện'!$R$5:$R$304,IFERROR(MATCH(SMALL('Sự kiện'!$X$5:$X$304,6),'Sự kiện'!$X$5:$X$304,0),0)))</f>
        <v/>
      </c>
      <c r="F14" s="14">
        <f>IF(A14="","",N(INDEX('Sự kiện'!$Q$5:$Q$304,IFERROR(MATCH(SMALL('Sự kiện'!$X$5:$X$304,6),'Sự kiện'!$X$5:$X$304,0),0)))-N(E14)-N(G14))</f>
        <v/>
      </c>
      <c r="G14" s="14">
        <f>IF(IFERROR(MATCH(SMALL('Sự kiện'!$X$5:$X$304,6),'Sự kiện'!$X$5:$X$304,0),0)=0,"",INDEX('Sự kiện'!$S$5:$S$304,IFERROR(MATCH(SMALL('Sự kiện'!$X$5:$X$304,6),'Sự kiện'!$X$5:$X$304,0),0)))</f>
        <v/>
      </c>
      <c r="H14" s="14">
        <f>IF(IFERROR(MATCH(SMALL('Sự kiện'!$X$5:$X$304,6),'Sự kiện'!$X$5:$X$304,0),0)=0,"",INDEX('Sự kiện'!$T$5:$T$304,IFERROR(MATCH(SMALL('Sự kiện'!$X$5:$X$304,6),'Sự kiện'!$X$5:$X$304,0),0)))</f>
        <v/>
      </c>
      <c r="I14" s="15">
        <f>IF(IFERROR(MATCH(SMALL('Sự kiện'!$X$5:$X$304,6),'Sự kiện'!$X$5:$X$304,0),0)=0,"",INDEX('Sự kiện'!$U$5:$U$304,IFERROR(MATCH(SMALL('Sự kiện'!$X$5:$X$304,6),'Sự kiện'!$X$5:$X$304,0),0)))</f>
        <v/>
      </c>
      <c r="J14" s="16">
        <f>IF(IFERROR(MATCH(SMALL('Sự kiện'!$X$5:$X$304,6),'Sự kiện'!$X$5:$X$304,0),0)=0,"",INDEX('Sự kiện'!$V$5:$V$304,IFERROR(MATCH(SMALL('Sự kiện'!$X$5:$X$304,6),'Sự kiện'!$X$5:$X$304,0),0))&amp;"")</f>
        <v/>
      </c>
    </row>
    <row r="15" ht="30" customHeight="1">
      <c r="A15" s="12">
        <f>IF(IFERROR(MATCH(SMALL('Sự kiện'!$X$5:$X$304,7),'Sự kiện'!$X$5:$X$304,0),0)=0,"",INDEX('Sự kiện'!$B$5:$B$304,IFERROR(MATCH(SMALL('Sự kiện'!$X$5:$X$304,7),'Sự kiện'!$X$5:$X$304,0),0))&amp;"")</f>
        <v/>
      </c>
      <c r="B15" s="13">
        <f>IF(IFERROR(MATCH(SMALL('Sự kiện'!$X$5:$X$304,7),'Sự kiện'!$X$5:$X$304,0),0)=0,"",INDEX('Sự kiện'!$C$5:$C$304,IFERROR(MATCH(SMALL('Sự kiện'!$X$5:$X$304,7),'Sự kiện'!$X$5:$X$304,0),0)))</f>
        <v/>
      </c>
      <c r="C15" s="14">
        <f>IF(IFERROR(MATCH(SMALL('Sự kiện'!$X$5:$X$304,7),'Sự kiện'!$X$5:$X$304,0),0)=0,"",INDEX('Sự kiện'!$W$5:$W$304,IFERROR(MATCH(SMALL('Sự kiện'!$X$5:$X$304,7),'Sự kiện'!$X$5:$X$304,0),0))&amp;"")</f>
        <v/>
      </c>
      <c r="D15" s="14">
        <f>IF(IFERROR(MATCH(SMALL('Sự kiện'!$X$5:$X$304,7),'Sự kiện'!$X$5:$X$304,0),0)=0,"",INDEX('Sự kiện'!$K$5:$K$304,IFERROR(MATCH(SMALL('Sự kiện'!$X$5:$X$304,7),'Sự kiện'!$X$5:$X$304,0),0))&amp;"")</f>
        <v/>
      </c>
      <c r="E15" s="14">
        <f>IF(IFERROR(MATCH(SMALL('Sự kiện'!$X$5:$X$304,7),'Sự kiện'!$X$5:$X$304,0),0)=0,"",INDEX('Sự kiện'!$R$5:$R$304,IFERROR(MATCH(SMALL('Sự kiện'!$X$5:$X$304,7),'Sự kiện'!$X$5:$X$304,0),0)))</f>
        <v/>
      </c>
      <c r="F15" s="14">
        <f>IF(A15="","",N(INDEX('Sự kiện'!$Q$5:$Q$304,IFERROR(MATCH(SMALL('Sự kiện'!$X$5:$X$304,7),'Sự kiện'!$X$5:$X$304,0),0)))-N(E15)-N(G15))</f>
        <v/>
      </c>
      <c r="G15" s="14">
        <f>IF(IFERROR(MATCH(SMALL('Sự kiện'!$X$5:$X$304,7),'Sự kiện'!$X$5:$X$304,0),0)=0,"",INDEX('Sự kiện'!$S$5:$S$304,IFERROR(MATCH(SMALL('Sự kiện'!$X$5:$X$304,7),'Sự kiện'!$X$5:$X$304,0),0)))</f>
        <v/>
      </c>
      <c r="H15" s="14">
        <f>IF(IFERROR(MATCH(SMALL('Sự kiện'!$X$5:$X$304,7),'Sự kiện'!$X$5:$X$304,0),0)=0,"",INDEX('Sự kiện'!$T$5:$T$304,IFERROR(MATCH(SMALL('Sự kiện'!$X$5:$X$304,7),'Sự kiện'!$X$5:$X$304,0),0)))</f>
        <v/>
      </c>
      <c r="I15" s="15">
        <f>IF(IFERROR(MATCH(SMALL('Sự kiện'!$X$5:$X$304,7),'Sự kiện'!$X$5:$X$304,0),0)=0,"",INDEX('Sự kiện'!$U$5:$U$304,IFERROR(MATCH(SMALL('Sự kiện'!$X$5:$X$304,7),'Sự kiện'!$X$5:$X$304,0),0)))</f>
        <v/>
      </c>
      <c r="J15" s="16">
        <f>IF(IFERROR(MATCH(SMALL('Sự kiện'!$X$5:$X$304,7),'Sự kiện'!$X$5:$X$304,0),0)=0,"",INDEX('Sự kiện'!$V$5:$V$304,IFERROR(MATCH(SMALL('Sự kiện'!$X$5:$X$304,7),'Sự kiện'!$X$5:$X$304,0),0))&amp;"")</f>
        <v/>
      </c>
    </row>
    <row r="16" ht="30" customHeight="1">
      <c r="A16" s="12">
        <f>IF(IFERROR(MATCH(SMALL('Sự kiện'!$X$5:$X$304,8),'Sự kiện'!$X$5:$X$304,0),0)=0,"",INDEX('Sự kiện'!$B$5:$B$304,IFERROR(MATCH(SMALL('Sự kiện'!$X$5:$X$304,8),'Sự kiện'!$X$5:$X$304,0),0))&amp;"")</f>
        <v/>
      </c>
      <c r="B16" s="13">
        <f>IF(IFERROR(MATCH(SMALL('Sự kiện'!$X$5:$X$304,8),'Sự kiện'!$X$5:$X$304,0),0)=0,"",INDEX('Sự kiện'!$C$5:$C$304,IFERROR(MATCH(SMALL('Sự kiện'!$X$5:$X$304,8),'Sự kiện'!$X$5:$X$304,0),0)))</f>
        <v/>
      </c>
      <c r="C16" s="14">
        <f>IF(IFERROR(MATCH(SMALL('Sự kiện'!$X$5:$X$304,8),'Sự kiện'!$X$5:$X$304,0),0)=0,"",INDEX('Sự kiện'!$W$5:$W$304,IFERROR(MATCH(SMALL('Sự kiện'!$X$5:$X$304,8),'Sự kiện'!$X$5:$X$304,0),0))&amp;"")</f>
        <v/>
      </c>
      <c r="D16" s="14">
        <f>IF(IFERROR(MATCH(SMALL('Sự kiện'!$X$5:$X$304,8),'Sự kiện'!$X$5:$X$304,0),0)=0,"",INDEX('Sự kiện'!$K$5:$K$304,IFERROR(MATCH(SMALL('Sự kiện'!$X$5:$X$304,8),'Sự kiện'!$X$5:$X$304,0),0))&amp;"")</f>
        <v/>
      </c>
      <c r="E16" s="14">
        <f>IF(IFERROR(MATCH(SMALL('Sự kiện'!$X$5:$X$304,8),'Sự kiện'!$X$5:$X$304,0),0)=0,"",INDEX('Sự kiện'!$R$5:$R$304,IFERROR(MATCH(SMALL('Sự kiện'!$X$5:$X$304,8),'Sự kiện'!$X$5:$X$304,0),0)))</f>
        <v/>
      </c>
      <c r="F16" s="14">
        <f>IF(A16="","",N(INDEX('Sự kiện'!$Q$5:$Q$304,IFERROR(MATCH(SMALL('Sự kiện'!$X$5:$X$304,8),'Sự kiện'!$X$5:$X$304,0),0)))-N(E16)-N(G16))</f>
        <v/>
      </c>
      <c r="G16" s="14">
        <f>IF(IFERROR(MATCH(SMALL('Sự kiện'!$X$5:$X$304,8),'Sự kiện'!$X$5:$X$304,0),0)=0,"",INDEX('Sự kiện'!$S$5:$S$304,IFERROR(MATCH(SMALL('Sự kiện'!$X$5:$X$304,8),'Sự kiện'!$X$5:$X$304,0),0)))</f>
        <v/>
      </c>
      <c r="H16" s="14">
        <f>IF(IFERROR(MATCH(SMALL('Sự kiện'!$X$5:$X$304,8),'Sự kiện'!$X$5:$X$304,0),0)=0,"",INDEX('Sự kiện'!$T$5:$T$304,IFERROR(MATCH(SMALL('Sự kiện'!$X$5:$X$304,8),'Sự kiện'!$X$5:$X$304,0),0)))</f>
        <v/>
      </c>
      <c r="I16" s="15">
        <f>IF(IFERROR(MATCH(SMALL('Sự kiện'!$X$5:$X$304,8),'Sự kiện'!$X$5:$X$304,0),0)=0,"",INDEX('Sự kiện'!$U$5:$U$304,IFERROR(MATCH(SMALL('Sự kiện'!$X$5:$X$304,8),'Sự kiện'!$X$5:$X$304,0),0)))</f>
        <v/>
      </c>
      <c r="J16" s="16">
        <f>IF(IFERROR(MATCH(SMALL('Sự kiện'!$X$5:$X$304,8),'Sự kiện'!$X$5:$X$304,0),0)=0,"",INDEX('Sự kiện'!$V$5:$V$304,IFERROR(MATCH(SMALL('Sự kiện'!$X$5:$X$304,8),'Sự kiện'!$X$5:$X$304,0),0))&amp;"")</f>
        <v/>
      </c>
    </row>
    <row r="17" ht="30" customHeight="1">
      <c r="A17" s="12">
        <f>IF(IFERROR(MATCH(SMALL('Sự kiện'!$X$5:$X$304,9),'Sự kiện'!$X$5:$X$304,0),0)=0,"",INDEX('Sự kiện'!$B$5:$B$304,IFERROR(MATCH(SMALL('Sự kiện'!$X$5:$X$304,9),'Sự kiện'!$X$5:$X$304,0),0))&amp;"")</f>
        <v/>
      </c>
      <c r="B17" s="13">
        <f>IF(IFERROR(MATCH(SMALL('Sự kiện'!$X$5:$X$304,9),'Sự kiện'!$X$5:$X$304,0),0)=0,"",INDEX('Sự kiện'!$C$5:$C$304,IFERROR(MATCH(SMALL('Sự kiện'!$X$5:$X$304,9),'Sự kiện'!$X$5:$X$304,0),0)))</f>
        <v/>
      </c>
      <c r="C17" s="14">
        <f>IF(IFERROR(MATCH(SMALL('Sự kiện'!$X$5:$X$304,9),'Sự kiện'!$X$5:$X$304,0),0)=0,"",INDEX('Sự kiện'!$W$5:$W$304,IFERROR(MATCH(SMALL('Sự kiện'!$X$5:$X$304,9),'Sự kiện'!$X$5:$X$304,0),0))&amp;"")</f>
        <v/>
      </c>
      <c r="D17" s="14">
        <f>IF(IFERROR(MATCH(SMALL('Sự kiện'!$X$5:$X$304,9),'Sự kiện'!$X$5:$X$304,0),0)=0,"",INDEX('Sự kiện'!$K$5:$K$304,IFERROR(MATCH(SMALL('Sự kiện'!$X$5:$X$304,9),'Sự kiện'!$X$5:$X$304,0),0))&amp;"")</f>
        <v/>
      </c>
      <c r="E17" s="14">
        <f>IF(IFERROR(MATCH(SMALL('Sự kiện'!$X$5:$X$304,9),'Sự kiện'!$X$5:$X$304,0),0)=0,"",INDEX('Sự kiện'!$R$5:$R$304,IFERROR(MATCH(SMALL('Sự kiện'!$X$5:$X$304,9),'Sự kiện'!$X$5:$X$304,0),0)))</f>
        <v/>
      </c>
      <c r="F17" s="14">
        <f>IF(A17="","",N(INDEX('Sự kiện'!$Q$5:$Q$304,IFERROR(MATCH(SMALL('Sự kiện'!$X$5:$X$304,9),'Sự kiện'!$X$5:$X$304,0),0)))-N(E17)-N(G17))</f>
        <v/>
      </c>
      <c r="G17" s="14">
        <f>IF(IFERROR(MATCH(SMALL('Sự kiện'!$X$5:$X$304,9),'Sự kiện'!$X$5:$X$304,0),0)=0,"",INDEX('Sự kiện'!$S$5:$S$304,IFERROR(MATCH(SMALL('Sự kiện'!$X$5:$X$304,9),'Sự kiện'!$X$5:$X$304,0),0)))</f>
        <v/>
      </c>
      <c r="H17" s="14">
        <f>IF(IFERROR(MATCH(SMALL('Sự kiện'!$X$5:$X$304,9),'Sự kiện'!$X$5:$X$304,0),0)=0,"",INDEX('Sự kiện'!$T$5:$T$304,IFERROR(MATCH(SMALL('Sự kiện'!$X$5:$X$304,9),'Sự kiện'!$X$5:$X$304,0),0)))</f>
        <v/>
      </c>
      <c r="I17" s="15">
        <f>IF(IFERROR(MATCH(SMALL('Sự kiện'!$X$5:$X$304,9),'Sự kiện'!$X$5:$X$304,0),0)=0,"",INDEX('Sự kiện'!$U$5:$U$304,IFERROR(MATCH(SMALL('Sự kiện'!$X$5:$X$304,9),'Sự kiện'!$X$5:$X$304,0),0)))</f>
        <v/>
      </c>
      <c r="J17" s="16">
        <f>IF(IFERROR(MATCH(SMALL('Sự kiện'!$X$5:$X$304,9),'Sự kiện'!$X$5:$X$304,0),0)=0,"",INDEX('Sự kiện'!$V$5:$V$304,IFERROR(MATCH(SMALL('Sự kiện'!$X$5:$X$304,9),'Sự kiện'!$X$5:$X$304,0),0))&amp;"")</f>
        <v/>
      </c>
    </row>
    <row r="18" ht="30" customHeight="1">
      <c r="A18" s="12">
        <f>IF(IFERROR(MATCH(SMALL('Sự kiện'!$X$5:$X$304,10),'Sự kiện'!$X$5:$X$304,0),0)=0,"",INDEX('Sự kiện'!$B$5:$B$304,IFERROR(MATCH(SMALL('Sự kiện'!$X$5:$X$304,10),'Sự kiện'!$X$5:$X$304,0),0))&amp;"")</f>
        <v/>
      </c>
      <c r="B18" s="13">
        <f>IF(IFERROR(MATCH(SMALL('Sự kiện'!$X$5:$X$304,10),'Sự kiện'!$X$5:$X$304,0),0)=0,"",INDEX('Sự kiện'!$C$5:$C$304,IFERROR(MATCH(SMALL('Sự kiện'!$X$5:$X$304,10),'Sự kiện'!$X$5:$X$304,0),0)))</f>
        <v/>
      </c>
      <c r="C18" s="14">
        <f>IF(IFERROR(MATCH(SMALL('Sự kiện'!$X$5:$X$304,10),'Sự kiện'!$X$5:$X$304,0),0)=0,"",INDEX('Sự kiện'!$W$5:$W$304,IFERROR(MATCH(SMALL('Sự kiện'!$X$5:$X$304,10),'Sự kiện'!$X$5:$X$304,0),0))&amp;"")</f>
        <v/>
      </c>
      <c r="D18" s="14">
        <f>IF(IFERROR(MATCH(SMALL('Sự kiện'!$X$5:$X$304,10),'Sự kiện'!$X$5:$X$304,0),0)=0,"",INDEX('Sự kiện'!$K$5:$K$304,IFERROR(MATCH(SMALL('Sự kiện'!$X$5:$X$304,10),'Sự kiện'!$X$5:$X$304,0),0))&amp;"")</f>
        <v/>
      </c>
      <c r="E18" s="14">
        <f>IF(IFERROR(MATCH(SMALL('Sự kiện'!$X$5:$X$304,10),'Sự kiện'!$X$5:$X$304,0),0)=0,"",INDEX('Sự kiện'!$R$5:$R$304,IFERROR(MATCH(SMALL('Sự kiện'!$X$5:$X$304,10),'Sự kiện'!$X$5:$X$304,0),0)))</f>
        <v/>
      </c>
      <c r="F18" s="14">
        <f>IF(A18="","",N(INDEX('Sự kiện'!$Q$5:$Q$304,IFERROR(MATCH(SMALL('Sự kiện'!$X$5:$X$304,10),'Sự kiện'!$X$5:$X$304,0),0)))-N(E18)-N(G18))</f>
        <v/>
      </c>
      <c r="G18" s="14">
        <f>IF(IFERROR(MATCH(SMALL('Sự kiện'!$X$5:$X$304,10),'Sự kiện'!$X$5:$X$304,0),0)=0,"",INDEX('Sự kiện'!$S$5:$S$304,IFERROR(MATCH(SMALL('Sự kiện'!$X$5:$X$304,10),'Sự kiện'!$X$5:$X$304,0),0)))</f>
        <v/>
      </c>
      <c r="H18" s="14">
        <f>IF(IFERROR(MATCH(SMALL('Sự kiện'!$X$5:$X$304,10),'Sự kiện'!$X$5:$X$304,0),0)=0,"",INDEX('Sự kiện'!$T$5:$T$304,IFERROR(MATCH(SMALL('Sự kiện'!$X$5:$X$304,10),'Sự kiện'!$X$5:$X$304,0),0)))</f>
        <v/>
      </c>
      <c r="I18" s="15">
        <f>IF(IFERROR(MATCH(SMALL('Sự kiện'!$X$5:$X$304,10),'Sự kiện'!$X$5:$X$304,0),0)=0,"",INDEX('Sự kiện'!$U$5:$U$304,IFERROR(MATCH(SMALL('Sự kiện'!$X$5:$X$304,10),'Sự kiện'!$X$5:$X$304,0),0)))</f>
        <v/>
      </c>
      <c r="J18" s="16">
        <f>IF(IFERROR(MATCH(SMALL('Sự kiện'!$X$5:$X$304,10),'Sự kiện'!$X$5:$X$304,0),0)=0,"",INDEX('Sự kiện'!$V$5:$V$304,IFERROR(MATCH(SMALL('Sự kiện'!$X$5:$X$304,10),'Sự kiện'!$X$5:$X$304,0),0))&amp;"")</f>
        <v/>
      </c>
    </row>
    <row r="19" ht="30" customHeight="1">
      <c r="A19" s="12">
        <f>IF(IFERROR(MATCH(SMALL('Sự kiện'!$X$5:$X$304,11),'Sự kiện'!$X$5:$X$304,0),0)=0,"",INDEX('Sự kiện'!$B$5:$B$304,IFERROR(MATCH(SMALL('Sự kiện'!$X$5:$X$304,11),'Sự kiện'!$X$5:$X$304,0),0))&amp;"")</f>
        <v/>
      </c>
      <c r="B19" s="13">
        <f>IF(IFERROR(MATCH(SMALL('Sự kiện'!$X$5:$X$304,11),'Sự kiện'!$X$5:$X$304,0),0)=0,"",INDEX('Sự kiện'!$C$5:$C$304,IFERROR(MATCH(SMALL('Sự kiện'!$X$5:$X$304,11),'Sự kiện'!$X$5:$X$304,0),0)))</f>
        <v/>
      </c>
      <c r="C19" s="14">
        <f>IF(IFERROR(MATCH(SMALL('Sự kiện'!$X$5:$X$304,11),'Sự kiện'!$X$5:$X$304,0),0)=0,"",INDEX('Sự kiện'!$W$5:$W$304,IFERROR(MATCH(SMALL('Sự kiện'!$X$5:$X$304,11),'Sự kiện'!$X$5:$X$304,0),0))&amp;"")</f>
        <v/>
      </c>
      <c r="D19" s="14">
        <f>IF(IFERROR(MATCH(SMALL('Sự kiện'!$X$5:$X$304,11),'Sự kiện'!$X$5:$X$304,0),0)=0,"",INDEX('Sự kiện'!$K$5:$K$304,IFERROR(MATCH(SMALL('Sự kiện'!$X$5:$X$304,11),'Sự kiện'!$X$5:$X$304,0),0))&amp;"")</f>
        <v/>
      </c>
      <c r="E19" s="14">
        <f>IF(IFERROR(MATCH(SMALL('Sự kiện'!$X$5:$X$304,11),'Sự kiện'!$X$5:$X$304,0),0)=0,"",INDEX('Sự kiện'!$R$5:$R$304,IFERROR(MATCH(SMALL('Sự kiện'!$X$5:$X$304,11),'Sự kiện'!$X$5:$X$304,0),0)))</f>
        <v/>
      </c>
      <c r="F19" s="14">
        <f>IF(A19="","",N(INDEX('Sự kiện'!$Q$5:$Q$304,IFERROR(MATCH(SMALL('Sự kiện'!$X$5:$X$304,11),'Sự kiện'!$X$5:$X$304,0),0)))-N(E19)-N(G19))</f>
        <v/>
      </c>
      <c r="G19" s="14">
        <f>IF(IFERROR(MATCH(SMALL('Sự kiện'!$X$5:$X$304,11),'Sự kiện'!$X$5:$X$304,0),0)=0,"",INDEX('Sự kiện'!$S$5:$S$304,IFERROR(MATCH(SMALL('Sự kiện'!$X$5:$X$304,11),'Sự kiện'!$X$5:$X$304,0),0)))</f>
        <v/>
      </c>
      <c r="H19" s="14">
        <f>IF(IFERROR(MATCH(SMALL('Sự kiện'!$X$5:$X$304,11),'Sự kiện'!$X$5:$X$304,0),0)=0,"",INDEX('Sự kiện'!$T$5:$T$304,IFERROR(MATCH(SMALL('Sự kiện'!$X$5:$X$304,11),'Sự kiện'!$X$5:$X$304,0),0)))</f>
        <v/>
      </c>
      <c r="I19" s="15">
        <f>IF(IFERROR(MATCH(SMALL('Sự kiện'!$X$5:$X$304,11),'Sự kiện'!$X$5:$X$304,0),0)=0,"",INDEX('Sự kiện'!$U$5:$U$304,IFERROR(MATCH(SMALL('Sự kiện'!$X$5:$X$304,11),'Sự kiện'!$X$5:$X$304,0),0)))</f>
        <v/>
      </c>
      <c r="J19" s="16">
        <f>IF(IFERROR(MATCH(SMALL('Sự kiện'!$X$5:$X$304,11),'Sự kiện'!$X$5:$X$304,0),0)=0,"",INDEX('Sự kiện'!$V$5:$V$304,IFERROR(MATCH(SMALL('Sự kiện'!$X$5:$X$304,11),'Sự kiện'!$X$5:$X$304,0),0))&amp;"")</f>
        <v/>
      </c>
    </row>
    <row r="20" ht="30" customHeight="1">
      <c r="A20" s="12">
        <f>IF(IFERROR(MATCH(SMALL('Sự kiện'!$X$5:$X$304,12),'Sự kiện'!$X$5:$X$304,0),0)=0,"",INDEX('Sự kiện'!$B$5:$B$304,IFERROR(MATCH(SMALL('Sự kiện'!$X$5:$X$304,12),'Sự kiện'!$X$5:$X$304,0),0))&amp;"")</f>
        <v/>
      </c>
      <c r="B20" s="13">
        <f>IF(IFERROR(MATCH(SMALL('Sự kiện'!$X$5:$X$304,12),'Sự kiện'!$X$5:$X$304,0),0)=0,"",INDEX('Sự kiện'!$C$5:$C$304,IFERROR(MATCH(SMALL('Sự kiện'!$X$5:$X$304,12),'Sự kiện'!$X$5:$X$304,0),0)))</f>
        <v/>
      </c>
      <c r="C20" s="14">
        <f>IF(IFERROR(MATCH(SMALL('Sự kiện'!$X$5:$X$304,12),'Sự kiện'!$X$5:$X$304,0),0)=0,"",INDEX('Sự kiện'!$W$5:$W$304,IFERROR(MATCH(SMALL('Sự kiện'!$X$5:$X$304,12),'Sự kiện'!$X$5:$X$304,0),0))&amp;"")</f>
        <v/>
      </c>
      <c r="D20" s="14">
        <f>IF(IFERROR(MATCH(SMALL('Sự kiện'!$X$5:$X$304,12),'Sự kiện'!$X$5:$X$304,0),0)=0,"",INDEX('Sự kiện'!$K$5:$K$304,IFERROR(MATCH(SMALL('Sự kiện'!$X$5:$X$304,12),'Sự kiện'!$X$5:$X$304,0),0))&amp;"")</f>
        <v/>
      </c>
      <c r="E20" s="14">
        <f>IF(IFERROR(MATCH(SMALL('Sự kiện'!$X$5:$X$304,12),'Sự kiện'!$X$5:$X$304,0),0)=0,"",INDEX('Sự kiện'!$R$5:$R$304,IFERROR(MATCH(SMALL('Sự kiện'!$X$5:$X$304,12),'Sự kiện'!$X$5:$X$304,0),0)))</f>
        <v/>
      </c>
      <c r="F20" s="14">
        <f>IF(A20="","",N(INDEX('Sự kiện'!$Q$5:$Q$304,IFERROR(MATCH(SMALL('Sự kiện'!$X$5:$X$304,12),'Sự kiện'!$X$5:$X$304,0),0)))-N(E20)-N(G20))</f>
        <v/>
      </c>
      <c r="G20" s="14">
        <f>IF(IFERROR(MATCH(SMALL('Sự kiện'!$X$5:$X$304,12),'Sự kiện'!$X$5:$X$304,0),0)=0,"",INDEX('Sự kiện'!$S$5:$S$304,IFERROR(MATCH(SMALL('Sự kiện'!$X$5:$X$304,12),'Sự kiện'!$X$5:$X$304,0),0)))</f>
        <v/>
      </c>
      <c r="H20" s="14">
        <f>IF(IFERROR(MATCH(SMALL('Sự kiện'!$X$5:$X$304,12),'Sự kiện'!$X$5:$X$304,0),0)=0,"",INDEX('Sự kiện'!$T$5:$T$304,IFERROR(MATCH(SMALL('Sự kiện'!$X$5:$X$304,12),'Sự kiện'!$X$5:$X$304,0),0)))</f>
        <v/>
      </c>
      <c r="I20" s="15">
        <f>IF(IFERROR(MATCH(SMALL('Sự kiện'!$X$5:$X$304,12),'Sự kiện'!$X$5:$X$304,0),0)=0,"",INDEX('Sự kiện'!$U$5:$U$304,IFERROR(MATCH(SMALL('Sự kiện'!$X$5:$X$304,12),'Sự kiện'!$X$5:$X$304,0),0)))</f>
        <v/>
      </c>
      <c r="J20" s="16">
        <f>IF(IFERROR(MATCH(SMALL('Sự kiện'!$X$5:$X$304,12),'Sự kiện'!$X$5:$X$304,0),0)=0,"",INDEX('Sự kiện'!$V$5:$V$304,IFERROR(MATCH(SMALL('Sự kiện'!$X$5:$X$304,12),'Sự kiện'!$X$5:$X$304,0),0))&amp;"")</f>
        <v/>
      </c>
    </row>
    <row r="22">
      <c r="A22" s="10" t="inlineStr">
        <is>
          <t>THEO NGƯỜI PHỤ TRÁCH (mọi sự kiện)</t>
        </is>
      </c>
    </row>
    <row r="23" ht="28" customHeight="1">
      <c r="A23" s="11" t="inlineStr">
        <is>
          <t>Người</t>
        </is>
      </c>
      <c r="B23" s="11" t="inlineStr">
        <is>
          <t>Đang mở</t>
        </is>
      </c>
      <c r="C23" s="11" t="inlineStr">
        <is>
          <t>Quá hạn</t>
        </is>
      </c>
      <c r="D23" s="11" t="inlineStr">
        <is>
          <t>Đến hạn ≤ 3 ngày</t>
        </is>
      </c>
      <c r="E23" s="11" t="inlineStr">
        <is>
          <t>Xong</t>
        </is>
      </c>
      <c r="F23" s="11" t="inlineStr">
        <is>
          <t>Chờ ĐT</t>
        </is>
      </c>
      <c r="G23" s="11" t="inlineStr">
        <is>
          <t>Tổng</t>
        </is>
      </c>
      <c r="H23" s="11" t="inlineStr">
        <is>
          <t>%</t>
        </is>
      </c>
      <c r="I23" s="11" t="inlineStr"/>
      <c r="J23" s="11" t="inlineStr">
        <is>
          <t>Tiến độ</t>
        </is>
      </c>
    </row>
    <row r="24">
      <c r="A24" s="17">
        <f>IF('Cài đặt'!$D$5="","",'Cài đặt'!$D$5)</f>
        <v/>
      </c>
      <c r="B24" s="17">
        <f>IF(A24="","",COUNTIFS('Giao việc'!$G$5:$G$3004,A24,'Giao việc'!$T$5:$T$3004,"Có",'Giao việc'!$J$5:$J$3004,"&lt;&gt;Xong",'Giao việc'!$J$5:$J$3004,"&lt;&gt;Bỏ qua"))</f>
        <v/>
      </c>
      <c r="C24" s="17">
        <f>IF(A24="","",COUNTIFS('Giao việc'!$G$5:$G$3004,A24,'Giao việc'!$T$5:$T$3004,"Có",'Giao việc'!$M$5:$M$3004,"*QUÁ HẠN*"))</f>
        <v/>
      </c>
      <c r="D24" s="17">
        <f>IF(A24="","",COUNTIFS('Giao việc'!$G$5:$G$3004,A24,'Giao việc'!$T$5:$T$3004,"Có",'Giao việc'!$M$5:$M$3004,"*Đến hạn*"))</f>
        <v/>
      </c>
      <c r="E24" s="17">
        <f>IF(A24="","",COUNTIFS('Giao việc'!$G$5:$G$3004,A24,'Giao việc'!$T$5:$T$3004,"Có",'Giao việc'!$J$5:$J$3004,"Xong"))</f>
        <v/>
      </c>
      <c r="F24" s="17">
        <f>IF(A24="","",COUNTIFS('Giao việc'!$G$5:$G$3004,A24,'Giao việc'!$T$5:$T$3004,"Có",'Giao việc'!$J$5:$J$3004,"Chờ đối tác"))</f>
        <v/>
      </c>
      <c r="G24" s="17">
        <f>IF(A24="","",B24+E24)</f>
        <v/>
      </c>
      <c r="H24" s="18">
        <f>IF(OR(A24="",N(G24)=0),"",E24/G24)</f>
        <v/>
      </c>
      <c r="I24" s="17" t="n"/>
      <c r="J24" s="19">
        <f>IF(H24="","",REPT("█",ROUND(H24*10,0))&amp;REPT("░",10-ROUND(H24*10,0)))</f>
        <v/>
      </c>
    </row>
    <row r="25">
      <c r="A25" s="17">
        <f>IF('Cài đặt'!$D$6="","",'Cài đặt'!$D$6)</f>
        <v/>
      </c>
      <c r="B25" s="17">
        <f>IF(A25="","",COUNTIFS('Giao việc'!$G$5:$G$3004,A25,'Giao việc'!$T$5:$T$3004,"Có",'Giao việc'!$J$5:$J$3004,"&lt;&gt;Xong",'Giao việc'!$J$5:$J$3004,"&lt;&gt;Bỏ qua"))</f>
        <v/>
      </c>
      <c r="C25" s="17">
        <f>IF(A25="","",COUNTIFS('Giao việc'!$G$5:$G$3004,A25,'Giao việc'!$T$5:$T$3004,"Có",'Giao việc'!$M$5:$M$3004,"*QUÁ HẠN*"))</f>
        <v/>
      </c>
      <c r="D25" s="17">
        <f>IF(A25="","",COUNTIFS('Giao việc'!$G$5:$G$3004,A25,'Giao việc'!$T$5:$T$3004,"Có",'Giao việc'!$M$5:$M$3004,"*Đến hạn*"))</f>
        <v/>
      </c>
      <c r="E25" s="17">
        <f>IF(A25="","",COUNTIFS('Giao việc'!$G$5:$G$3004,A25,'Giao việc'!$T$5:$T$3004,"Có",'Giao việc'!$J$5:$J$3004,"Xong"))</f>
        <v/>
      </c>
      <c r="F25" s="17">
        <f>IF(A25="","",COUNTIFS('Giao việc'!$G$5:$G$3004,A25,'Giao việc'!$T$5:$T$3004,"Có",'Giao việc'!$J$5:$J$3004,"Chờ đối tác"))</f>
        <v/>
      </c>
      <c r="G25" s="17">
        <f>IF(A25="","",B25+E25)</f>
        <v/>
      </c>
      <c r="H25" s="18">
        <f>IF(OR(A25="",N(G25)=0),"",E25/G25)</f>
        <v/>
      </c>
      <c r="I25" s="17" t="n"/>
      <c r="J25" s="19">
        <f>IF(H25="","",REPT("█",ROUND(H25*10,0))&amp;REPT("░",10-ROUND(H25*10,0)))</f>
        <v/>
      </c>
    </row>
    <row r="26">
      <c r="A26" s="17">
        <f>IF('Cài đặt'!$D$7="","",'Cài đặt'!$D$7)</f>
        <v/>
      </c>
      <c r="B26" s="17">
        <f>IF(A26="","",COUNTIFS('Giao việc'!$G$5:$G$3004,A26,'Giao việc'!$T$5:$T$3004,"Có",'Giao việc'!$J$5:$J$3004,"&lt;&gt;Xong",'Giao việc'!$J$5:$J$3004,"&lt;&gt;Bỏ qua"))</f>
        <v/>
      </c>
      <c r="C26" s="17">
        <f>IF(A26="","",COUNTIFS('Giao việc'!$G$5:$G$3004,A26,'Giao việc'!$T$5:$T$3004,"Có",'Giao việc'!$M$5:$M$3004,"*QUÁ HẠN*"))</f>
        <v/>
      </c>
      <c r="D26" s="17">
        <f>IF(A26="","",COUNTIFS('Giao việc'!$G$5:$G$3004,A26,'Giao việc'!$T$5:$T$3004,"Có",'Giao việc'!$M$5:$M$3004,"*Đến hạn*"))</f>
        <v/>
      </c>
      <c r="E26" s="17">
        <f>IF(A26="","",COUNTIFS('Giao việc'!$G$5:$G$3004,A26,'Giao việc'!$T$5:$T$3004,"Có",'Giao việc'!$J$5:$J$3004,"Xong"))</f>
        <v/>
      </c>
      <c r="F26" s="17">
        <f>IF(A26="","",COUNTIFS('Giao việc'!$G$5:$G$3004,A26,'Giao việc'!$T$5:$T$3004,"Có",'Giao việc'!$J$5:$J$3004,"Chờ đối tác"))</f>
        <v/>
      </c>
      <c r="G26" s="17">
        <f>IF(A26="","",B26+E26)</f>
        <v/>
      </c>
      <c r="H26" s="18">
        <f>IF(OR(A26="",N(G26)=0),"",E26/G26)</f>
        <v/>
      </c>
      <c r="I26" s="17" t="n"/>
      <c r="J26" s="19">
        <f>IF(H26="","",REPT("█",ROUND(H26*10,0))&amp;REPT("░",10-ROUND(H26*10,0)))</f>
        <v/>
      </c>
    </row>
    <row r="27">
      <c r="A27" s="17">
        <f>IF('Cài đặt'!$D$8="","",'Cài đặt'!$D$8)</f>
        <v/>
      </c>
      <c r="B27" s="17">
        <f>IF(A27="","",COUNTIFS('Giao việc'!$G$5:$G$3004,A27,'Giao việc'!$T$5:$T$3004,"Có",'Giao việc'!$J$5:$J$3004,"&lt;&gt;Xong",'Giao việc'!$J$5:$J$3004,"&lt;&gt;Bỏ qua"))</f>
        <v/>
      </c>
      <c r="C27" s="17">
        <f>IF(A27="","",COUNTIFS('Giao việc'!$G$5:$G$3004,A27,'Giao việc'!$T$5:$T$3004,"Có",'Giao việc'!$M$5:$M$3004,"*QUÁ HẠN*"))</f>
        <v/>
      </c>
      <c r="D27" s="17">
        <f>IF(A27="","",COUNTIFS('Giao việc'!$G$5:$G$3004,A27,'Giao việc'!$T$5:$T$3004,"Có",'Giao việc'!$M$5:$M$3004,"*Đến hạn*"))</f>
        <v/>
      </c>
      <c r="E27" s="17">
        <f>IF(A27="","",COUNTIFS('Giao việc'!$G$5:$G$3004,A27,'Giao việc'!$T$5:$T$3004,"Có",'Giao việc'!$J$5:$J$3004,"Xong"))</f>
        <v/>
      </c>
      <c r="F27" s="17">
        <f>IF(A27="","",COUNTIFS('Giao việc'!$G$5:$G$3004,A27,'Giao việc'!$T$5:$T$3004,"Có",'Giao việc'!$J$5:$J$3004,"Chờ đối tác"))</f>
        <v/>
      </c>
      <c r="G27" s="17">
        <f>IF(A27="","",B27+E27)</f>
        <v/>
      </c>
      <c r="H27" s="18">
        <f>IF(OR(A27="",N(G27)=0),"",E27/G27)</f>
        <v/>
      </c>
      <c r="I27" s="17" t="n"/>
      <c r="J27" s="19">
        <f>IF(H27="","",REPT("█",ROUND(H27*10,0))&amp;REPT("░",10-ROUND(H27*10,0)))</f>
        <v/>
      </c>
    </row>
    <row r="28">
      <c r="A28" s="17">
        <f>IF('Cài đặt'!$D$9="","",'Cài đặt'!$D$9)</f>
        <v/>
      </c>
      <c r="B28" s="17">
        <f>IF(A28="","",COUNTIFS('Giao việc'!$G$5:$G$3004,A28,'Giao việc'!$T$5:$T$3004,"Có",'Giao việc'!$J$5:$J$3004,"&lt;&gt;Xong",'Giao việc'!$J$5:$J$3004,"&lt;&gt;Bỏ qua"))</f>
        <v/>
      </c>
      <c r="C28" s="17">
        <f>IF(A28="","",COUNTIFS('Giao việc'!$G$5:$G$3004,A28,'Giao việc'!$T$5:$T$3004,"Có",'Giao việc'!$M$5:$M$3004,"*QUÁ HẠN*"))</f>
        <v/>
      </c>
      <c r="D28" s="17">
        <f>IF(A28="","",COUNTIFS('Giao việc'!$G$5:$G$3004,A28,'Giao việc'!$T$5:$T$3004,"Có",'Giao việc'!$M$5:$M$3004,"*Đến hạn*"))</f>
        <v/>
      </c>
      <c r="E28" s="17">
        <f>IF(A28="","",COUNTIFS('Giao việc'!$G$5:$G$3004,A28,'Giao việc'!$T$5:$T$3004,"Có",'Giao việc'!$J$5:$J$3004,"Xong"))</f>
        <v/>
      </c>
      <c r="F28" s="17">
        <f>IF(A28="","",COUNTIFS('Giao việc'!$G$5:$G$3004,A28,'Giao việc'!$T$5:$T$3004,"Có",'Giao việc'!$J$5:$J$3004,"Chờ đối tác"))</f>
        <v/>
      </c>
      <c r="G28" s="17">
        <f>IF(A28="","",B28+E28)</f>
        <v/>
      </c>
      <c r="H28" s="18">
        <f>IF(OR(A28="",N(G28)=0),"",E28/G28)</f>
        <v/>
      </c>
      <c r="I28" s="17" t="n"/>
      <c r="J28" s="19">
        <f>IF(H28="","",REPT("█",ROUND(H28*10,0))&amp;REPT("░",10-ROUND(H28*10,0)))</f>
        <v/>
      </c>
    </row>
    <row r="29">
      <c r="A29" s="17">
        <f>IF('Cài đặt'!$D$10="","",'Cài đặt'!$D$10)</f>
        <v/>
      </c>
      <c r="B29" s="17">
        <f>IF(A29="","",COUNTIFS('Giao việc'!$G$5:$G$3004,A29,'Giao việc'!$T$5:$T$3004,"Có",'Giao việc'!$J$5:$J$3004,"&lt;&gt;Xong",'Giao việc'!$J$5:$J$3004,"&lt;&gt;Bỏ qua"))</f>
        <v/>
      </c>
      <c r="C29" s="17">
        <f>IF(A29="","",COUNTIFS('Giao việc'!$G$5:$G$3004,A29,'Giao việc'!$T$5:$T$3004,"Có",'Giao việc'!$M$5:$M$3004,"*QUÁ HẠN*"))</f>
        <v/>
      </c>
      <c r="D29" s="17">
        <f>IF(A29="","",COUNTIFS('Giao việc'!$G$5:$G$3004,A29,'Giao việc'!$T$5:$T$3004,"Có",'Giao việc'!$M$5:$M$3004,"*Đến hạn*"))</f>
        <v/>
      </c>
      <c r="E29" s="17">
        <f>IF(A29="","",COUNTIFS('Giao việc'!$G$5:$G$3004,A29,'Giao việc'!$T$5:$T$3004,"Có",'Giao việc'!$J$5:$J$3004,"Xong"))</f>
        <v/>
      </c>
      <c r="F29" s="17">
        <f>IF(A29="","",COUNTIFS('Giao việc'!$G$5:$G$3004,A29,'Giao việc'!$T$5:$T$3004,"Có",'Giao việc'!$J$5:$J$3004,"Chờ đối tác"))</f>
        <v/>
      </c>
      <c r="G29" s="17">
        <f>IF(A29="","",B29+E29)</f>
        <v/>
      </c>
      <c r="H29" s="18">
        <f>IF(OR(A29="",N(G29)=0),"",E29/G29)</f>
        <v/>
      </c>
      <c r="I29" s="17" t="n"/>
      <c r="J29" s="19">
        <f>IF(H29="","",REPT("█",ROUND(H29*10,0))&amp;REPT("░",10-ROUND(H29*10,0)))</f>
        <v/>
      </c>
    </row>
    <row r="30">
      <c r="A30" s="17">
        <f>IF('Cài đặt'!$D$11="","",'Cài đặt'!$D$11)</f>
        <v/>
      </c>
      <c r="B30" s="17">
        <f>IF(A30="","",COUNTIFS('Giao việc'!$G$5:$G$3004,A30,'Giao việc'!$T$5:$T$3004,"Có",'Giao việc'!$J$5:$J$3004,"&lt;&gt;Xong",'Giao việc'!$J$5:$J$3004,"&lt;&gt;Bỏ qua"))</f>
        <v/>
      </c>
      <c r="C30" s="17">
        <f>IF(A30="","",COUNTIFS('Giao việc'!$G$5:$G$3004,A30,'Giao việc'!$T$5:$T$3004,"Có",'Giao việc'!$M$5:$M$3004,"*QUÁ HẠN*"))</f>
        <v/>
      </c>
      <c r="D30" s="17">
        <f>IF(A30="","",COUNTIFS('Giao việc'!$G$5:$G$3004,A30,'Giao việc'!$T$5:$T$3004,"Có",'Giao việc'!$M$5:$M$3004,"*Đến hạn*"))</f>
        <v/>
      </c>
      <c r="E30" s="17">
        <f>IF(A30="","",COUNTIFS('Giao việc'!$G$5:$G$3004,A30,'Giao việc'!$T$5:$T$3004,"Có",'Giao việc'!$J$5:$J$3004,"Xong"))</f>
        <v/>
      </c>
      <c r="F30" s="17">
        <f>IF(A30="","",COUNTIFS('Giao việc'!$G$5:$G$3004,A30,'Giao việc'!$T$5:$T$3004,"Có",'Giao việc'!$J$5:$J$3004,"Chờ đối tác"))</f>
        <v/>
      </c>
      <c r="G30" s="17">
        <f>IF(A30="","",B30+E30)</f>
        <v/>
      </c>
      <c r="H30" s="18">
        <f>IF(OR(A30="",N(G30)=0),"",E30/G30)</f>
        <v/>
      </c>
      <c r="I30" s="17" t="n"/>
      <c r="J30" s="19">
        <f>IF(H30="","",REPT("█",ROUND(H30*10,0))&amp;REPT("░",10-ROUND(H30*10,0)))</f>
        <v/>
      </c>
    </row>
    <row r="31">
      <c r="A31" s="17">
        <f>IF('Cài đặt'!$D$12="","",'Cài đặt'!$D$12)</f>
        <v/>
      </c>
      <c r="B31" s="17">
        <f>IF(A31="","",COUNTIFS('Giao việc'!$G$5:$G$3004,A31,'Giao việc'!$T$5:$T$3004,"Có",'Giao việc'!$J$5:$J$3004,"&lt;&gt;Xong",'Giao việc'!$J$5:$J$3004,"&lt;&gt;Bỏ qua"))</f>
        <v/>
      </c>
      <c r="C31" s="17">
        <f>IF(A31="","",COUNTIFS('Giao việc'!$G$5:$G$3004,A31,'Giao việc'!$T$5:$T$3004,"Có",'Giao việc'!$M$5:$M$3004,"*QUÁ HẠN*"))</f>
        <v/>
      </c>
      <c r="D31" s="17">
        <f>IF(A31="","",COUNTIFS('Giao việc'!$G$5:$G$3004,A31,'Giao việc'!$T$5:$T$3004,"Có",'Giao việc'!$M$5:$M$3004,"*Đến hạn*"))</f>
        <v/>
      </c>
      <c r="E31" s="17">
        <f>IF(A31="","",COUNTIFS('Giao việc'!$G$5:$G$3004,A31,'Giao việc'!$T$5:$T$3004,"Có",'Giao việc'!$J$5:$J$3004,"Xong"))</f>
        <v/>
      </c>
      <c r="F31" s="17">
        <f>IF(A31="","",COUNTIFS('Giao việc'!$G$5:$G$3004,A31,'Giao việc'!$T$5:$T$3004,"Có",'Giao việc'!$J$5:$J$3004,"Chờ đối tác"))</f>
        <v/>
      </c>
      <c r="G31" s="17">
        <f>IF(A31="","",B31+E31)</f>
        <v/>
      </c>
      <c r="H31" s="18">
        <f>IF(OR(A31="",N(G31)=0),"",E31/G31)</f>
        <v/>
      </c>
      <c r="I31" s="17" t="n"/>
      <c r="J31" s="19">
        <f>IF(H31="","",REPT("█",ROUND(H31*10,0))&amp;REPT("░",10-ROUND(H31*10,0)))</f>
        <v/>
      </c>
    </row>
    <row r="32">
      <c r="A32" s="17">
        <f>IF('Cài đặt'!$D$13="","",'Cài đặt'!$D$13)</f>
        <v/>
      </c>
      <c r="B32" s="17">
        <f>IF(A32="","",COUNTIFS('Giao việc'!$G$5:$G$3004,A32,'Giao việc'!$T$5:$T$3004,"Có",'Giao việc'!$J$5:$J$3004,"&lt;&gt;Xong",'Giao việc'!$J$5:$J$3004,"&lt;&gt;Bỏ qua"))</f>
        <v/>
      </c>
      <c r="C32" s="17">
        <f>IF(A32="","",COUNTIFS('Giao việc'!$G$5:$G$3004,A32,'Giao việc'!$T$5:$T$3004,"Có",'Giao việc'!$M$5:$M$3004,"*QUÁ HẠN*"))</f>
        <v/>
      </c>
      <c r="D32" s="17">
        <f>IF(A32="","",COUNTIFS('Giao việc'!$G$5:$G$3004,A32,'Giao việc'!$T$5:$T$3004,"Có",'Giao việc'!$M$5:$M$3004,"*Đến hạn*"))</f>
        <v/>
      </c>
      <c r="E32" s="17">
        <f>IF(A32="","",COUNTIFS('Giao việc'!$G$5:$G$3004,A32,'Giao việc'!$T$5:$T$3004,"Có",'Giao việc'!$J$5:$J$3004,"Xong"))</f>
        <v/>
      </c>
      <c r="F32" s="17">
        <f>IF(A32="","",COUNTIFS('Giao việc'!$G$5:$G$3004,A32,'Giao việc'!$T$5:$T$3004,"Có",'Giao việc'!$J$5:$J$3004,"Chờ đối tác"))</f>
        <v/>
      </c>
      <c r="G32" s="17">
        <f>IF(A32="","",B32+E32)</f>
        <v/>
      </c>
      <c r="H32" s="18">
        <f>IF(OR(A32="",N(G32)=0),"",E32/G32)</f>
        <v/>
      </c>
      <c r="I32" s="17" t="n"/>
      <c r="J32" s="19">
        <f>IF(H32="","",REPT("█",ROUND(H32*10,0))&amp;REPT("░",10-ROUND(H32*10,0)))</f>
        <v/>
      </c>
    </row>
    <row r="33">
      <c r="A33" s="17">
        <f>IF('Cài đặt'!$D$14="","",'Cài đặt'!$D$14)</f>
        <v/>
      </c>
      <c r="B33" s="17">
        <f>IF(A33="","",COUNTIFS('Giao việc'!$G$5:$G$3004,A33,'Giao việc'!$T$5:$T$3004,"Có",'Giao việc'!$J$5:$J$3004,"&lt;&gt;Xong",'Giao việc'!$J$5:$J$3004,"&lt;&gt;Bỏ qua"))</f>
        <v/>
      </c>
      <c r="C33" s="17">
        <f>IF(A33="","",COUNTIFS('Giao việc'!$G$5:$G$3004,A33,'Giao việc'!$T$5:$T$3004,"Có",'Giao việc'!$M$5:$M$3004,"*QUÁ HẠN*"))</f>
        <v/>
      </c>
      <c r="D33" s="17">
        <f>IF(A33="","",COUNTIFS('Giao việc'!$G$5:$G$3004,A33,'Giao việc'!$T$5:$T$3004,"Có",'Giao việc'!$M$5:$M$3004,"*Đến hạn*"))</f>
        <v/>
      </c>
      <c r="E33" s="17">
        <f>IF(A33="","",COUNTIFS('Giao việc'!$G$5:$G$3004,A33,'Giao việc'!$T$5:$T$3004,"Có",'Giao việc'!$J$5:$J$3004,"Xong"))</f>
        <v/>
      </c>
      <c r="F33" s="17">
        <f>IF(A33="","",COUNTIFS('Giao việc'!$G$5:$G$3004,A33,'Giao việc'!$T$5:$T$3004,"Có",'Giao việc'!$J$5:$J$3004,"Chờ đối tác"))</f>
        <v/>
      </c>
      <c r="G33" s="17">
        <f>IF(A33="","",B33+E33)</f>
        <v/>
      </c>
      <c r="H33" s="18">
        <f>IF(OR(A33="",N(G33)=0),"",E33/G33)</f>
        <v/>
      </c>
      <c r="I33" s="17" t="n"/>
      <c r="J33" s="19">
        <f>IF(H33="","",REPT("█",ROUND(H33*10,0))&amp;REPT("░",10-ROUND(H33*10,0)))</f>
        <v/>
      </c>
    </row>
    <row r="34">
      <c r="A34" s="17">
        <f>IF('Cài đặt'!$D$15="","",'Cài đặt'!$D$15)</f>
        <v/>
      </c>
      <c r="B34" s="17">
        <f>IF(A34="","",COUNTIFS('Giao việc'!$G$5:$G$3004,A34,'Giao việc'!$T$5:$T$3004,"Có",'Giao việc'!$J$5:$J$3004,"&lt;&gt;Xong",'Giao việc'!$J$5:$J$3004,"&lt;&gt;Bỏ qua"))</f>
        <v/>
      </c>
      <c r="C34" s="17">
        <f>IF(A34="","",COUNTIFS('Giao việc'!$G$5:$G$3004,A34,'Giao việc'!$T$5:$T$3004,"Có",'Giao việc'!$M$5:$M$3004,"*QUÁ HẠN*"))</f>
        <v/>
      </c>
      <c r="D34" s="17">
        <f>IF(A34="","",COUNTIFS('Giao việc'!$G$5:$G$3004,A34,'Giao việc'!$T$5:$T$3004,"Có",'Giao việc'!$M$5:$M$3004,"*Đến hạn*"))</f>
        <v/>
      </c>
      <c r="E34" s="17">
        <f>IF(A34="","",COUNTIFS('Giao việc'!$G$5:$G$3004,A34,'Giao việc'!$T$5:$T$3004,"Có",'Giao việc'!$J$5:$J$3004,"Xong"))</f>
        <v/>
      </c>
      <c r="F34" s="17">
        <f>IF(A34="","",COUNTIFS('Giao việc'!$G$5:$G$3004,A34,'Giao việc'!$T$5:$T$3004,"Có",'Giao việc'!$J$5:$J$3004,"Chờ đối tác"))</f>
        <v/>
      </c>
      <c r="G34" s="17">
        <f>IF(A34="","",B34+E34)</f>
        <v/>
      </c>
      <c r="H34" s="18">
        <f>IF(OR(A34="",N(G34)=0),"",E34/G34)</f>
        <v/>
      </c>
      <c r="I34" s="17" t="n"/>
      <c r="J34" s="19">
        <f>IF(H34="","",REPT("█",ROUND(H34*10,0))&amp;REPT("░",10-ROUND(H34*10,0)))</f>
        <v/>
      </c>
    </row>
    <row r="35">
      <c r="A35" s="17">
        <f>IF('Cài đặt'!$D$16="","",'Cài đặt'!$D$16)</f>
        <v/>
      </c>
      <c r="B35" s="17">
        <f>IF(A35="","",COUNTIFS('Giao việc'!$G$5:$G$3004,A35,'Giao việc'!$T$5:$T$3004,"Có",'Giao việc'!$J$5:$J$3004,"&lt;&gt;Xong",'Giao việc'!$J$5:$J$3004,"&lt;&gt;Bỏ qua"))</f>
        <v/>
      </c>
      <c r="C35" s="17">
        <f>IF(A35="","",COUNTIFS('Giao việc'!$G$5:$G$3004,A35,'Giao việc'!$T$5:$T$3004,"Có",'Giao việc'!$M$5:$M$3004,"*QUÁ HẠN*"))</f>
        <v/>
      </c>
      <c r="D35" s="17">
        <f>IF(A35="","",COUNTIFS('Giao việc'!$G$5:$G$3004,A35,'Giao việc'!$T$5:$T$3004,"Có",'Giao việc'!$M$5:$M$3004,"*Đến hạn*"))</f>
        <v/>
      </c>
      <c r="E35" s="17">
        <f>IF(A35="","",COUNTIFS('Giao việc'!$G$5:$G$3004,A35,'Giao việc'!$T$5:$T$3004,"Có",'Giao việc'!$J$5:$J$3004,"Xong"))</f>
        <v/>
      </c>
      <c r="F35" s="17">
        <f>IF(A35="","",COUNTIFS('Giao việc'!$G$5:$G$3004,A35,'Giao việc'!$T$5:$T$3004,"Có",'Giao việc'!$J$5:$J$3004,"Chờ đối tác"))</f>
        <v/>
      </c>
      <c r="G35" s="17">
        <f>IF(A35="","",B35+E35)</f>
        <v/>
      </c>
      <c r="H35" s="18">
        <f>IF(OR(A35="",N(G35)=0),"",E35/G35)</f>
        <v/>
      </c>
      <c r="I35" s="17" t="n"/>
      <c r="J35" s="19">
        <f>IF(H35="","",REPT("█",ROUND(H35*10,0))&amp;REPT("░",10-ROUND(H35*10,0)))</f>
        <v/>
      </c>
    </row>
    <row r="36">
      <c r="A36" s="17">
        <f>IF('Cài đặt'!$D$17="","",'Cài đặt'!$D$17)</f>
        <v/>
      </c>
      <c r="B36" s="17">
        <f>IF(A36="","",COUNTIFS('Giao việc'!$G$5:$G$3004,A36,'Giao việc'!$T$5:$T$3004,"Có",'Giao việc'!$J$5:$J$3004,"&lt;&gt;Xong",'Giao việc'!$J$5:$J$3004,"&lt;&gt;Bỏ qua"))</f>
        <v/>
      </c>
      <c r="C36" s="17">
        <f>IF(A36="","",COUNTIFS('Giao việc'!$G$5:$G$3004,A36,'Giao việc'!$T$5:$T$3004,"Có",'Giao việc'!$M$5:$M$3004,"*QUÁ HẠN*"))</f>
        <v/>
      </c>
      <c r="D36" s="17">
        <f>IF(A36="","",COUNTIFS('Giao việc'!$G$5:$G$3004,A36,'Giao việc'!$T$5:$T$3004,"Có",'Giao việc'!$M$5:$M$3004,"*Đến hạn*"))</f>
        <v/>
      </c>
      <c r="E36" s="17">
        <f>IF(A36="","",COUNTIFS('Giao việc'!$G$5:$G$3004,A36,'Giao việc'!$T$5:$T$3004,"Có",'Giao việc'!$J$5:$J$3004,"Xong"))</f>
        <v/>
      </c>
      <c r="F36" s="17">
        <f>IF(A36="","",COUNTIFS('Giao việc'!$G$5:$G$3004,A36,'Giao việc'!$T$5:$T$3004,"Có",'Giao việc'!$J$5:$J$3004,"Chờ đối tác"))</f>
        <v/>
      </c>
      <c r="G36" s="17">
        <f>IF(A36="","",B36+E36)</f>
        <v/>
      </c>
      <c r="H36" s="18">
        <f>IF(OR(A36="",N(G36)=0),"",E36/G36)</f>
        <v/>
      </c>
      <c r="I36" s="17" t="n"/>
      <c r="J36" s="19">
        <f>IF(H36="","",REPT("█",ROUND(H36*10,0))&amp;REPT("░",10-ROUND(H36*10,0)))</f>
        <v/>
      </c>
    </row>
    <row r="37">
      <c r="A37" s="17">
        <f>IF('Cài đặt'!$D$18="","",'Cài đặt'!$D$18)</f>
        <v/>
      </c>
      <c r="B37" s="17">
        <f>IF(A37="","",COUNTIFS('Giao việc'!$G$5:$G$3004,A37,'Giao việc'!$T$5:$T$3004,"Có",'Giao việc'!$J$5:$J$3004,"&lt;&gt;Xong",'Giao việc'!$J$5:$J$3004,"&lt;&gt;Bỏ qua"))</f>
        <v/>
      </c>
      <c r="C37" s="17">
        <f>IF(A37="","",COUNTIFS('Giao việc'!$G$5:$G$3004,A37,'Giao việc'!$T$5:$T$3004,"Có",'Giao việc'!$M$5:$M$3004,"*QUÁ HẠN*"))</f>
        <v/>
      </c>
      <c r="D37" s="17">
        <f>IF(A37="","",COUNTIFS('Giao việc'!$G$5:$G$3004,A37,'Giao việc'!$T$5:$T$3004,"Có",'Giao việc'!$M$5:$M$3004,"*Đến hạn*"))</f>
        <v/>
      </c>
      <c r="E37" s="17">
        <f>IF(A37="","",COUNTIFS('Giao việc'!$G$5:$G$3004,A37,'Giao việc'!$T$5:$T$3004,"Có",'Giao việc'!$J$5:$J$3004,"Xong"))</f>
        <v/>
      </c>
      <c r="F37" s="17">
        <f>IF(A37="","",COUNTIFS('Giao việc'!$G$5:$G$3004,A37,'Giao việc'!$T$5:$T$3004,"Có",'Giao việc'!$J$5:$J$3004,"Chờ đối tác"))</f>
        <v/>
      </c>
      <c r="G37" s="17">
        <f>IF(A37="","",B37+E37)</f>
        <v/>
      </c>
      <c r="H37" s="18">
        <f>IF(OR(A37="",N(G37)=0),"",E37/G37)</f>
        <v/>
      </c>
      <c r="I37" s="17" t="n"/>
      <c r="J37" s="19">
        <f>IF(H37="","",REPT("█",ROUND(H37*10,0))&amp;REPT("░",10-ROUND(H37*10,0)))</f>
        <v/>
      </c>
    </row>
    <row r="38">
      <c r="A38" s="17">
        <f>IF('Cài đặt'!$D$19="","",'Cài đặt'!$D$19)</f>
        <v/>
      </c>
      <c r="B38" s="17">
        <f>IF(A38="","",COUNTIFS('Giao việc'!$G$5:$G$3004,A38,'Giao việc'!$T$5:$T$3004,"Có",'Giao việc'!$J$5:$J$3004,"&lt;&gt;Xong",'Giao việc'!$J$5:$J$3004,"&lt;&gt;Bỏ qua"))</f>
        <v/>
      </c>
      <c r="C38" s="17">
        <f>IF(A38="","",COUNTIFS('Giao việc'!$G$5:$G$3004,A38,'Giao việc'!$T$5:$T$3004,"Có",'Giao việc'!$M$5:$M$3004,"*QUÁ HẠN*"))</f>
        <v/>
      </c>
      <c r="D38" s="17">
        <f>IF(A38="","",COUNTIFS('Giao việc'!$G$5:$G$3004,A38,'Giao việc'!$T$5:$T$3004,"Có",'Giao việc'!$M$5:$M$3004,"*Đến hạn*"))</f>
        <v/>
      </c>
      <c r="E38" s="17">
        <f>IF(A38="","",COUNTIFS('Giao việc'!$G$5:$G$3004,A38,'Giao việc'!$T$5:$T$3004,"Có",'Giao việc'!$J$5:$J$3004,"Xong"))</f>
        <v/>
      </c>
      <c r="F38" s="17">
        <f>IF(A38="","",COUNTIFS('Giao việc'!$G$5:$G$3004,A38,'Giao việc'!$T$5:$T$3004,"Có",'Giao việc'!$J$5:$J$3004,"Chờ đối tác"))</f>
        <v/>
      </c>
      <c r="G38" s="17">
        <f>IF(A38="","",B38+E38)</f>
        <v/>
      </c>
      <c r="H38" s="18">
        <f>IF(OR(A38="",N(G38)=0),"",E38/G38)</f>
        <v/>
      </c>
      <c r="I38" s="17" t="n"/>
      <c r="J38" s="19">
        <f>IF(H38="","",REPT("█",ROUND(H38*10,0))&amp;REPT("░",10-ROUND(H38*10,0)))</f>
        <v/>
      </c>
    </row>
    <row r="39">
      <c r="A39" s="20" t="inlineStr">
        <is>
          <t>Chưa giao người</t>
        </is>
      </c>
      <c r="B39" s="20">
        <f>COUNTIFS('Giao việc'!$T$5:$T$3004,"Có",'Giao việc'!$M$5:$M$3004,"*CHƯA GIAO*")</f>
        <v/>
      </c>
    </row>
    <row r="41">
      <c r="A41" s="10" t="inlineStr">
        <is>
          <t>VIỆC CẦN XỬ LÝ (mọi sự kiện, hạn gần nhất)</t>
        </is>
      </c>
    </row>
    <row r="42" ht="28" customHeight="1">
      <c r="A42" s="11" t="inlineStr">
        <is>
          <t>Việc</t>
        </is>
      </c>
      <c r="B42" s="11" t="inlineStr">
        <is>
          <t>Hạn</t>
        </is>
      </c>
      <c r="C42" s="11" t="inlineStr">
        <is>
          <t>Cảnh báo</t>
        </is>
      </c>
      <c r="D42" s="11" t="inlineStr">
        <is>
          <t>Người phụ trách</t>
        </is>
      </c>
      <c r="E42" s="11" t="inlineStr">
        <is>
          <t>Sự kiện</t>
        </is>
      </c>
      <c r="F42" s="21" t="n"/>
      <c r="G42" s="21" t="n"/>
      <c r="H42" s="21" t="n"/>
      <c r="I42" s="22" t="n"/>
      <c r="J42" s="11" t="inlineStr">
        <is>
          <t>Trạng thái</t>
        </is>
      </c>
    </row>
    <row r="43" ht="30" customHeight="1">
      <c r="A43" s="12">
        <f>IF(IFERROR(MATCH(SMALL('Giao việc'!$S$5:$S$3004,1),'Giao việc'!$S$5:$S$3004,0),0)=0,"",INDEX('Giao việc'!$E$5:$E$3004,IFERROR(MATCH(SMALL('Giao việc'!$S$5:$S$3004,1),'Giao việc'!$S$5:$S$3004,0),0))&amp;"")</f>
        <v/>
      </c>
      <c r="B43" s="23">
        <f>IF(IFERROR(MATCH(SMALL('Giao việc'!$S$5:$S$3004,1),'Giao việc'!$S$5:$S$3004,0),0)=0,"",INDEX('Giao việc'!$I$5:$I$3004,IFERROR(MATCH(SMALL('Giao việc'!$S$5:$S$3004,1),'Giao việc'!$S$5:$S$3004,0),0)))</f>
        <v/>
      </c>
      <c r="C43" s="12">
        <f>IF(IFERROR(MATCH(SMALL('Giao việc'!$S$5:$S$3004,1),'Giao việc'!$S$5:$S$3004,0),0)=0,"",INDEX('Giao việc'!$M$5:$M$3004,IFERROR(MATCH(SMALL('Giao việc'!$S$5:$S$3004,1),'Giao việc'!$S$5:$S$3004,0),0))&amp;"")</f>
        <v/>
      </c>
      <c r="D43" s="12">
        <f>IF(IFERROR(MATCH(SMALL('Giao việc'!$S$5:$S$3004,1),'Giao việc'!$S$5:$S$3004,0),0)=0,"",INDEX('Giao việc'!$G$5:$G$3004,IFERROR(MATCH(SMALL('Giao việc'!$S$5:$S$3004,1),'Giao việc'!$S$5:$S$3004,0),0))&amp;"")</f>
        <v/>
      </c>
      <c r="E43" s="12">
        <f>IF(IFERROR(MATCH(SMALL('Giao việc'!$S$5:$S$3004,1),'Giao việc'!$S$5:$S$3004,0),0)=0,"",INDEX('Giao việc'!$A$5:$A$3004,IFERROR(MATCH(SMALL('Giao việc'!$S$5:$S$3004,1),'Giao việc'!$S$5:$S$3004,0),0))&amp;"")</f>
        <v/>
      </c>
      <c r="F43" s="12" t="n"/>
      <c r="G43" s="12" t="n"/>
      <c r="H43" s="12" t="n"/>
      <c r="I43" s="12" t="n"/>
      <c r="J43" s="12">
        <f>IF(IFERROR(MATCH(SMALL('Giao việc'!$S$5:$S$3004,1),'Giao việc'!$S$5:$S$3004,0),0)=0,"",INDEX('Giao việc'!$J$5:$J$3004,IFERROR(MATCH(SMALL('Giao việc'!$S$5:$S$3004,1),'Giao việc'!$S$5:$S$3004,0),0))&amp;"")</f>
        <v/>
      </c>
    </row>
    <row r="44" ht="30" customHeight="1">
      <c r="A44" s="12">
        <f>IF(IFERROR(MATCH(SMALL('Giao việc'!$S$5:$S$3004,2),'Giao việc'!$S$5:$S$3004,0),0)=0,"",INDEX('Giao việc'!$E$5:$E$3004,IFERROR(MATCH(SMALL('Giao việc'!$S$5:$S$3004,2),'Giao việc'!$S$5:$S$3004,0),0))&amp;"")</f>
        <v/>
      </c>
      <c r="B44" s="23">
        <f>IF(IFERROR(MATCH(SMALL('Giao việc'!$S$5:$S$3004,2),'Giao việc'!$S$5:$S$3004,0),0)=0,"",INDEX('Giao việc'!$I$5:$I$3004,IFERROR(MATCH(SMALL('Giao việc'!$S$5:$S$3004,2),'Giao việc'!$S$5:$S$3004,0),0)))</f>
        <v/>
      </c>
      <c r="C44" s="12">
        <f>IF(IFERROR(MATCH(SMALL('Giao việc'!$S$5:$S$3004,2),'Giao việc'!$S$5:$S$3004,0),0)=0,"",INDEX('Giao việc'!$M$5:$M$3004,IFERROR(MATCH(SMALL('Giao việc'!$S$5:$S$3004,2),'Giao việc'!$S$5:$S$3004,0),0))&amp;"")</f>
        <v/>
      </c>
      <c r="D44" s="12">
        <f>IF(IFERROR(MATCH(SMALL('Giao việc'!$S$5:$S$3004,2),'Giao việc'!$S$5:$S$3004,0),0)=0,"",INDEX('Giao việc'!$G$5:$G$3004,IFERROR(MATCH(SMALL('Giao việc'!$S$5:$S$3004,2),'Giao việc'!$S$5:$S$3004,0),0))&amp;"")</f>
        <v/>
      </c>
      <c r="E44" s="12">
        <f>IF(IFERROR(MATCH(SMALL('Giao việc'!$S$5:$S$3004,2),'Giao việc'!$S$5:$S$3004,0),0)=0,"",INDEX('Giao việc'!$A$5:$A$3004,IFERROR(MATCH(SMALL('Giao việc'!$S$5:$S$3004,2),'Giao việc'!$S$5:$S$3004,0),0))&amp;"")</f>
        <v/>
      </c>
      <c r="F44" s="12" t="n"/>
      <c r="G44" s="12" t="n"/>
      <c r="H44" s="12" t="n"/>
      <c r="I44" s="12" t="n"/>
      <c r="J44" s="12">
        <f>IF(IFERROR(MATCH(SMALL('Giao việc'!$S$5:$S$3004,2),'Giao việc'!$S$5:$S$3004,0),0)=0,"",INDEX('Giao việc'!$J$5:$J$3004,IFERROR(MATCH(SMALL('Giao việc'!$S$5:$S$3004,2),'Giao việc'!$S$5:$S$3004,0),0))&amp;"")</f>
        <v/>
      </c>
    </row>
    <row r="45" ht="30" customHeight="1">
      <c r="A45" s="12">
        <f>IF(IFERROR(MATCH(SMALL('Giao việc'!$S$5:$S$3004,3),'Giao việc'!$S$5:$S$3004,0),0)=0,"",INDEX('Giao việc'!$E$5:$E$3004,IFERROR(MATCH(SMALL('Giao việc'!$S$5:$S$3004,3),'Giao việc'!$S$5:$S$3004,0),0))&amp;"")</f>
        <v/>
      </c>
      <c r="B45" s="23">
        <f>IF(IFERROR(MATCH(SMALL('Giao việc'!$S$5:$S$3004,3),'Giao việc'!$S$5:$S$3004,0),0)=0,"",INDEX('Giao việc'!$I$5:$I$3004,IFERROR(MATCH(SMALL('Giao việc'!$S$5:$S$3004,3),'Giao việc'!$S$5:$S$3004,0),0)))</f>
        <v/>
      </c>
      <c r="C45" s="12">
        <f>IF(IFERROR(MATCH(SMALL('Giao việc'!$S$5:$S$3004,3),'Giao việc'!$S$5:$S$3004,0),0)=0,"",INDEX('Giao việc'!$M$5:$M$3004,IFERROR(MATCH(SMALL('Giao việc'!$S$5:$S$3004,3),'Giao việc'!$S$5:$S$3004,0),0))&amp;"")</f>
        <v/>
      </c>
      <c r="D45" s="12">
        <f>IF(IFERROR(MATCH(SMALL('Giao việc'!$S$5:$S$3004,3),'Giao việc'!$S$5:$S$3004,0),0)=0,"",INDEX('Giao việc'!$G$5:$G$3004,IFERROR(MATCH(SMALL('Giao việc'!$S$5:$S$3004,3),'Giao việc'!$S$5:$S$3004,0),0))&amp;"")</f>
        <v/>
      </c>
      <c r="E45" s="12">
        <f>IF(IFERROR(MATCH(SMALL('Giao việc'!$S$5:$S$3004,3),'Giao việc'!$S$5:$S$3004,0),0)=0,"",INDEX('Giao việc'!$A$5:$A$3004,IFERROR(MATCH(SMALL('Giao việc'!$S$5:$S$3004,3),'Giao việc'!$S$5:$S$3004,0),0))&amp;"")</f>
        <v/>
      </c>
      <c r="F45" s="12" t="n"/>
      <c r="G45" s="12" t="n"/>
      <c r="H45" s="12" t="n"/>
      <c r="I45" s="12" t="n"/>
      <c r="J45" s="12">
        <f>IF(IFERROR(MATCH(SMALL('Giao việc'!$S$5:$S$3004,3),'Giao việc'!$S$5:$S$3004,0),0)=0,"",INDEX('Giao việc'!$J$5:$J$3004,IFERROR(MATCH(SMALL('Giao việc'!$S$5:$S$3004,3),'Giao việc'!$S$5:$S$3004,0),0))&amp;"")</f>
        <v/>
      </c>
    </row>
    <row r="46" ht="30" customHeight="1">
      <c r="A46" s="12">
        <f>IF(IFERROR(MATCH(SMALL('Giao việc'!$S$5:$S$3004,4),'Giao việc'!$S$5:$S$3004,0),0)=0,"",INDEX('Giao việc'!$E$5:$E$3004,IFERROR(MATCH(SMALL('Giao việc'!$S$5:$S$3004,4),'Giao việc'!$S$5:$S$3004,0),0))&amp;"")</f>
        <v/>
      </c>
      <c r="B46" s="23">
        <f>IF(IFERROR(MATCH(SMALL('Giao việc'!$S$5:$S$3004,4),'Giao việc'!$S$5:$S$3004,0),0)=0,"",INDEX('Giao việc'!$I$5:$I$3004,IFERROR(MATCH(SMALL('Giao việc'!$S$5:$S$3004,4),'Giao việc'!$S$5:$S$3004,0),0)))</f>
        <v/>
      </c>
      <c r="C46" s="12">
        <f>IF(IFERROR(MATCH(SMALL('Giao việc'!$S$5:$S$3004,4),'Giao việc'!$S$5:$S$3004,0),0)=0,"",INDEX('Giao việc'!$M$5:$M$3004,IFERROR(MATCH(SMALL('Giao việc'!$S$5:$S$3004,4),'Giao việc'!$S$5:$S$3004,0),0))&amp;"")</f>
        <v/>
      </c>
      <c r="D46" s="12">
        <f>IF(IFERROR(MATCH(SMALL('Giao việc'!$S$5:$S$3004,4),'Giao việc'!$S$5:$S$3004,0),0)=0,"",INDEX('Giao việc'!$G$5:$G$3004,IFERROR(MATCH(SMALL('Giao việc'!$S$5:$S$3004,4),'Giao việc'!$S$5:$S$3004,0),0))&amp;"")</f>
        <v/>
      </c>
      <c r="E46" s="12">
        <f>IF(IFERROR(MATCH(SMALL('Giao việc'!$S$5:$S$3004,4),'Giao việc'!$S$5:$S$3004,0),0)=0,"",INDEX('Giao việc'!$A$5:$A$3004,IFERROR(MATCH(SMALL('Giao việc'!$S$5:$S$3004,4),'Giao việc'!$S$5:$S$3004,0),0))&amp;"")</f>
        <v/>
      </c>
      <c r="F46" s="12" t="n"/>
      <c r="G46" s="12" t="n"/>
      <c r="H46" s="12" t="n"/>
      <c r="I46" s="12" t="n"/>
      <c r="J46" s="12">
        <f>IF(IFERROR(MATCH(SMALL('Giao việc'!$S$5:$S$3004,4),'Giao việc'!$S$5:$S$3004,0),0)=0,"",INDEX('Giao việc'!$J$5:$J$3004,IFERROR(MATCH(SMALL('Giao việc'!$S$5:$S$3004,4),'Giao việc'!$S$5:$S$3004,0),0))&amp;"")</f>
        <v/>
      </c>
    </row>
    <row r="47" ht="30" customHeight="1">
      <c r="A47" s="12">
        <f>IF(IFERROR(MATCH(SMALL('Giao việc'!$S$5:$S$3004,5),'Giao việc'!$S$5:$S$3004,0),0)=0,"",INDEX('Giao việc'!$E$5:$E$3004,IFERROR(MATCH(SMALL('Giao việc'!$S$5:$S$3004,5),'Giao việc'!$S$5:$S$3004,0),0))&amp;"")</f>
        <v/>
      </c>
      <c r="B47" s="23">
        <f>IF(IFERROR(MATCH(SMALL('Giao việc'!$S$5:$S$3004,5),'Giao việc'!$S$5:$S$3004,0),0)=0,"",INDEX('Giao việc'!$I$5:$I$3004,IFERROR(MATCH(SMALL('Giao việc'!$S$5:$S$3004,5),'Giao việc'!$S$5:$S$3004,0),0)))</f>
        <v/>
      </c>
      <c r="C47" s="12">
        <f>IF(IFERROR(MATCH(SMALL('Giao việc'!$S$5:$S$3004,5),'Giao việc'!$S$5:$S$3004,0),0)=0,"",INDEX('Giao việc'!$M$5:$M$3004,IFERROR(MATCH(SMALL('Giao việc'!$S$5:$S$3004,5),'Giao việc'!$S$5:$S$3004,0),0))&amp;"")</f>
        <v/>
      </c>
      <c r="D47" s="12">
        <f>IF(IFERROR(MATCH(SMALL('Giao việc'!$S$5:$S$3004,5),'Giao việc'!$S$5:$S$3004,0),0)=0,"",INDEX('Giao việc'!$G$5:$G$3004,IFERROR(MATCH(SMALL('Giao việc'!$S$5:$S$3004,5),'Giao việc'!$S$5:$S$3004,0),0))&amp;"")</f>
        <v/>
      </c>
      <c r="E47" s="12">
        <f>IF(IFERROR(MATCH(SMALL('Giao việc'!$S$5:$S$3004,5),'Giao việc'!$S$5:$S$3004,0),0)=0,"",INDEX('Giao việc'!$A$5:$A$3004,IFERROR(MATCH(SMALL('Giao việc'!$S$5:$S$3004,5),'Giao việc'!$S$5:$S$3004,0),0))&amp;"")</f>
        <v/>
      </c>
      <c r="F47" s="12" t="n"/>
      <c r="G47" s="12" t="n"/>
      <c r="H47" s="12" t="n"/>
      <c r="I47" s="12" t="n"/>
      <c r="J47" s="12">
        <f>IF(IFERROR(MATCH(SMALL('Giao việc'!$S$5:$S$3004,5),'Giao việc'!$S$5:$S$3004,0),0)=0,"",INDEX('Giao việc'!$J$5:$J$3004,IFERROR(MATCH(SMALL('Giao việc'!$S$5:$S$3004,5),'Giao việc'!$S$5:$S$3004,0),0))&amp;"")</f>
        <v/>
      </c>
    </row>
    <row r="48" ht="30" customHeight="1">
      <c r="A48" s="12">
        <f>IF(IFERROR(MATCH(SMALL('Giao việc'!$S$5:$S$3004,6),'Giao việc'!$S$5:$S$3004,0),0)=0,"",INDEX('Giao việc'!$E$5:$E$3004,IFERROR(MATCH(SMALL('Giao việc'!$S$5:$S$3004,6),'Giao việc'!$S$5:$S$3004,0),0))&amp;"")</f>
        <v/>
      </c>
      <c r="B48" s="23">
        <f>IF(IFERROR(MATCH(SMALL('Giao việc'!$S$5:$S$3004,6),'Giao việc'!$S$5:$S$3004,0),0)=0,"",INDEX('Giao việc'!$I$5:$I$3004,IFERROR(MATCH(SMALL('Giao việc'!$S$5:$S$3004,6),'Giao việc'!$S$5:$S$3004,0),0)))</f>
        <v/>
      </c>
      <c r="C48" s="12">
        <f>IF(IFERROR(MATCH(SMALL('Giao việc'!$S$5:$S$3004,6),'Giao việc'!$S$5:$S$3004,0),0)=0,"",INDEX('Giao việc'!$M$5:$M$3004,IFERROR(MATCH(SMALL('Giao việc'!$S$5:$S$3004,6),'Giao việc'!$S$5:$S$3004,0),0))&amp;"")</f>
        <v/>
      </c>
      <c r="D48" s="12">
        <f>IF(IFERROR(MATCH(SMALL('Giao việc'!$S$5:$S$3004,6),'Giao việc'!$S$5:$S$3004,0),0)=0,"",INDEX('Giao việc'!$G$5:$G$3004,IFERROR(MATCH(SMALL('Giao việc'!$S$5:$S$3004,6),'Giao việc'!$S$5:$S$3004,0),0))&amp;"")</f>
        <v/>
      </c>
      <c r="E48" s="12">
        <f>IF(IFERROR(MATCH(SMALL('Giao việc'!$S$5:$S$3004,6),'Giao việc'!$S$5:$S$3004,0),0)=0,"",INDEX('Giao việc'!$A$5:$A$3004,IFERROR(MATCH(SMALL('Giao việc'!$S$5:$S$3004,6),'Giao việc'!$S$5:$S$3004,0),0))&amp;"")</f>
        <v/>
      </c>
      <c r="F48" s="12" t="n"/>
      <c r="G48" s="12" t="n"/>
      <c r="H48" s="12" t="n"/>
      <c r="I48" s="12" t="n"/>
      <c r="J48" s="12">
        <f>IF(IFERROR(MATCH(SMALL('Giao việc'!$S$5:$S$3004,6),'Giao việc'!$S$5:$S$3004,0),0)=0,"",INDEX('Giao việc'!$J$5:$J$3004,IFERROR(MATCH(SMALL('Giao việc'!$S$5:$S$3004,6),'Giao việc'!$S$5:$S$3004,0),0))&amp;"")</f>
        <v/>
      </c>
    </row>
    <row r="49" ht="30" customHeight="1">
      <c r="A49" s="12">
        <f>IF(IFERROR(MATCH(SMALL('Giao việc'!$S$5:$S$3004,7),'Giao việc'!$S$5:$S$3004,0),0)=0,"",INDEX('Giao việc'!$E$5:$E$3004,IFERROR(MATCH(SMALL('Giao việc'!$S$5:$S$3004,7),'Giao việc'!$S$5:$S$3004,0),0))&amp;"")</f>
        <v/>
      </c>
      <c r="B49" s="23">
        <f>IF(IFERROR(MATCH(SMALL('Giao việc'!$S$5:$S$3004,7),'Giao việc'!$S$5:$S$3004,0),0)=0,"",INDEX('Giao việc'!$I$5:$I$3004,IFERROR(MATCH(SMALL('Giao việc'!$S$5:$S$3004,7),'Giao việc'!$S$5:$S$3004,0),0)))</f>
        <v/>
      </c>
      <c r="C49" s="12">
        <f>IF(IFERROR(MATCH(SMALL('Giao việc'!$S$5:$S$3004,7),'Giao việc'!$S$5:$S$3004,0),0)=0,"",INDEX('Giao việc'!$M$5:$M$3004,IFERROR(MATCH(SMALL('Giao việc'!$S$5:$S$3004,7),'Giao việc'!$S$5:$S$3004,0),0))&amp;"")</f>
        <v/>
      </c>
      <c r="D49" s="12">
        <f>IF(IFERROR(MATCH(SMALL('Giao việc'!$S$5:$S$3004,7),'Giao việc'!$S$5:$S$3004,0),0)=0,"",INDEX('Giao việc'!$G$5:$G$3004,IFERROR(MATCH(SMALL('Giao việc'!$S$5:$S$3004,7),'Giao việc'!$S$5:$S$3004,0),0))&amp;"")</f>
        <v/>
      </c>
      <c r="E49" s="12">
        <f>IF(IFERROR(MATCH(SMALL('Giao việc'!$S$5:$S$3004,7),'Giao việc'!$S$5:$S$3004,0),0)=0,"",INDEX('Giao việc'!$A$5:$A$3004,IFERROR(MATCH(SMALL('Giao việc'!$S$5:$S$3004,7),'Giao việc'!$S$5:$S$3004,0),0))&amp;"")</f>
        <v/>
      </c>
      <c r="F49" s="12" t="n"/>
      <c r="G49" s="12" t="n"/>
      <c r="H49" s="12" t="n"/>
      <c r="I49" s="12" t="n"/>
      <c r="J49" s="12">
        <f>IF(IFERROR(MATCH(SMALL('Giao việc'!$S$5:$S$3004,7),'Giao việc'!$S$5:$S$3004,0),0)=0,"",INDEX('Giao việc'!$J$5:$J$3004,IFERROR(MATCH(SMALL('Giao việc'!$S$5:$S$3004,7),'Giao việc'!$S$5:$S$3004,0),0))&amp;"")</f>
        <v/>
      </c>
    </row>
    <row r="50" ht="30" customHeight="1">
      <c r="A50" s="12">
        <f>IF(IFERROR(MATCH(SMALL('Giao việc'!$S$5:$S$3004,8),'Giao việc'!$S$5:$S$3004,0),0)=0,"",INDEX('Giao việc'!$E$5:$E$3004,IFERROR(MATCH(SMALL('Giao việc'!$S$5:$S$3004,8),'Giao việc'!$S$5:$S$3004,0),0))&amp;"")</f>
        <v/>
      </c>
      <c r="B50" s="23">
        <f>IF(IFERROR(MATCH(SMALL('Giao việc'!$S$5:$S$3004,8),'Giao việc'!$S$5:$S$3004,0),0)=0,"",INDEX('Giao việc'!$I$5:$I$3004,IFERROR(MATCH(SMALL('Giao việc'!$S$5:$S$3004,8),'Giao việc'!$S$5:$S$3004,0),0)))</f>
        <v/>
      </c>
      <c r="C50" s="12">
        <f>IF(IFERROR(MATCH(SMALL('Giao việc'!$S$5:$S$3004,8),'Giao việc'!$S$5:$S$3004,0),0)=0,"",INDEX('Giao việc'!$M$5:$M$3004,IFERROR(MATCH(SMALL('Giao việc'!$S$5:$S$3004,8),'Giao việc'!$S$5:$S$3004,0),0))&amp;"")</f>
        <v/>
      </c>
      <c r="D50" s="12">
        <f>IF(IFERROR(MATCH(SMALL('Giao việc'!$S$5:$S$3004,8),'Giao việc'!$S$5:$S$3004,0),0)=0,"",INDEX('Giao việc'!$G$5:$G$3004,IFERROR(MATCH(SMALL('Giao việc'!$S$5:$S$3004,8),'Giao việc'!$S$5:$S$3004,0),0))&amp;"")</f>
        <v/>
      </c>
      <c r="E50" s="12">
        <f>IF(IFERROR(MATCH(SMALL('Giao việc'!$S$5:$S$3004,8),'Giao việc'!$S$5:$S$3004,0),0)=0,"",INDEX('Giao việc'!$A$5:$A$3004,IFERROR(MATCH(SMALL('Giao việc'!$S$5:$S$3004,8),'Giao việc'!$S$5:$S$3004,0),0))&amp;"")</f>
        <v/>
      </c>
      <c r="F50" s="12" t="n"/>
      <c r="G50" s="12" t="n"/>
      <c r="H50" s="12" t="n"/>
      <c r="I50" s="12" t="n"/>
      <c r="J50" s="12">
        <f>IF(IFERROR(MATCH(SMALL('Giao việc'!$S$5:$S$3004,8),'Giao việc'!$S$5:$S$3004,0),0)=0,"",INDEX('Giao việc'!$J$5:$J$3004,IFERROR(MATCH(SMALL('Giao việc'!$S$5:$S$3004,8),'Giao việc'!$S$5:$S$3004,0),0))&amp;"")</f>
        <v/>
      </c>
    </row>
    <row r="51" ht="30" customHeight="1">
      <c r="A51" s="12">
        <f>IF(IFERROR(MATCH(SMALL('Giao việc'!$S$5:$S$3004,9),'Giao việc'!$S$5:$S$3004,0),0)=0,"",INDEX('Giao việc'!$E$5:$E$3004,IFERROR(MATCH(SMALL('Giao việc'!$S$5:$S$3004,9),'Giao việc'!$S$5:$S$3004,0),0))&amp;"")</f>
        <v/>
      </c>
      <c r="B51" s="23">
        <f>IF(IFERROR(MATCH(SMALL('Giao việc'!$S$5:$S$3004,9),'Giao việc'!$S$5:$S$3004,0),0)=0,"",INDEX('Giao việc'!$I$5:$I$3004,IFERROR(MATCH(SMALL('Giao việc'!$S$5:$S$3004,9),'Giao việc'!$S$5:$S$3004,0),0)))</f>
        <v/>
      </c>
      <c r="C51" s="12">
        <f>IF(IFERROR(MATCH(SMALL('Giao việc'!$S$5:$S$3004,9),'Giao việc'!$S$5:$S$3004,0),0)=0,"",INDEX('Giao việc'!$M$5:$M$3004,IFERROR(MATCH(SMALL('Giao việc'!$S$5:$S$3004,9),'Giao việc'!$S$5:$S$3004,0),0))&amp;"")</f>
        <v/>
      </c>
      <c r="D51" s="12">
        <f>IF(IFERROR(MATCH(SMALL('Giao việc'!$S$5:$S$3004,9),'Giao việc'!$S$5:$S$3004,0),0)=0,"",INDEX('Giao việc'!$G$5:$G$3004,IFERROR(MATCH(SMALL('Giao việc'!$S$5:$S$3004,9),'Giao việc'!$S$5:$S$3004,0),0))&amp;"")</f>
        <v/>
      </c>
      <c r="E51" s="12">
        <f>IF(IFERROR(MATCH(SMALL('Giao việc'!$S$5:$S$3004,9),'Giao việc'!$S$5:$S$3004,0),0)=0,"",INDEX('Giao việc'!$A$5:$A$3004,IFERROR(MATCH(SMALL('Giao việc'!$S$5:$S$3004,9),'Giao việc'!$S$5:$S$3004,0),0))&amp;"")</f>
        <v/>
      </c>
      <c r="F51" s="12" t="n"/>
      <c r="G51" s="12" t="n"/>
      <c r="H51" s="12" t="n"/>
      <c r="I51" s="12" t="n"/>
      <c r="J51" s="12">
        <f>IF(IFERROR(MATCH(SMALL('Giao việc'!$S$5:$S$3004,9),'Giao việc'!$S$5:$S$3004,0),0)=0,"",INDEX('Giao việc'!$J$5:$J$3004,IFERROR(MATCH(SMALL('Giao việc'!$S$5:$S$3004,9),'Giao việc'!$S$5:$S$3004,0),0))&amp;"")</f>
        <v/>
      </c>
    </row>
    <row r="52" ht="30" customHeight="1">
      <c r="A52" s="12">
        <f>IF(IFERROR(MATCH(SMALL('Giao việc'!$S$5:$S$3004,10),'Giao việc'!$S$5:$S$3004,0),0)=0,"",INDEX('Giao việc'!$E$5:$E$3004,IFERROR(MATCH(SMALL('Giao việc'!$S$5:$S$3004,10),'Giao việc'!$S$5:$S$3004,0),0))&amp;"")</f>
        <v/>
      </c>
      <c r="B52" s="23">
        <f>IF(IFERROR(MATCH(SMALL('Giao việc'!$S$5:$S$3004,10),'Giao việc'!$S$5:$S$3004,0),0)=0,"",INDEX('Giao việc'!$I$5:$I$3004,IFERROR(MATCH(SMALL('Giao việc'!$S$5:$S$3004,10),'Giao việc'!$S$5:$S$3004,0),0)))</f>
        <v/>
      </c>
      <c r="C52" s="12">
        <f>IF(IFERROR(MATCH(SMALL('Giao việc'!$S$5:$S$3004,10),'Giao việc'!$S$5:$S$3004,0),0)=0,"",INDEX('Giao việc'!$M$5:$M$3004,IFERROR(MATCH(SMALL('Giao việc'!$S$5:$S$3004,10),'Giao việc'!$S$5:$S$3004,0),0))&amp;"")</f>
        <v/>
      </c>
      <c r="D52" s="12">
        <f>IF(IFERROR(MATCH(SMALL('Giao việc'!$S$5:$S$3004,10),'Giao việc'!$S$5:$S$3004,0),0)=0,"",INDEX('Giao việc'!$G$5:$G$3004,IFERROR(MATCH(SMALL('Giao việc'!$S$5:$S$3004,10),'Giao việc'!$S$5:$S$3004,0),0))&amp;"")</f>
        <v/>
      </c>
      <c r="E52" s="12">
        <f>IF(IFERROR(MATCH(SMALL('Giao việc'!$S$5:$S$3004,10),'Giao việc'!$S$5:$S$3004,0),0)=0,"",INDEX('Giao việc'!$A$5:$A$3004,IFERROR(MATCH(SMALL('Giao việc'!$S$5:$S$3004,10),'Giao việc'!$S$5:$S$3004,0),0))&amp;"")</f>
        <v/>
      </c>
      <c r="F52" s="12" t="n"/>
      <c r="G52" s="12" t="n"/>
      <c r="H52" s="12" t="n"/>
      <c r="I52" s="12" t="n"/>
      <c r="J52" s="12">
        <f>IF(IFERROR(MATCH(SMALL('Giao việc'!$S$5:$S$3004,10),'Giao việc'!$S$5:$S$3004,0),0)=0,"",INDEX('Giao việc'!$J$5:$J$3004,IFERROR(MATCH(SMALL('Giao việc'!$S$5:$S$3004,10),'Giao việc'!$S$5:$S$3004,0),0))&amp;"")</f>
        <v/>
      </c>
    </row>
    <row r="53" ht="30" customHeight="1">
      <c r="A53" s="12">
        <f>IF(IFERROR(MATCH(SMALL('Giao việc'!$S$5:$S$3004,11),'Giao việc'!$S$5:$S$3004,0),0)=0,"",INDEX('Giao việc'!$E$5:$E$3004,IFERROR(MATCH(SMALL('Giao việc'!$S$5:$S$3004,11),'Giao việc'!$S$5:$S$3004,0),0))&amp;"")</f>
        <v/>
      </c>
      <c r="B53" s="23">
        <f>IF(IFERROR(MATCH(SMALL('Giao việc'!$S$5:$S$3004,11),'Giao việc'!$S$5:$S$3004,0),0)=0,"",INDEX('Giao việc'!$I$5:$I$3004,IFERROR(MATCH(SMALL('Giao việc'!$S$5:$S$3004,11),'Giao việc'!$S$5:$S$3004,0),0)))</f>
        <v/>
      </c>
      <c r="C53" s="12">
        <f>IF(IFERROR(MATCH(SMALL('Giao việc'!$S$5:$S$3004,11),'Giao việc'!$S$5:$S$3004,0),0)=0,"",INDEX('Giao việc'!$M$5:$M$3004,IFERROR(MATCH(SMALL('Giao việc'!$S$5:$S$3004,11),'Giao việc'!$S$5:$S$3004,0),0))&amp;"")</f>
        <v/>
      </c>
      <c r="D53" s="12">
        <f>IF(IFERROR(MATCH(SMALL('Giao việc'!$S$5:$S$3004,11),'Giao việc'!$S$5:$S$3004,0),0)=0,"",INDEX('Giao việc'!$G$5:$G$3004,IFERROR(MATCH(SMALL('Giao việc'!$S$5:$S$3004,11),'Giao việc'!$S$5:$S$3004,0),0))&amp;"")</f>
        <v/>
      </c>
      <c r="E53" s="12">
        <f>IF(IFERROR(MATCH(SMALL('Giao việc'!$S$5:$S$3004,11),'Giao việc'!$S$5:$S$3004,0),0)=0,"",INDEX('Giao việc'!$A$5:$A$3004,IFERROR(MATCH(SMALL('Giao việc'!$S$5:$S$3004,11),'Giao việc'!$S$5:$S$3004,0),0))&amp;"")</f>
        <v/>
      </c>
      <c r="F53" s="12" t="n"/>
      <c r="G53" s="12" t="n"/>
      <c r="H53" s="12" t="n"/>
      <c r="I53" s="12" t="n"/>
      <c r="J53" s="12">
        <f>IF(IFERROR(MATCH(SMALL('Giao việc'!$S$5:$S$3004,11),'Giao việc'!$S$5:$S$3004,0),0)=0,"",INDEX('Giao việc'!$J$5:$J$3004,IFERROR(MATCH(SMALL('Giao việc'!$S$5:$S$3004,11),'Giao việc'!$S$5:$S$3004,0),0))&amp;"")</f>
        <v/>
      </c>
    </row>
    <row r="54" ht="30" customHeight="1">
      <c r="A54" s="12">
        <f>IF(IFERROR(MATCH(SMALL('Giao việc'!$S$5:$S$3004,12),'Giao việc'!$S$5:$S$3004,0),0)=0,"",INDEX('Giao việc'!$E$5:$E$3004,IFERROR(MATCH(SMALL('Giao việc'!$S$5:$S$3004,12),'Giao việc'!$S$5:$S$3004,0),0))&amp;"")</f>
        <v/>
      </c>
      <c r="B54" s="23">
        <f>IF(IFERROR(MATCH(SMALL('Giao việc'!$S$5:$S$3004,12),'Giao việc'!$S$5:$S$3004,0),0)=0,"",INDEX('Giao việc'!$I$5:$I$3004,IFERROR(MATCH(SMALL('Giao việc'!$S$5:$S$3004,12),'Giao việc'!$S$5:$S$3004,0),0)))</f>
        <v/>
      </c>
      <c r="C54" s="12">
        <f>IF(IFERROR(MATCH(SMALL('Giao việc'!$S$5:$S$3004,12),'Giao việc'!$S$5:$S$3004,0),0)=0,"",INDEX('Giao việc'!$M$5:$M$3004,IFERROR(MATCH(SMALL('Giao việc'!$S$5:$S$3004,12),'Giao việc'!$S$5:$S$3004,0),0))&amp;"")</f>
        <v/>
      </c>
      <c r="D54" s="12">
        <f>IF(IFERROR(MATCH(SMALL('Giao việc'!$S$5:$S$3004,12),'Giao việc'!$S$5:$S$3004,0),0)=0,"",INDEX('Giao việc'!$G$5:$G$3004,IFERROR(MATCH(SMALL('Giao việc'!$S$5:$S$3004,12),'Giao việc'!$S$5:$S$3004,0),0))&amp;"")</f>
        <v/>
      </c>
      <c r="E54" s="12">
        <f>IF(IFERROR(MATCH(SMALL('Giao việc'!$S$5:$S$3004,12),'Giao việc'!$S$5:$S$3004,0),0)=0,"",INDEX('Giao việc'!$A$5:$A$3004,IFERROR(MATCH(SMALL('Giao việc'!$S$5:$S$3004,12),'Giao việc'!$S$5:$S$3004,0),0))&amp;"")</f>
        <v/>
      </c>
      <c r="F54" s="12" t="n"/>
      <c r="G54" s="12" t="n"/>
      <c r="H54" s="12" t="n"/>
      <c r="I54" s="12" t="n"/>
      <c r="J54" s="12">
        <f>IF(IFERROR(MATCH(SMALL('Giao việc'!$S$5:$S$3004,12),'Giao việc'!$S$5:$S$3004,0),0)=0,"",INDEX('Giao việc'!$J$5:$J$3004,IFERROR(MATCH(SMALL('Giao việc'!$S$5:$S$3004,12),'Giao việc'!$S$5:$S$3004,0),0))&amp;"")</f>
        <v/>
      </c>
    </row>
    <row r="55" ht="30" customHeight="1">
      <c r="A55" s="12">
        <f>IF(IFERROR(MATCH(SMALL('Giao việc'!$S$5:$S$3004,13),'Giao việc'!$S$5:$S$3004,0),0)=0,"",INDEX('Giao việc'!$E$5:$E$3004,IFERROR(MATCH(SMALL('Giao việc'!$S$5:$S$3004,13),'Giao việc'!$S$5:$S$3004,0),0))&amp;"")</f>
        <v/>
      </c>
      <c r="B55" s="23">
        <f>IF(IFERROR(MATCH(SMALL('Giao việc'!$S$5:$S$3004,13),'Giao việc'!$S$5:$S$3004,0),0)=0,"",INDEX('Giao việc'!$I$5:$I$3004,IFERROR(MATCH(SMALL('Giao việc'!$S$5:$S$3004,13),'Giao việc'!$S$5:$S$3004,0),0)))</f>
        <v/>
      </c>
      <c r="C55" s="12">
        <f>IF(IFERROR(MATCH(SMALL('Giao việc'!$S$5:$S$3004,13),'Giao việc'!$S$5:$S$3004,0),0)=0,"",INDEX('Giao việc'!$M$5:$M$3004,IFERROR(MATCH(SMALL('Giao việc'!$S$5:$S$3004,13),'Giao việc'!$S$5:$S$3004,0),0))&amp;"")</f>
        <v/>
      </c>
      <c r="D55" s="12">
        <f>IF(IFERROR(MATCH(SMALL('Giao việc'!$S$5:$S$3004,13),'Giao việc'!$S$5:$S$3004,0),0)=0,"",INDEX('Giao việc'!$G$5:$G$3004,IFERROR(MATCH(SMALL('Giao việc'!$S$5:$S$3004,13),'Giao việc'!$S$5:$S$3004,0),0))&amp;"")</f>
        <v/>
      </c>
      <c r="E55" s="12">
        <f>IF(IFERROR(MATCH(SMALL('Giao việc'!$S$5:$S$3004,13),'Giao việc'!$S$5:$S$3004,0),0)=0,"",INDEX('Giao việc'!$A$5:$A$3004,IFERROR(MATCH(SMALL('Giao việc'!$S$5:$S$3004,13),'Giao việc'!$S$5:$S$3004,0),0))&amp;"")</f>
        <v/>
      </c>
      <c r="F55" s="12" t="n"/>
      <c r="G55" s="12" t="n"/>
      <c r="H55" s="12" t="n"/>
      <c r="I55" s="12" t="n"/>
      <c r="J55" s="12">
        <f>IF(IFERROR(MATCH(SMALL('Giao việc'!$S$5:$S$3004,13),'Giao việc'!$S$5:$S$3004,0),0)=0,"",INDEX('Giao việc'!$J$5:$J$3004,IFERROR(MATCH(SMALL('Giao việc'!$S$5:$S$3004,13),'Giao việc'!$S$5:$S$3004,0),0))&amp;"")</f>
        <v/>
      </c>
    </row>
    <row r="56" ht="30" customHeight="1">
      <c r="A56" s="12">
        <f>IF(IFERROR(MATCH(SMALL('Giao việc'!$S$5:$S$3004,14),'Giao việc'!$S$5:$S$3004,0),0)=0,"",INDEX('Giao việc'!$E$5:$E$3004,IFERROR(MATCH(SMALL('Giao việc'!$S$5:$S$3004,14),'Giao việc'!$S$5:$S$3004,0),0))&amp;"")</f>
        <v/>
      </c>
      <c r="B56" s="23">
        <f>IF(IFERROR(MATCH(SMALL('Giao việc'!$S$5:$S$3004,14),'Giao việc'!$S$5:$S$3004,0),0)=0,"",INDEX('Giao việc'!$I$5:$I$3004,IFERROR(MATCH(SMALL('Giao việc'!$S$5:$S$3004,14),'Giao việc'!$S$5:$S$3004,0),0)))</f>
        <v/>
      </c>
      <c r="C56" s="12">
        <f>IF(IFERROR(MATCH(SMALL('Giao việc'!$S$5:$S$3004,14),'Giao việc'!$S$5:$S$3004,0),0)=0,"",INDEX('Giao việc'!$M$5:$M$3004,IFERROR(MATCH(SMALL('Giao việc'!$S$5:$S$3004,14),'Giao việc'!$S$5:$S$3004,0),0))&amp;"")</f>
        <v/>
      </c>
      <c r="D56" s="12">
        <f>IF(IFERROR(MATCH(SMALL('Giao việc'!$S$5:$S$3004,14),'Giao việc'!$S$5:$S$3004,0),0)=0,"",INDEX('Giao việc'!$G$5:$G$3004,IFERROR(MATCH(SMALL('Giao việc'!$S$5:$S$3004,14),'Giao việc'!$S$5:$S$3004,0),0))&amp;"")</f>
        <v/>
      </c>
      <c r="E56" s="12">
        <f>IF(IFERROR(MATCH(SMALL('Giao việc'!$S$5:$S$3004,14),'Giao việc'!$S$5:$S$3004,0),0)=0,"",INDEX('Giao việc'!$A$5:$A$3004,IFERROR(MATCH(SMALL('Giao việc'!$S$5:$S$3004,14),'Giao việc'!$S$5:$S$3004,0),0))&amp;"")</f>
        <v/>
      </c>
      <c r="F56" s="12" t="n"/>
      <c r="G56" s="12" t="n"/>
      <c r="H56" s="12" t="n"/>
      <c r="I56" s="12" t="n"/>
      <c r="J56" s="12">
        <f>IF(IFERROR(MATCH(SMALL('Giao việc'!$S$5:$S$3004,14),'Giao việc'!$S$5:$S$3004,0),0)=0,"",INDEX('Giao việc'!$J$5:$J$3004,IFERROR(MATCH(SMALL('Giao việc'!$S$5:$S$3004,14),'Giao việc'!$S$5:$S$3004,0),0))&amp;"")</f>
        <v/>
      </c>
    </row>
    <row r="57" ht="30" customHeight="1">
      <c r="A57" s="12">
        <f>IF(IFERROR(MATCH(SMALL('Giao việc'!$S$5:$S$3004,15),'Giao việc'!$S$5:$S$3004,0),0)=0,"",INDEX('Giao việc'!$E$5:$E$3004,IFERROR(MATCH(SMALL('Giao việc'!$S$5:$S$3004,15),'Giao việc'!$S$5:$S$3004,0),0))&amp;"")</f>
        <v/>
      </c>
      <c r="B57" s="23">
        <f>IF(IFERROR(MATCH(SMALL('Giao việc'!$S$5:$S$3004,15),'Giao việc'!$S$5:$S$3004,0),0)=0,"",INDEX('Giao việc'!$I$5:$I$3004,IFERROR(MATCH(SMALL('Giao việc'!$S$5:$S$3004,15),'Giao việc'!$S$5:$S$3004,0),0)))</f>
        <v/>
      </c>
      <c r="C57" s="12">
        <f>IF(IFERROR(MATCH(SMALL('Giao việc'!$S$5:$S$3004,15),'Giao việc'!$S$5:$S$3004,0),0)=0,"",INDEX('Giao việc'!$M$5:$M$3004,IFERROR(MATCH(SMALL('Giao việc'!$S$5:$S$3004,15),'Giao việc'!$S$5:$S$3004,0),0))&amp;"")</f>
        <v/>
      </c>
      <c r="D57" s="12">
        <f>IF(IFERROR(MATCH(SMALL('Giao việc'!$S$5:$S$3004,15),'Giao việc'!$S$5:$S$3004,0),0)=0,"",INDEX('Giao việc'!$G$5:$G$3004,IFERROR(MATCH(SMALL('Giao việc'!$S$5:$S$3004,15),'Giao việc'!$S$5:$S$3004,0),0))&amp;"")</f>
        <v/>
      </c>
      <c r="E57" s="12">
        <f>IF(IFERROR(MATCH(SMALL('Giao việc'!$S$5:$S$3004,15),'Giao việc'!$S$5:$S$3004,0),0)=0,"",INDEX('Giao việc'!$A$5:$A$3004,IFERROR(MATCH(SMALL('Giao việc'!$S$5:$S$3004,15),'Giao việc'!$S$5:$S$3004,0),0))&amp;"")</f>
        <v/>
      </c>
      <c r="F57" s="12" t="n"/>
      <c r="G57" s="12" t="n"/>
      <c r="H57" s="12" t="n"/>
      <c r="I57" s="12" t="n"/>
      <c r="J57" s="12">
        <f>IF(IFERROR(MATCH(SMALL('Giao việc'!$S$5:$S$3004,15),'Giao việc'!$S$5:$S$3004,0),0)=0,"",INDEX('Giao việc'!$J$5:$J$3004,IFERROR(MATCH(SMALL('Giao việc'!$S$5:$S$3004,15),'Giao việc'!$S$5:$S$3004,0),0))&amp;"")</f>
        <v/>
      </c>
    </row>
  </sheetData>
  <mergeCells count="22">
    <mergeCell ref="E43:I43"/>
    <mergeCell ref="E50:I50"/>
    <mergeCell ref="E55:I55"/>
    <mergeCell ref="E42:I42"/>
    <mergeCell ref="E5:F5"/>
    <mergeCell ref="E52:I52"/>
    <mergeCell ref="E48:I48"/>
    <mergeCell ref="E4:F4"/>
    <mergeCell ref="E44:I44"/>
    <mergeCell ref="E51:I51"/>
    <mergeCell ref="E46:I46"/>
    <mergeCell ref="G5:H5"/>
    <mergeCell ref="E49:I49"/>
    <mergeCell ref="E45:I45"/>
    <mergeCell ref="G4:H4"/>
    <mergeCell ref="E57:I57"/>
    <mergeCell ref="E54:I54"/>
    <mergeCell ref="B5:C5"/>
    <mergeCell ref="E53:I53"/>
    <mergeCell ref="E47:I47"/>
    <mergeCell ref="B4:C4"/>
    <mergeCell ref="E56:I56"/>
  </mergeCells>
  <conditionalFormatting sqref="G9:G20">
    <cfRule type="expression" priority="1" dxfId="0">
      <formula>N(G9)&gt;0</formula>
    </cfRule>
  </conditionalFormatting>
  <conditionalFormatting sqref="H9:H20">
    <cfRule type="expression" priority="2" dxfId="1">
      <formula>N(H9)&gt;0</formula>
    </cfRule>
  </conditionalFormatting>
  <conditionalFormatting sqref="C9:C20">
    <cfRule type="expression" priority="3" dxfId="2">
      <formula>LEFT(C9,3)="Còn"</formula>
    </cfRule>
  </conditionalFormatting>
  <conditionalFormatting sqref="C24:C38">
    <cfRule type="expression" priority="4" dxfId="0">
      <formula>N(C24)&gt;0</formula>
    </cfRule>
  </conditionalFormatting>
  <conditionalFormatting sqref="D24:D38">
    <cfRule type="expression" priority="5" dxfId="1">
      <formula>N(D24)&gt;0</formula>
    </cfRule>
  </conditionalFormatting>
  <conditionalFormatting sqref="F24:F38">
    <cfRule type="expression" priority="6" dxfId="3">
      <formula>N(F24)&gt;0</formula>
    </cfRule>
  </conditionalFormatting>
  <conditionalFormatting sqref="A43:J57">
    <cfRule type="expression" priority="7" dxfId="4">
      <formula>ISNUMBER(SEARCH("QUÁ HẠN",$C43))</formula>
    </cfRule>
    <cfRule type="expression" priority="8" dxfId="5">
      <formula>ISNUMBER(SEARCH("Đến hạn",$C43))</formula>
    </cfRule>
    <cfRule type="expression" priority="9" dxfId="6">
      <formula>$J43="Chờ đối tác"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9B2F"/>
    <outlinePr summaryBelow="1" summaryRight="1"/>
    <pageSetUpPr/>
  </sheetPr>
  <dimension ref="A1:U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22" customWidth="1" min="11" max="11"/>
    <col width="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26" customHeight="1">
      <c r="A1" s="1" t="inlineStr">
        <is>
          <t>ĐIỀU PHỐI 1 SỰ KIỆN</t>
        </is>
      </c>
    </row>
    <row r="2">
      <c r="A2" s="2" t="inlineStr">
        <is>
          <t>Chọn sự kiện ở ô vàng ⇒ toàn cảnh kế hoạch &amp; thực hiện: thẻ tổng · bản đồ tiến độ · từng bên · việc cần theo dõi · nhật ký với đối tác.</t>
        </is>
      </c>
    </row>
    <row r="3" ht="26" customHeight="1">
      <c r="A3" s="24" t="inlineStr">
        <is>
          <t>Chọn sự kiện ▸</t>
        </is>
      </c>
      <c r="B3" s="25" t="inlineStr">
        <is>
          <t>Khoá học nội nha thực hành – Hà Nội (ví dụ)</t>
        </is>
      </c>
      <c r="H3" s="26">
        <f>IFERROR(INDEX(SK_A,MATCH(B3,SK_B,0)),"")</f>
        <v/>
      </c>
    </row>
    <row r="5">
      <c r="A5" s="3" t="inlineStr">
        <is>
          <t>Ngày D</t>
        </is>
      </c>
      <c r="B5" s="3" t="inlineStr">
        <is>
          <t>Thời gian</t>
        </is>
      </c>
      <c r="D5" s="3" t="inlineStr">
        <is>
          <t>Hình thức · địa điểm</t>
        </is>
      </c>
      <c r="F5" s="3" t="inlineStr">
        <is>
          <t>% xong</t>
        </is>
      </c>
      <c r="G5" s="3" t="inlineStr">
        <is>
          <t>Quá hạn</t>
        </is>
      </c>
      <c r="H5" s="3" t="inlineStr">
        <is>
          <t>Đến hạn ≤ 3 ngày</t>
        </is>
      </c>
      <c r="I5" s="3" t="inlineStr">
        <is>
          <t>Chờ đối tác</t>
        </is>
      </c>
      <c r="J5" s="3" t="inlineStr">
        <is>
          <t>Chưa giao</t>
        </is>
      </c>
      <c r="K5" s="3" t="inlineStr">
        <is>
          <t>Owner</t>
        </is>
      </c>
    </row>
    <row r="6" ht="36" customHeight="1">
      <c r="A6" s="27">
        <f>IFERROR(INDEX('Sự kiện'!$C$5:$C$304,MATCH(SEL_K,SK_A,0)),"")</f>
        <v/>
      </c>
      <c r="B6" s="28">
        <f>IFERROR(INDEX('Sự kiện'!$W$5:$W$304,MATCH(SEL_K,SK_A,0)),"")&amp;""</f>
        <v/>
      </c>
      <c r="D6" s="29">
        <f>IFERROR(INDEX('Sự kiện'!$F$5:$F$304,MATCH(SEL_K,SK_A,0)),"")&amp;" · "&amp;IFERROR(INDEX('Sự kiện'!$G$5:$G$304,MATCH(SEL_K,SK_A,0)),"")</f>
        <v/>
      </c>
      <c r="F6" s="30">
        <f>IFERROR(COUNTIFS('Giao việc'!$O$5:$O$3004,SEL_K,'Giao việc'!$J$5:$J$3004,"Xong")/COUNTIFS('Giao việc'!$O$5:$O$3004,SEL_K,'Giao việc'!$J$5:$J$3004,"&lt;&gt;Bỏ qua"),0)</f>
        <v/>
      </c>
      <c r="G6" s="31">
        <f>COUNTIFS('Giao việc'!$O$5:$O$3004,SEL_K,'Giao việc'!$M$5:$M$3004,"*QUÁ HẠN*")</f>
        <v/>
      </c>
      <c r="H6" s="32">
        <f>COUNTIFS('Giao việc'!$O$5:$O$3004,SEL_K,'Giao việc'!$M$5:$M$3004,"*Đến hạn*")</f>
        <v/>
      </c>
      <c r="I6" s="33">
        <f>COUNTIFS('Giao việc'!$O$5:$O$3004,SEL_K,'Giao việc'!$J$5:$J$3004,"Chờ đối tác")</f>
        <v/>
      </c>
      <c r="J6" s="34">
        <f>COUNTIFS('Giao việc'!$O$5:$O$3004,SEL_K,'Giao việc'!$M$5:$M$3004,"*CHƯA GIAO*")</f>
        <v/>
      </c>
      <c r="K6" s="29">
        <f>IFERROR(INDEX('Sự kiện'!$K$5:$K$304,MATCH(SEL_K,SK_A,0)),"")&amp;""</f>
        <v/>
      </c>
    </row>
    <row r="8">
      <c r="A8" s="35" t="inlineStr">
        <is>
          <t>BẢN ĐỒ TIẾN ĐỘ — ô = việc xong / tổng việc (đỏ: có việc quá hạn · vàng: sắp đến hạn · xanh lá: xong hết · cột cam: giai đoạn hiện tại)</t>
        </is>
      </c>
      <c r="N8" t="n">
        <v>-999</v>
      </c>
      <c r="O8" t="n">
        <v>-20</v>
      </c>
      <c r="P8" t="n">
        <v>-10</v>
      </c>
      <c r="Q8" t="n">
        <v>-3</v>
      </c>
      <c r="R8" t="n">
        <v>0</v>
      </c>
      <c r="S8" t="n">
        <v>1</v>
      </c>
      <c r="T8" t="n">
        <v>4</v>
      </c>
      <c r="U8" t="n">
        <v>8</v>
      </c>
    </row>
    <row r="9" ht="30" customHeight="1">
      <c r="A9" s="11" t="inlineStr">
        <is>
          <t>Hạng mục</t>
        </is>
      </c>
      <c r="B9" s="11" t="inlineStr">
        <is>
          <t>≥ 3 tuần trước</t>
        </is>
      </c>
      <c r="C9" s="11" t="inlineStr">
        <is>
          <t>2 – 3 tuần trước</t>
        </is>
      </c>
      <c r="D9" s="11" t="inlineStr">
        <is>
          <t>4 – 10 ngày trước</t>
        </is>
      </c>
      <c r="E9" s="11" t="inlineStr">
        <is>
          <t>3 ngày cuối</t>
        </is>
      </c>
      <c r="F9" s="11" t="inlineStr">
        <is>
          <t>NGÀY D</t>
        </is>
      </c>
      <c r="G9" s="11" t="inlineStr">
        <is>
          <t>D+1 → D+3</t>
        </is>
      </c>
      <c r="H9" s="11" t="inlineStr">
        <is>
          <t>D+4 → D+7</t>
        </is>
      </c>
      <c r="I9" s="11" t="inlineStr">
        <is>
          <t>Follow-up</t>
        </is>
      </c>
      <c r="J9" s="11" t="inlineStr">
        <is>
          <t>Tổng</t>
        </is>
      </c>
      <c r="K9" s="11" t="inlineStr">
        <is>
          <t>Tiến độ</t>
        </is>
      </c>
      <c r="N9" t="n">
        <v>-21</v>
      </c>
      <c r="O9" t="n">
        <v>-11</v>
      </c>
      <c r="P9" t="n">
        <v>-4</v>
      </c>
      <c r="Q9" t="n">
        <v>-1</v>
      </c>
      <c r="R9" t="n">
        <v>0</v>
      </c>
      <c r="S9" t="n">
        <v>3</v>
      </c>
      <c r="T9" t="n">
        <v>7</v>
      </c>
      <c r="U9" t="n">
        <v>999</v>
      </c>
    </row>
    <row r="10" ht="20" customHeight="1">
      <c r="A10" s="17" t="inlineStr">
        <is>
          <t>1. Kế hoạch</t>
        </is>
      </c>
      <c r="B10" s="36">
        <f>IF(COUNTIFS('Giao việc'!$O$5:$O$3004,SEL_K,'Giao việc'!$D$5:$D$3004,$A10,'Giao việc'!$Q$5:$Q$3004,"&gt;="&amp;N$8,'Giao việc'!$Q$5:$Q$3004,"&lt;="&amp;N$9,'Giao việc'!$J$5:$J$3004,"&lt;&gt;Bỏ qua")=0,"",COUNTIFS('Giao việc'!$O$5:$O$3004,SEL_K,'Giao việc'!$D$5:$D$3004,$A10,'Giao việc'!$Q$5:$Q$3004,"&gt;="&amp;N$8,'Giao việc'!$Q$5:$Q$3004,"&lt;="&amp;N$9,'Giao việc'!$J$5:$J$3004,"Xong")&amp;" / "&amp;COUNTIFS('Giao việc'!$O$5:$O$3004,SEL_K,'Giao việc'!$D$5:$D$3004,$A10,'Giao việc'!$Q$5:$Q$3004,"&gt;="&amp;N$8,'Giao việc'!$Q$5:$Q$3004,"&lt;="&amp;N$9,'Giao việc'!$J$5:$J$3004,"&lt;&gt;Bỏ qua"))</f>
        <v/>
      </c>
      <c r="C10" s="36">
        <f>IF(COUNTIFS('Giao việc'!$O$5:$O$3004,SEL_K,'Giao việc'!$D$5:$D$3004,$A10,'Giao việc'!$Q$5:$Q$3004,"&gt;="&amp;O$8,'Giao việc'!$Q$5:$Q$3004,"&lt;="&amp;O$9,'Giao việc'!$J$5:$J$3004,"&lt;&gt;Bỏ qua")=0,"",COUNTIFS('Giao việc'!$O$5:$O$3004,SEL_K,'Giao việc'!$D$5:$D$3004,$A10,'Giao việc'!$Q$5:$Q$3004,"&gt;="&amp;O$8,'Giao việc'!$Q$5:$Q$3004,"&lt;="&amp;O$9,'Giao việc'!$J$5:$J$3004,"Xong")&amp;" / "&amp;COUNTIFS('Giao việc'!$O$5:$O$3004,SEL_K,'Giao việc'!$D$5:$D$3004,$A10,'Giao việc'!$Q$5:$Q$3004,"&gt;="&amp;O$8,'Giao việc'!$Q$5:$Q$3004,"&lt;="&amp;O$9,'Giao việc'!$J$5:$J$3004,"&lt;&gt;Bỏ qua"))</f>
        <v/>
      </c>
      <c r="D10" s="36">
        <f>IF(COUNTIFS('Giao việc'!$O$5:$O$3004,SEL_K,'Giao việc'!$D$5:$D$3004,$A10,'Giao việc'!$Q$5:$Q$3004,"&gt;="&amp;P$8,'Giao việc'!$Q$5:$Q$3004,"&lt;="&amp;P$9,'Giao việc'!$J$5:$J$3004,"&lt;&gt;Bỏ qua")=0,"",COUNTIFS('Giao việc'!$O$5:$O$3004,SEL_K,'Giao việc'!$D$5:$D$3004,$A10,'Giao việc'!$Q$5:$Q$3004,"&gt;="&amp;P$8,'Giao việc'!$Q$5:$Q$3004,"&lt;="&amp;P$9,'Giao việc'!$J$5:$J$3004,"Xong")&amp;" / "&amp;COUNTIFS('Giao việc'!$O$5:$O$3004,SEL_K,'Giao việc'!$D$5:$D$3004,$A10,'Giao việc'!$Q$5:$Q$3004,"&gt;="&amp;P$8,'Giao việc'!$Q$5:$Q$3004,"&lt;="&amp;P$9,'Giao việc'!$J$5:$J$3004,"&lt;&gt;Bỏ qua"))</f>
        <v/>
      </c>
      <c r="E10" s="36">
        <f>IF(COUNTIFS('Giao việc'!$O$5:$O$3004,SEL_K,'Giao việc'!$D$5:$D$3004,$A10,'Giao việc'!$Q$5:$Q$3004,"&gt;="&amp;Q$8,'Giao việc'!$Q$5:$Q$3004,"&lt;="&amp;Q$9,'Giao việc'!$J$5:$J$3004,"&lt;&gt;Bỏ qua")=0,"",COUNTIFS('Giao việc'!$O$5:$O$3004,SEL_K,'Giao việc'!$D$5:$D$3004,$A10,'Giao việc'!$Q$5:$Q$3004,"&gt;="&amp;Q$8,'Giao việc'!$Q$5:$Q$3004,"&lt;="&amp;Q$9,'Giao việc'!$J$5:$J$3004,"Xong")&amp;" / "&amp;COUNTIFS('Giao việc'!$O$5:$O$3004,SEL_K,'Giao việc'!$D$5:$D$3004,$A10,'Giao việc'!$Q$5:$Q$3004,"&gt;="&amp;Q$8,'Giao việc'!$Q$5:$Q$3004,"&lt;="&amp;Q$9,'Giao việc'!$J$5:$J$3004,"&lt;&gt;Bỏ qua"))</f>
        <v/>
      </c>
      <c r="F10" s="36">
        <f>IF(COUNTIFS('Giao việc'!$O$5:$O$3004,SEL_K,'Giao việc'!$D$5:$D$3004,$A10,'Giao việc'!$Q$5:$Q$3004,"&gt;="&amp;R$8,'Giao việc'!$Q$5:$Q$3004,"&lt;="&amp;R$9,'Giao việc'!$J$5:$J$3004,"&lt;&gt;Bỏ qua")=0,"",COUNTIFS('Giao việc'!$O$5:$O$3004,SEL_K,'Giao việc'!$D$5:$D$3004,$A10,'Giao việc'!$Q$5:$Q$3004,"&gt;="&amp;R$8,'Giao việc'!$Q$5:$Q$3004,"&lt;="&amp;R$9,'Giao việc'!$J$5:$J$3004,"Xong")&amp;" / "&amp;COUNTIFS('Giao việc'!$O$5:$O$3004,SEL_K,'Giao việc'!$D$5:$D$3004,$A10,'Giao việc'!$Q$5:$Q$3004,"&gt;="&amp;R$8,'Giao việc'!$Q$5:$Q$3004,"&lt;="&amp;R$9,'Giao việc'!$J$5:$J$3004,"&lt;&gt;Bỏ qua"))</f>
        <v/>
      </c>
      <c r="G10" s="36">
        <f>IF(COUNTIFS('Giao việc'!$O$5:$O$3004,SEL_K,'Giao việc'!$D$5:$D$3004,$A10,'Giao việc'!$Q$5:$Q$3004,"&gt;="&amp;S$8,'Giao việc'!$Q$5:$Q$3004,"&lt;="&amp;S$9,'Giao việc'!$J$5:$J$3004,"&lt;&gt;Bỏ qua")=0,"",COUNTIFS('Giao việc'!$O$5:$O$3004,SEL_K,'Giao việc'!$D$5:$D$3004,$A10,'Giao việc'!$Q$5:$Q$3004,"&gt;="&amp;S$8,'Giao việc'!$Q$5:$Q$3004,"&lt;="&amp;S$9,'Giao việc'!$J$5:$J$3004,"Xong")&amp;" / "&amp;COUNTIFS('Giao việc'!$O$5:$O$3004,SEL_K,'Giao việc'!$D$5:$D$3004,$A10,'Giao việc'!$Q$5:$Q$3004,"&gt;="&amp;S$8,'Giao việc'!$Q$5:$Q$3004,"&lt;="&amp;S$9,'Giao việc'!$J$5:$J$3004,"&lt;&gt;Bỏ qua"))</f>
        <v/>
      </c>
      <c r="H10" s="36">
        <f>IF(COUNTIFS('Giao việc'!$O$5:$O$3004,SEL_K,'Giao việc'!$D$5:$D$3004,$A10,'Giao việc'!$Q$5:$Q$3004,"&gt;="&amp;T$8,'Giao việc'!$Q$5:$Q$3004,"&lt;="&amp;T$9,'Giao việc'!$J$5:$J$3004,"&lt;&gt;Bỏ qua")=0,"",COUNTIFS('Giao việc'!$O$5:$O$3004,SEL_K,'Giao việc'!$D$5:$D$3004,$A10,'Giao việc'!$Q$5:$Q$3004,"&gt;="&amp;T$8,'Giao việc'!$Q$5:$Q$3004,"&lt;="&amp;T$9,'Giao việc'!$J$5:$J$3004,"Xong")&amp;" / "&amp;COUNTIFS('Giao việc'!$O$5:$O$3004,SEL_K,'Giao việc'!$D$5:$D$3004,$A10,'Giao việc'!$Q$5:$Q$3004,"&gt;="&amp;T$8,'Giao việc'!$Q$5:$Q$3004,"&lt;="&amp;T$9,'Giao việc'!$J$5:$J$3004,"&lt;&gt;Bỏ qua"))</f>
        <v/>
      </c>
      <c r="I10" s="36">
        <f>IF(COUNTIFS('Giao việc'!$O$5:$O$3004,SEL_K,'Giao việc'!$D$5:$D$3004,$A10,'Giao việc'!$Q$5:$Q$3004,"&gt;="&amp;U$8,'Giao việc'!$Q$5:$Q$3004,"&lt;="&amp;U$9,'Giao việc'!$J$5:$J$3004,"&lt;&gt;Bỏ qua")=0,"",COUNTIFS('Giao việc'!$O$5:$O$3004,SEL_K,'Giao việc'!$D$5:$D$3004,$A10,'Giao việc'!$Q$5:$Q$3004,"&gt;="&amp;U$8,'Giao việc'!$Q$5:$Q$3004,"&lt;="&amp;U$9,'Giao việc'!$J$5:$J$3004,"Xong")&amp;" / "&amp;COUNTIFS('Giao việc'!$O$5:$O$3004,SEL_K,'Giao việc'!$D$5:$D$3004,$A10,'Giao việc'!$Q$5:$Q$3004,"&gt;="&amp;U$8,'Giao việc'!$Q$5:$Q$3004,"&lt;="&amp;U$9,'Giao việc'!$J$5:$J$3004,"&lt;&gt;Bỏ qua"))</f>
        <v/>
      </c>
      <c r="J10" s="37">
        <f>IF(COUNTIFS('Giao việc'!$O$5:$O$3004,SEL_K,'Giao việc'!$D$5:$D$3004,$A10,'Giao việc'!$J$5:$J$3004,"&lt;&gt;Bỏ qua")=0,"",COUNTIFS('Giao việc'!$O$5:$O$3004,SEL_K,'Giao việc'!$D$5:$D$3004,$A10,'Giao việc'!$J$5:$J$3004,"Xong")&amp;" / "&amp;COUNTIFS('Giao việc'!$O$5:$O$3004,SEL_K,'Giao việc'!$D$5:$D$3004,$A10,'Giao việc'!$J$5:$J$3004,"&lt;&gt;Bỏ qua"))</f>
        <v/>
      </c>
      <c r="K10" s="19">
        <f>IF(COUNTIFS('Giao việc'!$O$5:$O$3004,SEL_K,'Giao việc'!$D$5:$D$3004,$A10,'Giao việc'!$J$5:$J$3004,"&lt;&gt;Bỏ qua")=0,"",REPT("█",ROUND(COUNTIFS('Giao việc'!$O$5:$O$3004,SEL_K,'Giao việc'!$D$5:$D$3004,$A10,'Giao việc'!$J$5:$J$3004,"Xong")/COUNTIFS('Giao việc'!$O$5:$O$3004,SEL_K,'Giao việc'!$D$5:$D$3004,$A10,'Giao việc'!$J$5:$J$3004,"&lt;&gt;Bỏ qua")*10,0))&amp;REPT("░",10-ROUND(COUNTIFS('Giao việc'!$O$5:$O$3004,SEL_K,'Giao việc'!$D$5:$D$3004,$A10,'Giao việc'!$J$5:$J$3004,"Xong")/COUNTIFS('Giao việc'!$O$5:$O$3004,SEL_K,'Giao việc'!$D$5:$D$3004,$A10,'Giao việc'!$J$5:$J$3004,"&lt;&gt;Bỏ qua")*10,0)))</f>
        <v/>
      </c>
      <c r="N10">
        <f>IF(COUNTIFS('Giao việc'!$O$5:$O$3004,SEL_K,'Giao việc'!$D$5:$D$3004,$A10,'Giao việc'!$Q$5:$Q$3004,"&gt;="&amp;N$8,'Giao việc'!$Q$5:$Q$3004,"&lt;="&amp;N$9,'Giao việc'!$J$5:$J$3004,"&lt;&gt;Bỏ qua")=0,0,IF(COUNTIFS('Giao việc'!$O$5:$O$3004,SEL_K,'Giao việc'!$D$5:$D$3004,$A10,'Giao việc'!$Q$5:$Q$3004,"&gt;="&amp;N$8,'Giao việc'!$Q$5:$Q$3004,"&lt;="&amp;N$9,'Giao việc'!$J$5:$J$3004,"Xong")=COUNTIFS('Giao việc'!$O$5:$O$3004,SEL_K,'Giao việc'!$D$5:$D$3004,$A10,'Giao việc'!$Q$5:$Q$3004,"&gt;="&amp;N$8,'Giao việc'!$Q$5:$Q$3004,"&lt;="&amp;N$9,'Giao việc'!$J$5:$J$3004,"&lt;&gt;Bỏ qua"),1,IF(COUNTIFS('Giao việc'!$O$5:$O$3004,SEL_K,'Giao việc'!$D$5:$D$3004,$A10,'Giao việc'!$Q$5:$Q$3004,"&gt;="&amp;N$8,'Giao việc'!$Q$5:$Q$3004,"&lt;="&amp;N$9,'Giao việc'!$M$5:$M$3004,"*QUÁ HẠN*")&gt;0,4,IF(COUNTIFS('Giao việc'!$O$5:$O$3004,SEL_K,'Giao việc'!$D$5:$D$3004,$A10,'Giao việc'!$Q$5:$Q$3004,"&gt;="&amp;N$8,'Giao việc'!$Q$5:$Q$3004,"&lt;="&amp;N$9,'Giao việc'!$M$5:$M$3004,"*Đến hạn*")&gt;0,3,2))))</f>
        <v/>
      </c>
      <c r="O10">
        <f>IF(COUNTIFS('Giao việc'!$O$5:$O$3004,SEL_K,'Giao việc'!$D$5:$D$3004,$A10,'Giao việc'!$Q$5:$Q$3004,"&gt;="&amp;O$8,'Giao việc'!$Q$5:$Q$3004,"&lt;="&amp;O$9,'Giao việc'!$J$5:$J$3004,"&lt;&gt;Bỏ qua")=0,0,IF(COUNTIFS('Giao việc'!$O$5:$O$3004,SEL_K,'Giao việc'!$D$5:$D$3004,$A10,'Giao việc'!$Q$5:$Q$3004,"&gt;="&amp;O$8,'Giao việc'!$Q$5:$Q$3004,"&lt;="&amp;O$9,'Giao việc'!$J$5:$J$3004,"Xong")=COUNTIFS('Giao việc'!$O$5:$O$3004,SEL_K,'Giao việc'!$D$5:$D$3004,$A10,'Giao việc'!$Q$5:$Q$3004,"&gt;="&amp;O$8,'Giao việc'!$Q$5:$Q$3004,"&lt;="&amp;O$9,'Giao việc'!$J$5:$J$3004,"&lt;&gt;Bỏ qua"),1,IF(COUNTIFS('Giao việc'!$O$5:$O$3004,SEL_K,'Giao việc'!$D$5:$D$3004,$A10,'Giao việc'!$Q$5:$Q$3004,"&gt;="&amp;O$8,'Giao việc'!$Q$5:$Q$3004,"&lt;="&amp;O$9,'Giao việc'!$M$5:$M$3004,"*QUÁ HẠN*")&gt;0,4,IF(COUNTIFS('Giao việc'!$O$5:$O$3004,SEL_K,'Giao việc'!$D$5:$D$3004,$A10,'Giao việc'!$Q$5:$Q$3004,"&gt;="&amp;O$8,'Giao việc'!$Q$5:$Q$3004,"&lt;="&amp;O$9,'Giao việc'!$M$5:$M$3004,"*Đến hạn*")&gt;0,3,2))))</f>
        <v/>
      </c>
      <c r="P10">
        <f>IF(COUNTIFS('Giao việc'!$O$5:$O$3004,SEL_K,'Giao việc'!$D$5:$D$3004,$A10,'Giao việc'!$Q$5:$Q$3004,"&gt;="&amp;P$8,'Giao việc'!$Q$5:$Q$3004,"&lt;="&amp;P$9,'Giao việc'!$J$5:$J$3004,"&lt;&gt;Bỏ qua")=0,0,IF(COUNTIFS('Giao việc'!$O$5:$O$3004,SEL_K,'Giao việc'!$D$5:$D$3004,$A10,'Giao việc'!$Q$5:$Q$3004,"&gt;="&amp;P$8,'Giao việc'!$Q$5:$Q$3004,"&lt;="&amp;P$9,'Giao việc'!$J$5:$J$3004,"Xong")=COUNTIFS('Giao việc'!$O$5:$O$3004,SEL_K,'Giao việc'!$D$5:$D$3004,$A10,'Giao việc'!$Q$5:$Q$3004,"&gt;="&amp;P$8,'Giao việc'!$Q$5:$Q$3004,"&lt;="&amp;P$9,'Giao việc'!$J$5:$J$3004,"&lt;&gt;Bỏ qua"),1,IF(COUNTIFS('Giao việc'!$O$5:$O$3004,SEL_K,'Giao việc'!$D$5:$D$3004,$A10,'Giao việc'!$Q$5:$Q$3004,"&gt;="&amp;P$8,'Giao việc'!$Q$5:$Q$3004,"&lt;="&amp;P$9,'Giao việc'!$M$5:$M$3004,"*QUÁ HẠN*")&gt;0,4,IF(COUNTIFS('Giao việc'!$O$5:$O$3004,SEL_K,'Giao việc'!$D$5:$D$3004,$A10,'Giao việc'!$Q$5:$Q$3004,"&gt;="&amp;P$8,'Giao việc'!$Q$5:$Q$3004,"&lt;="&amp;P$9,'Giao việc'!$M$5:$M$3004,"*Đến hạn*")&gt;0,3,2))))</f>
        <v/>
      </c>
      <c r="Q10">
        <f>IF(COUNTIFS('Giao việc'!$O$5:$O$3004,SEL_K,'Giao việc'!$D$5:$D$3004,$A10,'Giao việc'!$Q$5:$Q$3004,"&gt;="&amp;Q$8,'Giao việc'!$Q$5:$Q$3004,"&lt;="&amp;Q$9,'Giao việc'!$J$5:$J$3004,"&lt;&gt;Bỏ qua")=0,0,IF(COUNTIFS('Giao việc'!$O$5:$O$3004,SEL_K,'Giao việc'!$D$5:$D$3004,$A10,'Giao việc'!$Q$5:$Q$3004,"&gt;="&amp;Q$8,'Giao việc'!$Q$5:$Q$3004,"&lt;="&amp;Q$9,'Giao việc'!$J$5:$J$3004,"Xong")=COUNTIFS('Giao việc'!$O$5:$O$3004,SEL_K,'Giao việc'!$D$5:$D$3004,$A10,'Giao việc'!$Q$5:$Q$3004,"&gt;="&amp;Q$8,'Giao việc'!$Q$5:$Q$3004,"&lt;="&amp;Q$9,'Giao việc'!$J$5:$J$3004,"&lt;&gt;Bỏ qua"),1,IF(COUNTIFS('Giao việc'!$O$5:$O$3004,SEL_K,'Giao việc'!$D$5:$D$3004,$A10,'Giao việc'!$Q$5:$Q$3004,"&gt;="&amp;Q$8,'Giao việc'!$Q$5:$Q$3004,"&lt;="&amp;Q$9,'Giao việc'!$M$5:$M$3004,"*QUÁ HẠN*")&gt;0,4,IF(COUNTIFS('Giao việc'!$O$5:$O$3004,SEL_K,'Giao việc'!$D$5:$D$3004,$A10,'Giao việc'!$Q$5:$Q$3004,"&gt;="&amp;Q$8,'Giao việc'!$Q$5:$Q$3004,"&lt;="&amp;Q$9,'Giao việc'!$M$5:$M$3004,"*Đến hạn*")&gt;0,3,2))))</f>
        <v/>
      </c>
      <c r="R10">
        <f>IF(COUNTIFS('Giao việc'!$O$5:$O$3004,SEL_K,'Giao việc'!$D$5:$D$3004,$A10,'Giao việc'!$Q$5:$Q$3004,"&gt;="&amp;R$8,'Giao việc'!$Q$5:$Q$3004,"&lt;="&amp;R$9,'Giao việc'!$J$5:$J$3004,"&lt;&gt;Bỏ qua")=0,0,IF(COUNTIFS('Giao việc'!$O$5:$O$3004,SEL_K,'Giao việc'!$D$5:$D$3004,$A10,'Giao việc'!$Q$5:$Q$3004,"&gt;="&amp;R$8,'Giao việc'!$Q$5:$Q$3004,"&lt;="&amp;R$9,'Giao việc'!$J$5:$J$3004,"Xong")=COUNTIFS('Giao việc'!$O$5:$O$3004,SEL_K,'Giao việc'!$D$5:$D$3004,$A10,'Giao việc'!$Q$5:$Q$3004,"&gt;="&amp;R$8,'Giao việc'!$Q$5:$Q$3004,"&lt;="&amp;R$9,'Giao việc'!$J$5:$J$3004,"&lt;&gt;Bỏ qua"),1,IF(COUNTIFS('Giao việc'!$O$5:$O$3004,SEL_K,'Giao việc'!$D$5:$D$3004,$A10,'Giao việc'!$Q$5:$Q$3004,"&gt;="&amp;R$8,'Giao việc'!$Q$5:$Q$3004,"&lt;="&amp;R$9,'Giao việc'!$M$5:$M$3004,"*QUÁ HẠN*")&gt;0,4,IF(COUNTIFS('Giao việc'!$O$5:$O$3004,SEL_K,'Giao việc'!$D$5:$D$3004,$A10,'Giao việc'!$Q$5:$Q$3004,"&gt;="&amp;R$8,'Giao việc'!$Q$5:$Q$3004,"&lt;="&amp;R$9,'Giao việc'!$M$5:$M$3004,"*Đến hạn*")&gt;0,3,2))))</f>
        <v/>
      </c>
      <c r="S10">
        <f>IF(COUNTIFS('Giao việc'!$O$5:$O$3004,SEL_K,'Giao việc'!$D$5:$D$3004,$A10,'Giao việc'!$Q$5:$Q$3004,"&gt;="&amp;S$8,'Giao việc'!$Q$5:$Q$3004,"&lt;="&amp;S$9,'Giao việc'!$J$5:$J$3004,"&lt;&gt;Bỏ qua")=0,0,IF(COUNTIFS('Giao việc'!$O$5:$O$3004,SEL_K,'Giao việc'!$D$5:$D$3004,$A10,'Giao việc'!$Q$5:$Q$3004,"&gt;="&amp;S$8,'Giao việc'!$Q$5:$Q$3004,"&lt;="&amp;S$9,'Giao việc'!$J$5:$J$3004,"Xong")=COUNTIFS('Giao việc'!$O$5:$O$3004,SEL_K,'Giao việc'!$D$5:$D$3004,$A10,'Giao việc'!$Q$5:$Q$3004,"&gt;="&amp;S$8,'Giao việc'!$Q$5:$Q$3004,"&lt;="&amp;S$9,'Giao việc'!$J$5:$J$3004,"&lt;&gt;Bỏ qua"),1,IF(COUNTIFS('Giao việc'!$O$5:$O$3004,SEL_K,'Giao việc'!$D$5:$D$3004,$A10,'Giao việc'!$Q$5:$Q$3004,"&gt;="&amp;S$8,'Giao việc'!$Q$5:$Q$3004,"&lt;="&amp;S$9,'Giao việc'!$M$5:$M$3004,"*QUÁ HẠN*")&gt;0,4,IF(COUNTIFS('Giao việc'!$O$5:$O$3004,SEL_K,'Giao việc'!$D$5:$D$3004,$A10,'Giao việc'!$Q$5:$Q$3004,"&gt;="&amp;S$8,'Giao việc'!$Q$5:$Q$3004,"&lt;="&amp;S$9,'Giao việc'!$M$5:$M$3004,"*Đến hạn*")&gt;0,3,2))))</f>
        <v/>
      </c>
      <c r="T10">
        <f>IF(COUNTIFS('Giao việc'!$O$5:$O$3004,SEL_K,'Giao việc'!$D$5:$D$3004,$A10,'Giao việc'!$Q$5:$Q$3004,"&gt;="&amp;T$8,'Giao việc'!$Q$5:$Q$3004,"&lt;="&amp;T$9,'Giao việc'!$J$5:$J$3004,"&lt;&gt;Bỏ qua")=0,0,IF(COUNTIFS('Giao việc'!$O$5:$O$3004,SEL_K,'Giao việc'!$D$5:$D$3004,$A10,'Giao việc'!$Q$5:$Q$3004,"&gt;="&amp;T$8,'Giao việc'!$Q$5:$Q$3004,"&lt;="&amp;T$9,'Giao việc'!$J$5:$J$3004,"Xong")=COUNTIFS('Giao việc'!$O$5:$O$3004,SEL_K,'Giao việc'!$D$5:$D$3004,$A10,'Giao việc'!$Q$5:$Q$3004,"&gt;="&amp;T$8,'Giao việc'!$Q$5:$Q$3004,"&lt;="&amp;T$9,'Giao việc'!$J$5:$J$3004,"&lt;&gt;Bỏ qua"),1,IF(COUNTIFS('Giao việc'!$O$5:$O$3004,SEL_K,'Giao việc'!$D$5:$D$3004,$A10,'Giao việc'!$Q$5:$Q$3004,"&gt;="&amp;T$8,'Giao việc'!$Q$5:$Q$3004,"&lt;="&amp;T$9,'Giao việc'!$M$5:$M$3004,"*QUÁ HẠN*")&gt;0,4,IF(COUNTIFS('Giao việc'!$O$5:$O$3004,SEL_K,'Giao việc'!$D$5:$D$3004,$A10,'Giao việc'!$Q$5:$Q$3004,"&gt;="&amp;T$8,'Giao việc'!$Q$5:$Q$3004,"&lt;="&amp;T$9,'Giao việc'!$M$5:$M$3004,"*Đến hạn*")&gt;0,3,2))))</f>
        <v/>
      </c>
      <c r="U10">
        <f>IF(COUNTIFS('Giao việc'!$O$5:$O$3004,SEL_K,'Giao việc'!$D$5:$D$3004,$A10,'Giao việc'!$Q$5:$Q$3004,"&gt;="&amp;U$8,'Giao việc'!$Q$5:$Q$3004,"&lt;="&amp;U$9,'Giao việc'!$J$5:$J$3004,"&lt;&gt;Bỏ qua")=0,0,IF(COUNTIFS('Giao việc'!$O$5:$O$3004,SEL_K,'Giao việc'!$D$5:$D$3004,$A10,'Giao việc'!$Q$5:$Q$3004,"&gt;="&amp;U$8,'Giao việc'!$Q$5:$Q$3004,"&lt;="&amp;U$9,'Giao việc'!$J$5:$J$3004,"Xong")=COUNTIFS('Giao việc'!$O$5:$O$3004,SEL_K,'Giao việc'!$D$5:$D$3004,$A10,'Giao việc'!$Q$5:$Q$3004,"&gt;="&amp;U$8,'Giao việc'!$Q$5:$Q$3004,"&lt;="&amp;U$9,'Giao việc'!$J$5:$J$3004,"&lt;&gt;Bỏ qua"),1,IF(COUNTIFS('Giao việc'!$O$5:$O$3004,SEL_K,'Giao việc'!$D$5:$D$3004,$A10,'Giao việc'!$Q$5:$Q$3004,"&gt;="&amp;U$8,'Giao việc'!$Q$5:$Q$3004,"&lt;="&amp;U$9,'Giao việc'!$M$5:$M$3004,"*QUÁ HẠN*")&gt;0,4,IF(COUNTIFS('Giao việc'!$O$5:$O$3004,SEL_K,'Giao việc'!$D$5:$D$3004,$A10,'Giao việc'!$Q$5:$Q$3004,"&gt;="&amp;U$8,'Giao việc'!$Q$5:$Q$3004,"&lt;="&amp;U$9,'Giao việc'!$M$5:$M$3004,"*Đến hạn*")&gt;0,3,2))))</f>
        <v/>
      </c>
    </row>
    <row r="11" ht="20" customHeight="1">
      <c r="A11" s="17" t="inlineStr">
        <is>
          <t>2. KOL &amp; đối tác</t>
        </is>
      </c>
      <c r="B11" s="36">
        <f>IF(COUNTIFS('Giao việc'!$O$5:$O$3004,SEL_K,'Giao việc'!$D$5:$D$3004,$A11,'Giao việc'!$Q$5:$Q$3004,"&gt;="&amp;N$8,'Giao việc'!$Q$5:$Q$3004,"&lt;="&amp;N$9,'Giao việc'!$J$5:$J$3004,"&lt;&gt;Bỏ qua")=0,"",COUNTIFS('Giao việc'!$O$5:$O$3004,SEL_K,'Giao việc'!$D$5:$D$3004,$A11,'Giao việc'!$Q$5:$Q$3004,"&gt;="&amp;N$8,'Giao việc'!$Q$5:$Q$3004,"&lt;="&amp;N$9,'Giao việc'!$J$5:$J$3004,"Xong")&amp;" / "&amp;COUNTIFS('Giao việc'!$O$5:$O$3004,SEL_K,'Giao việc'!$D$5:$D$3004,$A11,'Giao việc'!$Q$5:$Q$3004,"&gt;="&amp;N$8,'Giao việc'!$Q$5:$Q$3004,"&lt;="&amp;N$9,'Giao việc'!$J$5:$J$3004,"&lt;&gt;Bỏ qua"))</f>
        <v/>
      </c>
      <c r="C11" s="36">
        <f>IF(COUNTIFS('Giao việc'!$O$5:$O$3004,SEL_K,'Giao việc'!$D$5:$D$3004,$A11,'Giao việc'!$Q$5:$Q$3004,"&gt;="&amp;O$8,'Giao việc'!$Q$5:$Q$3004,"&lt;="&amp;O$9,'Giao việc'!$J$5:$J$3004,"&lt;&gt;Bỏ qua")=0,"",COUNTIFS('Giao việc'!$O$5:$O$3004,SEL_K,'Giao việc'!$D$5:$D$3004,$A11,'Giao việc'!$Q$5:$Q$3004,"&gt;="&amp;O$8,'Giao việc'!$Q$5:$Q$3004,"&lt;="&amp;O$9,'Giao việc'!$J$5:$J$3004,"Xong")&amp;" / "&amp;COUNTIFS('Giao việc'!$O$5:$O$3004,SEL_K,'Giao việc'!$D$5:$D$3004,$A11,'Giao việc'!$Q$5:$Q$3004,"&gt;="&amp;O$8,'Giao việc'!$Q$5:$Q$3004,"&lt;="&amp;O$9,'Giao việc'!$J$5:$J$3004,"&lt;&gt;Bỏ qua"))</f>
        <v/>
      </c>
      <c r="D11" s="36">
        <f>IF(COUNTIFS('Giao việc'!$O$5:$O$3004,SEL_K,'Giao việc'!$D$5:$D$3004,$A11,'Giao việc'!$Q$5:$Q$3004,"&gt;="&amp;P$8,'Giao việc'!$Q$5:$Q$3004,"&lt;="&amp;P$9,'Giao việc'!$J$5:$J$3004,"&lt;&gt;Bỏ qua")=0,"",COUNTIFS('Giao việc'!$O$5:$O$3004,SEL_K,'Giao việc'!$D$5:$D$3004,$A11,'Giao việc'!$Q$5:$Q$3004,"&gt;="&amp;P$8,'Giao việc'!$Q$5:$Q$3004,"&lt;="&amp;P$9,'Giao việc'!$J$5:$J$3004,"Xong")&amp;" / "&amp;COUNTIFS('Giao việc'!$O$5:$O$3004,SEL_K,'Giao việc'!$D$5:$D$3004,$A11,'Giao việc'!$Q$5:$Q$3004,"&gt;="&amp;P$8,'Giao việc'!$Q$5:$Q$3004,"&lt;="&amp;P$9,'Giao việc'!$J$5:$J$3004,"&lt;&gt;Bỏ qua"))</f>
        <v/>
      </c>
      <c r="E11" s="36">
        <f>IF(COUNTIFS('Giao việc'!$O$5:$O$3004,SEL_K,'Giao việc'!$D$5:$D$3004,$A11,'Giao việc'!$Q$5:$Q$3004,"&gt;="&amp;Q$8,'Giao việc'!$Q$5:$Q$3004,"&lt;="&amp;Q$9,'Giao việc'!$J$5:$J$3004,"&lt;&gt;Bỏ qua")=0,"",COUNTIFS('Giao việc'!$O$5:$O$3004,SEL_K,'Giao việc'!$D$5:$D$3004,$A11,'Giao việc'!$Q$5:$Q$3004,"&gt;="&amp;Q$8,'Giao việc'!$Q$5:$Q$3004,"&lt;="&amp;Q$9,'Giao việc'!$J$5:$J$3004,"Xong")&amp;" / "&amp;COUNTIFS('Giao việc'!$O$5:$O$3004,SEL_K,'Giao việc'!$D$5:$D$3004,$A11,'Giao việc'!$Q$5:$Q$3004,"&gt;="&amp;Q$8,'Giao việc'!$Q$5:$Q$3004,"&lt;="&amp;Q$9,'Giao việc'!$J$5:$J$3004,"&lt;&gt;Bỏ qua"))</f>
        <v/>
      </c>
      <c r="F11" s="36">
        <f>IF(COUNTIFS('Giao việc'!$O$5:$O$3004,SEL_K,'Giao việc'!$D$5:$D$3004,$A11,'Giao việc'!$Q$5:$Q$3004,"&gt;="&amp;R$8,'Giao việc'!$Q$5:$Q$3004,"&lt;="&amp;R$9,'Giao việc'!$J$5:$J$3004,"&lt;&gt;Bỏ qua")=0,"",COUNTIFS('Giao việc'!$O$5:$O$3004,SEL_K,'Giao việc'!$D$5:$D$3004,$A11,'Giao việc'!$Q$5:$Q$3004,"&gt;="&amp;R$8,'Giao việc'!$Q$5:$Q$3004,"&lt;="&amp;R$9,'Giao việc'!$J$5:$J$3004,"Xong")&amp;" / "&amp;COUNTIFS('Giao việc'!$O$5:$O$3004,SEL_K,'Giao việc'!$D$5:$D$3004,$A11,'Giao việc'!$Q$5:$Q$3004,"&gt;="&amp;R$8,'Giao việc'!$Q$5:$Q$3004,"&lt;="&amp;R$9,'Giao việc'!$J$5:$J$3004,"&lt;&gt;Bỏ qua"))</f>
        <v/>
      </c>
      <c r="G11" s="36">
        <f>IF(COUNTIFS('Giao việc'!$O$5:$O$3004,SEL_K,'Giao việc'!$D$5:$D$3004,$A11,'Giao việc'!$Q$5:$Q$3004,"&gt;="&amp;S$8,'Giao việc'!$Q$5:$Q$3004,"&lt;="&amp;S$9,'Giao việc'!$J$5:$J$3004,"&lt;&gt;Bỏ qua")=0,"",COUNTIFS('Giao việc'!$O$5:$O$3004,SEL_K,'Giao việc'!$D$5:$D$3004,$A11,'Giao việc'!$Q$5:$Q$3004,"&gt;="&amp;S$8,'Giao việc'!$Q$5:$Q$3004,"&lt;="&amp;S$9,'Giao việc'!$J$5:$J$3004,"Xong")&amp;" / "&amp;COUNTIFS('Giao việc'!$O$5:$O$3004,SEL_K,'Giao việc'!$D$5:$D$3004,$A11,'Giao việc'!$Q$5:$Q$3004,"&gt;="&amp;S$8,'Giao việc'!$Q$5:$Q$3004,"&lt;="&amp;S$9,'Giao việc'!$J$5:$J$3004,"&lt;&gt;Bỏ qua"))</f>
        <v/>
      </c>
      <c r="H11" s="36">
        <f>IF(COUNTIFS('Giao việc'!$O$5:$O$3004,SEL_K,'Giao việc'!$D$5:$D$3004,$A11,'Giao việc'!$Q$5:$Q$3004,"&gt;="&amp;T$8,'Giao việc'!$Q$5:$Q$3004,"&lt;="&amp;T$9,'Giao việc'!$J$5:$J$3004,"&lt;&gt;Bỏ qua")=0,"",COUNTIFS('Giao việc'!$O$5:$O$3004,SEL_K,'Giao việc'!$D$5:$D$3004,$A11,'Giao việc'!$Q$5:$Q$3004,"&gt;="&amp;T$8,'Giao việc'!$Q$5:$Q$3004,"&lt;="&amp;T$9,'Giao việc'!$J$5:$J$3004,"Xong")&amp;" / "&amp;COUNTIFS('Giao việc'!$O$5:$O$3004,SEL_K,'Giao việc'!$D$5:$D$3004,$A11,'Giao việc'!$Q$5:$Q$3004,"&gt;="&amp;T$8,'Giao việc'!$Q$5:$Q$3004,"&lt;="&amp;T$9,'Giao việc'!$J$5:$J$3004,"&lt;&gt;Bỏ qua"))</f>
        <v/>
      </c>
      <c r="I11" s="36">
        <f>IF(COUNTIFS('Giao việc'!$O$5:$O$3004,SEL_K,'Giao việc'!$D$5:$D$3004,$A11,'Giao việc'!$Q$5:$Q$3004,"&gt;="&amp;U$8,'Giao việc'!$Q$5:$Q$3004,"&lt;="&amp;U$9,'Giao việc'!$J$5:$J$3004,"&lt;&gt;Bỏ qua")=0,"",COUNTIFS('Giao việc'!$O$5:$O$3004,SEL_K,'Giao việc'!$D$5:$D$3004,$A11,'Giao việc'!$Q$5:$Q$3004,"&gt;="&amp;U$8,'Giao việc'!$Q$5:$Q$3004,"&lt;="&amp;U$9,'Giao việc'!$J$5:$J$3004,"Xong")&amp;" / "&amp;COUNTIFS('Giao việc'!$O$5:$O$3004,SEL_K,'Giao việc'!$D$5:$D$3004,$A11,'Giao việc'!$Q$5:$Q$3004,"&gt;="&amp;U$8,'Giao việc'!$Q$5:$Q$3004,"&lt;="&amp;U$9,'Giao việc'!$J$5:$J$3004,"&lt;&gt;Bỏ qua"))</f>
        <v/>
      </c>
      <c r="J11" s="37">
        <f>IF(COUNTIFS('Giao việc'!$O$5:$O$3004,SEL_K,'Giao việc'!$D$5:$D$3004,$A11,'Giao việc'!$J$5:$J$3004,"&lt;&gt;Bỏ qua")=0,"",COUNTIFS('Giao việc'!$O$5:$O$3004,SEL_K,'Giao việc'!$D$5:$D$3004,$A11,'Giao việc'!$J$5:$J$3004,"Xong")&amp;" / "&amp;COUNTIFS('Giao việc'!$O$5:$O$3004,SEL_K,'Giao việc'!$D$5:$D$3004,$A11,'Giao việc'!$J$5:$J$3004,"&lt;&gt;Bỏ qua"))</f>
        <v/>
      </c>
      <c r="K11" s="19">
        <f>IF(COUNTIFS('Giao việc'!$O$5:$O$3004,SEL_K,'Giao việc'!$D$5:$D$3004,$A11,'Giao việc'!$J$5:$J$3004,"&lt;&gt;Bỏ qua")=0,"",REPT("█",ROUND(COUNTIFS('Giao việc'!$O$5:$O$3004,SEL_K,'Giao việc'!$D$5:$D$3004,$A11,'Giao việc'!$J$5:$J$3004,"Xong")/COUNTIFS('Giao việc'!$O$5:$O$3004,SEL_K,'Giao việc'!$D$5:$D$3004,$A11,'Giao việc'!$J$5:$J$3004,"&lt;&gt;Bỏ qua")*10,0))&amp;REPT("░",10-ROUND(COUNTIFS('Giao việc'!$O$5:$O$3004,SEL_K,'Giao việc'!$D$5:$D$3004,$A11,'Giao việc'!$J$5:$J$3004,"Xong")/COUNTIFS('Giao việc'!$O$5:$O$3004,SEL_K,'Giao việc'!$D$5:$D$3004,$A11,'Giao việc'!$J$5:$J$3004,"&lt;&gt;Bỏ qua")*10,0)))</f>
        <v/>
      </c>
      <c r="N11">
        <f>IF(COUNTIFS('Giao việc'!$O$5:$O$3004,SEL_K,'Giao việc'!$D$5:$D$3004,$A11,'Giao việc'!$Q$5:$Q$3004,"&gt;="&amp;N$8,'Giao việc'!$Q$5:$Q$3004,"&lt;="&amp;N$9,'Giao việc'!$J$5:$J$3004,"&lt;&gt;Bỏ qua")=0,0,IF(COUNTIFS('Giao việc'!$O$5:$O$3004,SEL_K,'Giao việc'!$D$5:$D$3004,$A11,'Giao việc'!$Q$5:$Q$3004,"&gt;="&amp;N$8,'Giao việc'!$Q$5:$Q$3004,"&lt;="&amp;N$9,'Giao việc'!$J$5:$J$3004,"Xong")=COUNTIFS('Giao việc'!$O$5:$O$3004,SEL_K,'Giao việc'!$D$5:$D$3004,$A11,'Giao việc'!$Q$5:$Q$3004,"&gt;="&amp;N$8,'Giao việc'!$Q$5:$Q$3004,"&lt;="&amp;N$9,'Giao việc'!$J$5:$J$3004,"&lt;&gt;Bỏ qua"),1,IF(COUNTIFS('Giao việc'!$O$5:$O$3004,SEL_K,'Giao việc'!$D$5:$D$3004,$A11,'Giao việc'!$Q$5:$Q$3004,"&gt;="&amp;N$8,'Giao việc'!$Q$5:$Q$3004,"&lt;="&amp;N$9,'Giao việc'!$M$5:$M$3004,"*QUÁ HẠN*")&gt;0,4,IF(COUNTIFS('Giao việc'!$O$5:$O$3004,SEL_K,'Giao việc'!$D$5:$D$3004,$A11,'Giao việc'!$Q$5:$Q$3004,"&gt;="&amp;N$8,'Giao việc'!$Q$5:$Q$3004,"&lt;="&amp;N$9,'Giao việc'!$M$5:$M$3004,"*Đến hạn*")&gt;0,3,2))))</f>
        <v/>
      </c>
      <c r="O11">
        <f>IF(COUNTIFS('Giao việc'!$O$5:$O$3004,SEL_K,'Giao việc'!$D$5:$D$3004,$A11,'Giao việc'!$Q$5:$Q$3004,"&gt;="&amp;O$8,'Giao việc'!$Q$5:$Q$3004,"&lt;="&amp;O$9,'Giao việc'!$J$5:$J$3004,"&lt;&gt;Bỏ qua")=0,0,IF(COUNTIFS('Giao việc'!$O$5:$O$3004,SEL_K,'Giao việc'!$D$5:$D$3004,$A11,'Giao việc'!$Q$5:$Q$3004,"&gt;="&amp;O$8,'Giao việc'!$Q$5:$Q$3004,"&lt;="&amp;O$9,'Giao việc'!$J$5:$J$3004,"Xong")=COUNTIFS('Giao việc'!$O$5:$O$3004,SEL_K,'Giao việc'!$D$5:$D$3004,$A11,'Giao việc'!$Q$5:$Q$3004,"&gt;="&amp;O$8,'Giao việc'!$Q$5:$Q$3004,"&lt;="&amp;O$9,'Giao việc'!$J$5:$J$3004,"&lt;&gt;Bỏ qua"),1,IF(COUNTIFS('Giao việc'!$O$5:$O$3004,SEL_K,'Giao việc'!$D$5:$D$3004,$A11,'Giao việc'!$Q$5:$Q$3004,"&gt;="&amp;O$8,'Giao việc'!$Q$5:$Q$3004,"&lt;="&amp;O$9,'Giao việc'!$M$5:$M$3004,"*QUÁ HẠN*")&gt;0,4,IF(COUNTIFS('Giao việc'!$O$5:$O$3004,SEL_K,'Giao việc'!$D$5:$D$3004,$A11,'Giao việc'!$Q$5:$Q$3004,"&gt;="&amp;O$8,'Giao việc'!$Q$5:$Q$3004,"&lt;="&amp;O$9,'Giao việc'!$M$5:$M$3004,"*Đến hạn*")&gt;0,3,2))))</f>
        <v/>
      </c>
      <c r="P11">
        <f>IF(COUNTIFS('Giao việc'!$O$5:$O$3004,SEL_K,'Giao việc'!$D$5:$D$3004,$A11,'Giao việc'!$Q$5:$Q$3004,"&gt;="&amp;P$8,'Giao việc'!$Q$5:$Q$3004,"&lt;="&amp;P$9,'Giao việc'!$J$5:$J$3004,"&lt;&gt;Bỏ qua")=0,0,IF(COUNTIFS('Giao việc'!$O$5:$O$3004,SEL_K,'Giao việc'!$D$5:$D$3004,$A11,'Giao việc'!$Q$5:$Q$3004,"&gt;="&amp;P$8,'Giao việc'!$Q$5:$Q$3004,"&lt;="&amp;P$9,'Giao việc'!$J$5:$J$3004,"Xong")=COUNTIFS('Giao việc'!$O$5:$O$3004,SEL_K,'Giao việc'!$D$5:$D$3004,$A11,'Giao việc'!$Q$5:$Q$3004,"&gt;="&amp;P$8,'Giao việc'!$Q$5:$Q$3004,"&lt;="&amp;P$9,'Giao việc'!$J$5:$J$3004,"&lt;&gt;Bỏ qua"),1,IF(COUNTIFS('Giao việc'!$O$5:$O$3004,SEL_K,'Giao việc'!$D$5:$D$3004,$A11,'Giao việc'!$Q$5:$Q$3004,"&gt;="&amp;P$8,'Giao việc'!$Q$5:$Q$3004,"&lt;="&amp;P$9,'Giao việc'!$M$5:$M$3004,"*QUÁ HẠN*")&gt;0,4,IF(COUNTIFS('Giao việc'!$O$5:$O$3004,SEL_K,'Giao việc'!$D$5:$D$3004,$A11,'Giao việc'!$Q$5:$Q$3004,"&gt;="&amp;P$8,'Giao việc'!$Q$5:$Q$3004,"&lt;="&amp;P$9,'Giao việc'!$M$5:$M$3004,"*Đến hạn*")&gt;0,3,2))))</f>
        <v/>
      </c>
      <c r="Q11">
        <f>IF(COUNTIFS('Giao việc'!$O$5:$O$3004,SEL_K,'Giao việc'!$D$5:$D$3004,$A11,'Giao việc'!$Q$5:$Q$3004,"&gt;="&amp;Q$8,'Giao việc'!$Q$5:$Q$3004,"&lt;="&amp;Q$9,'Giao việc'!$J$5:$J$3004,"&lt;&gt;Bỏ qua")=0,0,IF(COUNTIFS('Giao việc'!$O$5:$O$3004,SEL_K,'Giao việc'!$D$5:$D$3004,$A11,'Giao việc'!$Q$5:$Q$3004,"&gt;="&amp;Q$8,'Giao việc'!$Q$5:$Q$3004,"&lt;="&amp;Q$9,'Giao việc'!$J$5:$J$3004,"Xong")=COUNTIFS('Giao việc'!$O$5:$O$3004,SEL_K,'Giao việc'!$D$5:$D$3004,$A11,'Giao việc'!$Q$5:$Q$3004,"&gt;="&amp;Q$8,'Giao việc'!$Q$5:$Q$3004,"&lt;="&amp;Q$9,'Giao việc'!$J$5:$J$3004,"&lt;&gt;Bỏ qua"),1,IF(COUNTIFS('Giao việc'!$O$5:$O$3004,SEL_K,'Giao việc'!$D$5:$D$3004,$A11,'Giao việc'!$Q$5:$Q$3004,"&gt;="&amp;Q$8,'Giao việc'!$Q$5:$Q$3004,"&lt;="&amp;Q$9,'Giao việc'!$M$5:$M$3004,"*QUÁ HẠN*")&gt;0,4,IF(COUNTIFS('Giao việc'!$O$5:$O$3004,SEL_K,'Giao việc'!$D$5:$D$3004,$A11,'Giao việc'!$Q$5:$Q$3004,"&gt;="&amp;Q$8,'Giao việc'!$Q$5:$Q$3004,"&lt;="&amp;Q$9,'Giao việc'!$M$5:$M$3004,"*Đến hạn*")&gt;0,3,2))))</f>
        <v/>
      </c>
      <c r="R11">
        <f>IF(COUNTIFS('Giao việc'!$O$5:$O$3004,SEL_K,'Giao việc'!$D$5:$D$3004,$A11,'Giao việc'!$Q$5:$Q$3004,"&gt;="&amp;R$8,'Giao việc'!$Q$5:$Q$3004,"&lt;="&amp;R$9,'Giao việc'!$J$5:$J$3004,"&lt;&gt;Bỏ qua")=0,0,IF(COUNTIFS('Giao việc'!$O$5:$O$3004,SEL_K,'Giao việc'!$D$5:$D$3004,$A11,'Giao việc'!$Q$5:$Q$3004,"&gt;="&amp;R$8,'Giao việc'!$Q$5:$Q$3004,"&lt;="&amp;R$9,'Giao việc'!$J$5:$J$3004,"Xong")=COUNTIFS('Giao việc'!$O$5:$O$3004,SEL_K,'Giao việc'!$D$5:$D$3004,$A11,'Giao việc'!$Q$5:$Q$3004,"&gt;="&amp;R$8,'Giao việc'!$Q$5:$Q$3004,"&lt;="&amp;R$9,'Giao việc'!$J$5:$J$3004,"&lt;&gt;Bỏ qua"),1,IF(COUNTIFS('Giao việc'!$O$5:$O$3004,SEL_K,'Giao việc'!$D$5:$D$3004,$A11,'Giao việc'!$Q$5:$Q$3004,"&gt;="&amp;R$8,'Giao việc'!$Q$5:$Q$3004,"&lt;="&amp;R$9,'Giao việc'!$M$5:$M$3004,"*QUÁ HẠN*")&gt;0,4,IF(COUNTIFS('Giao việc'!$O$5:$O$3004,SEL_K,'Giao việc'!$D$5:$D$3004,$A11,'Giao việc'!$Q$5:$Q$3004,"&gt;="&amp;R$8,'Giao việc'!$Q$5:$Q$3004,"&lt;="&amp;R$9,'Giao việc'!$M$5:$M$3004,"*Đến hạn*")&gt;0,3,2))))</f>
        <v/>
      </c>
      <c r="S11">
        <f>IF(COUNTIFS('Giao việc'!$O$5:$O$3004,SEL_K,'Giao việc'!$D$5:$D$3004,$A11,'Giao việc'!$Q$5:$Q$3004,"&gt;="&amp;S$8,'Giao việc'!$Q$5:$Q$3004,"&lt;="&amp;S$9,'Giao việc'!$J$5:$J$3004,"&lt;&gt;Bỏ qua")=0,0,IF(COUNTIFS('Giao việc'!$O$5:$O$3004,SEL_K,'Giao việc'!$D$5:$D$3004,$A11,'Giao việc'!$Q$5:$Q$3004,"&gt;="&amp;S$8,'Giao việc'!$Q$5:$Q$3004,"&lt;="&amp;S$9,'Giao việc'!$J$5:$J$3004,"Xong")=COUNTIFS('Giao việc'!$O$5:$O$3004,SEL_K,'Giao việc'!$D$5:$D$3004,$A11,'Giao việc'!$Q$5:$Q$3004,"&gt;="&amp;S$8,'Giao việc'!$Q$5:$Q$3004,"&lt;="&amp;S$9,'Giao việc'!$J$5:$J$3004,"&lt;&gt;Bỏ qua"),1,IF(COUNTIFS('Giao việc'!$O$5:$O$3004,SEL_K,'Giao việc'!$D$5:$D$3004,$A11,'Giao việc'!$Q$5:$Q$3004,"&gt;="&amp;S$8,'Giao việc'!$Q$5:$Q$3004,"&lt;="&amp;S$9,'Giao việc'!$M$5:$M$3004,"*QUÁ HẠN*")&gt;0,4,IF(COUNTIFS('Giao việc'!$O$5:$O$3004,SEL_K,'Giao việc'!$D$5:$D$3004,$A11,'Giao việc'!$Q$5:$Q$3004,"&gt;="&amp;S$8,'Giao việc'!$Q$5:$Q$3004,"&lt;="&amp;S$9,'Giao việc'!$M$5:$M$3004,"*Đến hạn*")&gt;0,3,2))))</f>
        <v/>
      </c>
      <c r="T11">
        <f>IF(COUNTIFS('Giao việc'!$O$5:$O$3004,SEL_K,'Giao việc'!$D$5:$D$3004,$A11,'Giao việc'!$Q$5:$Q$3004,"&gt;="&amp;T$8,'Giao việc'!$Q$5:$Q$3004,"&lt;="&amp;T$9,'Giao việc'!$J$5:$J$3004,"&lt;&gt;Bỏ qua")=0,0,IF(COUNTIFS('Giao việc'!$O$5:$O$3004,SEL_K,'Giao việc'!$D$5:$D$3004,$A11,'Giao việc'!$Q$5:$Q$3004,"&gt;="&amp;T$8,'Giao việc'!$Q$5:$Q$3004,"&lt;="&amp;T$9,'Giao việc'!$J$5:$J$3004,"Xong")=COUNTIFS('Giao việc'!$O$5:$O$3004,SEL_K,'Giao việc'!$D$5:$D$3004,$A11,'Giao việc'!$Q$5:$Q$3004,"&gt;="&amp;T$8,'Giao việc'!$Q$5:$Q$3004,"&lt;="&amp;T$9,'Giao việc'!$J$5:$J$3004,"&lt;&gt;Bỏ qua"),1,IF(COUNTIFS('Giao việc'!$O$5:$O$3004,SEL_K,'Giao việc'!$D$5:$D$3004,$A11,'Giao việc'!$Q$5:$Q$3004,"&gt;="&amp;T$8,'Giao việc'!$Q$5:$Q$3004,"&lt;="&amp;T$9,'Giao việc'!$M$5:$M$3004,"*QUÁ HẠN*")&gt;0,4,IF(COUNTIFS('Giao việc'!$O$5:$O$3004,SEL_K,'Giao việc'!$D$5:$D$3004,$A11,'Giao việc'!$Q$5:$Q$3004,"&gt;="&amp;T$8,'Giao việc'!$Q$5:$Q$3004,"&lt;="&amp;T$9,'Giao việc'!$M$5:$M$3004,"*Đến hạn*")&gt;0,3,2))))</f>
        <v/>
      </c>
      <c r="U11">
        <f>IF(COUNTIFS('Giao việc'!$O$5:$O$3004,SEL_K,'Giao việc'!$D$5:$D$3004,$A11,'Giao việc'!$Q$5:$Q$3004,"&gt;="&amp;U$8,'Giao việc'!$Q$5:$Q$3004,"&lt;="&amp;U$9,'Giao việc'!$J$5:$J$3004,"&lt;&gt;Bỏ qua")=0,0,IF(COUNTIFS('Giao việc'!$O$5:$O$3004,SEL_K,'Giao việc'!$D$5:$D$3004,$A11,'Giao việc'!$Q$5:$Q$3004,"&gt;="&amp;U$8,'Giao việc'!$Q$5:$Q$3004,"&lt;="&amp;U$9,'Giao việc'!$J$5:$J$3004,"Xong")=COUNTIFS('Giao việc'!$O$5:$O$3004,SEL_K,'Giao việc'!$D$5:$D$3004,$A11,'Giao việc'!$Q$5:$Q$3004,"&gt;="&amp;U$8,'Giao việc'!$Q$5:$Q$3004,"&lt;="&amp;U$9,'Giao việc'!$J$5:$J$3004,"&lt;&gt;Bỏ qua"),1,IF(COUNTIFS('Giao việc'!$O$5:$O$3004,SEL_K,'Giao việc'!$D$5:$D$3004,$A11,'Giao việc'!$Q$5:$Q$3004,"&gt;="&amp;U$8,'Giao việc'!$Q$5:$Q$3004,"&lt;="&amp;U$9,'Giao việc'!$M$5:$M$3004,"*QUÁ HẠN*")&gt;0,4,IF(COUNTIFS('Giao việc'!$O$5:$O$3004,SEL_K,'Giao việc'!$D$5:$D$3004,$A11,'Giao việc'!$Q$5:$Q$3004,"&gt;="&amp;U$8,'Giao việc'!$Q$5:$Q$3004,"&lt;="&amp;U$9,'Giao việc'!$M$5:$M$3004,"*Đến hạn*")&gt;0,3,2))))</f>
        <v/>
      </c>
    </row>
    <row r="12" ht="20" customHeight="1">
      <c r="A12" s="17" t="inlineStr">
        <is>
          <t>3. Tuyển sinh</t>
        </is>
      </c>
      <c r="B12" s="36">
        <f>IF(COUNTIFS('Giao việc'!$O$5:$O$3004,SEL_K,'Giao việc'!$D$5:$D$3004,$A12,'Giao việc'!$Q$5:$Q$3004,"&gt;="&amp;N$8,'Giao việc'!$Q$5:$Q$3004,"&lt;="&amp;N$9,'Giao việc'!$J$5:$J$3004,"&lt;&gt;Bỏ qua")=0,"",COUNTIFS('Giao việc'!$O$5:$O$3004,SEL_K,'Giao việc'!$D$5:$D$3004,$A12,'Giao việc'!$Q$5:$Q$3004,"&gt;="&amp;N$8,'Giao việc'!$Q$5:$Q$3004,"&lt;="&amp;N$9,'Giao việc'!$J$5:$J$3004,"Xong")&amp;" / "&amp;COUNTIFS('Giao việc'!$O$5:$O$3004,SEL_K,'Giao việc'!$D$5:$D$3004,$A12,'Giao việc'!$Q$5:$Q$3004,"&gt;="&amp;N$8,'Giao việc'!$Q$5:$Q$3004,"&lt;="&amp;N$9,'Giao việc'!$J$5:$J$3004,"&lt;&gt;Bỏ qua"))</f>
        <v/>
      </c>
      <c r="C12" s="36">
        <f>IF(COUNTIFS('Giao việc'!$O$5:$O$3004,SEL_K,'Giao việc'!$D$5:$D$3004,$A12,'Giao việc'!$Q$5:$Q$3004,"&gt;="&amp;O$8,'Giao việc'!$Q$5:$Q$3004,"&lt;="&amp;O$9,'Giao việc'!$J$5:$J$3004,"&lt;&gt;Bỏ qua")=0,"",COUNTIFS('Giao việc'!$O$5:$O$3004,SEL_K,'Giao việc'!$D$5:$D$3004,$A12,'Giao việc'!$Q$5:$Q$3004,"&gt;="&amp;O$8,'Giao việc'!$Q$5:$Q$3004,"&lt;="&amp;O$9,'Giao việc'!$J$5:$J$3004,"Xong")&amp;" / "&amp;COUNTIFS('Giao việc'!$O$5:$O$3004,SEL_K,'Giao việc'!$D$5:$D$3004,$A12,'Giao việc'!$Q$5:$Q$3004,"&gt;="&amp;O$8,'Giao việc'!$Q$5:$Q$3004,"&lt;="&amp;O$9,'Giao việc'!$J$5:$J$3004,"&lt;&gt;Bỏ qua"))</f>
        <v/>
      </c>
      <c r="D12" s="36">
        <f>IF(COUNTIFS('Giao việc'!$O$5:$O$3004,SEL_K,'Giao việc'!$D$5:$D$3004,$A12,'Giao việc'!$Q$5:$Q$3004,"&gt;="&amp;P$8,'Giao việc'!$Q$5:$Q$3004,"&lt;="&amp;P$9,'Giao việc'!$J$5:$J$3004,"&lt;&gt;Bỏ qua")=0,"",COUNTIFS('Giao việc'!$O$5:$O$3004,SEL_K,'Giao việc'!$D$5:$D$3004,$A12,'Giao việc'!$Q$5:$Q$3004,"&gt;="&amp;P$8,'Giao việc'!$Q$5:$Q$3004,"&lt;="&amp;P$9,'Giao việc'!$J$5:$J$3004,"Xong")&amp;" / "&amp;COUNTIFS('Giao việc'!$O$5:$O$3004,SEL_K,'Giao việc'!$D$5:$D$3004,$A12,'Giao việc'!$Q$5:$Q$3004,"&gt;="&amp;P$8,'Giao việc'!$Q$5:$Q$3004,"&lt;="&amp;P$9,'Giao việc'!$J$5:$J$3004,"&lt;&gt;Bỏ qua"))</f>
        <v/>
      </c>
      <c r="E12" s="36">
        <f>IF(COUNTIFS('Giao việc'!$O$5:$O$3004,SEL_K,'Giao việc'!$D$5:$D$3004,$A12,'Giao việc'!$Q$5:$Q$3004,"&gt;="&amp;Q$8,'Giao việc'!$Q$5:$Q$3004,"&lt;="&amp;Q$9,'Giao việc'!$J$5:$J$3004,"&lt;&gt;Bỏ qua")=0,"",COUNTIFS('Giao việc'!$O$5:$O$3004,SEL_K,'Giao việc'!$D$5:$D$3004,$A12,'Giao việc'!$Q$5:$Q$3004,"&gt;="&amp;Q$8,'Giao việc'!$Q$5:$Q$3004,"&lt;="&amp;Q$9,'Giao việc'!$J$5:$J$3004,"Xong")&amp;" / "&amp;COUNTIFS('Giao việc'!$O$5:$O$3004,SEL_K,'Giao việc'!$D$5:$D$3004,$A12,'Giao việc'!$Q$5:$Q$3004,"&gt;="&amp;Q$8,'Giao việc'!$Q$5:$Q$3004,"&lt;="&amp;Q$9,'Giao việc'!$J$5:$J$3004,"&lt;&gt;Bỏ qua"))</f>
        <v/>
      </c>
      <c r="F12" s="36">
        <f>IF(COUNTIFS('Giao việc'!$O$5:$O$3004,SEL_K,'Giao việc'!$D$5:$D$3004,$A12,'Giao việc'!$Q$5:$Q$3004,"&gt;="&amp;R$8,'Giao việc'!$Q$5:$Q$3004,"&lt;="&amp;R$9,'Giao việc'!$J$5:$J$3004,"&lt;&gt;Bỏ qua")=0,"",COUNTIFS('Giao việc'!$O$5:$O$3004,SEL_K,'Giao việc'!$D$5:$D$3004,$A12,'Giao việc'!$Q$5:$Q$3004,"&gt;="&amp;R$8,'Giao việc'!$Q$5:$Q$3004,"&lt;="&amp;R$9,'Giao việc'!$J$5:$J$3004,"Xong")&amp;" / "&amp;COUNTIFS('Giao việc'!$O$5:$O$3004,SEL_K,'Giao việc'!$D$5:$D$3004,$A12,'Giao việc'!$Q$5:$Q$3004,"&gt;="&amp;R$8,'Giao việc'!$Q$5:$Q$3004,"&lt;="&amp;R$9,'Giao việc'!$J$5:$J$3004,"&lt;&gt;Bỏ qua"))</f>
        <v/>
      </c>
      <c r="G12" s="36">
        <f>IF(COUNTIFS('Giao việc'!$O$5:$O$3004,SEL_K,'Giao việc'!$D$5:$D$3004,$A12,'Giao việc'!$Q$5:$Q$3004,"&gt;="&amp;S$8,'Giao việc'!$Q$5:$Q$3004,"&lt;="&amp;S$9,'Giao việc'!$J$5:$J$3004,"&lt;&gt;Bỏ qua")=0,"",COUNTIFS('Giao việc'!$O$5:$O$3004,SEL_K,'Giao việc'!$D$5:$D$3004,$A12,'Giao việc'!$Q$5:$Q$3004,"&gt;="&amp;S$8,'Giao việc'!$Q$5:$Q$3004,"&lt;="&amp;S$9,'Giao việc'!$J$5:$J$3004,"Xong")&amp;" / "&amp;COUNTIFS('Giao việc'!$O$5:$O$3004,SEL_K,'Giao việc'!$D$5:$D$3004,$A12,'Giao việc'!$Q$5:$Q$3004,"&gt;="&amp;S$8,'Giao việc'!$Q$5:$Q$3004,"&lt;="&amp;S$9,'Giao việc'!$J$5:$J$3004,"&lt;&gt;Bỏ qua"))</f>
        <v/>
      </c>
      <c r="H12" s="36">
        <f>IF(COUNTIFS('Giao việc'!$O$5:$O$3004,SEL_K,'Giao việc'!$D$5:$D$3004,$A12,'Giao việc'!$Q$5:$Q$3004,"&gt;="&amp;T$8,'Giao việc'!$Q$5:$Q$3004,"&lt;="&amp;T$9,'Giao việc'!$J$5:$J$3004,"&lt;&gt;Bỏ qua")=0,"",COUNTIFS('Giao việc'!$O$5:$O$3004,SEL_K,'Giao việc'!$D$5:$D$3004,$A12,'Giao việc'!$Q$5:$Q$3004,"&gt;="&amp;T$8,'Giao việc'!$Q$5:$Q$3004,"&lt;="&amp;T$9,'Giao việc'!$J$5:$J$3004,"Xong")&amp;" / "&amp;COUNTIFS('Giao việc'!$O$5:$O$3004,SEL_K,'Giao việc'!$D$5:$D$3004,$A12,'Giao việc'!$Q$5:$Q$3004,"&gt;="&amp;T$8,'Giao việc'!$Q$5:$Q$3004,"&lt;="&amp;T$9,'Giao việc'!$J$5:$J$3004,"&lt;&gt;Bỏ qua"))</f>
        <v/>
      </c>
      <c r="I12" s="36">
        <f>IF(COUNTIFS('Giao việc'!$O$5:$O$3004,SEL_K,'Giao việc'!$D$5:$D$3004,$A12,'Giao việc'!$Q$5:$Q$3004,"&gt;="&amp;U$8,'Giao việc'!$Q$5:$Q$3004,"&lt;="&amp;U$9,'Giao việc'!$J$5:$J$3004,"&lt;&gt;Bỏ qua")=0,"",COUNTIFS('Giao việc'!$O$5:$O$3004,SEL_K,'Giao việc'!$D$5:$D$3004,$A12,'Giao việc'!$Q$5:$Q$3004,"&gt;="&amp;U$8,'Giao việc'!$Q$5:$Q$3004,"&lt;="&amp;U$9,'Giao việc'!$J$5:$J$3004,"Xong")&amp;" / "&amp;COUNTIFS('Giao việc'!$O$5:$O$3004,SEL_K,'Giao việc'!$D$5:$D$3004,$A12,'Giao việc'!$Q$5:$Q$3004,"&gt;="&amp;U$8,'Giao việc'!$Q$5:$Q$3004,"&lt;="&amp;U$9,'Giao việc'!$J$5:$J$3004,"&lt;&gt;Bỏ qua"))</f>
        <v/>
      </c>
      <c r="J12" s="37">
        <f>IF(COUNTIFS('Giao việc'!$O$5:$O$3004,SEL_K,'Giao việc'!$D$5:$D$3004,$A12,'Giao việc'!$J$5:$J$3004,"&lt;&gt;Bỏ qua")=0,"",COUNTIFS('Giao việc'!$O$5:$O$3004,SEL_K,'Giao việc'!$D$5:$D$3004,$A12,'Giao việc'!$J$5:$J$3004,"Xong")&amp;" / "&amp;COUNTIFS('Giao việc'!$O$5:$O$3004,SEL_K,'Giao việc'!$D$5:$D$3004,$A12,'Giao việc'!$J$5:$J$3004,"&lt;&gt;Bỏ qua"))</f>
        <v/>
      </c>
      <c r="K12" s="19">
        <f>IF(COUNTIFS('Giao việc'!$O$5:$O$3004,SEL_K,'Giao việc'!$D$5:$D$3004,$A12,'Giao việc'!$J$5:$J$3004,"&lt;&gt;Bỏ qua")=0,"",REPT("█",ROUND(COUNTIFS('Giao việc'!$O$5:$O$3004,SEL_K,'Giao việc'!$D$5:$D$3004,$A12,'Giao việc'!$J$5:$J$3004,"Xong")/COUNTIFS('Giao việc'!$O$5:$O$3004,SEL_K,'Giao việc'!$D$5:$D$3004,$A12,'Giao việc'!$J$5:$J$3004,"&lt;&gt;Bỏ qua")*10,0))&amp;REPT("░",10-ROUND(COUNTIFS('Giao việc'!$O$5:$O$3004,SEL_K,'Giao việc'!$D$5:$D$3004,$A12,'Giao việc'!$J$5:$J$3004,"Xong")/COUNTIFS('Giao việc'!$O$5:$O$3004,SEL_K,'Giao việc'!$D$5:$D$3004,$A12,'Giao việc'!$J$5:$J$3004,"&lt;&gt;Bỏ qua")*10,0)))</f>
        <v/>
      </c>
      <c r="N12">
        <f>IF(COUNTIFS('Giao việc'!$O$5:$O$3004,SEL_K,'Giao việc'!$D$5:$D$3004,$A12,'Giao việc'!$Q$5:$Q$3004,"&gt;="&amp;N$8,'Giao việc'!$Q$5:$Q$3004,"&lt;="&amp;N$9,'Giao việc'!$J$5:$J$3004,"&lt;&gt;Bỏ qua")=0,0,IF(COUNTIFS('Giao việc'!$O$5:$O$3004,SEL_K,'Giao việc'!$D$5:$D$3004,$A12,'Giao việc'!$Q$5:$Q$3004,"&gt;="&amp;N$8,'Giao việc'!$Q$5:$Q$3004,"&lt;="&amp;N$9,'Giao việc'!$J$5:$J$3004,"Xong")=COUNTIFS('Giao việc'!$O$5:$O$3004,SEL_K,'Giao việc'!$D$5:$D$3004,$A12,'Giao việc'!$Q$5:$Q$3004,"&gt;="&amp;N$8,'Giao việc'!$Q$5:$Q$3004,"&lt;="&amp;N$9,'Giao việc'!$J$5:$J$3004,"&lt;&gt;Bỏ qua"),1,IF(COUNTIFS('Giao việc'!$O$5:$O$3004,SEL_K,'Giao việc'!$D$5:$D$3004,$A12,'Giao việc'!$Q$5:$Q$3004,"&gt;="&amp;N$8,'Giao việc'!$Q$5:$Q$3004,"&lt;="&amp;N$9,'Giao việc'!$M$5:$M$3004,"*QUÁ HẠN*")&gt;0,4,IF(COUNTIFS('Giao việc'!$O$5:$O$3004,SEL_K,'Giao việc'!$D$5:$D$3004,$A12,'Giao việc'!$Q$5:$Q$3004,"&gt;="&amp;N$8,'Giao việc'!$Q$5:$Q$3004,"&lt;="&amp;N$9,'Giao việc'!$M$5:$M$3004,"*Đến hạn*")&gt;0,3,2))))</f>
        <v/>
      </c>
      <c r="O12">
        <f>IF(COUNTIFS('Giao việc'!$O$5:$O$3004,SEL_K,'Giao việc'!$D$5:$D$3004,$A12,'Giao việc'!$Q$5:$Q$3004,"&gt;="&amp;O$8,'Giao việc'!$Q$5:$Q$3004,"&lt;="&amp;O$9,'Giao việc'!$J$5:$J$3004,"&lt;&gt;Bỏ qua")=0,0,IF(COUNTIFS('Giao việc'!$O$5:$O$3004,SEL_K,'Giao việc'!$D$5:$D$3004,$A12,'Giao việc'!$Q$5:$Q$3004,"&gt;="&amp;O$8,'Giao việc'!$Q$5:$Q$3004,"&lt;="&amp;O$9,'Giao việc'!$J$5:$J$3004,"Xong")=COUNTIFS('Giao việc'!$O$5:$O$3004,SEL_K,'Giao việc'!$D$5:$D$3004,$A12,'Giao việc'!$Q$5:$Q$3004,"&gt;="&amp;O$8,'Giao việc'!$Q$5:$Q$3004,"&lt;="&amp;O$9,'Giao việc'!$J$5:$J$3004,"&lt;&gt;Bỏ qua"),1,IF(COUNTIFS('Giao việc'!$O$5:$O$3004,SEL_K,'Giao việc'!$D$5:$D$3004,$A12,'Giao việc'!$Q$5:$Q$3004,"&gt;="&amp;O$8,'Giao việc'!$Q$5:$Q$3004,"&lt;="&amp;O$9,'Giao việc'!$M$5:$M$3004,"*QUÁ HẠN*")&gt;0,4,IF(COUNTIFS('Giao việc'!$O$5:$O$3004,SEL_K,'Giao việc'!$D$5:$D$3004,$A12,'Giao việc'!$Q$5:$Q$3004,"&gt;="&amp;O$8,'Giao việc'!$Q$5:$Q$3004,"&lt;="&amp;O$9,'Giao việc'!$M$5:$M$3004,"*Đến hạn*")&gt;0,3,2))))</f>
        <v/>
      </c>
      <c r="P12">
        <f>IF(COUNTIFS('Giao việc'!$O$5:$O$3004,SEL_K,'Giao việc'!$D$5:$D$3004,$A12,'Giao việc'!$Q$5:$Q$3004,"&gt;="&amp;P$8,'Giao việc'!$Q$5:$Q$3004,"&lt;="&amp;P$9,'Giao việc'!$J$5:$J$3004,"&lt;&gt;Bỏ qua")=0,0,IF(COUNTIFS('Giao việc'!$O$5:$O$3004,SEL_K,'Giao việc'!$D$5:$D$3004,$A12,'Giao việc'!$Q$5:$Q$3004,"&gt;="&amp;P$8,'Giao việc'!$Q$5:$Q$3004,"&lt;="&amp;P$9,'Giao việc'!$J$5:$J$3004,"Xong")=COUNTIFS('Giao việc'!$O$5:$O$3004,SEL_K,'Giao việc'!$D$5:$D$3004,$A12,'Giao việc'!$Q$5:$Q$3004,"&gt;="&amp;P$8,'Giao việc'!$Q$5:$Q$3004,"&lt;="&amp;P$9,'Giao việc'!$J$5:$J$3004,"&lt;&gt;Bỏ qua"),1,IF(COUNTIFS('Giao việc'!$O$5:$O$3004,SEL_K,'Giao việc'!$D$5:$D$3004,$A12,'Giao việc'!$Q$5:$Q$3004,"&gt;="&amp;P$8,'Giao việc'!$Q$5:$Q$3004,"&lt;="&amp;P$9,'Giao việc'!$M$5:$M$3004,"*QUÁ HẠN*")&gt;0,4,IF(COUNTIFS('Giao việc'!$O$5:$O$3004,SEL_K,'Giao việc'!$D$5:$D$3004,$A12,'Giao việc'!$Q$5:$Q$3004,"&gt;="&amp;P$8,'Giao việc'!$Q$5:$Q$3004,"&lt;="&amp;P$9,'Giao việc'!$M$5:$M$3004,"*Đến hạn*")&gt;0,3,2))))</f>
        <v/>
      </c>
      <c r="Q12">
        <f>IF(COUNTIFS('Giao việc'!$O$5:$O$3004,SEL_K,'Giao việc'!$D$5:$D$3004,$A12,'Giao việc'!$Q$5:$Q$3004,"&gt;="&amp;Q$8,'Giao việc'!$Q$5:$Q$3004,"&lt;="&amp;Q$9,'Giao việc'!$J$5:$J$3004,"&lt;&gt;Bỏ qua")=0,0,IF(COUNTIFS('Giao việc'!$O$5:$O$3004,SEL_K,'Giao việc'!$D$5:$D$3004,$A12,'Giao việc'!$Q$5:$Q$3004,"&gt;="&amp;Q$8,'Giao việc'!$Q$5:$Q$3004,"&lt;="&amp;Q$9,'Giao việc'!$J$5:$J$3004,"Xong")=COUNTIFS('Giao việc'!$O$5:$O$3004,SEL_K,'Giao việc'!$D$5:$D$3004,$A12,'Giao việc'!$Q$5:$Q$3004,"&gt;="&amp;Q$8,'Giao việc'!$Q$5:$Q$3004,"&lt;="&amp;Q$9,'Giao việc'!$J$5:$J$3004,"&lt;&gt;Bỏ qua"),1,IF(COUNTIFS('Giao việc'!$O$5:$O$3004,SEL_K,'Giao việc'!$D$5:$D$3004,$A12,'Giao việc'!$Q$5:$Q$3004,"&gt;="&amp;Q$8,'Giao việc'!$Q$5:$Q$3004,"&lt;="&amp;Q$9,'Giao việc'!$M$5:$M$3004,"*QUÁ HẠN*")&gt;0,4,IF(COUNTIFS('Giao việc'!$O$5:$O$3004,SEL_K,'Giao việc'!$D$5:$D$3004,$A12,'Giao việc'!$Q$5:$Q$3004,"&gt;="&amp;Q$8,'Giao việc'!$Q$5:$Q$3004,"&lt;="&amp;Q$9,'Giao việc'!$M$5:$M$3004,"*Đến hạn*")&gt;0,3,2))))</f>
        <v/>
      </c>
      <c r="R12">
        <f>IF(COUNTIFS('Giao việc'!$O$5:$O$3004,SEL_K,'Giao việc'!$D$5:$D$3004,$A12,'Giao việc'!$Q$5:$Q$3004,"&gt;="&amp;R$8,'Giao việc'!$Q$5:$Q$3004,"&lt;="&amp;R$9,'Giao việc'!$J$5:$J$3004,"&lt;&gt;Bỏ qua")=0,0,IF(COUNTIFS('Giao việc'!$O$5:$O$3004,SEL_K,'Giao việc'!$D$5:$D$3004,$A12,'Giao việc'!$Q$5:$Q$3004,"&gt;="&amp;R$8,'Giao việc'!$Q$5:$Q$3004,"&lt;="&amp;R$9,'Giao việc'!$J$5:$J$3004,"Xong")=COUNTIFS('Giao việc'!$O$5:$O$3004,SEL_K,'Giao việc'!$D$5:$D$3004,$A12,'Giao việc'!$Q$5:$Q$3004,"&gt;="&amp;R$8,'Giao việc'!$Q$5:$Q$3004,"&lt;="&amp;R$9,'Giao việc'!$J$5:$J$3004,"&lt;&gt;Bỏ qua"),1,IF(COUNTIFS('Giao việc'!$O$5:$O$3004,SEL_K,'Giao việc'!$D$5:$D$3004,$A12,'Giao việc'!$Q$5:$Q$3004,"&gt;="&amp;R$8,'Giao việc'!$Q$5:$Q$3004,"&lt;="&amp;R$9,'Giao việc'!$M$5:$M$3004,"*QUÁ HẠN*")&gt;0,4,IF(COUNTIFS('Giao việc'!$O$5:$O$3004,SEL_K,'Giao việc'!$D$5:$D$3004,$A12,'Giao việc'!$Q$5:$Q$3004,"&gt;="&amp;R$8,'Giao việc'!$Q$5:$Q$3004,"&lt;="&amp;R$9,'Giao việc'!$M$5:$M$3004,"*Đến hạn*")&gt;0,3,2))))</f>
        <v/>
      </c>
      <c r="S12">
        <f>IF(COUNTIFS('Giao việc'!$O$5:$O$3004,SEL_K,'Giao việc'!$D$5:$D$3004,$A12,'Giao việc'!$Q$5:$Q$3004,"&gt;="&amp;S$8,'Giao việc'!$Q$5:$Q$3004,"&lt;="&amp;S$9,'Giao việc'!$J$5:$J$3004,"&lt;&gt;Bỏ qua")=0,0,IF(COUNTIFS('Giao việc'!$O$5:$O$3004,SEL_K,'Giao việc'!$D$5:$D$3004,$A12,'Giao việc'!$Q$5:$Q$3004,"&gt;="&amp;S$8,'Giao việc'!$Q$5:$Q$3004,"&lt;="&amp;S$9,'Giao việc'!$J$5:$J$3004,"Xong")=COUNTIFS('Giao việc'!$O$5:$O$3004,SEL_K,'Giao việc'!$D$5:$D$3004,$A12,'Giao việc'!$Q$5:$Q$3004,"&gt;="&amp;S$8,'Giao việc'!$Q$5:$Q$3004,"&lt;="&amp;S$9,'Giao việc'!$J$5:$J$3004,"&lt;&gt;Bỏ qua"),1,IF(COUNTIFS('Giao việc'!$O$5:$O$3004,SEL_K,'Giao việc'!$D$5:$D$3004,$A12,'Giao việc'!$Q$5:$Q$3004,"&gt;="&amp;S$8,'Giao việc'!$Q$5:$Q$3004,"&lt;="&amp;S$9,'Giao việc'!$M$5:$M$3004,"*QUÁ HẠN*")&gt;0,4,IF(COUNTIFS('Giao việc'!$O$5:$O$3004,SEL_K,'Giao việc'!$D$5:$D$3004,$A12,'Giao việc'!$Q$5:$Q$3004,"&gt;="&amp;S$8,'Giao việc'!$Q$5:$Q$3004,"&lt;="&amp;S$9,'Giao việc'!$M$5:$M$3004,"*Đến hạn*")&gt;0,3,2))))</f>
        <v/>
      </c>
      <c r="T12">
        <f>IF(COUNTIFS('Giao việc'!$O$5:$O$3004,SEL_K,'Giao việc'!$D$5:$D$3004,$A12,'Giao việc'!$Q$5:$Q$3004,"&gt;="&amp;T$8,'Giao việc'!$Q$5:$Q$3004,"&lt;="&amp;T$9,'Giao việc'!$J$5:$J$3004,"&lt;&gt;Bỏ qua")=0,0,IF(COUNTIFS('Giao việc'!$O$5:$O$3004,SEL_K,'Giao việc'!$D$5:$D$3004,$A12,'Giao việc'!$Q$5:$Q$3004,"&gt;="&amp;T$8,'Giao việc'!$Q$5:$Q$3004,"&lt;="&amp;T$9,'Giao việc'!$J$5:$J$3004,"Xong")=COUNTIFS('Giao việc'!$O$5:$O$3004,SEL_K,'Giao việc'!$D$5:$D$3004,$A12,'Giao việc'!$Q$5:$Q$3004,"&gt;="&amp;T$8,'Giao việc'!$Q$5:$Q$3004,"&lt;="&amp;T$9,'Giao việc'!$J$5:$J$3004,"&lt;&gt;Bỏ qua"),1,IF(COUNTIFS('Giao việc'!$O$5:$O$3004,SEL_K,'Giao việc'!$D$5:$D$3004,$A12,'Giao việc'!$Q$5:$Q$3004,"&gt;="&amp;T$8,'Giao việc'!$Q$5:$Q$3004,"&lt;="&amp;T$9,'Giao việc'!$M$5:$M$3004,"*QUÁ HẠN*")&gt;0,4,IF(COUNTIFS('Giao việc'!$O$5:$O$3004,SEL_K,'Giao việc'!$D$5:$D$3004,$A12,'Giao việc'!$Q$5:$Q$3004,"&gt;="&amp;T$8,'Giao việc'!$Q$5:$Q$3004,"&lt;="&amp;T$9,'Giao việc'!$M$5:$M$3004,"*Đến hạn*")&gt;0,3,2))))</f>
        <v/>
      </c>
      <c r="U12">
        <f>IF(COUNTIFS('Giao việc'!$O$5:$O$3004,SEL_K,'Giao việc'!$D$5:$D$3004,$A12,'Giao việc'!$Q$5:$Q$3004,"&gt;="&amp;U$8,'Giao việc'!$Q$5:$Q$3004,"&lt;="&amp;U$9,'Giao việc'!$J$5:$J$3004,"&lt;&gt;Bỏ qua")=0,0,IF(COUNTIFS('Giao việc'!$O$5:$O$3004,SEL_K,'Giao việc'!$D$5:$D$3004,$A12,'Giao việc'!$Q$5:$Q$3004,"&gt;="&amp;U$8,'Giao việc'!$Q$5:$Q$3004,"&lt;="&amp;U$9,'Giao việc'!$J$5:$J$3004,"Xong")=COUNTIFS('Giao việc'!$O$5:$O$3004,SEL_K,'Giao việc'!$D$5:$D$3004,$A12,'Giao việc'!$Q$5:$Q$3004,"&gt;="&amp;U$8,'Giao việc'!$Q$5:$Q$3004,"&lt;="&amp;U$9,'Giao việc'!$J$5:$J$3004,"&lt;&gt;Bỏ qua"),1,IF(COUNTIFS('Giao việc'!$O$5:$O$3004,SEL_K,'Giao việc'!$D$5:$D$3004,$A12,'Giao việc'!$Q$5:$Q$3004,"&gt;="&amp;U$8,'Giao việc'!$Q$5:$Q$3004,"&lt;="&amp;U$9,'Giao việc'!$M$5:$M$3004,"*QUÁ HẠN*")&gt;0,4,IF(COUNTIFS('Giao việc'!$O$5:$O$3004,SEL_K,'Giao việc'!$D$5:$D$3004,$A12,'Giao việc'!$Q$5:$Q$3004,"&gt;="&amp;U$8,'Giao việc'!$Q$5:$Q$3004,"&lt;="&amp;U$9,'Giao việc'!$M$5:$M$3004,"*Đến hạn*")&gt;0,3,2))))</f>
        <v/>
      </c>
    </row>
    <row r="13" ht="20" customHeight="1">
      <c r="A13" s="17" t="inlineStr">
        <is>
          <t>4. Truyền thông</t>
        </is>
      </c>
      <c r="B13" s="36">
        <f>IF(COUNTIFS('Giao việc'!$O$5:$O$3004,SEL_K,'Giao việc'!$D$5:$D$3004,$A13,'Giao việc'!$Q$5:$Q$3004,"&gt;="&amp;N$8,'Giao việc'!$Q$5:$Q$3004,"&lt;="&amp;N$9,'Giao việc'!$J$5:$J$3004,"&lt;&gt;Bỏ qua")=0,"",COUNTIFS('Giao việc'!$O$5:$O$3004,SEL_K,'Giao việc'!$D$5:$D$3004,$A13,'Giao việc'!$Q$5:$Q$3004,"&gt;="&amp;N$8,'Giao việc'!$Q$5:$Q$3004,"&lt;="&amp;N$9,'Giao việc'!$J$5:$J$3004,"Xong")&amp;" / "&amp;COUNTIFS('Giao việc'!$O$5:$O$3004,SEL_K,'Giao việc'!$D$5:$D$3004,$A13,'Giao việc'!$Q$5:$Q$3004,"&gt;="&amp;N$8,'Giao việc'!$Q$5:$Q$3004,"&lt;="&amp;N$9,'Giao việc'!$J$5:$J$3004,"&lt;&gt;Bỏ qua"))</f>
        <v/>
      </c>
      <c r="C13" s="36">
        <f>IF(COUNTIFS('Giao việc'!$O$5:$O$3004,SEL_K,'Giao việc'!$D$5:$D$3004,$A13,'Giao việc'!$Q$5:$Q$3004,"&gt;="&amp;O$8,'Giao việc'!$Q$5:$Q$3004,"&lt;="&amp;O$9,'Giao việc'!$J$5:$J$3004,"&lt;&gt;Bỏ qua")=0,"",COUNTIFS('Giao việc'!$O$5:$O$3004,SEL_K,'Giao việc'!$D$5:$D$3004,$A13,'Giao việc'!$Q$5:$Q$3004,"&gt;="&amp;O$8,'Giao việc'!$Q$5:$Q$3004,"&lt;="&amp;O$9,'Giao việc'!$J$5:$J$3004,"Xong")&amp;" / "&amp;COUNTIFS('Giao việc'!$O$5:$O$3004,SEL_K,'Giao việc'!$D$5:$D$3004,$A13,'Giao việc'!$Q$5:$Q$3004,"&gt;="&amp;O$8,'Giao việc'!$Q$5:$Q$3004,"&lt;="&amp;O$9,'Giao việc'!$J$5:$J$3004,"&lt;&gt;Bỏ qua"))</f>
        <v/>
      </c>
      <c r="D13" s="36">
        <f>IF(COUNTIFS('Giao việc'!$O$5:$O$3004,SEL_K,'Giao việc'!$D$5:$D$3004,$A13,'Giao việc'!$Q$5:$Q$3004,"&gt;="&amp;P$8,'Giao việc'!$Q$5:$Q$3004,"&lt;="&amp;P$9,'Giao việc'!$J$5:$J$3004,"&lt;&gt;Bỏ qua")=0,"",COUNTIFS('Giao việc'!$O$5:$O$3004,SEL_K,'Giao việc'!$D$5:$D$3004,$A13,'Giao việc'!$Q$5:$Q$3004,"&gt;="&amp;P$8,'Giao việc'!$Q$5:$Q$3004,"&lt;="&amp;P$9,'Giao việc'!$J$5:$J$3004,"Xong")&amp;" / "&amp;COUNTIFS('Giao việc'!$O$5:$O$3004,SEL_K,'Giao việc'!$D$5:$D$3004,$A13,'Giao việc'!$Q$5:$Q$3004,"&gt;="&amp;P$8,'Giao việc'!$Q$5:$Q$3004,"&lt;="&amp;P$9,'Giao việc'!$J$5:$J$3004,"&lt;&gt;Bỏ qua"))</f>
        <v/>
      </c>
      <c r="E13" s="36">
        <f>IF(COUNTIFS('Giao việc'!$O$5:$O$3004,SEL_K,'Giao việc'!$D$5:$D$3004,$A13,'Giao việc'!$Q$5:$Q$3004,"&gt;="&amp;Q$8,'Giao việc'!$Q$5:$Q$3004,"&lt;="&amp;Q$9,'Giao việc'!$J$5:$J$3004,"&lt;&gt;Bỏ qua")=0,"",COUNTIFS('Giao việc'!$O$5:$O$3004,SEL_K,'Giao việc'!$D$5:$D$3004,$A13,'Giao việc'!$Q$5:$Q$3004,"&gt;="&amp;Q$8,'Giao việc'!$Q$5:$Q$3004,"&lt;="&amp;Q$9,'Giao việc'!$J$5:$J$3004,"Xong")&amp;" / "&amp;COUNTIFS('Giao việc'!$O$5:$O$3004,SEL_K,'Giao việc'!$D$5:$D$3004,$A13,'Giao việc'!$Q$5:$Q$3004,"&gt;="&amp;Q$8,'Giao việc'!$Q$5:$Q$3004,"&lt;="&amp;Q$9,'Giao việc'!$J$5:$J$3004,"&lt;&gt;Bỏ qua"))</f>
        <v/>
      </c>
      <c r="F13" s="36">
        <f>IF(COUNTIFS('Giao việc'!$O$5:$O$3004,SEL_K,'Giao việc'!$D$5:$D$3004,$A13,'Giao việc'!$Q$5:$Q$3004,"&gt;="&amp;R$8,'Giao việc'!$Q$5:$Q$3004,"&lt;="&amp;R$9,'Giao việc'!$J$5:$J$3004,"&lt;&gt;Bỏ qua")=0,"",COUNTIFS('Giao việc'!$O$5:$O$3004,SEL_K,'Giao việc'!$D$5:$D$3004,$A13,'Giao việc'!$Q$5:$Q$3004,"&gt;="&amp;R$8,'Giao việc'!$Q$5:$Q$3004,"&lt;="&amp;R$9,'Giao việc'!$J$5:$J$3004,"Xong")&amp;" / "&amp;COUNTIFS('Giao việc'!$O$5:$O$3004,SEL_K,'Giao việc'!$D$5:$D$3004,$A13,'Giao việc'!$Q$5:$Q$3004,"&gt;="&amp;R$8,'Giao việc'!$Q$5:$Q$3004,"&lt;="&amp;R$9,'Giao việc'!$J$5:$J$3004,"&lt;&gt;Bỏ qua"))</f>
        <v/>
      </c>
      <c r="G13" s="36">
        <f>IF(COUNTIFS('Giao việc'!$O$5:$O$3004,SEL_K,'Giao việc'!$D$5:$D$3004,$A13,'Giao việc'!$Q$5:$Q$3004,"&gt;="&amp;S$8,'Giao việc'!$Q$5:$Q$3004,"&lt;="&amp;S$9,'Giao việc'!$J$5:$J$3004,"&lt;&gt;Bỏ qua")=0,"",COUNTIFS('Giao việc'!$O$5:$O$3004,SEL_K,'Giao việc'!$D$5:$D$3004,$A13,'Giao việc'!$Q$5:$Q$3004,"&gt;="&amp;S$8,'Giao việc'!$Q$5:$Q$3004,"&lt;="&amp;S$9,'Giao việc'!$J$5:$J$3004,"Xong")&amp;" / "&amp;COUNTIFS('Giao việc'!$O$5:$O$3004,SEL_K,'Giao việc'!$D$5:$D$3004,$A13,'Giao việc'!$Q$5:$Q$3004,"&gt;="&amp;S$8,'Giao việc'!$Q$5:$Q$3004,"&lt;="&amp;S$9,'Giao việc'!$J$5:$J$3004,"&lt;&gt;Bỏ qua"))</f>
        <v/>
      </c>
      <c r="H13" s="36">
        <f>IF(COUNTIFS('Giao việc'!$O$5:$O$3004,SEL_K,'Giao việc'!$D$5:$D$3004,$A13,'Giao việc'!$Q$5:$Q$3004,"&gt;="&amp;T$8,'Giao việc'!$Q$5:$Q$3004,"&lt;="&amp;T$9,'Giao việc'!$J$5:$J$3004,"&lt;&gt;Bỏ qua")=0,"",COUNTIFS('Giao việc'!$O$5:$O$3004,SEL_K,'Giao việc'!$D$5:$D$3004,$A13,'Giao việc'!$Q$5:$Q$3004,"&gt;="&amp;T$8,'Giao việc'!$Q$5:$Q$3004,"&lt;="&amp;T$9,'Giao việc'!$J$5:$J$3004,"Xong")&amp;" / "&amp;COUNTIFS('Giao việc'!$O$5:$O$3004,SEL_K,'Giao việc'!$D$5:$D$3004,$A13,'Giao việc'!$Q$5:$Q$3004,"&gt;="&amp;T$8,'Giao việc'!$Q$5:$Q$3004,"&lt;="&amp;T$9,'Giao việc'!$J$5:$J$3004,"&lt;&gt;Bỏ qua"))</f>
        <v/>
      </c>
      <c r="I13" s="36">
        <f>IF(COUNTIFS('Giao việc'!$O$5:$O$3004,SEL_K,'Giao việc'!$D$5:$D$3004,$A13,'Giao việc'!$Q$5:$Q$3004,"&gt;="&amp;U$8,'Giao việc'!$Q$5:$Q$3004,"&lt;="&amp;U$9,'Giao việc'!$J$5:$J$3004,"&lt;&gt;Bỏ qua")=0,"",COUNTIFS('Giao việc'!$O$5:$O$3004,SEL_K,'Giao việc'!$D$5:$D$3004,$A13,'Giao việc'!$Q$5:$Q$3004,"&gt;="&amp;U$8,'Giao việc'!$Q$5:$Q$3004,"&lt;="&amp;U$9,'Giao việc'!$J$5:$J$3004,"Xong")&amp;" / "&amp;COUNTIFS('Giao việc'!$O$5:$O$3004,SEL_K,'Giao việc'!$D$5:$D$3004,$A13,'Giao việc'!$Q$5:$Q$3004,"&gt;="&amp;U$8,'Giao việc'!$Q$5:$Q$3004,"&lt;="&amp;U$9,'Giao việc'!$J$5:$J$3004,"&lt;&gt;Bỏ qua"))</f>
        <v/>
      </c>
      <c r="J13" s="37">
        <f>IF(COUNTIFS('Giao việc'!$O$5:$O$3004,SEL_K,'Giao việc'!$D$5:$D$3004,$A13,'Giao việc'!$J$5:$J$3004,"&lt;&gt;Bỏ qua")=0,"",COUNTIFS('Giao việc'!$O$5:$O$3004,SEL_K,'Giao việc'!$D$5:$D$3004,$A13,'Giao việc'!$J$5:$J$3004,"Xong")&amp;" / "&amp;COUNTIFS('Giao việc'!$O$5:$O$3004,SEL_K,'Giao việc'!$D$5:$D$3004,$A13,'Giao việc'!$J$5:$J$3004,"&lt;&gt;Bỏ qua"))</f>
        <v/>
      </c>
      <c r="K13" s="19">
        <f>IF(COUNTIFS('Giao việc'!$O$5:$O$3004,SEL_K,'Giao việc'!$D$5:$D$3004,$A13,'Giao việc'!$J$5:$J$3004,"&lt;&gt;Bỏ qua")=0,"",REPT("█",ROUND(COUNTIFS('Giao việc'!$O$5:$O$3004,SEL_K,'Giao việc'!$D$5:$D$3004,$A13,'Giao việc'!$J$5:$J$3004,"Xong")/COUNTIFS('Giao việc'!$O$5:$O$3004,SEL_K,'Giao việc'!$D$5:$D$3004,$A13,'Giao việc'!$J$5:$J$3004,"&lt;&gt;Bỏ qua")*10,0))&amp;REPT("░",10-ROUND(COUNTIFS('Giao việc'!$O$5:$O$3004,SEL_K,'Giao việc'!$D$5:$D$3004,$A13,'Giao việc'!$J$5:$J$3004,"Xong")/COUNTIFS('Giao việc'!$O$5:$O$3004,SEL_K,'Giao việc'!$D$5:$D$3004,$A13,'Giao việc'!$J$5:$J$3004,"&lt;&gt;Bỏ qua")*10,0)))</f>
        <v/>
      </c>
      <c r="N13">
        <f>IF(COUNTIFS('Giao việc'!$O$5:$O$3004,SEL_K,'Giao việc'!$D$5:$D$3004,$A13,'Giao việc'!$Q$5:$Q$3004,"&gt;="&amp;N$8,'Giao việc'!$Q$5:$Q$3004,"&lt;="&amp;N$9,'Giao việc'!$J$5:$J$3004,"&lt;&gt;Bỏ qua")=0,0,IF(COUNTIFS('Giao việc'!$O$5:$O$3004,SEL_K,'Giao việc'!$D$5:$D$3004,$A13,'Giao việc'!$Q$5:$Q$3004,"&gt;="&amp;N$8,'Giao việc'!$Q$5:$Q$3004,"&lt;="&amp;N$9,'Giao việc'!$J$5:$J$3004,"Xong")=COUNTIFS('Giao việc'!$O$5:$O$3004,SEL_K,'Giao việc'!$D$5:$D$3004,$A13,'Giao việc'!$Q$5:$Q$3004,"&gt;="&amp;N$8,'Giao việc'!$Q$5:$Q$3004,"&lt;="&amp;N$9,'Giao việc'!$J$5:$J$3004,"&lt;&gt;Bỏ qua"),1,IF(COUNTIFS('Giao việc'!$O$5:$O$3004,SEL_K,'Giao việc'!$D$5:$D$3004,$A13,'Giao việc'!$Q$5:$Q$3004,"&gt;="&amp;N$8,'Giao việc'!$Q$5:$Q$3004,"&lt;="&amp;N$9,'Giao việc'!$M$5:$M$3004,"*QUÁ HẠN*")&gt;0,4,IF(COUNTIFS('Giao việc'!$O$5:$O$3004,SEL_K,'Giao việc'!$D$5:$D$3004,$A13,'Giao việc'!$Q$5:$Q$3004,"&gt;="&amp;N$8,'Giao việc'!$Q$5:$Q$3004,"&lt;="&amp;N$9,'Giao việc'!$M$5:$M$3004,"*Đến hạn*")&gt;0,3,2))))</f>
        <v/>
      </c>
      <c r="O13">
        <f>IF(COUNTIFS('Giao việc'!$O$5:$O$3004,SEL_K,'Giao việc'!$D$5:$D$3004,$A13,'Giao việc'!$Q$5:$Q$3004,"&gt;="&amp;O$8,'Giao việc'!$Q$5:$Q$3004,"&lt;="&amp;O$9,'Giao việc'!$J$5:$J$3004,"&lt;&gt;Bỏ qua")=0,0,IF(COUNTIFS('Giao việc'!$O$5:$O$3004,SEL_K,'Giao việc'!$D$5:$D$3004,$A13,'Giao việc'!$Q$5:$Q$3004,"&gt;="&amp;O$8,'Giao việc'!$Q$5:$Q$3004,"&lt;="&amp;O$9,'Giao việc'!$J$5:$J$3004,"Xong")=COUNTIFS('Giao việc'!$O$5:$O$3004,SEL_K,'Giao việc'!$D$5:$D$3004,$A13,'Giao việc'!$Q$5:$Q$3004,"&gt;="&amp;O$8,'Giao việc'!$Q$5:$Q$3004,"&lt;="&amp;O$9,'Giao việc'!$J$5:$J$3004,"&lt;&gt;Bỏ qua"),1,IF(COUNTIFS('Giao việc'!$O$5:$O$3004,SEL_K,'Giao việc'!$D$5:$D$3004,$A13,'Giao việc'!$Q$5:$Q$3004,"&gt;="&amp;O$8,'Giao việc'!$Q$5:$Q$3004,"&lt;="&amp;O$9,'Giao việc'!$M$5:$M$3004,"*QUÁ HẠN*")&gt;0,4,IF(COUNTIFS('Giao việc'!$O$5:$O$3004,SEL_K,'Giao việc'!$D$5:$D$3004,$A13,'Giao việc'!$Q$5:$Q$3004,"&gt;="&amp;O$8,'Giao việc'!$Q$5:$Q$3004,"&lt;="&amp;O$9,'Giao việc'!$M$5:$M$3004,"*Đến hạn*")&gt;0,3,2))))</f>
        <v/>
      </c>
      <c r="P13">
        <f>IF(COUNTIFS('Giao việc'!$O$5:$O$3004,SEL_K,'Giao việc'!$D$5:$D$3004,$A13,'Giao việc'!$Q$5:$Q$3004,"&gt;="&amp;P$8,'Giao việc'!$Q$5:$Q$3004,"&lt;="&amp;P$9,'Giao việc'!$J$5:$J$3004,"&lt;&gt;Bỏ qua")=0,0,IF(COUNTIFS('Giao việc'!$O$5:$O$3004,SEL_K,'Giao việc'!$D$5:$D$3004,$A13,'Giao việc'!$Q$5:$Q$3004,"&gt;="&amp;P$8,'Giao việc'!$Q$5:$Q$3004,"&lt;="&amp;P$9,'Giao việc'!$J$5:$J$3004,"Xong")=COUNTIFS('Giao việc'!$O$5:$O$3004,SEL_K,'Giao việc'!$D$5:$D$3004,$A13,'Giao việc'!$Q$5:$Q$3004,"&gt;="&amp;P$8,'Giao việc'!$Q$5:$Q$3004,"&lt;="&amp;P$9,'Giao việc'!$J$5:$J$3004,"&lt;&gt;Bỏ qua"),1,IF(COUNTIFS('Giao việc'!$O$5:$O$3004,SEL_K,'Giao việc'!$D$5:$D$3004,$A13,'Giao việc'!$Q$5:$Q$3004,"&gt;="&amp;P$8,'Giao việc'!$Q$5:$Q$3004,"&lt;="&amp;P$9,'Giao việc'!$M$5:$M$3004,"*QUÁ HẠN*")&gt;0,4,IF(COUNTIFS('Giao việc'!$O$5:$O$3004,SEL_K,'Giao việc'!$D$5:$D$3004,$A13,'Giao việc'!$Q$5:$Q$3004,"&gt;="&amp;P$8,'Giao việc'!$Q$5:$Q$3004,"&lt;="&amp;P$9,'Giao việc'!$M$5:$M$3004,"*Đến hạn*")&gt;0,3,2))))</f>
        <v/>
      </c>
      <c r="Q13">
        <f>IF(COUNTIFS('Giao việc'!$O$5:$O$3004,SEL_K,'Giao việc'!$D$5:$D$3004,$A13,'Giao việc'!$Q$5:$Q$3004,"&gt;="&amp;Q$8,'Giao việc'!$Q$5:$Q$3004,"&lt;="&amp;Q$9,'Giao việc'!$J$5:$J$3004,"&lt;&gt;Bỏ qua")=0,0,IF(COUNTIFS('Giao việc'!$O$5:$O$3004,SEL_K,'Giao việc'!$D$5:$D$3004,$A13,'Giao việc'!$Q$5:$Q$3004,"&gt;="&amp;Q$8,'Giao việc'!$Q$5:$Q$3004,"&lt;="&amp;Q$9,'Giao việc'!$J$5:$J$3004,"Xong")=COUNTIFS('Giao việc'!$O$5:$O$3004,SEL_K,'Giao việc'!$D$5:$D$3004,$A13,'Giao việc'!$Q$5:$Q$3004,"&gt;="&amp;Q$8,'Giao việc'!$Q$5:$Q$3004,"&lt;="&amp;Q$9,'Giao việc'!$J$5:$J$3004,"&lt;&gt;Bỏ qua"),1,IF(COUNTIFS('Giao việc'!$O$5:$O$3004,SEL_K,'Giao việc'!$D$5:$D$3004,$A13,'Giao việc'!$Q$5:$Q$3004,"&gt;="&amp;Q$8,'Giao việc'!$Q$5:$Q$3004,"&lt;="&amp;Q$9,'Giao việc'!$M$5:$M$3004,"*QUÁ HẠN*")&gt;0,4,IF(COUNTIFS('Giao việc'!$O$5:$O$3004,SEL_K,'Giao việc'!$D$5:$D$3004,$A13,'Giao việc'!$Q$5:$Q$3004,"&gt;="&amp;Q$8,'Giao việc'!$Q$5:$Q$3004,"&lt;="&amp;Q$9,'Giao việc'!$M$5:$M$3004,"*Đến hạn*")&gt;0,3,2))))</f>
        <v/>
      </c>
      <c r="R13">
        <f>IF(COUNTIFS('Giao việc'!$O$5:$O$3004,SEL_K,'Giao việc'!$D$5:$D$3004,$A13,'Giao việc'!$Q$5:$Q$3004,"&gt;="&amp;R$8,'Giao việc'!$Q$5:$Q$3004,"&lt;="&amp;R$9,'Giao việc'!$J$5:$J$3004,"&lt;&gt;Bỏ qua")=0,0,IF(COUNTIFS('Giao việc'!$O$5:$O$3004,SEL_K,'Giao việc'!$D$5:$D$3004,$A13,'Giao việc'!$Q$5:$Q$3004,"&gt;="&amp;R$8,'Giao việc'!$Q$5:$Q$3004,"&lt;="&amp;R$9,'Giao việc'!$J$5:$J$3004,"Xong")=COUNTIFS('Giao việc'!$O$5:$O$3004,SEL_K,'Giao việc'!$D$5:$D$3004,$A13,'Giao việc'!$Q$5:$Q$3004,"&gt;="&amp;R$8,'Giao việc'!$Q$5:$Q$3004,"&lt;="&amp;R$9,'Giao việc'!$J$5:$J$3004,"&lt;&gt;Bỏ qua"),1,IF(COUNTIFS('Giao việc'!$O$5:$O$3004,SEL_K,'Giao việc'!$D$5:$D$3004,$A13,'Giao việc'!$Q$5:$Q$3004,"&gt;="&amp;R$8,'Giao việc'!$Q$5:$Q$3004,"&lt;="&amp;R$9,'Giao việc'!$M$5:$M$3004,"*QUÁ HẠN*")&gt;0,4,IF(COUNTIFS('Giao việc'!$O$5:$O$3004,SEL_K,'Giao việc'!$D$5:$D$3004,$A13,'Giao việc'!$Q$5:$Q$3004,"&gt;="&amp;R$8,'Giao việc'!$Q$5:$Q$3004,"&lt;="&amp;R$9,'Giao việc'!$M$5:$M$3004,"*Đến hạn*")&gt;0,3,2))))</f>
        <v/>
      </c>
      <c r="S13">
        <f>IF(COUNTIFS('Giao việc'!$O$5:$O$3004,SEL_K,'Giao việc'!$D$5:$D$3004,$A13,'Giao việc'!$Q$5:$Q$3004,"&gt;="&amp;S$8,'Giao việc'!$Q$5:$Q$3004,"&lt;="&amp;S$9,'Giao việc'!$J$5:$J$3004,"&lt;&gt;Bỏ qua")=0,0,IF(COUNTIFS('Giao việc'!$O$5:$O$3004,SEL_K,'Giao việc'!$D$5:$D$3004,$A13,'Giao việc'!$Q$5:$Q$3004,"&gt;="&amp;S$8,'Giao việc'!$Q$5:$Q$3004,"&lt;="&amp;S$9,'Giao việc'!$J$5:$J$3004,"Xong")=COUNTIFS('Giao việc'!$O$5:$O$3004,SEL_K,'Giao việc'!$D$5:$D$3004,$A13,'Giao việc'!$Q$5:$Q$3004,"&gt;="&amp;S$8,'Giao việc'!$Q$5:$Q$3004,"&lt;="&amp;S$9,'Giao việc'!$J$5:$J$3004,"&lt;&gt;Bỏ qua"),1,IF(COUNTIFS('Giao việc'!$O$5:$O$3004,SEL_K,'Giao việc'!$D$5:$D$3004,$A13,'Giao việc'!$Q$5:$Q$3004,"&gt;="&amp;S$8,'Giao việc'!$Q$5:$Q$3004,"&lt;="&amp;S$9,'Giao việc'!$M$5:$M$3004,"*QUÁ HẠN*")&gt;0,4,IF(COUNTIFS('Giao việc'!$O$5:$O$3004,SEL_K,'Giao việc'!$D$5:$D$3004,$A13,'Giao việc'!$Q$5:$Q$3004,"&gt;="&amp;S$8,'Giao việc'!$Q$5:$Q$3004,"&lt;="&amp;S$9,'Giao việc'!$M$5:$M$3004,"*Đến hạn*")&gt;0,3,2))))</f>
        <v/>
      </c>
      <c r="T13">
        <f>IF(COUNTIFS('Giao việc'!$O$5:$O$3004,SEL_K,'Giao việc'!$D$5:$D$3004,$A13,'Giao việc'!$Q$5:$Q$3004,"&gt;="&amp;T$8,'Giao việc'!$Q$5:$Q$3004,"&lt;="&amp;T$9,'Giao việc'!$J$5:$J$3004,"&lt;&gt;Bỏ qua")=0,0,IF(COUNTIFS('Giao việc'!$O$5:$O$3004,SEL_K,'Giao việc'!$D$5:$D$3004,$A13,'Giao việc'!$Q$5:$Q$3004,"&gt;="&amp;T$8,'Giao việc'!$Q$5:$Q$3004,"&lt;="&amp;T$9,'Giao việc'!$J$5:$J$3004,"Xong")=COUNTIFS('Giao việc'!$O$5:$O$3004,SEL_K,'Giao việc'!$D$5:$D$3004,$A13,'Giao việc'!$Q$5:$Q$3004,"&gt;="&amp;T$8,'Giao việc'!$Q$5:$Q$3004,"&lt;="&amp;T$9,'Giao việc'!$J$5:$J$3004,"&lt;&gt;Bỏ qua"),1,IF(COUNTIFS('Giao việc'!$O$5:$O$3004,SEL_K,'Giao việc'!$D$5:$D$3004,$A13,'Giao việc'!$Q$5:$Q$3004,"&gt;="&amp;T$8,'Giao việc'!$Q$5:$Q$3004,"&lt;="&amp;T$9,'Giao việc'!$M$5:$M$3004,"*QUÁ HẠN*")&gt;0,4,IF(COUNTIFS('Giao việc'!$O$5:$O$3004,SEL_K,'Giao việc'!$D$5:$D$3004,$A13,'Giao việc'!$Q$5:$Q$3004,"&gt;="&amp;T$8,'Giao việc'!$Q$5:$Q$3004,"&lt;="&amp;T$9,'Giao việc'!$M$5:$M$3004,"*Đến hạn*")&gt;0,3,2))))</f>
        <v/>
      </c>
      <c r="U13">
        <f>IF(COUNTIFS('Giao việc'!$O$5:$O$3004,SEL_K,'Giao việc'!$D$5:$D$3004,$A13,'Giao việc'!$Q$5:$Q$3004,"&gt;="&amp;U$8,'Giao việc'!$Q$5:$Q$3004,"&lt;="&amp;U$9,'Giao việc'!$J$5:$J$3004,"&lt;&gt;Bỏ qua")=0,0,IF(COUNTIFS('Giao việc'!$O$5:$O$3004,SEL_K,'Giao việc'!$D$5:$D$3004,$A13,'Giao việc'!$Q$5:$Q$3004,"&gt;="&amp;U$8,'Giao việc'!$Q$5:$Q$3004,"&lt;="&amp;U$9,'Giao việc'!$J$5:$J$3004,"Xong")=COUNTIFS('Giao việc'!$O$5:$O$3004,SEL_K,'Giao việc'!$D$5:$D$3004,$A13,'Giao việc'!$Q$5:$Q$3004,"&gt;="&amp;U$8,'Giao việc'!$Q$5:$Q$3004,"&lt;="&amp;U$9,'Giao việc'!$J$5:$J$3004,"&lt;&gt;Bỏ qua"),1,IF(COUNTIFS('Giao việc'!$O$5:$O$3004,SEL_K,'Giao việc'!$D$5:$D$3004,$A13,'Giao việc'!$Q$5:$Q$3004,"&gt;="&amp;U$8,'Giao việc'!$Q$5:$Q$3004,"&lt;="&amp;U$9,'Giao việc'!$M$5:$M$3004,"*QUÁ HẠN*")&gt;0,4,IF(COUNTIFS('Giao việc'!$O$5:$O$3004,SEL_K,'Giao việc'!$D$5:$D$3004,$A13,'Giao việc'!$Q$5:$Q$3004,"&gt;="&amp;U$8,'Giao việc'!$Q$5:$Q$3004,"&lt;="&amp;U$9,'Giao việc'!$M$5:$M$3004,"*Đến hạn*")&gt;0,3,2))))</f>
        <v/>
      </c>
    </row>
    <row r="14" ht="20" customHeight="1">
      <c r="A14" s="17" t="inlineStr">
        <is>
          <t>5. Địa điểm &amp; hậu cần</t>
        </is>
      </c>
      <c r="B14" s="36">
        <f>IF(COUNTIFS('Giao việc'!$O$5:$O$3004,SEL_K,'Giao việc'!$D$5:$D$3004,$A14,'Giao việc'!$Q$5:$Q$3004,"&gt;="&amp;N$8,'Giao việc'!$Q$5:$Q$3004,"&lt;="&amp;N$9,'Giao việc'!$J$5:$J$3004,"&lt;&gt;Bỏ qua")=0,"",COUNTIFS('Giao việc'!$O$5:$O$3004,SEL_K,'Giao việc'!$D$5:$D$3004,$A14,'Giao việc'!$Q$5:$Q$3004,"&gt;="&amp;N$8,'Giao việc'!$Q$5:$Q$3004,"&lt;="&amp;N$9,'Giao việc'!$J$5:$J$3004,"Xong")&amp;" / "&amp;COUNTIFS('Giao việc'!$O$5:$O$3004,SEL_K,'Giao việc'!$D$5:$D$3004,$A14,'Giao việc'!$Q$5:$Q$3004,"&gt;="&amp;N$8,'Giao việc'!$Q$5:$Q$3004,"&lt;="&amp;N$9,'Giao việc'!$J$5:$J$3004,"&lt;&gt;Bỏ qua"))</f>
        <v/>
      </c>
      <c r="C14" s="36">
        <f>IF(COUNTIFS('Giao việc'!$O$5:$O$3004,SEL_K,'Giao việc'!$D$5:$D$3004,$A14,'Giao việc'!$Q$5:$Q$3004,"&gt;="&amp;O$8,'Giao việc'!$Q$5:$Q$3004,"&lt;="&amp;O$9,'Giao việc'!$J$5:$J$3004,"&lt;&gt;Bỏ qua")=0,"",COUNTIFS('Giao việc'!$O$5:$O$3004,SEL_K,'Giao việc'!$D$5:$D$3004,$A14,'Giao việc'!$Q$5:$Q$3004,"&gt;="&amp;O$8,'Giao việc'!$Q$5:$Q$3004,"&lt;="&amp;O$9,'Giao việc'!$J$5:$J$3004,"Xong")&amp;" / "&amp;COUNTIFS('Giao việc'!$O$5:$O$3004,SEL_K,'Giao việc'!$D$5:$D$3004,$A14,'Giao việc'!$Q$5:$Q$3004,"&gt;="&amp;O$8,'Giao việc'!$Q$5:$Q$3004,"&lt;="&amp;O$9,'Giao việc'!$J$5:$J$3004,"&lt;&gt;Bỏ qua"))</f>
        <v/>
      </c>
      <c r="D14" s="36">
        <f>IF(COUNTIFS('Giao việc'!$O$5:$O$3004,SEL_K,'Giao việc'!$D$5:$D$3004,$A14,'Giao việc'!$Q$5:$Q$3004,"&gt;="&amp;P$8,'Giao việc'!$Q$5:$Q$3004,"&lt;="&amp;P$9,'Giao việc'!$J$5:$J$3004,"&lt;&gt;Bỏ qua")=0,"",COUNTIFS('Giao việc'!$O$5:$O$3004,SEL_K,'Giao việc'!$D$5:$D$3004,$A14,'Giao việc'!$Q$5:$Q$3004,"&gt;="&amp;P$8,'Giao việc'!$Q$5:$Q$3004,"&lt;="&amp;P$9,'Giao việc'!$J$5:$J$3004,"Xong")&amp;" / "&amp;COUNTIFS('Giao việc'!$O$5:$O$3004,SEL_K,'Giao việc'!$D$5:$D$3004,$A14,'Giao việc'!$Q$5:$Q$3004,"&gt;="&amp;P$8,'Giao việc'!$Q$5:$Q$3004,"&lt;="&amp;P$9,'Giao việc'!$J$5:$J$3004,"&lt;&gt;Bỏ qua"))</f>
        <v/>
      </c>
      <c r="E14" s="36">
        <f>IF(COUNTIFS('Giao việc'!$O$5:$O$3004,SEL_K,'Giao việc'!$D$5:$D$3004,$A14,'Giao việc'!$Q$5:$Q$3004,"&gt;="&amp;Q$8,'Giao việc'!$Q$5:$Q$3004,"&lt;="&amp;Q$9,'Giao việc'!$J$5:$J$3004,"&lt;&gt;Bỏ qua")=0,"",COUNTIFS('Giao việc'!$O$5:$O$3004,SEL_K,'Giao việc'!$D$5:$D$3004,$A14,'Giao việc'!$Q$5:$Q$3004,"&gt;="&amp;Q$8,'Giao việc'!$Q$5:$Q$3004,"&lt;="&amp;Q$9,'Giao việc'!$J$5:$J$3004,"Xong")&amp;" / "&amp;COUNTIFS('Giao việc'!$O$5:$O$3004,SEL_K,'Giao việc'!$D$5:$D$3004,$A14,'Giao việc'!$Q$5:$Q$3004,"&gt;="&amp;Q$8,'Giao việc'!$Q$5:$Q$3004,"&lt;="&amp;Q$9,'Giao việc'!$J$5:$J$3004,"&lt;&gt;Bỏ qua"))</f>
        <v/>
      </c>
      <c r="F14" s="36">
        <f>IF(COUNTIFS('Giao việc'!$O$5:$O$3004,SEL_K,'Giao việc'!$D$5:$D$3004,$A14,'Giao việc'!$Q$5:$Q$3004,"&gt;="&amp;R$8,'Giao việc'!$Q$5:$Q$3004,"&lt;="&amp;R$9,'Giao việc'!$J$5:$J$3004,"&lt;&gt;Bỏ qua")=0,"",COUNTIFS('Giao việc'!$O$5:$O$3004,SEL_K,'Giao việc'!$D$5:$D$3004,$A14,'Giao việc'!$Q$5:$Q$3004,"&gt;="&amp;R$8,'Giao việc'!$Q$5:$Q$3004,"&lt;="&amp;R$9,'Giao việc'!$J$5:$J$3004,"Xong")&amp;" / "&amp;COUNTIFS('Giao việc'!$O$5:$O$3004,SEL_K,'Giao việc'!$D$5:$D$3004,$A14,'Giao việc'!$Q$5:$Q$3004,"&gt;="&amp;R$8,'Giao việc'!$Q$5:$Q$3004,"&lt;="&amp;R$9,'Giao việc'!$J$5:$J$3004,"&lt;&gt;Bỏ qua"))</f>
        <v/>
      </c>
      <c r="G14" s="36">
        <f>IF(COUNTIFS('Giao việc'!$O$5:$O$3004,SEL_K,'Giao việc'!$D$5:$D$3004,$A14,'Giao việc'!$Q$5:$Q$3004,"&gt;="&amp;S$8,'Giao việc'!$Q$5:$Q$3004,"&lt;="&amp;S$9,'Giao việc'!$J$5:$J$3004,"&lt;&gt;Bỏ qua")=0,"",COUNTIFS('Giao việc'!$O$5:$O$3004,SEL_K,'Giao việc'!$D$5:$D$3004,$A14,'Giao việc'!$Q$5:$Q$3004,"&gt;="&amp;S$8,'Giao việc'!$Q$5:$Q$3004,"&lt;="&amp;S$9,'Giao việc'!$J$5:$J$3004,"Xong")&amp;" / "&amp;COUNTIFS('Giao việc'!$O$5:$O$3004,SEL_K,'Giao việc'!$D$5:$D$3004,$A14,'Giao việc'!$Q$5:$Q$3004,"&gt;="&amp;S$8,'Giao việc'!$Q$5:$Q$3004,"&lt;="&amp;S$9,'Giao việc'!$J$5:$J$3004,"&lt;&gt;Bỏ qua"))</f>
        <v/>
      </c>
      <c r="H14" s="36">
        <f>IF(COUNTIFS('Giao việc'!$O$5:$O$3004,SEL_K,'Giao việc'!$D$5:$D$3004,$A14,'Giao việc'!$Q$5:$Q$3004,"&gt;="&amp;T$8,'Giao việc'!$Q$5:$Q$3004,"&lt;="&amp;T$9,'Giao việc'!$J$5:$J$3004,"&lt;&gt;Bỏ qua")=0,"",COUNTIFS('Giao việc'!$O$5:$O$3004,SEL_K,'Giao việc'!$D$5:$D$3004,$A14,'Giao việc'!$Q$5:$Q$3004,"&gt;="&amp;T$8,'Giao việc'!$Q$5:$Q$3004,"&lt;="&amp;T$9,'Giao việc'!$J$5:$J$3004,"Xong")&amp;" / "&amp;COUNTIFS('Giao việc'!$O$5:$O$3004,SEL_K,'Giao việc'!$D$5:$D$3004,$A14,'Giao việc'!$Q$5:$Q$3004,"&gt;="&amp;T$8,'Giao việc'!$Q$5:$Q$3004,"&lt;="&amp;T$9,'Giao việc'!$J$5:$J$3004,"&lt;&gt;Bỏ qua"))</f>
        <v/>
      </c>
      <c r="I14" s="36">
        <f>IF(COUNTIFS('Giao việc'!$O$5:$O$3004,SEL_K,'Giao việc'!$D$5:$D$3004,$A14,'Giao việc'!$Q$5:$Q$3004,"&gt;="&amp;U$8,'Giao việc'!$Q$5:$Q$3004,"&lt;="&amp;U$9,'Giao việc'!$J$5:$J$3004,"&lt;&gt;Bỏ qua")=0,"",COUNTIFS('Giao việc'!$O$5:$O$3004,SEL_K,'Giao việc'!$D$5:$D$3004,$A14,'Giao việc'!$Q$5:$Q$3004,"&gt;="&amp;U$8,'Giao việc'!$Q$5:$Q$3004,"&lt;="&amp;U$9,'Giao việc'!$J$5:$J$3004,"Xong")&amp;" / "&amp;COUNTIFS('Giao việc'!$O$5:$O$3004,SEL_K,'Giao việc'!$D$5:$D$3004,$A14,'Giao việc'!$Q$5:$Q$3004,"&gt;="&amp;U$8,'Giao việc'!$Q$5:$Q$3004,"&lt;="&amp;U$9,'Giao việc'!$J$5:$J$3004,"&lt;&gt;Bỏ qua"))</f>
        <v/>
      </c>
      <c r="J14" s="37">
        <f>IF(COUNTIFS('Giao việc'!$O$5:$O$3004,SEL_K,'Giao việc'!$D$5:$D$3004,$A14,'Giao việc'!$J$5:$J$3004,"&lt;&gt;Bỏ qua")=0,"",COUNTIFS('Giao việc'!$O$5:$O$3004,SEL_K,'Giao việc'!$D$5:$D$3004,$A14,'Giao việc'!$J$5:$J$3004,"Xong")&amp;" / "&amp;COUNTIFS('Giao việc'!$O$5:$O$3004,SEL_K,'Giao việc'!$D$5:$D$3004,$A14,'Giao việc'!$J$5:$J$3004,"&lt;&gt;Bỏ qua"))</f>
        <v/>
      </c>
      <c r="K14" s="19">
        <f>IF(COUNTIFS('Giao việc'!$O$5:$O$3004,SEL_K,'Giao việc'!$D$5:$D$3004,$A14,'Giao việc'!$J$5:$J$3004,"&lt;&gt;Bỏ qua")=0,"",REPT("█",ROUND(COUNTIFS('Giao việc'!$O$5:$O$3004,SEL_K,'Giao việc'!$D$5:$D$3004,$A14,'Giao việc'!$J$5:$J$3004,"Xong")/COUNTIFS('Giao việc'!$O$5:$O$3004,SEL_K,'Giao việc'!$D$5:$D$3004,$A14,'Giao việc'!$J$5:$J$3004,"&lt;&gt;Bỏ qua")*10,0))&amp;REPT("░",10-ROUND(COUNTIFS('Giao việc'!$O$5:$O$3004,SEL_K,'Giao việc'!$D$5:$D$3004,$A14,'Giao việc'!$J$5:$J$3004,"Xong")/COUNTIFS('Giao việc'!$O$5:$O$3004,SEL_K,'Giao việc'!$D$5:$D$3004,$A14,'Giao việc'!$J$5:$J$3004,"&lt;&gt;Bỏ qua")*10,0)))</f>
        <v/>
      </c>
      <c r="N14">
        <f>IF(COUNTIFS('Giao việc'!$O$5:$O$3004,SEL_K,'Giao việc'!$D$5:$D$3004,$A14,'Giao việc'!$Q$5:$Q$3004,"&gt;="&amp;N$8,'Giao việc'!$Q$5:$Q$3004,"&lt;="&amp;N$9,'Giao việc'!$J$5:$J$3004,"&lt;&gt;Bỏ qua")=0,0,IF(COUNTIFS('Giao việc'!$O$5:$O$3004,SEL_K,'Giao việc'!$D$5:$D$3004,$A14,'Giao việc'!$Q$5:$Q$3004,"&gt;="&amp;N$8,'Giao việc'!$Q$5:$Q$3004,"&lt;="&amp;N$9,'Giao việc'!$J$5:$J$3004,"Xong")=COUNTIFS('Giao việc'!$O$5:$O$3004,SEL_K,'Giao việc'!$D$5:$D$3004,$A14,'Giao việc'!$Q$5:$Q$3004,"&gt;="&amp;N$8,'Giao việc'!$Q$5:$Q$3004,"&lt;="&amp;N$9,'Giao việc'!$J$5:$J$3004,"&lt;&gt;Bỏ qua"),1,IF(COUNTIFS('Giao việc'!$O$5:$O$3004,SEL_K,'Giao việc'!$D$5:$D$3004,$A14,'Giao việc'!$Q$5:$Q$3004,"&gt;="&amp;N$8,'Giao việc'!$Q$5:$Q$3004,"&lt;="&amp;N$9,'Giao việc'!$M$5:$M$3004,"*QUÁ HẠN*")&gt;0,4,IF(COUNTIFS('Giao việc'!$O$5:$O$3004,SEL_K,'Giao việc'!$D$5:$D$3004,$A14,'Giao việc'!$Q$5:$Q$3004,"&gt;="&amp;N$8,'Giao việc'!$Q$5:$Q$3004,"&lt;="&amp;N$9,'Giao việc'!$M$5:$M$3004,"*Đến hạn*")&gt;0,3,2))))</f>
        <v/>
      </c>
      <c r="O14">
        <f>IF(COUNTIFS('Giao việc'!$O$5:$O$3004,SEL_K,'Giao việc'!$D$5:$D$3004,$A14,'Giao việc'!$Q$5:$Q$3004,"&gt;="&amp;O$8,'Giao việc'!$Q$5:$Q$3004,"&lt;="&amp;O$9,'Giao việc'!$J$5:$J$3004,"&lt;&gt;Bỏ qua")=0,0,IF(COUNTIFS('Giao việc'!$O$5:$O$3004,SEL_K,'Giao việc'!$D$5:$D$3004,$A14,'Giao việc'!$Q$5:$Q$3004,"&gt;="&amp;O$8,'Giao việc'!$Q$5:$Q$3004,"&lt;="&amp;O$9,'Giao việc'!$J$5:$J$3004,"Xong")=COUNTIFS('Giao việc'!$O$5:$O$3004,SEL_K,'Giao việc'!$D$5:$D$3004,$A14,'Giao việc'!$Q$5:$Q$3004,"&gt;="&amp;O$8,'Giao việc'!$Q$5:$Q$3004,"&lt;="&amp;O$9,'Giao việc'!$J$5:$J$3004,"&lt;&gt;Bỏ qua"),1,IF(COUNTIFS('Giao việc'!$O$5:$O$3004,SEL_K,'Giao việc'!$D$5:$D$3004,$A14,'Giao việc'!$Q$5:$Q$3004,"&gt;="&amp;O$8,'Giao việc'!$Q$5:$Q$3004,"&lt;="&amp;O$9,'Giao việc'!$M$5:$M$3004,"*QUÁ HẠN*")&gt;0,4,IF(COUNTIFS('Giao việc'!$O$5:$O$3004,SEL_K,'Giao việc'!$D$5:$D$3004,$A14,'Giao việc'!$Q$5:$Q$3004,"&gt;="&amp;O$8,'Giao việc'!$Q$5:$Q$3004,"&lt;="&amp;O$9,'Giao việc'!$M$5:$M$3004,"*Đến hạn*")&gt;0,3,2))))</f>
        <v/>
      </c>
      <c r="P14">
        <f>IF(COUNTIFS('Giao việc'!$O$5:$O$3004,SEL_K,'Giao việc'!$D$5:$D$3004,$A14,'Giao việc'!$Q$5:$Q$3004,"&gt;="&amp;P$8,'Giao việc'!$Q$5:$Q$3004,"&lt;="&amp;P$9,'Giao việc'!$J$5:$J$3004,"&lt;&gt;Bỏ qua")=0,0,IF(COUNTIFS('Giao việc'!$O$5:$O$3004,SEL_K,'Giao việc'!$D$5:$D$3004,$A14,'Giao việc'!$Q$5:$Q$3004,"&gt;="&amp;P$8,'Giao việc'!$Q$5:$Q$3004,"&lt;="&amp;P$9,'Giao việc'!$J$5:$J$3004,"Xong")=COUNTIFS('Giao việc'!$O$5:$O$3004,SEL_K,'Giao việc'!$D$5:$D$3004,$A14,'Giao việc'!$Q$5:$Q$3004,"&gt;="&amp;P$8,'Giao việc'!$Q$5:$Q$3004,"&lt;="&amp;P$9,'Giao việc'!$J$5:$J$3004,"&lt;&gt;Bỏ qua"),1,IF(COUNTIFS('Giao việc'!$O$5:$O$3004,SEL_K,'Giao việc'!$D$5:$D$3004,$A14,'Giao việc'!$Q$5:$Q$3004,"&gt;="&amp;P$8,'Giao việc'!$Q$5:$Q$3004,"&lt;="&amp;P$9,'Giao việc'!$M$5:$M$3004,"*QUÁ HẠN*")&gt;0,4,IF(COUNTIFS('Giao việc'!$O$5:$O$3004,SEL_K,'Giao việc'!$D$5:$D$3004,$A14,'Giao việc'!$Q$5:$Q$3004,"&gt;="&amp;P$8,'Giao việc'!$Q$5:$Q$3004,"&lt;="&amp;P$9,'Giao việc'!$M$5:$M$3004,"*Đến hạn*")&gt;0,3,2))))</f>
        <v/>
      </c>
      <c r="Q14">
        <f>IF(COUNTIFS('Giao việc'!$O$5:$O$3004,SEL_K,'Giao việc'!$D$5:$D$3004,$A14,'Giao việc'!$Q$5:$Q$3004,"&gt;="&amp;Q$8,'Giao việc'!$Q$5:$Q$3004,"&lt;="&amp;Q$9,'Giao việc'!$J$5:$J$3004,"&lt;&gt;Bỏ qua")=0,0,IF(COUNTIFS('Giao việc'!$O$5:$O$3004,SEL_K,'Giao việc'!$D$5:$D$3004,$A14,'Giao việc'!$Q$5:$Q$3004,"&gt;="&amp;Q$8,'Giao việc'!$Q$5:$Q$3004,"&lt;="&amp;Q$9,'Giao việc'!$J$5:$J$3004,"Xong")=COUNTIFS('Giao việc'!$O$5:$O$3004,SEL_K,'Giao việc'!$D$5:$D$3004,$A14,'Giao việc'!$Q$5:$Q$3004,"&gt;="&amp;Q$8,'Giao việc'!$Q$5:$Q$3004,"&lt;="&amp;Q$9,'Giao việc'!$J$5:$J$3004,"&lt;&gt;Bỏ qua"),1,IF(COUNTIFS('Giao việc'!$O$5:$O$3004,SEL_K,'Giao việc'!$D$5:$D$3004,$A14,'Giao việc'!$Q$5:$Q$3004,"&gt;="&amp;Q$8,'Giao việc'!$Q$5:$Q$3004,"&lt;="&amp;Q$9,'Giao việc'!$M$5:$M$3004,"*QUÁ HẠN*")&gt;0,4,IF(COUNTIFS('Giao việc'!$O$5:$O$3004,SEL_K,'Giao việc'!$D$5:$D$3004,$A14,'Giao việc'!$Q$5:$Q$3004,"&gt;="&amp;Q$8,'Giao việc'!$Q$5:$Q$3004,"&lt;="&amp;Q$9,'Giao việc'!$M$5:$M$3004,"*Đến hạn*")&gt;0,3,2))))</f>
        <v/>
      </c>
      <c r="R14">
        <f>IF(COUNTIFS('Giao việc'!$O$5:$O$3004,SEL_K,'Giao việc'!$D$5:$D$3004,$A14,'Giao việc'!$Q$5:$Q$3004,"&gt;="&amp;R$8,'Giao việc'!$Q$5:$Q$3004,"&lt;="&amp;R$9,'Giao việc'!$J$5:$J$3004,"&lt;&gt;Bỏ qua")=0,0,IF(COUNTIFS('Giao việc'!$O$5:$O$3004,SEL_K,'Giao việc'!$D$5:$D$3004,$A14,'Giao việc'!$Q$5:$Q$3004,"&gt;="&amp;R$8,'Giao việc'!$Q$5:$Q$3004,"&lt;="&amp;R$9,'Giao việc'!$J$5:$J$3004,"Xong")=COUNTIFS('Giao việc'!$O$5:$O$3004,SEL_K,'Giao việc'!$D$5:$D$3004,$A14,'Giao việc'!$Q$5:$Q$3004,"&gt;="&amp;R$8,'Giao việc'!$Q$5:$Q$3004,"&lt;="&amp;R$9,'Giao việc'!$J$5:$J$3004,"&lt;&gt;Bỏ qua"),1,IF(COUNTIFS('Giao việc'!$O$5:$O$3004,SEL_K,'Giao việc'!$D$5:$D$3004,$A14,'Giao việc'!$Q$5:$Q$3004,"&gt;="&amp;R$8,'Giao việc'!$Q$5:$Q$3004,"&lt;="&amp;R$9,'Giao việc'!$M$5:$M$3004,"*QUÁ HẠN*")&gt;0,4,IF(COUNTIFS('Giao việc'!$O$5:$O$3004,SEL_K,'Giao việc'!$D$5:$D$3004,$A14,'Giao việc'!$Q$5:$Q$3004,"&gt;="&amp;R$8,'Giao việc'!$Q$5:$Q$3004,"&lt;="&amp;R$9,'Giao việc'!$M$5:$M$3004,"*Đến hạn*")&gt;0,3,2))))</f>
        <v/>
      </c>
      <c r="S14">
        <f>IF(COUNTIFS('Giao việc'!$O$5:$O$3004,SEL_K,'Giao việc'!$D$5:$D$3004,$A14,'Giao việc'!$Q$5:$Q$3004,"&gt;="&amp;S$8,'Giao việc'!$Q$5:$Q$3004,"&lt;="&amp;S$9,'Giao việc'!$J$5:$J$3004,"&lt;&gt;Bỏ qua")=0,0,IF(COUNTIFS('Giao việc'!$O$5:$O$3004,SEL_K,'Giao việc'!$D$5:$D$3004,$A14,'Giao việc'!$Q$5:$Q$3004,"&gt;="&amp;S$8,'Giao việc'!$Q$5:$Q$3004,"&lt;="&amp;S$9,'Giao việc'!$J$5:$J$3004,"Xong")=COUNTIFS('Giao việc'!$O$5:$O$3004,SEL_K,'Giao việc'!$D$5:$D$3004,$A14,'Giao việc'!$Q$5:$Q$3004,"&gt;="&amp;S$8,'Giao việc'!$Q$5:$Q$3004,"&lt;="&amp;S$9,'Giao việc'!$J$5:$J$3004,"&lt;&gt;Bỏ qua"),1,IF(COUNTIFS('Giao việc'!$O$5:$O$3004,SEL_K,'Giao việc'!$D$5:$D$3004,$A14,'Giao việc'!$Q$5:$Q$3004,"&gt;="&amp;S$8,'Giao việc'!$Q$5:$Q$3004,"&lt;="&amp;S$9,'Giao việc'!$M$5:$M$3004,"*QUÁ HẠN*")&gt;0,4,IF(COUNTIFS('Giao việc'!$O$5:$O$3004,SEL_K,'Giao việc'!$D$5:$D$3004,$A14,'Giao việc'!$Q$5:$Q$3004,"&gt;="&amp;S$8,'Giao việc'!$Q$5:$Q$3004,"&lt;="&amp;S$9,'Giao việc'!$M$5:$M$3004,"*Đến hạn*")&gt;0,3,2))))</f>
        <v/>
      </c>
      <c r="T14">
        <f>IF(COUNTIFS('Giao việc'!$O$5:$O$3004,SEL_K,'Giao việc'!$D$5:$D$3004,$A14,'Giao việc'!$Q$5:$Q$3004,"&gt;="&amp;T$8,'Giao việc'!$Q$5:$Q$3004,"&lt;="&amp;T$9,'Giao việc'!$J$5:$J$3004,"&lt;&gt;Bỏ qua")=0,0,IF(COUNTIFS('Giao việc'!$O$5:$O$3004,SEL_K,'Giao việc'!$D$5:$D$3004,$A14,'Giao việc'!$Q$5:$Q$3004,"&gt;="&amp;T$8,'Giao việc'!$Q$5:$Q$3004,"&lt;="&amp;T$9,'Giao việc'!$J$5:$J$3004,"Xong")=COUNTIFS('Giao việc'!$O$5:$O$3004,SEL_K,'Giao việc'!$D$5:$D$3004,$A14,'Giao việc'!$Q$5:$Q$3004,"&gt;="&amp;T$8,'Giao việc'!$Q$5:$Q$3004,"&lt;="&amp;T$9,'Giao việc'!$J$5:$J$3004,"&lt;&gt;Bỏ qua"),1,IF(COUNTIFS('Giao việc'!$O$5:$O$3004,SEL_K,'Giao việc'!$D$5:$D$3004,$A14,'Giao việc'!$Q$5:$Q$3004,"&gt;="&amp;T$8,'Giao việc'!$Q$5:$Q$3004,"&lt;="&amp;T$9,'Giao việc'!$M$5:$M$3004,"*QUÁ HẠN*")&gt;0,4,IF(COUNTIFS('Giao việc'!$O$5:$O$3004,SEL_K,'Giao việc'!$D$5:$D$3004,$A14,'Giao việc'!$Q$5:$Q$3004,"&gt;="&amp;T$8,'Giao việc'!$Q$5:$Q$3004,"&lt;="&amp;T$9,'Giao việc'!$M$5:$M$3004,"*Đến hạn*")&gt;0,3,2))))</f>
        <v/>
      </c>
      <c r="U14">
        <f>IF(COUNTIFS('Giao việc'!$O$5:$O$3004,SEL_K,'Giao việc'!$D$5:$D$3004,$A14,'Giao việc'!$Q$5:$Q$3004,"&gt;="&amp;U$8,'Giao việc'!$Q$5:$Q$3004,"&lt;="&amp;U$9,'Giao việc'!$J$5:$J$3004,"&lt;&gt;Bỏ qua")=0,0,IF(COUNTIFS('Giao việc'!$O$5:$O$3004,SEL_K,'Giao việc'!$D$5:$D$3004,$A14,'Giao việc'!$Q$5:$Q$3004,"&gt;="&amp;U$8,'Giao việc'!$Q$5:$Q$3004,"&lt;="&amp;U$9,'Giao việc'!$J$5:$J$3004,"Xong")=COUNTIFS('Giao việc'!$O$5:$O$3004,SEL_K,'Giao việc'!$D$5:$D$3004,$A14,'Giao việc'!$Q$5:$Q$3004,"&gt;="&amp;U$8,'Giao việc'!$Q$5:$Q$3004,"&lt;="&amp;U$9,'Giao việc'!$J$5:$J$3004,"&lt;&gt;Bỏ qua"),1,IF(COUNTIFS('Giao việc'!$O$5:$O$3004,SEL_K,'Giao việc'!$D$5:$D$3004,$A14,'Giao việc'!$Q$5:$Q$3004,"&gt;="&amp;U$8,'Giao việc'!$Q$5:$Q$3004,"&lt;="&amp;U$9,'Giao việc'!$M$5:$M$3004,"*QUÁ HẠN*")&gt;0,4,IF(COUNTIFS('Giao việc'!$O$5:$O$3004,SEL_K,'Giao việc'!$D$5:$D$3004,$A14,'Giao việc'!$Q$5:$Q$3004,"&gt;="&amp;U$8,'Giao việc'!$Q$5:$Q$3004,"&lt;="&amp;U$9,'Giao việc'!$M$5:$M$3004,"*Đến hạn*")&gt;0,3,2))))</f>
        <v/>
      </c>
    </row>
    <row r="15" ht="20" customHeight="1">
      <c r="A15" s="17" t="inlineStr">
        <is>
          <t>6. Nội dung</t>
        </is>
      </c>
      <c r="B15" s="36">
        <f>IF(COUNTIFS('Giao việc'!$O$5:$O$3004,SEL_K,'Giao việc'!$D$5:$D$3004,$A15,'Giao việc'!$Q$5:$Q$3004,"&gt;="&amp;N$8,'Giao việc'!$Q$5:$Q$3004,"&lt;="&amp;N$9,'Giao việc'!$J$5:$J$3004,"&lt;&gt;Bỏ qua")=0,"",COUNTIFS('Giao việc'!$O$5:$O$3004,SEL_K,'Giao việc'!$D$5:$D$3004,$A15,'Giao việc'!$Q$5:$Q$3004,"&gt;="&amp;N$8,'Giao việc'!$Q$5:$Q$3004,"&lt;="&amp;N$9,'Giao việc'!$J$5:$J$3004,"Xong")&amp;" / "&amp;COUNTIFS('Giao việc'!$O$5:$O$3004,SEL_K,'Giao việc'!$D$5:$D$3004,$A15,'Giao việc'!$Q$5:$Q$3004,"&gt;="&amp;N$8,'Giao việc'!$Q$5:$Q$3004,"&lt;="&amp;N$9,'Giao việc'!$J$5:$J$3004,"&lt;&gt;Bỏ qua"))</f>
        <v/>
      </c>
      <c r="C15" s="36">
        <f>IF(COUNTIFS('Giao việc'!$O$5:$O$3004,SEL_K,'Giao việc'!$D$5:$D$3004,$A15,'Giao việc'!$Q$5:$Q$3004,"&gt;="&amp;O$8,'Giao việc'!$Q$5:$Q$3004,"&lt;="&amp;O$9,'Giao việc'!$J$5:$J$3004,"&lt;&gt;Bỏ qua")=0,"",COUNTIFS('Giao việc'!$O$5:$O$3004,SEL_K,'Giao việc'!$D$5:$D$3004,$A15,'Giao việc'!$Q$5:$Q$3004,"&gt;="&amp;O$8,'Giao việc'!$Q$5:$Q$3004,"&lt;="&amp;O$9,'Giao việc'!$J$5:$J$3004,"Xong")&amp;" / "&amp;COUNTIFS('Giao việc'!$O$5:$O$3004,SEL_K,'Giao việc'!$D$5:$D$3004,$A15,'Giao việc'!$Q$5:$Q$3004,"&gt;="&amp;O$8,'Giao việc'!$Q$5:$Q$3004,"&lt;="&amp;O$9,'Giao việc'!$J$5:$J$3004,"&lt;&gt;Bỏ qua"))</f>
        <v/>
      </c>
      <c r="D15" s="36">
        <f>IF(COUNTIFS('Giao việc'!$O$5:$O$3004,SEL_K,'Giao việc'!$D$5:$D$3004,$A15,'Giao việc'!$Q$5:$Q$3004,"&gt;="&amp;P$8,'Giao việc'!$Q$5:$Q$3004,"&lt;="&amp;P$9,'Giao việc'!$J$5:$J$3004,"&lt;&gt;Bỏ qua")=0,"",COUNTIFS('Giao việc'!$O$5:$O$3004,SEL_K,'Giao việc'!$D$5:$D$3004,$A15,'Giao việc'!$Q$5:$Q$3004,"&gt;="&amp;P$8,'Giao việc'!$Q$5:$Q$3004,"&lt;="&amp;P$9,'Giao việc'!$J$5:$J$3004,"Xong")&amp;" / "&amp;COUNTIFS('Giao việc'!$O$5:$O$3004,SEL_K,'Giao việc'!$D$5:$D$3004,$A15,'Giao việc'!$Q$5:$Q$3004,"&gt;="&amp;P$8,'Giao việc'!$Q$5:$Q$3004,"&lt;="&amp;P$9,'Giao việc'!$J$5:$J$3004,"&lt;&gt;Bỏ qua"))</f>
        <v/>
      </c>
      <c r="E15" s="36">
        <f>IF(COUNTIFS('Giao việc'!$O$5:$O$3004,SEL_K,'Giao việc'!$D$5:$D$3004,$A15,'Giao việc'!$Q$5:$Q$3004,"&gt;="&amp;Q$8,'Giao việc'!$Q$5:$Q$3004,"&lt;="&amp;Q$9,'Giao việc'!$J$5:$J$3004,"&lt;&gt;Bỏ qua")=0,"",COUNTIFS('Giao việc'!$O$5:$O$3004,SEL_K,'Giao việc'!$D$5:$D$3004,$A15,'Giao việc'!$Q$5:$Q$3004,"&gt;="&amp;Q$8,'Giao việc'!$Q$5:$Q$3004,"&lt;="&amp;Q$9,'Giao việc'!$J$5:$J$3004,"Xong")&amp;" / "&amp;COUNTIFS('Giao việc'!$O$5:$O$3004,SEL_K,'Giao việc'!$D$5:$D$3004,$A15,'Giao việc'!$Q$5:$Q$3004,"&gt;="&amp;Q$8,'Giao việc'!$Q$5:$Q$3004,"&lt;="&amp;Q$9,'Giao việc'!$J$5:$J$3004,"&lt;&gt;Bỏ qua"))</f>
        <v/>
      </c>
      <c r="F15" s="36">
        <f>IF(COUNTIFS('Giao việc'!$O$5:$O$3004,SEL_K,'Giao việc'!$D$5:$D$3004,$A15,'Giao việc'!$Q$5:$Q$3004,"&gt;="&amp;R$8,'Giao việc'!$Q$5:$Q$3004,"&lt;="&amp;R$9,'Giao việc'!$J$5:$J$3004,"&lt;&gt;Bỏ qua")=0,"",COUNTIFS('Giao việc'!$O$5:$O$3004,SEL_K,'Giao việc'!$D$5:$D$3004,$A15,'Giao việc'!$Q$5:$Q$3004,"&gt;="&amp;R$8,'Giao việc'!$Q$5:$Q$3004,"&lt;="&amp;R$9,'Giao việc'!$J$5:$J$3004,"Xong")&amp;" / "&amp;COUNTIFS('Giao việc'!$O$5:$O$3004,SEL_K,'Giao việc'!$D$5:$D$3004,$A15,'Giao việc'!$Q$5:$Q$3004,"&gt;="&amp;R$8,'Giao việc'!$Q$5:$Q$3004,"&lt;="&amp;R$9,'Giao việc'!$J$5:$J$3004,"&lt;&gt;Bỏ qua"))</f>
        <v/>
      </c>
      <c r="G15" s="36">
        <f>IF(COUNTIFS('Giao việc'!$O$5:$O$3004,SEL_K,'Giao việc'!$D$5:$D$3004,$A15,'Giao việc'!$Q$5:$Q$3004,"&gt;="&amp;S$8,'Giao việc'!$Q$5:$Q$3004,"&lt;="&amp;S$9,'Giao việc'!$J$5:$J$3004,"&lt;&gt;Bỏ qua")=0,"",COUNTIFS('Giao việc'!$O$5:$O$3004,SEL_K,'Giao việc'!$D$5:$D$3004,$A15,'Giao việc'!$Q$5:$Q$3004,"&gt;="&amp;S$8,'Giao việc'!$Q$5:$Q$3004,"&lt;="&amp;S$9,'Giao việc'!$J$5:$J$3004,"Xong")&amp;" / "&amp;COUNTIFS('Giao việc'!$O$5:$O$3004,SEL_K,'Giao việc'!$D$5:$D$3004,$A15,'Giao việc'!$Q$5:$Q$3004,"&gt;="&amp;S$8,'Giao việc'!$Q$5:$Q$3004,"&lt;="&amp;S$9,'Giao việc'!$J$5:$J$3004,"&lt;&gt;Bỏ qua"))</f>
        <v/>
      </c>
      <c r="H15" s="36">
        <f>IF(COUNTIFS('Giao việc'!$O$5:$O$3004,SEL_K,'Giao việc'!$D$5:$D$3004,$A15,'Giao việc'!$Q$5:$Q$3004,"&gt;="&amp;T$8,'Giao việc'!$Q$5:$Q$3004,"&lt;="&amp;T$9,'Giao việc'!$J$5:$J$3004,"&lt;&gt;Bỏ qua")=0,"",COUNTIFS('Giao việc'!$O$5:$O$3004,SEL_K,'Giao việc'!$D$5:$D$3004,$A15,'Giao việc'!$Q$5:$Q$3004,"&gt;="&amp;T$8,'Giao việc'!$Q$5:$Q$3004,"&lt;="&amp;T$9,'Giao việc'!$J$5:$J$3004,"Xong")&amp;" / "&amp;COUNTIFS('Giao việc'!$O$5:$O$3004,SEL_K,'Giao việc'!$D$5:$D$3004,$A15,'Giao việc'!$Q$5:$Q$3004,"&gt;="&amp;T$8,'Giao việc'!$Q$5:$Q$3004,"&lt;="&amp;T$9,'Giao việc'!$J$5:$J$3004,"&lt;&gt;Bỏ qua"))</f>
        <v/>
      </c>
      <c r="I15" s="36">
        <f>IF(COUNTIFS('Giao việc'!$O$5:$O$3004,SEL_K,'Giao việc'!$D$5:$D$3004,$A15,'Giao việc'!$Q$5:$Q$3004,"&gt;="&amp;U$8,'Giao việc'!$Q$5:$Q$3004,"&lt;="&amp;U$9,'Giao việc'!$J$5:$J$3004,"&lt;&gt;Bỏ qua")=0,"",COUNTIFS('Giao việc'!$O$5:$O$3004,SEL_K,'Giao việc'!$D$5:$D$3004,$A15,'Giao việc'!$Q$5:$Q$3004,"&gt;="&amp;U$8,'Giao việc'!$Q$5:$Q$3004,"&lt;="&amp;U$9,'Giao việc'!$J$5:$J$3004,"Xong")&amp;" / "&amp;COUNTIFS('Giao việc'!$O$5:$O$3004,SEL_K,'Giao việc'!$D$5:$D$3004,$A15,'Giao việc'!$Q$5:$Q$3004,"&gt;="&amp;U$8,'Giao việc'!$Q$5:$Q$3004,"&lt;="&amp;U$9,'Giao việc'!$J$5:$J$3004,"&lt;&gt;Bỏ qua"))</f>
        <v/>
      </c>
      <c r="J15" s="37">
        <f>IF(COUNTIFS('Giao việc'!$O$5:$O$3004,SEL_K,'Giao việc'!$D$5:$D$3004,$A15,'Giao việc'!$J$5:$J$3004,"&lt;&gt;Bỏ qua")=0,"",COUNTIFS('Giao việc'!$O$5:$O$3004,SEL_K,'Giao việc'!$D$5:$D$3004,$A15,'Giao việc'!$J$5:$J$3004,"Xong")&amp;" / "&amp;COUNTIFS('Giao việc'!$O$5:$O$3004,SEL_K,'Giao việc'!$D$5:$D$3004,$A15,'Giao việc'!$J$5:$J$3004,"&lt;&gt;Bỏ qua"))</f>
        <v/>
      </c>
      <c r="K15" s="19">
        <f>IF(COUNTIFS('Giao việc'!$O$5:$O$3004,SEL_K,'Giao việc'!$D$5:$D$3004,$A15,'Giao việc'!$J$5:$J$3004,"&lt;&gt;Bỏ qua")=0,"",REPT("█",ROUND(COUNTIFS('Giao việc'!$O$5:$O$3004,SEL_K,'Giao việc'!$D$5:$D$3004,$A15,'Giao việc'!$J$5:$J$3004,"Xong")/COUNTIFS('Giao việc'!$O$5:$O$3004,SEL_K,'Giao việc'!$D$5:$D$3004,$A15,'Giao việc'!$J$5:$J$3004,"&lt;&gt;Bỏ qua")*10,0))&amp;REPT("░",10-ROUND(COUNTIFS('Giao việc'!$O$5:$O$3004,SEL_K,'Giao việc'!$D$5:$D$3004,$A15,'Giao việc'!$J$5:$J$3004,"Xong")/COUNTIFS('Giao việc'!$O$5:$O$3004,SEL_K,'Giao việc'!$D$5:$D$3004,$A15,'Giao việc'!$J$5:$J$3004,"&lt;&gt;Bỏ qua")*10,0)))</f>
        <v/>
      </c>
      <c r="N15">
        <f>IF(COUNTIFS('Giao việc'!$O$5:$O$3004,SEL_K,'Giao việc'!$D$5:$D$3004,$A15,'Giao việc'!$Q$5:$Q$3004,"&gt;="&amp;N$8,'Giao việc'!$Q$5:$Q$3004,"&lt;="&amp;N$9,'Giao việc'!$J$5:$J$3004,"&lt;&gt;Bỏ qua")=0,0,IF(COUNTIFS('Giao việc'!$O$5:$O$3004,SEL_K,'Giao việc'!$D$5:$D$3004,$A15,'Giao việc'!$Q$5:$Q$3004,"&gt;="&amp;N$8,'Giao việc'!$Q$5:$Q$3004,"&lt;="&amp;N$9,'Giao việc'!$J$5:$J$3004,"Xong")=COUNTIFS('Giao việc'!$O$5:$O$3004,SEL_K,'Giao việc'!$D$5:$D$3004,$A15,'Giao việc'!$Q$5:$Q$3004,"&gt;="&amp;N$8,'Giao việc'!$Q$5:$Q$3004,"&lt;="&amp;N$9,'Giao việc'!$J$5:$J$3004,"&lt;&gt;Bỏ qua"),1,IF(COUNTIFS('Giao việc'!$O$5:$O$3004,SEL_K,'Giao việc'!$D$5:$D$3004,$A15,'Giao việc'!$Q$5:$Q$3004,"&gt;="&amp;N$8,'Giao việc'!$Q$5:$Q$3004,"&lt;="&amp;N$9,'Giao việc'!$M$5:$M$3004,"*QUÁ HẠN*")&gt;0,4,IF(COUNTIFS('Giao việc'!$O$5:$O$3004,SEL_K,'Giao việc'!$D$5:$D$3004,$A15,'Giao việc'!$Q$5:$Q$3004,"&gt;="&amp;N$8,'Giao việc'!$Q$5:$Q$3004,"&lt;="&amp;N$9,'Giao việc'!$M$5:$M$3004,"*Đến hạn*")&gt;0,3,2))))</f>
        <v/>
      </c>
      <c r="O15">
        <f>IF(COUNTIFS('Giao việc'!$O$5:$O$3004,SEL_K,'Giao việc'!$D$5:$D$3004,$A15,'Giao việc'!$Q$5:$Q$3004,"&gt;="&amp;O$8,'Giao việc'!$Q$5:$Q$3004,"&lt;="&amp;O$9,'Giao việc'!$J$5:$J$3004,"&lt;&gt;Bỏ qua")=0,0,IF(COUNTIFS('Giao việc'!$O$5:$O$3004,SEL_K,'Giao việc'!$D$5:$D$3004,$A15,'Giao việc'!$Q$5:$Q$3004,"&gt;="&amp;O$8,'Giao việc'!$Q$5:$Q$3004,"&lt;="&amp;O$9,'Giao việc'!$J$5:$J$3004,"Xong")=COUNTIFS('Giao việc'!$O$5:$O$3004,SEL_K,'Giao việc'!$D$5:$D$3004,$A15,'Giao việc'!$Q$5:$Q$3004,"&gt;="&amp;O$8,'Giao việc'!$Q$5:$Q$3004,"&lt;="&amp;O$9,'Giao việc'!$J$5:$J$3004,"&lt;&gt;Bỏ qua"),1,IF(COUNTIFS('Giao việc'!$O$5:$O$3004,SEL_K,'Giao việc'!$D$5:$D$3004,$A15,'Giao việc'!$Q$5:$Q$3004,"&gt;="&amp;O$8,'Giao việc'!$Q$5:$Q$3004,"&lt;="&amp;O$9,'Giao việc'!$M$5:$M$3004,"*QUÁ HẠN*")&gt;0,4,IF(COUNTIFS('Giao việc'!$O$5:$O$3004,SEL_K,'Giao việc'!$D$5:$D$3004,$A15,'Giao việc'!$Q$5:$Q$3004,"&gt;="&amp;O$8,'Giao việc'!$Q$5:$Q$3004,"&lt;="&amp;O$9,'Giao việc'!$M$5:$M$3004,"*Đến hạn*")&gt;0,3,2))))</f>
        <v/>
      </c>
      <c r="P15">
        <f>IF(COUNTIFS('Giao việc'!$O$5:$O$3004,SEL_K,'Giao việc'!$D$5:$D$3004,$A15,'Giao việc'!$Q$5:$Q$3004,"&gt;="&amp;P$8,'Giao việc'!$Q$5:$Q$3004,"&lt;="&amp;P$9,'Giao việc'!$J$5:$J$3004,"&lt;&gt;Bỏ qua")=0,0,IF(COUNTIFS('Giao việc'!$O$5:$O$3004,SEL_K,'Giao việc'!$D$5:$D$3004,$A15,'Giao việc'!$Q$5:$Q$3004,"&gt;="&amp;P$8,'Giao việc'!$Q$5:$Q$3004,"&lt;="&amp;P$9,'Giao việc'!$J$5:$J$3004,"Xong")=COUNTIFS('Giao việc'!$O$5:$O$3004,SEL_K,'Giao việc'!$D$5:$D$3004,$A15,'Giao việc'!$Q$5:$Q$3004,"&gt;="&amp;P$8,'Giao việc'!$Q$5:$Q$3004,"&lt;="&amp;P$9,'Giao việc'!$J$5:$J$3004,"&lt;&gt;Bỏ qua"),1,IF(COUNTIFS('Giao việc'!$O$5:$O$3004,SEL_K,'Giao việc'!$D$5:$D$3004,$A15,'Giao việc'!$Q$5:$Q$3004,"&gt;="&amp;P$8,'Giao việc'!$Q$5:$Q$3004,"&lt;="&amp;P$9,'Giao việc'!$M$5:$M$3004,"*QUÁ HẠN*")&gt;0,4,IF(COUNTIFS('Giao việc'!$O$5:$O$3004,SEL_K,'Giao việc'!$D$5:$D$3004,$A15,'Giao việc'!$Q$5:$Q$3004,"&gt;="&amp;P$8,'Giao việc'!$Q$5:$Q$3004,"&lt;="&amp;P$9,'Giao việc'!$M$5:$M$3004,"*Đến hạn*")&gt;0,3,2))))</f>
        <v/>
      </c>
      <c r="Q15">
        <f>IF(COUNTIFS('Giao việc'!$O$5:$O$3004,SEL_K,'Giao việc'!$D$5:$D$3004,$A15,'Giao việc'!$Q$5:$Q$3004,"&gt;="&amp;Q$8,'Giao việc'!$Q$5:$Q$3004,"&lt;="&amp;Q$9,'Giao việc'!$J$5:$J$3004,"&lt;&gt;Bỏ qua")=0,0,IF(COUNTIFS('Giao việc'!$O$5:$O$3004,SEL_K,'Giao việc'!$D$5:$D$3004,$A15,'Giao việc'!$Q$5:$Q$3004,"&gt;="&amp;Q$8,'Giao việc'!$Q$5:$Q$3004,"&lt;="&amp;Q$9,'Giao việc'!$J$5:$J$3004,"Xong")=COUNTIFS('Giao việc'!$O$5:$O$3004,SEL_K,'Giao việc'!$D$5:$D$3004,$A15,'Giao việc'!$Q$5:$Q$3004,"&gt;="&amp;Q$8,'Giao việc'!$Q$5:$Q$3004,"&lt;="&amp;Q$9,'Giao việc'!$J$5:$J$3004,"&lt;&gt;Bỏ qua"),1,IF(COUNTIFS('Giao việc'!$O$5:$O$3004,SEL_K,'Giao việc'!$D$5:$D$3004,$A15,'Giao việc'!$Q$5:$Q$3004,"&gt;="&amp;Q$8,'Giao việc'!$Q$5:$Q$3004,"&lt;="&amp;Q$9,'Giao việc'!$M$5:$M$3004,"*QUÁ HẠN*")&gt;0,4,IF(COUNTIFS('Giao việc'!$O$5:$O$3004,SEL_K,'Giao việc'!$D$5:$D$3004,$A15,'Giao việc'!$Q$5:$Q$3004,"&gt;="&amp;Q$8,'Giao việc'!$Q$5:$Q$3004,"&lt;="&amp;Q$9,'Giao việc'!$M$5:$M$3004,"*Đến hạn*")&gt;0,3,2))))</f>
        <v/>
      </c>
      <c r="R15">
        <f>IF(COUNTIFS('Giao việc'!$O$5:$O$3004,SEL_K,'Giao việc'!$D$5:$D$3004,$A15,'Giao việc'!$Q$5:$Q$3004,"&gt;="&amp;R$8,'Giao việc'!$Q$5:$Q$3004,"&lt;="&amp;R$9,'Giao việc'!$J$5:$J$3004,"&lt;&gt;Bỏ qua")=0,0,IF(COUNTIFS('Giao việc'!$O$5:$O$3004,SEL_K,'Giao việc'!$D$5:$D$3004,$A15,'Giao việc'!$Q$5:$Q$3004,"&gt;="&amp;R$8,'Giao việc'!$Q$5:$Q$3004,"&lt;="&amp;R$9,'Giao việc'!$J$5:$J$3004,"Xong")=COUNTIFS('Giao việc'!$O$5:$O$3004,SEL_K,'Giao việc'!$D$5:$D$3004,$A15,'Giao việc'!$Q$5:$Q$3004,"&gt;="&amp;R$8,'Giao việc'!$Q$5:$Q$3004,"&lt;="&amp;R$9,'Giao việc'!$J$5:$J$3004,"&lt;&gt;Bỏ qua"),1,IF(COUNTIFS('Giao việc'!$O$5:$O$3004,SEL_K,'Giao việc'!$D$5:$D$3004,$A15,'Giao việc'!$Q$5:$Q$3004,"&gt;="&amp;R$8,'Giao việc'!$Q$5:$Q$3004,"&lt;="&amp;R$9,'Giao việc'!$M$5:$M$3004,"*QUÁ HẠN*")&gt;0,4,IF(COUNTIFS('Giao việc'!$O$5:$O$3004,SEL_K,'Giao việc'!$D$5:$D$3004,$A15,'Giao việc'!$Q$5:$Q$3004,"&gt;="&amp;R$8,'Giao việc'!$Q$5:$Q$3004,"&lt;="&amp;R$9,'Giao việc'!$M$5:$M$3004,"*Đến hạn*")&gt;0,3,2))))</f>
        <v/>
      </c>
      <c r="S15">
        <f>IF(COUNTIFS('Giao việc'!$O$5:$O$3004,SEL_K,'Giao việc'!$D$5:$D$3004,$A15,'Giao việc'!$Q$5:$Q$3004,"&gt;="&amp;S$8,'Giao việc'!$Q$5:$Q$3004,"&lt;="&amp;S$9,'Giao việc'!$J$5:$J$3004,"&lt;&gt;Bỏ qua")=0,0,IF(COUNTIFS('Giao việc'!$O$5:$O$3004,SEL_K,'Giao việc'!$D$5:$D$3004,$A15,'Giao việc'!$Q$5:$Q$3004,"&gt;="&amp;S$8,'Giao việc'!$Q$5:$Q$3004,"&lt;="&amp;S$9,'Giao việc'!$J$5:$J$3004,"Xong")=COUNTIFS('Giao việc'!$O$5:$O$3004,SEL_K,'Giao việc'!$D$5:$D$3004,$A15,'Giao việc'!$Q$5:$Q$3004,"&gt;="&amp;S$8,'Giao việc'!$Q$5:$Q$3004,"&lt;="&amp;S$9,'Giao việc'!$J$5:$J$3004,"&lt;&gt;Bỏ qua"),1,IF(COUNTIFS('Giao việc'!$O$5:$O$3004,SEL_K,'Giao việc'!$D$5:$D$3004,$A15,'Giao việc'!$Q$5:$Q$3004,"&gt;="&amp;S$8,'Giao việc'!$Q$5:$Q$3004,"&lt;="&amp;S$9,'Giao việc'!$M$5:$M$3004,"*QUÁ HẠN*")&gt;0,4,IF(COUNTIFS('Giao việc'!$O$5:$O$3004,SEL_K,'Giao việc'!$D$5:$D$3004,$A15,'Giao việc'!$Q$5:$Q$3004,"&gt;="&amp;S$8,'Giao việc'!$Q$5:$Q$3004,"&lt;="&amp;S$9,'Giao việc'!$M$5:$M$3004,"*Đến hạn*")&gt;0,3,2))))</f>
        <v/>
      </c>
      <c r="T15">
        <f>IF(COUNTIFS('Giao việc'!$O$5:$O$3004,SEL_K,'Giao việc'!$D$5:$D$3004,$A15,'Giao việc'!$Q$5:$Q$3004,"&gt;="&amp;T$8,'Giao việc'!$Q$5:$Q$3004,"&lt;="&amp;T$9,'Giao việc'!$J$5:$J$3004,"&lt;&gt;Bỏ qua")=0,0,IF(COUNTIFS('Giao việc'!$O$5:$O$3004,SEL_K,'Giao việc'!$D$5:$D$3004,$A15,'Giao việc'!$Q$5:$Q$3004,"&gt;="&amp;T$8,'Giao việc'!$Q$5:$Q$3004,"&lt;="&amp;T$9,'Giao việc'!$J$5:$J$3004,"Xong")=COUNTIFS('Giao việc'!$O$5:$O$3004,SEL_K,'Giao việc'!$D$5:$D$3004,$A15,'Giao việc'!$Q$5:$Q$3004,"&gt;="&amp;T$8,'Giao việc'!$Q$5:$Q$3004,"&lt;="&amp;T$9,'Giao việc'!$J$5:$J$3004,"&lt;&gt;Bỏ qua"),1,IF(COUNTIFS('Giao việc'!$O$5:$O$3004,SEL_K,'Giao việc'!$D$5:$D$3004,$A15,'Giao việc'!$Q$5:$Q$3004,"&gt;="&amp;T$8,'Giao việc'!$Q$5:$Q$3004,"&lt;="&amp;T$9,'Giao việc'!$M$5:$M$3004,"*QUÁ HẠN*")&gt;0,4,IF(COUNTIFS('Giao việc'!$O$5:$O$3004,SEL_K,'Giao việc'!$D$5:$D$3004,$A15,'Giao việc'!$Q$5:$Q$3004,"&gt;="&amp;T$8,'Giao việc'!$Q$5:$Q$3004,"&lt;="&amp;T$9,'Giao việc'!$M$5:$M$3004,"*Đến hạn*")&gt;0,3,2))))</f>
        <v/>
      </c>
      <c r="U15">
        <f>IF(COUNTIFS('Giao việc'!$O$5:$O$3004,SEL_K,'Giao việc'!$D$5:$D$3004,$A15,'Giao việc'!$Q$5:$Q$3004,"&gt;="&amp;U$8,'Giao việc'!$Q$5:$Q$3004,"&lt;="&amp;U$9,'Giao việc'!$J$5:$J$3004,"&lt;&gt;Bỏ qua")=0,0,IF(COUNTIFS('Giao việc'!$O$5:$O$3004,SEL_K,'Giao việc'!$D$5:$D$3004,$A15,'Giao việc'!$Q$5:$Q$3004,"&gt;="&amp;U$8,'Giao việc'!$Q$5:$Q$3004,"&lt;="&amp;U$9,'Giao việc'!$J$5:$J$3004,"Xong")=COUNTIFS('Giao việc'!$O$5:$O$3004,SEL_K,'Giao việc'!$D$5:$D$3004,$A15,'Giao việc'!$Q$5:$Q$3004,"&gt;="&amp;U$8,'Giao việc'!$Q$5:$Q$3004,"&lt;="&amp;U$9,'Giao việc'!$J$5:$J$3004,"&lt;&gt;Bỏ qua"),1,IF(COUNTIFS('Giao việc'!$O$5:$O$3004,SEL_K,'Giao việc'!$D$5:$D$3004,$A15,'Giao việc'!$Q$5:$Q$3004,"&gt;="&amp;U$8,'Giao việc'!$Q$5:$Q$3004,"&lt;="&amp;U$9,'Giao việc'!$M$5:$M$3004,"*QUÁ HẠN*")&gt;0,4,IF(COUNTIFS('Giao việc'!$O$5:$O$3004,SEL_K,'Giao việc'!$D$5:$D$3004,$A15,'Giao việc'!$Q$5:$Q$3004,"&gt;="&amp;U$8,'Giao việc'!$Q$5:$Q$3004,"&lt;="&amp;U$9,'Giao việc'!$M$5:$M$3004,"*Đến hạn*")&gt;0,3,2))))</f>
        <v/>
      </c>
    </row>
    <row r="16" ht="20" customHeight="1">
      <c r="A16" s="17" t="inlineStr">
        <is>
          <t>7. Ấn phẩm &amp; đồ</t>
        </is>
      </c>
      <c r="B16" s="36">
        <f>IF(COUNTIFS('Giao việc'!$O$5:$O$3004,SEL_K,'Giao việc'!$D$5:$D$3004,$A16,'Giao việc'!$Q$5:$Q$3004,"&gt;="&amp;N$8,'Giao việc'!$Q$5:$Q$3004,"&lt;="&amp;N$9,'Giao việc'!$J$5:$J$3004,"&lt;&gt;Bỏ qua")=0,"",COUNTIFS('Giao việc'!$O$5:$O$3004,SEL_K,'Giao việc'!$D$5:$D$3004,$A16,'Giao việc'!$Q$5:$Q$3004,"&gt;="&amp;N$8,'Giao việc'!$Q$5:$Q$3004,"&lt;="&amp;N$9,'Giao việc'!$J$5:$J$3004,"Xong")&amp;" / "&amp;COUNTIFS('Giao việc'!$O$5:$O$3004,SEL_K,'Giao việc'!$D$5:$D$3004,$A16,'Giao việc'!$Q$5:$Q$3004,"&gt;="&amp;N$8,'Giao việc'!$Q$5:$Q$3004,"&lt;="&amp;N$9,'Giao việc'!$J$5:$J$3004,"&lt;&gt;Bỏ qua"))</f>
        <v/>
      </c>
      <c r="C16" s="36">
        <f>IF(COUNTIFS('Giao việc'!$O$5:$O$3004,SEL_K,'Giao việc'!$D$5:$D$3004,$A16,'Giao việc'!$Q$5:$Q$3004,"&gt;="&amp;O$8,'Giao việc'!$Q$5:$Q$3004,"&lt;="&amp;O$9,'Giao việc'!$J$5:$J$3004,"&lt;&gt;Bỏ qua")=0,"",COUNTIFS('Giao việc'!$O$5:$O$3004,SEL_K,'Giao việc'!$D$5:$D$3004,$A16,'Giao việc'!$Q$5:$Q$3004,"&gt;="&amp;O$8,'Giao việc'!$Q$5:$Q$3004,"&lt;="&amp;O$9,'Giao việc'!$J$5:$J$3004,"Xong")&amp;" / "&amp;COUNTIFS('Giao việc'!$O$5:$O$3004,SEL_K,'Giao việc'!$D$5:$D$3004,$A16,'Giao việc'!$Q$5:$Q$3004,"&gt;="&amp;O$8,'Giao việc'!$Q$5:$Q$3004,"&lt;="&amp;O$9,'Giao việc'!$J$5:$J$3004,"&lt;&gt;Bỏ qua"))</f>
        <v/>
      </c>
      <c r="D16" s="36">
        <f>IF(COUNTIFS('Giao việc'!$O$5:$O$3004,SEL_K,'Giao việc'!$D$5:$D$3004,$A16,'Giao việc'!$Q$5:$Q$3004,"&gt;="&amp;P$8,'Giao việc'!$Q$5:$Q$3004,"&lt;="&amp;P$9,'Giao việc'!$J$5:$J$3004,"&lt;&gt;Bỏ qua")=0,"",COUNTIFS('Giao việc'!$O$5:$O$3004,SEL_K,'Giao việc'!$D$5:$D$3004,$A16,'Giao việc'!$Q$5:$Q$3004,"&gt;="&amp;P$8,'Giao việc'!$Q$5:$Q$3004,"&lt;="&amp;P$9,'Giao việc'!$J$5:$J$3004,"Xong")&amp;" / "&amp;COUNTIFS('Giao việc'!$O$5:$O$3004,SEL_K,'Giao việc'!$D$5:$D$3004,$A16,'Giao việc'!$Q$5:$Q$3004,"&gt;="&amp;P$8,'Giao việc'!$Q$5:$Q$3004,"&lt;="&amp;P$9,'Giao việc'!$J$5:$J$3004,"&lt;&gt;Bỏ qua"))</f>
        <v/>
      </c>
      <c r="E16" s="36">
        <f>IF(COUNTIFS('Giao việc'!$O$5:$O$3004,SEL_K,'Giao việc'!$D$5:$D$3004,$A16,'Giao việc'!$Q$5:$Q$3004,"&gt;="&amp;Q$8,'Giao việc'!$Q$5:$Q$3004,"&lt;="&amp;Q$9,'Giao việc'!$J$5:$J$3004,"&lt;&gt;Bỏ qua")=0,"",COUNTIFS('Giao việc'!$O$5:$O$3004,SEL_K,'Giao việc'!$D$5:$D$3004,$A16,'Giao việc'!$Q$5:$Q$3004,"&gt;="&amp;Q$8,'Giao việc'!$Q$5:$Q$3004,"&lt;="&amp;Q$9,'Giao việc'!$J$5:$J$3004,"Xong")&amp;" / "&amp;COUNTIFS('Giao việc'!$O$5:$O$3004,SEL_K,'Giao việc'!$D$5:$D$3004,$A16,'Giao việc'!$Q$5:$Q$3004,"&gt;="&amp;Q$8,'Giao việc'!$Q$5:$Q$3004,"&lt;="&amp;Q$9,'Giao việc'!$J$5:$J$3004,"&lt;&gt;Bỏ qua"))</f>
        <v/>
      </c>
      <c r="F16" s="36">
        <f>IF(COUNTIFS('Giao việc'!$O$5:$O$3004,SEL_K,'Giao việc'!$D$5:$D$3004,$A16,'Giao việc'!$Q$5:$Q$3004,"&gt;="&amp;R$8,'Giao việc'!$Q$5:$Q$3004,"&lt;="&amp;R$9,'Giao việc'!$J$5:$J$3004,"&lt;&gt;Bỏ qua")=0,"",COUNTIFS('Giao việc'!$O$5:$O$3004,SEL_K,'Giao việc'!$D$5:$D$3004,$A16,'Giao việc'!$Q$5:$Q$3004,"&gt;="&amp;R$8,'Giao việc'!$Q$5:$Q$3004,"&lt;="&amp;R$9,'Giao việc'!$J$5:$J$3004,"Xong")&amp;" / "&amp;COUNTIFS('Giao việc'!$O$5:$O$3004,SEL_K,'Giao việc'!$D$5:$D$3004,$A16,'Giao việc'!$Q$5:$Q$3004,"&gt;="&amp;R$8,'Giao việc'!$Q$5:$Q$3004,"&lt;="&amp;R$9,'Giao việc'!$J$5:$J$3004,"&lt;&gt;Bỏ qua"))</f>
        <v/>
      </c>
      <c r="G16" s="36">
        <f>IF(COUNTIFS('Giao việc'!$O$5:$O$3004,SEL_K,'Giao việc'!$D$5:$D$3004,$A16,'Giao việc'!$Q$5:$Q$3004,"&gt;="&amp;S$8,'Giao việc'!$Q$5:$Q$3004,"&lt;="&amp;S$9,'Giao việc'!$J$5:$J$3004,"&lt;&gt;Bỏ qua")=0,"",COUNTIFS('Giao việc'!$O$5:$O$3004,SEL_K,'Giao việc'!$D$5:$D$3004,$A16,'Giao việc'!$Q$5:$Q$3004,"&gt;="&amp;S$8,'Giao việc'!$Q$5:$Q$3004,"&lt;="&amp;S$9,'Giao việc'!$J$5:$J$3004,"Xong")&amp;" / "&amp;COUNTIFS('Giao việc'!$O$5:$O$3004,SEL_K,'Giao việc'!$D$5:$D$3004,$A16,'Giao việc'!$Q$5:$Q$3004,"&gt;="&amp;S$8,'Giao việc'!$Q$5:$Q$3004,"&lt;="&amp;S$9,'Giao việc'!$J$5:$J$3004,"&lt;&gt;Bỏ qua"))</f>
        <v/>
      </c>
      <c r="H16" s="36">
        <f>IF(COUNTIFS('Giao việc'!$O$5:$O$3004,SEL_K,'Giao việc'!$D$5:$D$3004,$A16,'Giao việc'!$Q$5:$Q$3004,"&gt;="&amp;T$8,'Giao việc'!$Q$5:$Q$3004,"&lt;="&amp;T$9,'Giao việc'!$J$5:$J$3004,"&lt;&gt;Bỏ qua")=0,"",COUNTIFS('Giao việc'!$O$5:$O$3004,SEL_K,'Giao việc'!$D$5:$D$3004,$A16,'Giao việc'!$Q$5:$Q$3004,"&gt;="&amp;T$8,'Giao việc'!$Q$5:$Q$3004,"&lt;="&amp;T$9,'Giao việc'!$J$5:$J$3004,"Xong")&amp;" / "&amp;COUNTIFS('Giao việc'!$O$5:$O$3004,SEL_K,'Giao việc'!$D$5:$D$3004,$A16,'Giao việc'!$Q$5:$Q$3004,"&gt;="&amp;T$8,'Giao việc'!$Q$5:$Q$3004,"&lt;="&amp;T$9,'Giao việc'!$J$5:$J$3004,"&lt;&gt;Bỏ qua"))</f>
        <v/>
      </c>
      <c r="I16" s="36">
        <f>IF(COUNTIFS('Giao việc'!$O$5:$O$3004,SEL_K,'Giao việc'!$D$5:$D$3004,$A16,'Giao việc'!$Q$5:$Q$3004,"&gt;="&amp;U$8,'Giao việc'!$Q$5:$Q$3004,"&lt;="&amp;U$9,'Giao việc'!$J$5:$J$3004,"&lt;&gt;Bỏ qua")=0,"",COUNTIFS('Giao việc'!$O$5:$O$3004,SEL_K,'Giao việc'!$D$5:$D$3004,$A16,'Giao việc'!$Q$5:$Q$3004,"&gt;="&amp;U$8,'Giao việc'!$Q$5:$Q$3004,"&lt;="&amp;U$9,'Giao việc'!$J$5:$J$3004,"Xong")&amp;" / "&amp;COUNTIFS('Giao việc'!$O$5:$O$3004,SEL_K,'Giao việc'!$D$5:$D$3004,$A16,'Giao việc'!$Q$5:$Q$3004,"&gt;="&amp;U$8,'Giao việc'!$Q$5:$Q$3004,"&lt;="&amp;U$9,'Giao việc'!$J$5:$J$3004,"&lt;&gt;Bỏ qua"))</f>
        <v/>
      </c>
      <c r="J16" s="37">
        <f>IF(COUNTIFS('Giao việc'!$O$5:$O$3004,SEL_K,'Giao việc'!$D$5:$D$3004,$A16,'Giao việc'!$J$5:$J$3004,"&lt;&gt;Bỏ qua")=0,"",COUNTIFS('Giao việc'!$O$5:$O$3004,SEL_K,'Giao việc'!$D$5:$D$3004,$A16,'Giao việc'!$J$5:$J$3004,"Xong")&amp;" / "&amp;COUNTIFS('Giao việc'!$O$5:$O$3004,SEL_K,'Giao việc'!$D$5:$D$3004,$A16,'Giao việc'!$J$5:$J$3004,"&lt;&gt;Bỏ qua"))</f>
        <v/>
      </c>
      <c r="K16" s="19">
        <f>IF(COUNTIFS('Giao việc'!$O$5:$O$3004,SEL_K,'Giao việc'!$D$5:$D$3004,$A16,'Giao việc'!$J$5:$J$3004,"&lt;&gt;Bỏ qua")=0,"",REPT("█",ROUND(COUNTIFS('Giao việc'!$O$5:$O$3004,SEL_K,'Giao việc'!$D$5:$D$3004,$A16,'Giao việc'!$J$5:$J$3004,"Xong")/COUNTIFS('Giao việc'!$O$5:$O$3004,SEL_K,'Giao việc'!$D$5:$D$3004,$A16,'Giao việc'!$J$5:$J$3004,"&lt;&gt;Bỏ qua")*10,0))&amp;REPT("░",10-ROUND(COUNTIFS('Giao việc'!$O$5:$O$3004,SEL_K,'Giao việc'!$D$5:$D$3004,$A16,'Giao việc'!$J$5:$J$3004,"Xong")/COUNTIFS('Giao việc'!$O$5:$O$3004,SEL_K,'Giao việc'!$D$5:$D$3004,$A16,'Giao việc'!$J$5:$J$3004,"&lt;&gt;Bỏ qua")*10,0)))</f>
        <v/>
      </c>
      <c r="N16">
        <f>IF(COUNTIFS('Giao việc'!$O$5:$O$3004,SEL_K,'Giao việc'!$D$5:$D$3004,$A16,'Giao việc'!$Q$5:$Q$3004,"&gt;="&amp;N$8,'Giao việc'!$Q$5:$Q$3004,"&lt;="&amp;N$9,'Giao việc'!$J$5:$J$3004,"&lt;&gt;Bỏ qua")=0,0,IF(COUNTIFS('Giao việc'!$O$5:$O$3004,SEL_K,'Giao việc'!$D$5:$D$3004,$A16,'Giao việc'!$Q$5:$Q$3004,"&gt;="&amp;N$8,'Giao việc'!$Q$5:$Q$3004,"&lt;="&amp;N$9,'Giao việc'!$J$5:$J$3004,"Xong")=COUNTIFS('Giao việc'!$O$5:$O$3004,SEL_K,'Giao việc'!$D$5:$D$3004,$A16,'Giao việc'!$Q$5:$Q$3004,"&gt;="&amp;N$8,'Giao việc'!$Q$5:$Q$3004,"&lt;="&amp;N$9,'Giao việc'!$J$5:$J$3004,"&lt;&gt;Bỏ qua"),1,IF(COUNTIFS('Giao việc'!$O$5:$O$3004,SEL_K,'Giao việc'!$D$5:$D$3004,$A16,'Giao việc'!$Q$5:$Q$3004,"&gt;="&amp;N$8,'Giao việc'!$Q$5:$Q$3004,"&lt;="&amp;N$9,'Giao việc'!$M$5:$M$3004,"*QUÁ HẠN*")&gt;0,4,IF(COUNTIFS('Giao việc'!$O$5:$O$3004,SEL_K,'Giao việc'!$D$5:$D$3004,$A16,'Giao việc'!$Q$5:$Q$3004,"&gt;="&amp;N$8,'Giao việc'!$Q$5:$Q$3004,"&lt;="&amp;N$9,'Giao việc'!$M$5:$M$3004,"*Đến hạn*")&gt;0,3,2))))</f>
        <v/>
      </c>
      <c r="O16">
        <f>IF(COUNTIFS('Giao việc'!$O$5:$O$3004,SEL_K,'Giao việc'!$D$5:$D$3004,$A16,'Giao việc'!$Q$5:$Q$3004,"&gt;="&amp;O$8,'Giao việc'!$Q$5:$Q$3004,"&lt;="&amp;O$9,'Giao việc'!$J$5:$J$3004,"&lt;&gt;Bỏ qua")=0,0,IF(COUNTIFS('Giao việc'!$O$5:$O$3004,SEL_K,'Giao việc'!$D$5:$D$3004,$A16,'Giao việc'!$Q$5:$Q$3004,"&gt;="&amp;O$8,'Giao việc'!$Q$5:$Q$3004,"&lt;="&amp;O$9,'Giao việc'!$J$5:$J$3004,"Xong")=COUNTIFS('Giao việc'!$O$5:$O$3004,SEL_K,'Giao việc'!$D$5:$D$3004,$A16,'Giao việc'!$Q$5:$Q$3004,"&gt;="&amp;O$8,'Giao việc'!$Q$5:$Q$3004,"&lt;="&amp;O$9,'Giao việc'!$J$5:$J$3004,"&lt;&gt;Bỏ qua"),1,IF(COUNTIFS('Giao việc'!$O$5:$O$3004,SEL_K,'Giao việc'!$D$5:$D$3004,$A16,'Giao việc'!$Q$5:$Q$3004,"&gt;="&amp;O$8,'Giao việc'!$Q$5:$Q$3004,"&lt;="&amp;O$9,'Giao việc'!$M$5:$M$3004,"*QUÁ HẠN*")&gt;0,4,IF(COUNTIFS('Giao việc'!$O$5:$O$3004,SEL_K,'Giao việc'!$D$5:$D$3004,$A16,'Giao việc'!$Q$5:$Q$3004,"&gt;="&amp;O$8,'Giao việc'!$Q$5:$Q$3004,"&lt;="&amp;O$9,'Giao việc'!$M$5:$M$3004,"*Đến hạn*")&gt;0,3,2))))</f>
        <v/>
      </c>
      <c r="P16">
        <f>IF(COUNTIFS('Giao việc'!$O$5:$O$3004,SEL_K,'Giao việc'!$D$5:$D$3004,$A16,'Giao việc'!$Q$5:$Q$3004,"&gt;="&amp;P$8,'Giao việc'!$Q$5:$Q$3004,"&lt;="&amp;P$9,'Giao việc'!$J$5:$J$3004,"&lt;&gt;Bỏ qua")=0,0,IF(COUNTIFS('Giao việc'!$O$5:$O$3004,SEL_K,'Giao việc'!$D$5:$D$3004,$A16,'Giao việc'!$Q$5:$Q$3004,"&gt;="&amp;P$8,'Giao việc'!$Q$5:$Q$3004,"&lt;="&amp;P$9,'Giao việc'!$J$5:$J$3004,"Xong")=COUNTIFS('Giao việc'!$O$5:$O$3004,SEL_K,'Giao việc'!$D$5:$D$3004,$A16,'Giao việc'!$Q$5:$Q$3004,"&gt;="&amp;P$8,'Giao việc'!$Q$5:$Q$3004,"&lt;="&amp;P$9,'Giao việc'!$J$5:$J$3004,"&lt;&gt;Bỏ qua"),1,IF(COUNTIFS('Giao việc'!$O$5:$O$3004,SEL_K,'Giao việc'!$D$5:$D$3004,$A16,'Giao việc'!$Q$5:$Q$3004,"&gt;="&amp;P$8,'Giao việc'!$Q$5:$Q$3004,"&lt;="&amp;P$9,'Giao việc'!$M$5:$M$3004,"*QUÁ HẠN*")&gt;0,4,IF(COUNTIFS('Giao việc'!$O$5:$O$3004,SEL_K,'Giao việc'!$D$5:$D$3004,$A16,'Giao việc'!$Q$5:$Q$3004,"&gt;="&amp;P$8,'Giao việc'!$Q$5:$Q$3004,"&lt;="&amp;P$9,'Giao việc'!$M$5:$M$3004,"*Đến hạn*")&gt;0,3,2))))</f>
        <v/>
      </c>
      <c r="Q16">
        <f>IF(COUNTIFS('Giao việc'!$O$5:$O$3004,SEL_K,'Giao việc'!$D$5:$D$3004,$A16,'Giao việc'!$Q$5:$Q$3004,"&gt;="&amp;Q$8,'Giao việc'!$Q$5:$Q$3004,"&lt;="&amp;Q$9,'Giao việc'!$J$5:$J$3004,"&lt;&gt;Bỏ qua")=0,0,IF(COUNTIFS('Giao việc'!$O$5:$O$3004,SEL_K,'Giao việc'!$D$5:$D$3004,$A16,'Giao việc'!$Q$5:$Q$3004,"&gt;="&amp;Q$8,'Giao việc'!$Q$5:$Q$3004,"&lt;="&amp;Q$9,'Giao việc'!$J$5:$J$3004,"Xong")=COUNTIFS('Giao việc'!$O$5:$O$3004,SEL_K,'Giao việc'!$D$5:$D$3004,$A16,'Giao việc'!$Q$5:$Q$3004,"&gt;="&amp;Q$8,'Giao việc'!$Q$5:$Q$3004,"&lt;="&amp;Q$9,'Giao việc'!$J$5:$J$3004,"&lt;&gt;Bỏ qua"),1,IF(COUNTIFS('Giao việc'!$O$5:$O$3004,SEL_K,'Giao việc'!$D$5:$D$3004,$A16,'Giao việc'!$Q$5:$Q$3004,"&gt;="&amp;Q$8,'Giao việc'!$Q$5:$Q$3004,"&lt;="&amp;Q$9,'Giao việc'!$M$5:$M$3004,"*QUÁ HẠN*")&gt;0,4,IF(COUNTIFS('Giao việc'!$O$5:$O$3004,SEL_K,'Giao việc'!$D$5:$D$3004,$A16,'Giao việc'!$Q$5:$Q$3004,"&gt;="&amp;Q$8,'Giao việc'!$Q$5:$Q$3004,"&lt;="&amp;Q$9,'Giao việc'!$M$5:$M$3004,"*Đến hạn*")&gt;0,3,2))))</f>
        <v/>
      </c>
      <c r="R16">
        <f>IF(COUNTIFS('Giao việc'!$O$5:$O$3004,SEL_K,'Giao việc'!$D$5:$D$3004,$A16,'Giao việc'!$Q$5:$Q$3004,"&gt;="&amp;R$8,'Giao việc'!$Q$5:$Q$3004,"&lt;="&amp;R$9,'Giao việc'!$J$5:$J$3004,"&lt;&gt;Bỏ qua")=0,0,IF(COUNTIFS('Giao việc'!$O$5:$O$3004,SEL_K,'Giao việc'!$D$5:$D$3004,$A16,'Giao việc'!$Q$5:$Q$3004,"&gt;="&amp;R$8,'Giao việc'!$Q$5:$Q$3004,"&lt;="&amp;R$9,'Giao việc'!$J$5:$J$3004,"Xong")=COUNTIFS('Giao việc'!$O$5:$O$3004,SEL_K,'Giao việc'!$D$5:$D$3004,$A16,'Giao việc'!$Q$5:$Q$3004,"&gt;="&amp;R$8,'Giao việc'!$Q$5:$Q$3004,"&lt;="&amp;R$9,'Giao việc'!$J$5:$J$3004,"&lt;&gt;Bỏ qua"),1,IF(COUNTIFS('Giao việc'!$O$5:$O$3004,SEL_K,'Giao việc'!$D$5:$D$3004,$A16,'Giao việc'!$Q$5:$Q$3004,"&gt;="&amp;R$8,'Giao việc'!$Q$5:$Q$3004,"&lt;="&amp;R$9,'Giao việc'!$M$5:$M$3004,"*QUÁ HẠN*")&gt;0,4,IF(COUNTIFS('Giao việc'!$O$5:$O$3004,SEL_K,'Giao việc'!$D$5:$D$3004,$A16,'Giao việc'!$Q$5:$Q$3004,"&gt;="&amp;R$8,'Giao việc'!$Q$5:$Q$3004,"&lt;="&amp;R$9,'Giao việc'!$M$5:$M$3004,"*Đến hạn*")&gt;0,3,2))))</f>
        <v/>
      </c>
      <c r="S16">
        <f>IF(COUNTIFS('Giao việc'!$O$5:$O$3004,SEL_K,'Giao việc'!$D$5:$D$3004,$A16,'Giao việc'!$Q$5:$Q$3004,"&gt;="&amp;S$8,'Giao việc'!$Q$5:$Q$3004,"&lt;="&amp;S$9,'Giao việc'!$J$5:$J$3004,"&lt;&gt;Bỏ qua")=0,0,IF(COUNTIFS('Giao việc'!$O$5:$O$3004,SEL_K,'Giao việc'!$D$5:$D$3004,$A16,'Giao việc'!$Q$5:$Q$3004,"&gt;="&amp;S$8,'Giao việc'!$Q$5:$Q$3004,"&lt;="&amp;S$9,'Giao việc'!$J$5:$J$3004,"Xong")=COUNTIFS('Giao việc'!$O$5:$O$3004,SEL_K,'Giao việc'!$D$5:$D$3004,$A16,'Giao việc'!$Q$5:$Q$3004,"&gt;="&amp;S$8,'Giao việc'!$Q$5:$Q$3004,"&lt;="&amp;S$9,'Giao việc'!$J$5:$J$3004,"&lt;&gt;Bỏ qua"),1,IF(COUNTIFS('Giao việc'!$O$5:$O$3004,SEL_K,'Giao việc'!$D$5:$D$3004,$A16,'Giao việc'!$Q$5:$Q$3004,"&gt;="&amp;S$8,'Giao việc'!$Q$5:$Q$3004,"&lt;="&amp;S$9,'Giao việc'!$M$5:$M$3004,"*QUÁ HẠN*")&gt;0,4,IF(COUNTIFS('Giao việc'!$O$5:$O$3004,SEL_K,'Giao việc'!$D$5:$D$3004,$A16,'Giao việc'!$Q$5:$Q$3004,"&gt;="&amp;S$8,'Giao việc'!$Q$5:$Q$3004,"&lt;="&amp;S$9,'Giao việc'!$M$5:$M$3004,"*Đến hạn*")&gt;0,3,2))))</f>
        <v/>
      </c>
      <c r="T16">
        <f>IF(COUNTIFS('Giao việc'!$O$5:$O$3004,SEL_K,'Giao việc'!$D$5:$D$3004,$A16,'Giao việc'!$Q$5:$Q$3004,"&gt;="&amp;T$8,'Giao việc'!$Q$5:$Q$3004,"&lt;="&amp;T$9,'Giao việc'!$J$5:$J$3004,"&lt;&gt;Bỏ qua")=0,0,IF(COUNTIFS('Giao việc'!$O$5:$O$3004,SEL_K,'Giao việc'!$D$5:$D$3004,$A16,'Giao việc'!$Q$5:$Q$3004,"&gt;="&amp;T$8,'Giao việc'!$Q$5:$Q$3004,"&lt;="&amp;T$9,'Giao việc'!$J$5:$J$3004,"Xong")=COUNTIFS('Giao việc'!$O$5:$O$3004,SEL_K,'Giao việc'!$D$5:$D$3004,$A16,'Giao việc'!$Q$5:$Q$3004,"&gt;="&amp;T$8,'Giao việc'!$Q$5:$Q$3004,"&lt;="&amp;T$9,'Giao việc'!$J$5:$J$3004,"&lt;&gt;Bỏ qua"),1,IF(COUNTIFS('Giao việc'!$O$5:$O$3004,SEL_K,'Giao việc'!$D$5:$D$3004,$A16,'Giao việc'!$Q$5:$Q$3004,"&gt;="&amp;T$8,'Giao việc'!$Q$5:$Q$3004,"&lt;="&amp;T$9,'Giao việc'!$M$5:$M$3004,"*QUÁ HẠN*")&gt;0,4,IF(COUNTIFS('Giao việc'!$O$5:$O$3004,SEL_K,'Giao việc'!$D$5:$D$3004,$A16,'Giao việc'!$Q$5:$Q$3004,"&gt;="&amp;T$8,'Giao việc'!$Q$5:$Q$3004,"&lt;="&amp;T$9,'Giao việc'!$M$5:$M$3004,"*Đến hạn*")&gt;0,3,2))))</f>
        <v/>
      </c>
      <c r="U16">
        <f>IF(COUNTIFS('Giao việc'!$O$5:$O$3004,SEL_K,'Giao việc'!$D$5:$D$3004,$A16,'Giao việc'!$Q$5:$Q$3004,"&gt;="&amp;U$8,'Giao việc'!$Q$5:$Q$3004,"&lt;="&amp;U$9,'Giao việc'!$J$5:$J$3004,"&lt;&gt;Bỏ qua")=0,0,IF(COUNTIFS('Giao việc'!$O$5:$O$3004,SEL_K,'Giao việc'!$D$5:$D$3004,$A16,'Giao việc'!$Q$5:$Q$3004,"&gt;="&amp;U$8,'Giao việc'!$Q$5:$Q$3004,"&lt;="&amp;U$9,'Giao việc'!$J$5:$J$3004,"Xong")=COUNTIFS('Giao việc'!$O$5:$O$3004,SEL_K,'Giao việc'!$D$5:$D$3004,$A16,'Giao việc'!$Q$5:$Q$3004,"&gt;="&amp;U$8,'Giao việc'!$Q$5:$Q$3004,"&lt;="&amp;U$9,'Giao việc'!$J$5:$J$3004,"&lt;&gt;Bỏ qua"),1,IF(COUNTIFS('Giao việc'!$O$5:$O$3004,SEL_K,'Giao việc'!$D$5:$D$3004,$A16,'Giao việc'!$Q$5:$Q$3004,"&gt;="&amp;U$8,'Giao việc'!$Q$5:$Q$3004,"&lt;="&amp;U$9,'Giao việc'!$M$5:$M$3004,"*QUÁ HẠN*")&gt;0,4,IF(COUNTIFS('Giao việc'!$O$5:$O$3004,SEL_K,'Giao việc'!$D$5:$D$3004,$A16,'Giao việc'!$Q$5:$Q$3004,"&gt;="&amp;U$8,'Giao việc'!$Q$5:$Q$3004,"&lt;="&amp;U$9,'Giao việc'!$M$5:$M$3004,"*Đến hạn*")&gt;0,3,2))))</f>
        <v/>
      </c>
    </row>
    <row r="17" ht="20" customHeight="1">
      <c r="A17" s="17" t="inlineStr">
        <is>
          <t>8. Chốt trước D</t>
        </is>
      </c>
      <c r="B17" s="36">
        <f>IF(COUNTIFS('Giao việc'!$O$5:$O$3004,SEL_K,'Giao việc'!$D$5:$D$3004,$A17,'Giao việc'!$Q$5:$Q$3004,"&gt;="&amp;N$8,'Giao việc'!$Q$5:$Q$3004,"&lt;="&amp;N$9,'Giao việc'!$J$5:$J$3004,"&lt;&gt;Bỏ qua")=0,"",COUNTIFS('Giao việc'!$O$5:$O$3004,SEL_K,'Giao việc'!$D$5:$D$3004,$A17,'Giao việc'!$Q$5:$Q$3004,"&gt;="&amp;N$8,'Giao việc'!$Q$5:$Q$3004,"&lt;="&amp;N$9,'Giao việc'!$J$5:$J$3004,"Xong")&amp;" / "&amp;COUNTIFS('Giao việc'!$O$5:$O$3004,SEL_K,'Giao việc'!$D$5:$D$3004,$A17,'Giao việc'!$Q$5:$Q$3004,"&gt;="&amp;N$8,'Giao việc'!$Q$5:$Q$3004,"&lt;="&amp;N$9,'Giao việc'!$J$5:$J$3004,"&lt;&gt;Bỏ qua"))</f>
        <v/>
      </c>
      <c r="C17" s="36">
        <f>IF(COUNTIFS('Giao việc'!$O$5:$O$3004,SEL_K,'Giao việc'!$D$5:$D$3004,$A17,'Giao việc'!$Q$5:$Q$3004,"&gt;="&amp;O$8,'Giao việc'!$Q$5:$Q$3004,"&lt;="&amp;O$9,'Giao việc'!$J$5:$J$3004,"&lt;&gt;Bỏ qua")=0,"",COUNTIFS('Giao việc'!$O$5:$O$3004,SEL_K,'Giao việc'!$D$5:$D$3004,$A17,'Giao việc'!$Q$5:$Q$3004,"&gt;="&amp;O$8,'Giao việc'!$Q$5:$Q$3004,"&lt;="&amp;O$9,'Giao việc'!$J$5:$J$3004,"Xong")&amp;" / "&amp;COUNTIFS('Giao việc'!$O$5:$O$3004,SEL_K,'Giao việc'!$D$5:$D$3004,$A17,'Giao việc'!$Q$5:$Q$3004,"&gt;="&amp;O$8,'Giao việc'!$Q$5:$Q$3004,"&lt;="&amp;O$9,'Giao việc'!$J$5:$J$3004,"&lt;&gt;Bỏ qua"))</f>
        <v/>
      </c>
      <c r="D17" s="36">
        <f>IF(COUNTIFS('Giao việc'!$O$5:$O$3004,SEL_K,'Giao việc'!$D$5:$D$3004,$A17,'Giao việc'!$Q$5:$Q$3004,"&gt;="&amp;P$8,'Giao việc'!$Q$5:$Q$3004,"&lt;="&amp;P$9,'Giao việc'!$J$5:$J$3004,"&lt;&gt;Bỏ qua")=0,"",COUNTIFS('Giao việc'!$O$5:$O$3004,SEL_K,'Giao việc'!$D$5:$D$3004,$A17,'Giao việc'!$Q$5:$Q$3004,"&gt;="&amp;P$8,'Giao việc'!$Q$5:$Q$3004,"&lt;="&amp;P$9,'Giao việc'!$J$5:$J$3004,"Xong")&amp;" / "&amp;COUNTIFS('Giao việc'!$O$5:$O$3004,SEL_K,'Giao việc'!$D$5:$D$3004,$A17,'Giao việc'!$Q$5:$Q$3004,"&gt;="&amp;P$8,'Giao việc'!$Q$5:$Q$3004,"&lt;="&amp;P$9,'Giao việc'!$J$5:$J$3004,"&lt;&gt;Bỏ qua"))</f>
        <v/>
      </c>
      <c r="E17" s="36">
        <f>IF(COUNTIFS('Giao việc'!$O$5:$O$3004,SEL_K,'Giao việc'!$D$5:$D$3004,$A17,'Giao việc'!$Q$5:$Q$3004,"&gt;="&amp;Q$8,'Giao việc'!$Q$5:$Q$3004,"&lt;="&amp;Q$9,'Giao việc'!$J$5:$J$3004,"&lt;&gt;Bỏ qua")=0,"",COUNTIFS('Giao việc'!$O$5:$O$3004,SEL_K,'Giao việc'!$D$5:$D$3004,$A17,'Giao việc'!$Q$5:$Q$3004,"&gt;="&amp;Q$8,'Giao việc'!$Q$5:$Q$3004,"&lt;="&amp;Q$9,'Giao việc'!$J$5:$J$3004,"Xong")&amp;" / "&amp;COUNTIFS('Giao việc'!$O$5:$O$3004,SEL_K,'Giao việc'!$D$5:$D$3004,$A17,'Giao việc'!$Q$5:$Q$3004,"&gt;="&amp;Q$8,'Giao việc'!$Q$5:$Q$3004,"&lt;="&amp;Q$9,'Giao việc'!$J$5:$J$3004,"&lt;&gt;Bỏ qua"))</f>
        <v/>
      </c>
      <c r="F17" s="36">
        <f>IF(COUNTIFS('Giao việc'!$O$5:$O$3004,SEL_K,'Giao việc'!$D$5:$D$3004,$A17,'Giao việc'!$Q$5:$Q$3004,"&gt;="&amp;R$8,'Giao việc'!$Q$5:$Q$3004,"&lt;="&amp;R$9,'Giao việc'!$J$5:$J$3004,"&lt;&gt;Bỏ qua")=0,"",COUNTIFS('Giao việc'!$O$5:$O$3004,SEL_K,'Giao việc'!$D$5:$D$3004,$A17,'Giao việc'!$Q$5:$Q$3004,"&gt;="&amp;R$8,'Giao việc'!$Q$5:$Q$3004,"&lt;="&amp;R$9,'Giao việc'!$J$5:$J$3004,"Xong")&amp;" / "&amp;COUNTIFS('Giao việc'!$O$5:$O$3004,SEL_K,'Giao việc'!$D$5:$D$3004,$A17,'Giao việc'!$Q$5:$Q$3004,"&gt;="&amp;R$8,'Giao việc'!$Q$5:$Q$3004,"&lt;="&amp;R$9,'Giao việc'!$J$5:$J$3004,"&lt;&gt;Bỏ qua"))</f>
        <v/>
      </c>
      <c r="G17" s="36">
        <f>IF(COUNTIFS('Giao việc'!$O$5:$O$3004,SEL_K,'Giao việc'!$D$5:$D$3004,$A17,'Giao việc'!$Q$5:$Q$3004,"&gt;="&amp;S$8,'Giao việc'!$Q$5:$Q$3004,"&lt;="&amp;S$9,'Giao việc'!$J$5:$J$3004,"&lt;&gt;Bỏ qua")=0,"",COUNTIFS('Giao việc'!$O$5:$O$3004,SEL_K,'Giao việc'!$D$5:$D$3004,$A17,'Giao việc'!$Q$5:$Q$3004,"&gt;="&amp;S$8,'Giao việc'!$Q$5:$Q$3004,"&lt;="&amp;S$9,'Giao việc'!$J$5:$J$3004,"Xong")&amp;" / "&amp;COUNTIFS('Giao việc'!$O$5:$O$3004,SEL_K,'Giao việc'!$D$5:$D$3004,$A17,'Giao việc'!$Q$5:$Q$3004,"&gt;="&amp;S$8,'Giao việc'!$Q$5:$Q$3004,"&lt;="&amp;S$9,'Giao việc'!$J$5:$J$3004,"&lt;&gt;Bỏ qua"))</f>
        <v/>
      </c>
      <c r="H17" s="36">
        <f>IF(COUNTIFS('Giao việc'!$O$5:$O$3004,SEL_K,'Giao việc'!$D$5:$D$3004,$A17,'Giao việc'!$Q$5:$Q$3004,"&gt;="&amp;T$8,'Giao việc'!$Q$5:$Q$3004,"&lt;="&amp;T$9,'Giao việc'!$J$5:$J$3004,"&lt;&gt;Bỏ qua")=0,"",COUNTIFS('Giao việc'!$O$5:$O$3004,SEL_K,'Giao việc'!$D$5:$D$3004,$A17,'Giao việc'!$Q$5:$Q$3004,"&gt;="&amp;T$8,'Giao việc'!$Q$5:$Q$3004,"&lt;="&amp;T$9,'Giao việc'!$J$5:$J$3004,"Xong")&amp;" / "&amp;COUNTIFS('Giao việc'!$O$5:$O$3004,SEL_K,'Giao việc'!$D$5:$D$3004,$A17,'Giao việc'!$Q$5:$Q$3004,"&gt;="&amp;T$8,'Giao việc'!$Q$5:$Q$3004,"&lt;="&amp;T$9,'Giao việc'!$J$5:$J$3004,"&lt;&gt;Bỏ qua"))</f>
        <v/>
      </c>
      <c r="I17" s="36">
        <f>IF(COUNTIFS('Giao việc'!$O$5:$O$3004,SEL_K,'Giao việc'!$D$5:$D$3004,$A17,'Giao việc'!$Q$5:$Q$3004,"&gt;="&amp;U$8,'Giao việc'!$Q$5:$Q$3004,"&lt;="&amp;U$9,'Giao việc'!$J$5:$J$3004,"&lt;&gt;Bỏ qua")=0,"",COUNTIFS('Giao việc'!$O$5:$O$3004,SEL_K,'Giao việc'!$D$5:$D$3004,$A17,'Giao việc'!$Q$5:$Q$3004,"&gt;="&amp;U$8,'Giao việc'!$Q$5:$Q$3004,"&lt;="&amp;U$9,'Giao việc'!$J$5:$J$3004,"Xong")&amp;" / "&amp;COUNTIFS('Giao việc'!$O$5:$O$3004,SEL_K,'Giao việc'!$D$5:$D$3004,$A17,'Giao việc'!$Q$5:$Q$3004,"&gt;="&amp;U$8,'Giao việc'!$Q$5:$Q$3004,"&lt;="&amp;U$9,'Giao việc'!$J$5:$J$3004,"&lt;&gt;Bỏ qua"))</f>
        <v/>
      </c>
      <c r="J17" s="37">
        <f>IF(COUNTIFS('Giao việc'!$O$5:$O$3004,SEL_K,'Giao việc'!$D$5:$D$3004,$A17,'Giao việc'!$J$5:$J$3004,"&lt;&gt;Bỏ qua")=0,"",COUNTIFS('Giao việc'!$O$5:$O$3004,SEL_K,'Giao việc'!$D$5:$D$3004,$A17,'Giao việc'!$J$5:$J$3004,"Xong")&amp;" / "&amp;COUNTIFS('Giao việc'!$O$5:$O$3004,SEL_K,'Giao việc'!$D$5:$D$3004,$A17,'Giao việc'!$J$5:$J$3004,"&lt;&gt;Bỏ qua"))</f>
        <v/>
      </c>
      <c r="K17" s="19">
        <f>IF(COUNTIFS('Giao việc'!$O$5:$O$3004,SEL_K,'Giao việc'!$D$5:$D$3004,$A17,'Giao việc'!$J$5:$J$3004,"&lt;&gt;Bỏ qua")=0,"",REPT("█",ROUND(COUNTIFS('Giao việc'!$O$5:$O$3004,SEL_K,'Giao việc'!$D$5:$D$3004,$A17,'Giao việc'!$J$5:$J$3004,"Xong")/COUNTIFS('Giao việc'!$O$5:$O$3004,SEL_K,'Giao việc'!$D$5:$D$3004,$A17,'Giao việc'!$J$5:$J$3004,"&lt;&gt;Bỏ qua")*10,0))&amp;REPT("░",10-ROUND(COUNTIFS('Giao việc'!$O$5:$O$3004,SEL_K,'Giao việc'!$D$5:$D$3004,$A17,'Giao việc'!$J$5:$J$3004,"Xong")/COUNTIFS('Giao việc'!$O$5:$O$3004,SEL_K,'Giao việc'!$D$5:$D$3004,$A17,'Giao việc'!$J$5:$J$3004,"&lt;&gt;Bỏ qua")*10,0)))</f>
        <v/>
      </c>
      <c r="N17">
        <f>IF(COUNTIFS('Giao việc'!$O$5:$O$3004,SEL_K,'Giao việc'!$D$5:$D$3004,$A17,'Giao việc'!$Q$5:$Q$3004,"&gt;="&amp;N$8,'Giao việc'!$Q$5:$Q$3004,"&lt;="&amp;N$9,'Giao việc'!$J$5:$J$3004,"&lt;&gt;Bỏ qua")=0,0,IF(COUNTIFS('Giao việc'!$O$5:$O$3004,SEL_K,'Giao việc'!$D$5:$D$3004,$A17,'Giao việc'!$Q$5:$Q$3004,"&gt;="&amp;N$8,'Giao việc'!$Q$5:$Q$3004,"&lt;="&amp;N$9,'Giao việc'!$J$5:$J$3004,"Xong")=COUNTIFS('Giao việc'!$O$5:$O$3004,SEL_K,'Giao việc'!$D$5:$D$3004,$A17,'Giao việc'!$Q$5:$Q$3004,"&gt;="&amp;N$8,'Giao việc'!$Q$5:$Q$3004,"&lt;="&amp;N$9,'Giao việc'!$J$5:$J$3004,"&lt;&gt;Bỏ qua"),1,IF(COUNTIFS('Giao việc'!$O$5:$O$3004,SEL_K,'Giao việc'!$D$5:$D$3004,$A17,'Giao việc'!$Q$5:$Q$3004,"&gt;="&amp;N$8,'Giao việc'!$Q$5:$Q$3004,"&lt;="&amp;N$9,'Giao việc'!$M$5:$M$3004,"*QUÁ HẠN*")&gt;0,4,IF(COUNTIFS('Giao việc'!$O$5:$O$3004,SEL_K,'Giao việc'!$D$5:$D$3004,$A17,'Giao việc'!$Q$5:$Q$3004,"&gt;="&amp;N$8,'Giao việc'!$Q$5:$Q$3004,"&lt;="&amp;N$9,'Giao việc'!$M$5:$M$3004,"*Đến hạn*")&gt;0,3,2))))</f>
        <v/>
      </c>
      <c r="O17">
        <f>IF(COUNTIFS('Giao việc'!$O$5:$O$3004,SEL_K,'Giao việc'!$D$5:$D$3004,$A17,'Giao việc'!$Q$5:$Q$3004,"&gt;="&amp;O$8,'Giao việc'!$Q$5:$Q$3004,"&lt;="&amp;O$9,'Giao việc'!$J$5:$J$3004,"&lt;&gt;Bỏ qua")=0,0,IF(COUNTIFS('Giao việc'!$O$5:$O$3004,SEL_K,'Giao việc'!$D$5:$D$3004,$A17,'Giao việc'!$Q$5:$Q$3004,"&gt;="&amp;O$8,'Giao việc'!$Q$5:$Q$3004,"&lt;="&amp;O$9,'Giao việc'!$J$5:$J$3004,"Xong")=COUNTIFS('Giao việc'!$O$5:$O$3004,SEL_K,'Giao việc'!$D$5:$D$3004,$A17,'Giao việc'!$Q$5:$Q$3004,"&gt;="&amp;O$8,'Giao việc'!$Q$5:$Q$3004,"&lt;="&amp;O$9,'Giao việc'!$J$5:$J$3004,"&lt;&gt;Bỏ qua"),1,IF(COUNTIFS('Giao việc'!$O$5:$O$3004,SEL_K,'Giao việc'!$D$5:$D$3004,$A17,'Giao việc'!$Q$5:$Q$3004,"&gt;="&amp;O$8,'Giao việc'!$Q$5:$Q$3004,"&lt;="&amp;O$9,'Giao việc'!$M$5:$M$3004,"*QUÁ HẠN*")&gt;0,4,IF(COUNTIFS('Giao việc'!$O$5:$O$3004,SEL_K,'Giao việc'!$D$5:$D$3004,$A17,'Giao việc'!$Q$5:$Q$3004,"&gt;="&amp;O$8,'Giao việc'!$Q$5:$Q$3004,"&lt;="&amp;O$9,'Giao việc'!$M$5:$M$3004,"*Đến hạn*")&gt;0,3,2))))</f>
        <v/>
      </c>
      <c r="P17">
        <f>IF(COUNTIFS('Giao việc'!$O$5:$O$3004,SEL_K,'Giao việc'!$D$5:$D$3004,$A17,'Giao việc'!$Q$5:$Q$3004,"&gt;="&amp;P$8,'Giao việc'!$Q$5:$Q$3004,"&lt;="&amp;P$9,'Giao việc'!$J$5:$J$3004,"&lt;&gt;Bỏ qua")=0,0,IF(COUNTIFS('Giao việc'!$O$5:$O$3004,SEL_K,'Giao việc'!$D$5:$D$3004,$A17,'Giao việc'!$Q$5:$Q$3004,"&gt;="&amp;P$8,'Giao việc'!$Q$5:$Q$3004,"&lt;="&amp;P$9,'Giao việc'!$J$5:$J$3004,"Xong")=COUNTIFS('Giao việc'!$O$5:$O$3004,SEL_K,'Giao việc'!$D$5:$D$3004,$A17,'Giao việc'!$Q$5:$Q$3004,"&gt;="&amp;P$8,'Giao việc'!$Q$5:$Q$3004,"&lt;="&amp;P$9,'Giao việc'!$J$5:$J$3004,"&lt;&gt;Bỏ qua"),1,IF(COUNTIFS('Giao việc'!$O$5:$O$3004,SEL_K,'Giao việc'!$D$5:$D$3004,$A17,'Giao việc'!$Q$5:$Q$3004,"&gt;="&amp;P$8,'Giao việc'!$Q$5:$Q$3004,"&lt;="&amp;P$9,'Giao việc'!$M$5:$M$3004,"*QUÁ HẠN*")&gt;0,4,IF(COUNTIFS('Giao việc'!$O$5:$O$3004,SEL_K,'Giao việc'!$D$5:$D$3004,$A17,'Giao việc'!$Q$5:$Q$3004,"&gt;="&amp;P$8,'Giao việc'!$Q$5:$Q$3004,"&lt;="&amp;P$9,'Giao việc'!$M$5:$M$3004,"*Đến hạn*")&gt;0,3,2))))</f>
        <v/>
      </c>
      <c r="Q17">
        <f>IF(COUNTIFS('Giao việc'!$O$5:$O$3004,SEL_K,'Giao việc'!$D$5:$D$3004,$A17,'Giao việc'!$Q$5:$Q$3004,"&gt;="&amp;Q$8,'Giao việc'!$Q$5:$Q$3004,"&lt;="&amp;Q$9,'Giao việc'!$J$5:$J$3004,"&lt;&gt;Bỏ qua")=0,0,IF(COUNTIFS('Giao việc'!$O$5:$O$3004,SEL_K,'Giao việc'!$D$5:$D$3004,$A17,'Giao việc'!$Q$5:$Q$3004,"&gt;="&amp;Q$8,'Giao việc'!$Q$5:$Q$3004,"&lt;="&amp;Q$9,'Giao việc'!$J$5:$J$3004,"Xong")=COUNTIFS('Giao việc'!$O$5:$O$3004,SEL_K,'Giao việc'!$D$5:$D$3004,$A17,'Giao việc'!$Q$5:$Q$3004,"&gt;="&amp;Q$8,'Giao việc'!$Q$5:$Q$3004,"&lt;="&amp;Q$9,'Giao việc'!$J$5:$J$3004,"&lt;&gt;Bỏ qua"),1,IF(COUNTIFS('Giao việc'!$O$5:$O$3004,SEL_K,'Giao việc'!$D$5:$D$3004,$A17,'Giao việc'!$Q$5:$Q$3004,"&gt;="&amp;Q$8,'Giao việc'!$Q$5:$Q$3004,"&lt;="&amp;Q$9,'Giao việc'!$M$5:$M$3004,"*QUÁ HẠN*")&gt;0,4,IF(COUNTIFS('Giao việc'!$O$5:$O$3004,SEL_K,'Giao việc'!$D$5:$D$3004,$A17,'Giao việc'!$Q$5:$Q$3004,"&gt;="&amp;Q$8,'Giao việc'!$Q$5:$Q$3004,"&lt;="&amp;Q$9,'Giao việc'!$M$5:$M$3004,"*Đến hạn*")&gt;0,3,2))))</f>
        <v/>
      </c>
      <c r="R17">
        <f>IF(COUNTIFS('Giao việc'!$O$5:$O$3004,SEL_K,'Giao việc'!$D$5:$D$3004,$A17,'Giao việc'!$Q$5:$Q$3004,"&gt;="&amp;R$8,'Giao việc'!$Q$5:$Q$3004,"&lt;="&amp;R$9,'Giao việc'!$J$5:$J$3004,"&lt;&gt;Bỏ qua")=0,0,IF(COUNTIFS('Giao việc'!$O$5:$O$3004,SEL_K,'Giao việc'!$D$5:$D$3004,$A17,'Giao việc'!$Q$5:$Q$3004,"&gt;="&amp;R$8,'Giao việc'!$Q$5:$Q$3004,"&lt;="&amp;R$9,'Giao việc'!$J$5:$J$3004,"Xong")=COUNTIFS('Giao việc'!$O$5:$O$3004,SEL_K,'Giao việc'!$D$5:$D$3004,$A17,'Giao việc'!$Q$5:$Q$3004,"&gt;="&amp;R$8,'Giao việc'!$Q$5:$Q$3004,"&lt;="&amp;R$9,'Giao việc'!$J$5:$J$3004,"&lt;&gt;Bỏ qua"),1,IF(COUNTIFS('Giao việc'!$O$5:$O$3004,SEL_K,'Giao việc'!$D$5:$D$3004,$A17,'Giao việc'!$Q$5:$Q$3004,"&gt;="&amp;R$8,'Giao việc'!$Q$5:$Q$3004,"&lt;="&amp;R$9,'Giao việc'!$M$5:$M$3004,"*QUÁ HẠN*")&gt;0,4,IF(COUNTIFS('Giao việc'!$O$5:$O$3004,SEL_K,'Giao việc'!$D$5:$D$3004,$A17,'Giao việc'!$Q$5:$Q$3004,"&gt;="&amp;R$8,'Giao việc'!$Q$5:$Q$3004,"&lt;="&amp;R$9,'Giao việc'!$M$5:$M$3004,"*Đến hạn*")&gt;0,3,2))))</f>
        <v/>
      </c>
      <c r="S17">
        <f>IF(COUNTIFS('Giao việc'!$O$5:$O$3004,SEL_K,'Giao việc'!$D$5:$D$3004,$A17,'Giao việc'!$Q$5:$Q$3004,"&gt;="&amp;S$8,'Giao việc'!$Q$5:$Q$3004,"&lt;="&amp;S$9,'Giao việc'!$J$5:$J$3004,"&lt;&gt;Bỏ qua")=0,0,IF(COUNTIFS('Giao việc'!$O$5:$O$3004,SEL_K,'Giao việc'!$D$5:$D$3004,$A17,'Giao việc'!$Q$5:$Q$3004,"&gt;="&amp;S$8,'Giao việc'!$Q$5:$Q$3004,"&lt;="&amp;S$9,'Giao việc'!$J$5:$J$3004,"Xong")=COUNTIFS('Giao việc'!$O$5:$O$3004,SEL_K,'Giao việc'!$D$5:$D$3004,$A17,'Giao việc'!$Q$5:$Q$3004,"&gt;="&amp;S$8,'Giao việc'!$Q$5:$Q$3004,"&lt;="&amp;S$9,'Giao việc'!$J$5:$J$3004,"&lt;&gt;Bỏ qua"),1,IF(COUNTIFS('Giao việc'!$O$5:$O$3004,SEL_K,'Giao việc'!$D$5:$D$3004,$A17,'Giao việc'!$Q$5:$Q$3004,"&gt;="&amp;S$8,'Giao việc'!$Q$5:$Q$3004,"&lt;="&amp;S$9,'Giao việc'!$M$5:$M$3004,"*QUÁ HẠN*")&gt;0,4,IF(COUNTIFS('Giao việc'!$O$5:$O$3004,SEL_K,'Giao việc'!$D$5:$D$3004,$A17,'Giao việc'!$Q$5:$Q$3004,"&gt;="&amp;S$8,'Giao việc'!$Q$5:$Q$3004,"&lt;="&amp;S$9,'Giao việc'!$M$5:$M$3004,"*Đến hạn*")&gt;0,3,2))))</f>
        <v/>
      </c>
      <c r="T17">
        <f>IF(COUNTIFS('Giao việc'!$O$5:$O$3004,SEL_K,'Giao việc'!$D$5:$D$3004,$A17,'Giao việc'!$Q$5:$Q$3004,"&gt;="&amp;T$8,'Giao việc'!$Q$5:$Q$3004,"&lt;="&amp;T$9,'Giao việc'!$J$5:$J$3004,"&lt;&gt;Bỏ qua")=0,0,IF(COUNTIFS('Giao việc'!$O$5:$O$3004,SEL_K,'Giao việc'!$D$5:$D$3004,$A17,'Giao việc'!$Q$5:$Q$3004,"&gt;="&amp;T$8,'Giao việc'!$Q$5:$Q$3004,"&lt;="&amp;T$9,'Giao việc'!$J$5:$J$3004,"Xong")=COUNTIFS('Giao việc'!$O$5:$O$3004,SEL_K,'Giao việc'!$D$5:$D$3004,$A17,'Giao việc'!$Q$5:$Q$3004,"&gt;="&amp;T$8,'Giao việc'!$Q$5:$Q$3004,"&lt;="&amp;T$9,'Giao việc'!$J$5:$J$3004,"&lt;&gt;Bỏ qua"),1,IF(COUNTIFS('Giao việc'!$O$5:$O$3004,SEL_K,'Giao việc'!$D$5:$D$3004,$A17,'Giao việc'!$Q$5:$Q$3004,"&gt;="&amp;T$8,'Giao việc'!$Q$5:$Q$3004,"&lt;="&amp;T$9,'Giao việc'!$M$5:$M$3004,"*QUÁ HẠN*")&gt;0,4,IF(COUNTIFS('Giao việc'!$O$5:$O$3004,SEL_K,'Giao việc'!$D$5:$D$3004,$A17,'Giao việc'!$Q$5:$Q$3004,"&gt;="&amp;T$8,'Giao việc'!$Q$5:$Q$3004,"&lt;="&amp;T$9,'Giao việc'!$M$5:$M$3004,"*Đến hạn*")&gt;0,3,2))))</f>
        <v/>
      </c>
      <c r="U17">
        <f>IF(COUNTIFS('Giao việc'!$O$5:$O$3004,SEL_K,'Giao việc'!$D$5:$D$3004,$A17,'Giao việc'!$Q$5:$Q$3004,"&gt;="&amp;U$8,'Giao việc'!$Q$5:$Q$3004,"&lt;="&amp;U$9,'Giao việc'!$J$5:$J$3004,"&lt;&gt;Bỏ qua")=0,0,IF(COUNTIFS('Giao việc'!$O$5:$O$3004,SEL_K,'Giao việc'!$D$5:$D$3004,$A17,'Giao việc'!$Q$5:$Q$3004,"&gt;="&amp;U$8,'Giao việc'!$Q$5:$Q$3004,"&lt;="&amp;U$9,'Giao việc'!$J$5:$J$3004,"Xong")=COUNTIFS('Giao việc'!$O$5:$O$3004,SEL_K,'Giao việc'!$D$5:$D$3004,$A17,'Giao việc'!$Q$5:$Q$3004,"&gt;="&amp;U$8,'Giao việc'!$Q$5:$Q$3004,"&lt;="&amp;U$9,'Giao việc'!$J$5:$J$3004,"&lt;&gt;Bỏ qua"),1,IF(COUNTIFS('Giao việc'!$O$5:$O$3004,SEL_K,'Giao việc'!$D$5:$D$3004,$A17,'Giao việc'!$Q$5:$Q$3004,"&gt;="&amp;U$8,'Giao việc'!$Q$5:$Q$3004,"&lt;="&amp;U$9,'Giao việc'!$M$5:$M$3004,"*QUÁ HẠN*")&gt;0,4,IF(COUNTIFS('Giao việc'!$O$5:$O$3004,SEL_K,'Giao việc'!$D$5:$D$3004,$A17,'Giao việc'!$Q$5:$Q$3004,"&gt;="&amp;U$8,'Giao việc'!$Q$5:$Q$3004,"&lt;="&amp;U$9,'Giao việc'!$M$5:$M$3004,"*Đến hạn*")&gt;0,3,2))))</f>
        <v/>
      </c>
    </row>
    <row r="18" ht="20" customHeight="1">
      <c r="A18" s="17" t="inlineStr">
        <is>
          <t>9. Ngày D</t>
        </is>
      </c>
      <c r="B18" s="36">
        <f>IF(COUNTIFS('Giao việc'!$O$5:$O$3004,SEL_K,'Giao việc'!$D$5:$D$3004,$A18,'Giao việc'!$Q$5:$Q$3004,"&gt;="&amp;N$8,'Giao việc'!$Q$5:$Q$3004,"&lt;="&amp;N$9,'Giao việc'!$J$5:$J$3004,"&lt;&gt;Bỏ qua")=0,"",COUNTIFS('Giao việc'!$O$5:$O$3004,SEL_K,'Giao việc'!$D$5:$D$3004,$A18,'Giao việc'!$Q$5:$Q$3004,"&gt;="&amp;N$8,'Giao việc'!$Q$5:$Q$3004,"&lt;="&amp;N$9,'Giao việc'!$J$5:$J$3004,"Xong")&amp;" / "&amp;COUNTIFS('Giao việc'!$O$5:$O$3004,SEL_K,'Giao việc'!$D$5:$D$3004,$A18,'Giao việc'!$Q$5:$Q$3004,"&gt;="&amp;N$8,'Giao việc'!$Q$5:$Q$3004,"&lt;="&amp;N$9,'Giao việc'!$J$5:$J$3004,"&lt;&gt;Bỏ qua"))</f>
        <v/>
      </c>
      <c r="C18" s="36">
        <f>IF(COUNTIFS('Giao việc'!$O$5:$O$3004,SEL_K,'Giao việc'!$D$5:$D$3004,$A18,'Giao việc'!$Q$5:$Q$3004,"&gt;="&amp;O$8,'Giao việc'!$Q$5:$Q$3004,"&lt;="&amp;O$9,'Giao việc'!$J$5:$J$3004,"&lt;&gt;Bỏ qua")=0,"",COUNTIFS('Giao việc'!$O$5:$O$3004,SEL_K,'Giao việc'!$D$5:$D$3004,$A18,'Giao việc'!$Q$5:$Q$3004,"&gt;="&amp;O$8,'Giao việc'!$Q$5:$Q$3004,"&lt;="&amp;O$9,'Giao việc'!$J$5:$J$3004,"Xong")&amp;" / "&amp;COUNTIFS('Giao việc'!$O$5:$O$3004,SEL_K,'Giao việc'!$D$5:$D$3004,$A18,'Giao việc'!$Q$5:$Q$3004,"&gt;="&amp;O$8,'Giao việc'!$Q$5:$Q$3004,"&lt;="&amp;O$9,'Giao việc'!$J$5:$J$3004,"&lt;&gt;Bỏ qua"))</f>
        <v/>
      </c>
      <c r="D18" s="36">
        <f>IF(COUNTIFS('Giao việc'!$O$5:$O$3004,SEL_K,'Giao việc'!$D$5:$D$3004,$A18,'Giao việc'!$Q$5:$Q$3004,"&gt;="&amp;P$8,'Giao việc'!$Q$5:$Q$3004,"&lt;="&amp;P$9,'Giao việc'!$J$5:$J$3004,"&lt;&gt;Bỏ qua")=0,"",COUNTIFS('Giao việc'!$O$5:$O$3004,SEL_K,'Giao việc'!$D$5:$D$3004,$A18,'Giao việc'!$Q$5:$Q$3004,"&gt;="&amp;P$8,'Giao việc'!$Q$5:$Q$3004,"&lt;="&amp;P$9,'Giao việc'!$J$5:$J$3004,"Xong")&amp;" / "&amp;COUNTIFS('Giao việc'!$O$5:$O$3004,SEL_K,'Giao việc'!$D$5:$D$3004,$A18,'Giao việc'!$Q$5:$Q$3004,"&gt;="&amp;P$8,'Giao việc'!$Q$5:$Q$3004,"&lt;="&amp;P$9,'Giao việc'!$J$5:$J$3004,"&lt;&gt;Bỏ qua"))</f>
        <v/>
      </c>
      <c r="E18" s="36">
        <f>IF(COUNTIFS('Giao việc'!$O$5:$O$3004,SEL_K,'Giao việc'!$D$5:$D$3004,$A18,'Giao việc'!$Q$5:$Q$3004,"&gt;="&amp;Q$8,'Giao việc'!$Q$5:$Q$3004,"&lt;="&amp;Q$9,'Giao việc'!$J$5:$J$3004,"&lt;&gt;Bỏ qua")=0,"",COUNTIFS('Giao việc'!$O$5:$O$3004,SEL_K,'Giao việc'!$D$5:$D$3004,$A18,'Giao việc'!$Q$5:$Q$3004,"&gt;="&amp;Q$8,'Giao việc'!$Q$5:$Q$3004,"&lt;="&amp;Q$9,'Giao việc'!$J$5:$J$3004,"Xong")&amp;" / "&amp;COUNTIFS('Giao việc'!$O$5:$O$3004,SEL_K,'Giao việc'!$D$5:$D$3004,$A18,'Giao việc'!$Q$5:$Q$3004,"&gt;="&amp;Q$8,'Giao việc'!$Q$5:$Q$3004,"&lt;="&amp;Q$9,'Giao việc'!$J$5:$J$3004,"&lt;&gt;Bỏ qua"))</f>
        <v/>
      </c>
      <c r="F18" s="36">
        <f>IF(COUNTIFS('Giao việc'!$O$5:$O$3004,SEL_K,'Giao việc'!$D$5:$D$3004,$A18,'Giao việc'!$Q$5:$Q$3004,"&gt;="&amp;R$8,'Giao việc'!$Q$5:$Q$3004,"&lt;="&amp;R$9,'Giao việc'!$J$5:$J$3004,"&lt;&gt;Bỏ qua")=0,"",COUNTIFS('Giao việc'!$O$5:$O$3004,SEL_K,'Giao việc'!$D$5:$D$3004,$A18,'Giao việc'!$Q$5:$Q$3004,"&gt;="&amp;R$8,'Giao việc'!$Q$5:$Q$3004,"&lt;="&amp;R$9,'Giao việc'!$J$5:$J$3004,"Xong")&amp;" / "&amp;COUNTIFS('Giao việc'!$O$5:$O$3004,SEL_K,'Giao việc'!$D$5:$D$3004,$A18,'Giao việc'!$Q$5:$Q$3004,"&gt;="&amp;R$8,'Giao việc'!$Q$5:$Q$3004,"&lt;="&amp;R$9,'Giao việc'!$J$5:$J$3004,"&lt;&gt;Bỏ qua"))</f>
        <v/>
      </c>
      <c r="G18" s="36">
        <f>IF(COUNTIFS('Giao việc'!$O$5:$O$3004,SEL_K,'Giao việc'!$D$5:$D$3004,$A18,'Giao việc'!$Q$5:$Q$3004,"&gt;="&amp;S$8,'Giao việc'!$Q$5:$Q$3004,"&lt;="&amp;S$9,'Giao việc'!$J$5:$J$3004,"&lt;&gt;Bỏ qua")=0,"",COUNTIFS('Giao việc'!$O$5:$O$3004,SEL_K,'Giao việc'!$D$5:$D$3004,$A18,'Giao việc'!$Q$5:$Q$3004,"&gt;="&amp;S$8,'Giao việc'!$Q$5:$Q$3004,"&lt;="&amp;S$9,'Giao việc'!$J$5:$J$3004,"Xong")&amp;" / "&amp;COUNTIFS('Giao việc'!$O$5:$O$3004,SEL_K,'Giao việc'!$D$5:$D$3004,$A18,'Giao việc'!$Q$5:$Q$3004,"&gt;="&amp;S$8,'Giao việc'!$Q$5:$Q$3004,"&lt;="&amp;S$9,'Giao việc'!$J$5:$J$3004,"&lt;&gt;Bỏ qua"))</f>
        <v/>
      </c>
      <c r="H18" s="36">
        <f>IF(COUNTIFS('Giao việc'!$O$5:$O$3004,SEL_K,'Giao việc'!$D$5:$D$3004,$A18,'Giao việc'!$Q$5:$Q$3004,"&gt;="&amp;T$8,'Giao việc'!$Q$5:$Q$3004,"&lt;="&amp;T$9,'Giao việc'!$J$5:$J$3004,"&lt;&gt;Bỏ qua")=0,"",COUNTIFS('Giao việc'!$O$5:$O$3004,SEL_K,'Giao việc'!$D$5:$D$3004,$A18,'Giao việc'!$Q$5:$Q$3004,"&gt;="&amp;T$8,'Giao việc'!$Q$5:$Q$3004,"&lt;="&amp;T$9,'Giao việc'!$J$5:$J$3004,"Xong")&amp;" / "&amp;COUNTIFS('Giao việc'!$O$5:$O$3004,SEL_K,'Giao việc'!$D$5:$D$3004,$A18,'Giao việc'!$Q$5:$Q$3004,"&gt;="&amp;T$8,'Giao việc'!$Q$5:$Q$3004,"&lt;="&amp;T$9,'Giao việc'!$J$5:$J$3004,"&lt;&gt;Bỏ qua"))</f>
        <v/>
      </c>
      <c r="I18" s="36">
        <f>IF(COUNTIFS('Giao việc'!$O$5:$O$3004,SEL_K,'Giao việc'!$D$5:$D$3004,$A18,'Giao việc'!$Q$5:$Q$3004,"&gt;="&amp;U$8,'Giao việc'!$Q$5:$Q$3004,"&lt;="&amp;U$9,'Giao việc'!$J$5:$J$3004,"&lt;&gt;Bỏ qua")=0,"",COUNTIFS('Giao việc'!$O$5:$O$3004,SEL_K,'Giao việc'!$D$5:$D$3004,$A18,'Giao việc'!$Q$5:$Q$3004,"&gt;="&amp;U$8,'Giao việc'!$Q$5:$Q$3004,"&lt;="&amp;U$9,'Giao việc'!$J$5:$J$3004,"Xong")&amp;" / "&amp;COUNTIFS('Giao việc'!$O$5:$O$3004,SEL_K,'Giao việc'!$D$5:$D$3004,$A18,'Giao việc'!$Q$5:$Q$3004,"&gt;="&amp;U$8,'Giao việc'!$Q$5:$Q$3004,"&lt;="&amp;U$9,'Giao việc'!$J$5:$J$3004,"&lt;&gt;Bỏ qua"))</f>
        <v/>
      </c>
      <c r="J18" s="37">
        <f>IF(COUNTIFS('Giao việc'!$O$5:$O$3004,SEL_K,'Giao việc'!$D$5:$D$3004,$A18,'Giao việc'!$J$5:$J$3004,"&lt;&gt;Bỏ qua")=0,"",COUNTIFS('Giao việc'!$O$5:$O$3004,SEL_K,'Giao việc'!$D$5:$D$3004,$A18,'Giao việc'!$J$5:$J$3004,"Xong")&amp;" / "&amp;COUNTIFS('Giao việc'!$O$5:$O$3004,SEL_K,'Giao việc'!$D$5:$D$3004,$A18,'Giao việc'!$J$5:$J$3004,"&lt;&gt;Bỏ qua"))</f>
        <v/>
      </c>
      <c r="K18" s="19">
        <f>IF(COUNTIFS('Giao việc'!$O$5:$O$3004,SEL_K,'Giao việc'!$D$5:$D$3004,$A18,'Giao việc'!$J$5:$J$3004,"&lt;&gt;Bỏ qua")=0,"",REPT("█",ROUND(COUNTIFS('Giao việc'!$O$5:$O$3004,SEL_K,'Giao việc'!$D$5:$D$3004,$A18,'Giao việc'!$J$5:$J$3004,"Xong")/COUNTIFS('Giao việc'!$O$5:$O$3004,SEL_K,'Giao việc'!$D$5:$D$3004,$A18,'Giao việc'!$J$5:$J$3004,"&lt;&gt;Bỏ qua")*10,0))&amp;REPT("░",10-ROUND(COUNTIFS('Giao việc'!$O$5:$O$3004,SEL_K,'Giao việc'!$D$5:$D$3004,$A18,'Giao việc'!$J$5:$J$3004,"Xong")/COUNTIFS('Giao việc'!$O$5:$O$3004,SEL_K,'Giao việc'!$D$5:$D$3004,$A18,'Giao việc'!$J$5:$J$3004,"&lt;&gt;Bỏ qua")*10,0)))</f>
        <v/>
      </c>
      <c r="N18">
        <f>IF(COUNTIFS('Giao việc'!$O$5:$O$3004,SEL_K,'Giao việc'!$D$5:$D$3004,$A18,'Giao việc'!$Q$5:$Q$3004,"&gt;="&amp;N$8,'Giao việc'!$Q$5:$Q$3004,"&lt;="&amp;N$9,'Giao việc'!$J$5:$J$3004,"&lt;&gt;Bỏ qua")=0,0,IF(COUNTIFS('Giao việc'!$O$5:$O$3004,SEL_K,'Giao việc'!$D$5:$D$3004,$A18,'Giao việc'!$Q$5:$Q$3004,"&gt;="&amp;N$8,'Giao việc'!$Q$5:$Q$3004,"&lt;="&amp;N$9,'Giao việc'!$J$5:$J$3004,"Xong")=COUNTIFS('Giao việc'!$O$5:$O$3004,SEL_K,'Giao việc'!$D$5:$D$3004,$A18,'Giao việc'!$Q$5:$Q$3004,"&gt;="&amp;N$8,'Giao việc'!$Q$5:$Q$3004,"&lt;="&amp;N$9,'Giao việc'!$J$5:$J$3004,"&lt;&gt;Bỏ qua"),1,IF(COUNTIFS('Giao việc'!$O$5:$O$3004,SEL_K,'Giao việc'!$D$5:$D$3004,$A18,'Giao việc'!$Q$5:$Q$3004,"&gt;="&amp;N$8,'Giao việc'!$Q$5:$Q$3004,"&lt;="&amp;N$9,'Giao việc'!$M$5:$M$3004,"*QUÁ HẠN*")&gt;0,4,IF(COUNTIFS('Giao việc'!$O$5:$O$3004,SEL_K,'Giao việc'!$D$5:$D$3004,$A18,'Giao việc'!$Q$5:$Q$3004,"&gt;="&amp;N$8,'Giao việc'!$Q$5:$Q$3004,"&lt;="&amp;N$9,'Giao việc'!$M$5:$M$3004,"*Đến hạn*")&gt;0,3,2))))</f>
        <v/>
      </c>
      <c r="O18">
        <f>IF(COUNTIFS('Giao việc'!$O$5:$O$3004,SEL_K,'Giao việc'!$D$5:$D$3004,$A18,'Giao việc'!$Q$5:$Q$3004,"&gt;="&amp;O$8,'Giao việc'!$Q$5:$Q$3004,"&lt;="&amp;O$9,'Giao việc'!$J$5:$J$3004,"&lt;&gt;Bỏ qua")=0,0,IF(COUNTIFS('Giao việc'!$O$5:$O$3004,SEL_K,'Giao việc'!$D$5:$D$3004,$A18,'Giao việc'!$Q$5:$Q$3004,"&gt;="&amp;O$8,'Giao việc'!$Q$5:$Q$3004,"&lt;="&amp;O$9,'Giao việc'!$J$5:$J$3004,"Xong")=COUNTIFS('Giao việc'!$O$5:$O$3004,SEL_K,'Giao việc'!$D$5:$D$3004,$A18,'Giao việc'!$Q$5:$Q$3004,"&gt;="&amp;O$8,'Giao việc'!$Q$5:$Q$3004,"&lt;="&amp;O$9,'Giao việc'!$J$5:$J$3004,"&lt;&gt;Bỏ qua"),1,IF(COUNTIFS('Giao việc'!$O$5:$O$3004,SEL_K,'Giao việc'!$D$5:$D$3004,$A18,'Giao việc'!$Q$5:$Q$3004,"&gt;="&amp;O$8,'Giao việc'!$Q$5:$Q$3004,"&lt;="&amp;O$9,'Giao việc'!$M$5:$M$3004,"*QUÁ HẠN*")&gt;0,4,IF(COUNTIFS('Giao việc'!$O$5:$O$3004,SEL_K,'Giao việc'!$D$5:$D$3004,$A18,'Giao việc'!$Q$5:$Q$3004,"&gt;="&amp;O$8,'Giao việc'!$Q$5:$Q$3004,"&lt;="&amp;O$9,'Giao việc'!$M$5:$M$3004,"*Đến hạn*")&gt;0,3,2))))</f>
        <v/>
      </c>
      <c r="P18">
        <f>IF(COUNTIFS('Giao việc'!$O$5:$O$3004,SEL_K,'Giao việc'!$D$5:$D$3004,$A18,'Giao việc'!$Q$5:$Q$3004,"&gt;="&amp;P$8,'Giao việc'!$Q$5:$Q$3004,"&lt;="&amp;P$9,'Giao việc'!$J$5:$J$3004,"&lt;&gt;Bỏ qua")=0,0,IF(COUNTIFS('Giao việc'!$O$5:$O$3004,SEL_K,'Giao việc'!$D$5:$D$3004,$A18,'Giao việc'!$Q$5:$Q$3004,"&gt;="&amp;P$8,'Giao việc'!$Q$5:$Q$3004,"&lt;="&amp;P$9,'Giao việc'!$J$5:$J$3004,"Xong")=COUNTIFS('Giao việc'!$O$5:$O$3004,SEL_K,'Giao việc'!$D$5:$D$3004,$A18,'Giao việc'!$Q$5:$Q$3004,"&gt;="&amp;P$8,'Giao việc'!$Q$5:$Q$3004,"&lt;="&amp;P$9,'Giao việc'!$J$5:$J$3004,"&lt;&gt;Bỏ qua"),1,IF(COUNTIFS('Giao việc'!$O$5:$O$3004,SEL_K,'Giao việc'!$D$5:$D$3004,$A18,'Giao việc'!$Q$5:$Q$3004,"&gt;="&amp;P$8,'Giao việc'!$Q$5:$Q$3004,"&lt;="&amp;P$9,'Giao việc'!$M$5:$M$3004,"*QUÁ HẠN*")&gt;0,4,IF(COUNTIFS('Giao việc'!$O$5:$O$3004,SEL_K,'Giao việc'!$D$5:$D$3004,$A18,'Giao việc'!$Q$5:$Q$3004,"&gt;="&amp;P$8,'Giao việc'!$Q$5:$Q$3004,"&lt;="&amp;P$9,'Giao việc'!$M$5:$M$3004,"*Đến hạn*")&gt;0,3,2))))</f>
        <v/>
      </c>
      <c r="Q18">
        <f>IF(COUNTIFS('Giao việc'!$O$5:$O$3004,SEL_K,'Giao việc'!$D$5:$D$3004,$A18,'Giao việc'!$Q$5:$Q$3004,"&gt;="&amp;Q$8,'Giao việc'!$Q$5:$Q$3004,"&lt;="&amp;Q$9,'Giao việc'!$J$5:$J$3004,"&lt;&gt;Bỏ qua")=0,0,IF(COUNTIFS('Giao việc'!$O$5:$O$3004,SEL_K,'Giao việc'!$D$5:$D$3004,$A18,'Giao việc'!$Q$5:$Q$3004,"&gt;="&amp;Q$8,'Giao việc'!$Q$5:$Q$3004,"&lt;="&amp;Q$9,'Giao việc'!$J$5:$J$3004,"Xong")=COUNTIFS('Giao việc'!$O$5:$O$3004,SEL_K,'Giao việc'!$D$5:$D$3004,$A18,'Giao việc'!$Q$5:$Q$3004,"&gt;="&amp;Q$8,'Giao việc'!$Q$5:$Q$3004,"&lt;="&amp;Q$9,'Giao việc'!$J$5:$J$3004,"&lt;&gt;Bỏ qua"),1,IF(COUNTIFS('Giao việc'!$O$5:$O$3004,SEL_K,'Giao việc'!$D$5:$D$3004,$A18,'Giao việc'!$Q$5:$Q$3004,"&gt;="&amp;Q$8,'Giao việc'!$Q$5:$Q$3004,"&lt;="&amp;Q$9,'Giao việc'!$M$5:$M$3004,"*QUÁ HẠN*")&gt;0,4,IF(COUNTIFS('Giao việc'!$O$5:$O$3004,SEL_K,'Giao việc'!$D$5:$D$3004,$A18,'Giao việc'!$Q$5:$Q$3004,"&gt;="&amp;Q$8,'Giao việc'!$Q$5:$Q$3004,"&lt;="&amp;Q$9,'Giao việc'!$M$5:$M$3004,"*Đến hạn*")&gt;0,3,2))))</f>
        <v/>
      </c>
      <c r="R18">
        <f>IF(COUNTIFS('Giao việc'!$O$5:$O$3004,SEL_K,'Giao việc'!$D$5:$D$3004,$A18,'Giao việc'!$Q$5:$Q$3004,"&gt;="&amp;R$8,'Giao việc'!$Q$5:$Q$3004,"&lt;="&amp;R$9,'Giao việc'!$J$5:$J$3004,"&lt;&gt;Bỏ qua")=0,0,IF(COUNTIFS('Giao việc'!$O$5:$O$3004,SEL_K,'Giao việc'!$D$5:$D$3004,$A18,'Giao việc'!$Q$5:$Q$3004,"&gt;="&amp;R$8,'Giao việc'!$Q$5:$Q$3004,"&lt;="&amp;R$9,'Giao việc'!$J$5:$J$3004,"Xong")=COUNTIFS('Giao việc'!$O$5:$O$3004,SEL_K,'Giao việc'!$D$5:$D$3004,$A18,'Giao việc'!$Q$5:$Q$3004,"&gt;="&amp;R$8,'Giao việc'!$Q$5:$Q$3004,"&lt;="&amp;R$9,'Giao việc'!$J$5:$J$3004,"&lt;&gt;Bỏ qua"),1,IF(COUNTIFS('Giao việc'!$O$5:$O$3004,SEL_K,'Giao việc'!$D$5:$D$3004,$A18,'Giao việc'!$Q$5:$Q$3004,"&gt;="&amp;R$8,'Giao việc'!$Q$5:$Q$3004,"&lt;="&amp;R$9,'Giao việc'!$M$5:$M$3004,"*QUÁ HẠN*")&gt;0,4,IF(COUNTIFS('Giao việc'!$O$5:$O$3004,SEL_K,'Giao việc'!$D$5:$D$3004,$A18,'Giao việc'!$Q$5:$Q$3004,"&gt;="&amp;R$8,'Giao việc'!$Q$5:$Q$3004,"&lt;="&amp;R$9,'Giao việc'!$M$5:$M$3004,"*Đến hạn*")&gt;0,3,2))))</f>
        <v/>
      </c>
      <c r="S18">
        <f>IF(COUNTIFS('Giao việc'!$O$5:$O$3004,SEL_K,'Giao việc'!$D$5:$D$3004,$A18,'Giao việc'!$Q$5:$Q$3004,"&gt;="&amp;S$8,'Giao việc'!$Q$5:$Q$3004,"&lt;="&amp;S$9,'Giao việc'!$J$5:$J$3004,"&lt;&gt;Bỏ qua")=0,0,IF(COUNTIFS('Giao việc'!$O$5:$O$3004,SEL_K,'Giao việc'!$D$5:$D$3004,$A18,'Giao việc'!$Q$5:$Q$3004,"&gt;="&amp;S$8,'Giao việc'!$Q$5:$Q$3004,"&lt;="&amp;S$9,'Giao việc'!$J$5:$J$3004,"Xong")=COUNTIFS('Giao việc'!$O$5:$O$3004,SEL_K,'Giao việc'!$D$5:$D$3004,$A18,'Giao việc'!$Q$5:$Q$3004,"&gt;="&amp;S$8,'Giao việc'!$Q$5:$Q$3004,"&lt;="&amp;S$9,'Giao việc'!$J$5:$J$3004,"&lt;&gt;Bỏ qua"),1,IF(COUNTIFS('Giao việc'!$O$5:$O$3004,SEL_K,'Giao việc'!$D$5:$D$3004,$A18,'Giao việc'!$Q$5:$Q$3004,"&gt;="&amp;S$8,'Giao việc'!$Q$5:$Q$3004,"&lt;="&amp;S$9,'Giao việc'!$M$5:$M$3004,"*QUÁ HẠN*")&gt;0,4,IF(COUNTIFS('Giao việc'!$O$5:$O$3004,SEL_K,'Giao việc'!$D$5:$D$3004,$A18,'Giao việc'!$Q$5:$Q$3004,"&gt;="&amp;S$8,'Giao việc'!$Q$5:$Q$3004,"&lt;="&amp;S$9,'Giao việc'!$M$5:$M$3004,"*Đến hạn*")&gt;0,3,2))))</f>
        <v/>
      </c>
      <c r="T18">
        <f>IF(COUNTIFS('Giao việc'!$O$5:$O$3004,SEL_K,'Giao việc'!$D$5:$D$3004,$A18,'Giao việc'!$Q$5:$Q$3004,"&gt;="&amp;T$8,'Giao việc'!$Q$5:$Q$3004,"&lt;="&amp;T$9,'Giao việc'!$J$5:$J$3004,"&lt;&gt;Bỏ qua")=0,0,IF(COUNTIFS('Giao việc'!$O$5:$O$3004,SEL_K,'Giao việc'!$D$5:$D$3004,$A18,'Giao việc'!$Q$5:$Q$3004,"&gt;="&amp;T$8,'Giao việc'!$Q$5:$Q$3004,"&lt;="&amp;T$9,'Giao việc'!$J$5:$J$3004,"Xong")=COUNTIFS('Giao việc'!$O$5:$O$3004,SEL_K,'Giao việc'!$D$5:$D$3004,$A18,'Giao việc'!$Q$5:$Q$3004,"&gt;="&amp;T$8,'Giao việc'!$Q$5:$Q$3004,"&lt;="&amp;T$9,'Giao việc'!$J$5:$J$3004,"&lt;&gt;Bỏ qua"),1,IF(COUNTIFS('Giao việc'!$O$5:$O$3004,SEL_K,'Giao việc'!$D$5:$D$3004,$A18,'Giao việc'!$Q$5:$Q$3004,"&gt;="&amp;T$8,'Giao việc'!$Q$5:$Q$3004,"&lt;="&amp;T$9,'Giao việc'!$M$5:$M$3004,"*QUÁ HẠN*")&gt;0,4,IF(COUNTIFS('Giao việc'!$O$5:$O$3004,SEL_K,'Giao việc'!$D$5:$D$3004,$A18,'Giao việc'!$Q$5:$Q$3004,"&gt;="&amp;T$8,'Giao việc'!$Q$5:$Q$3004,"&lt;="&amp;T$9,'Giao việc'!$M$5:$M$3004,"*Đến hạn*")&gt;0,3,2))))</f>
        <v/>
      </c>
      <c r="U18">
        <f>IF(COUNTIFS('Giao việc'!$O$5:$O$3004,SEL_K,'Giao việc'!$D$5:$D$3004,$A18,'Giao việc'!$Q$5:$Q$3004,"&gt;="&amp;U$8,'Giao việc'!$Q$5:$Q$3004,"&lt;="&amp;U$9,'Giao việc'!$J$5:$J$3004,"&lt;&gt;Bỏ qua")=0,0,IF(COUNTIFS('Giao việc'!$O$5:$O$3004,SEL_K,'Giao việc'!$D$5:$D$3004,$A18,'Giao việc'!$Q$5:$Q$3004,"&gt;="&amp;U$8,'Giao việc'!$Q$5:$Q$3004,"&lt;="&amp;U$9,'Giao việc'!$J$5:$J$3004,"Xong")=COUNTIFS('Giao việc'!$O$5:$O$3004,SEL_K,'Giao việc'!$D$5:$D$3004,$A18,'Giao việc'!$Q$5:$Q$3004,"&gt;="&amp;U$8,'Giao việc'!$Q$5:$Q$3004,"&lt;="&amp;U$9,'Giao việc'!$J$5:$J$3004,"&lt;&gt;Bỏ qua"),1,IF(COUNTIFS('Giao việc'!$O$5:$O$3004,SEL_K,'Giao việc'!$D$5:$D$3004,$A18,'Giao việc'!$Q$5:$Q$3004,"&gt;="&amp;U$8,'Giao việc'!$Q$5:$Q$3004,"&lt;="&amp;U$9,'Giao việc'!$M$5:$M$3004,"*QUÁ HẠN*")&gt;0,4,IF(COUNTIFS('Giao việc'!$O$5:$O$3004,SEL_K,'Giao việc'!$D$5:$D$3004,$A18,'Giao việc'!$Q$5:$Q$3004,"&gt;="&amp;U$8,'Giao việc'!$Q$5:$Q$3004,"&lt;="&amp;U$9,'Giao việc'!$M$5:$M$3004,"*Đến hạn*")&gt;0,3,2))))</f>
        <v/>
      </c>
    </row>
    <row r="19" ht="20" customHeight="1">
      <c r="A19" s="17" t="inlineStr">
        <is>
          <t>10. Sau sự kiện</t>
        </is>
      </c>
      <c r="B19" s="36">
        <f>IF(COUNTIFS('Giao việc'!$O$5:$O$3004,SEL_K,'Giao việc'!$D$5:$D$3004,$A19,'Giao việc'!$Q$5:$Q$3004,"&gt;="&amp;N$8,'Giao việc'!$Q$5:$Q$3004,"&lt;="&amp;N$9,'Giao việc'!$J$5:$J$3004,"&lt;&gt;Bỏ qua")=0,"",COUNTIFS('Giao việc'!$O$5:$O$3004,SEL_K,'Giao việc'!$D$5:$D$3004,$A19,'Giao việc'!$Q$5:$Q$3004,"&gt;="&amp;N$8,'Giao việc'!$Q$5:$Q$3004,"&lt;="&amp;N$9,'Giao việc'!$J$5:$J$3004,"Xong")&amp;" / "&amp;COUNTIFS('Giao việc'!$O$5:$O$3004,SEL_K,'Giao việc'!$D$5:$D$3004,$A19,'Giao việc'!$Q$5:$Q$3004,"&gt;="&amp;N$8,'Giao việc'!$Q$5:$Q$3004,"&lt;="&amp;N$9,'Giao việc'!$J$5:$J$3004,"&lt;&gt;Bỏ qua"))</f>
        <v/>
      </c>
      <c r="C19" s="36">
        <f>IF(COUNTIFS('Giao việc'!$O$5:$O$3004,SEL_K,'Giao việc'!$D$5:$D$3004,$A19,'Giao việc'!$Q$5:$Q$3004,"&gt;="&amp;O$8,'Giao việc'!$Q$5:$Q$3004,"&lt;="&amp;O$9,'Giao việc'!$J$5:$J$3004,"&lt;&gt;Bỏ qua")=0,"",COUNTIFS('Giao việc'!$O$5:$O$3004,SEL_K,'Giao việc'!$D$5:$D$3004,$A19,'Giao việc'!$Q$5:$Q$3004,"&gt;="&amp;O$8,'Giao việc'!$Q$5:$Q$3004,"&lt;="&amp;O$9,'Giao việc'!$J$5:$J$3004,"Xong")&amp;" / "&amp;COUNTIFS('Giao việc'!$O$5:$O$3004,SEL_K,'Giao việc'!$D$5:$D$3004,$A19,'Giao việc'!$Q$5:$Q$3004,"&gt;="&amp;O$8,'Giao việc'!$Q$5:$Q$3004,"&lt;="&amp;O$9,'Giao việc'!$J$5:$J$3004,"&lt;&gt;Bỏ qua"))</f>
        <v/>
      </c>
      <c r="D19" s="36">
        <f>IF(COUNTIFS('Giao việc'!$O$5:$O$3004,SEL_K,'Giao việc'!$D$5:$D$3004,$A19,'Giao việc'!$Q$5:$Q$3004,"&gt;="&amp;P$8,'Giao việc'!$Q$5:$Q$3004,"&lt;="&amp;P$9,'Giao việc'!$J$5:$J$3004,"&lt;&gt;Bỏ qua")=0,"",COUNTIFS('Giao việc'!$O$5:$O$3004,SEL_K,'Giao việc'!$D$5:$D$3004,$A19,'Giao việc'!$Q$5:$Q$3004,"&gt;="&amp;P$8,'Giao việc'!$Q$5:$Q$3004,"&lt;="&amp;P$9,'Giao việc'!$J$5:$J$3004,"Xong")&amp;" / "&amp;COUNTIFS('Giao việc'!$O$5:$O$3004,SEL_K,'Giao việc'!$D$5:$D$3004,$A19,'Giao việc'!$Q$5:$Q$3004,"&gt;="&amp;P$8,'Giao việc'!$Q$5:$Q$3004,"&lt;="&amp;P$9,'Giao việc'!$J$5:$J$3004,"&lt;&gt;Bỏ qua"))</f>
        <v/>
      </c>
      <c r="E19" s="36">
        <f>IF(COUNTIFS('Giao việc'!$O$5:$O$3004,SEL_K,'Giao việc'!$D$5:$D$3004,$A19,'Giao việc'!$Q$5:$Q$3004,"&gt;="&amp;Q$8,'Giao việc'!$Q$5:$Q$3004,"&lt;="&amp;Q$9,'Giao việc'!$J$5:$J$3004,"&lt;&gt;Bỏ qua")=0,"",COUNTIFS('Giao việc'!$O$5:$O$3004,SEL_K,'Giao việc'!$D$5:$D$3004,$A19,'Giao việc'!$Q$5:$Q$3004,"&gt;="&amp;Q$8,'Giao việc'!$Q$5:$Q$3004,"&lt;="&amp;Q$9,'Giao việc'!$J$5:$J$3004,"Xong")&amp;" / "&amp;COUNTIFS('Giao việc'!$O$5:$O$3004,SEL_K,'Giao việc'!$D$5:$D$3004,$A19,'Giao việc'!$Q$5:$Q$3004,"&gt;="&amp;Q$8,'Giao việc'!$Q$5:$Q$3004,"&lt;="&amp;Q$9,'Giao việc'!$J$5:$J$3004,"&lt;&gt;Bỏ qua"))</f>
        <v/>
      </c>
      <c r="F19" s="36">
        <f>IF(COUNTIFS('Giao việc'!$O$5:$O$3004,SEL_K,'Giao việc'!$D$5:$D$3004,$A19,'Giao việc'!$Q$5:$Q$3004,"&gt;="&amp;R$8,'Giao việc'!$Q$5:$Q$3004,"&lt;="&amp;R$9,'Giao việc'!$J$5:$J$3004,"&lt;&gt;Bỏ qua")=0,"",COUNTIFS('Giao việc'!$O$5:$O$3004,SEL_K,'Giao việc'!$D$5:$D$3004,$A19,'Giao việc'!$Q$5:$Q$3004,"&gt;="&amp;R$8,'Giao việc'!$Q$5:$Q$3004,"&lt;="&amp;R$9,'Giao việc'!$J$5:$J$3004,"Xong")&amp;" / "&amp;COUNTIFS('Giao việc'!$O$5:$O$3004,SEL_K,'Giao việc'!$D$5:$D$3004,$A19,'Giao việc'!$Q$5:$Q$3004,"&gt;="&amp;R$8,'Giao việc'!$Q$5:$Q$3004,"&lt;="&amp;R$9,'Giao việc'!$J$5:$J$3004,"&lt;&gt;Bỏ qua"))</f>
        <v/>
      </c>
      <c r="G19" s="36">
        <f>IF(COUNTIFS('Giao việc'!$O$5:$O$3004,SEL_K,'Giao việc'!$D$5:$D$3004,$A19,'Giao việc'!$Q$5:$Q$3004,"&gt;="&amp;S$8,'Giao việc'!$Q$5:$Q$3004,"&lt;="&amp;S$9,'Giao việc'!$J$5:$J$3004,"&lt;&gt;Bỏ qua")=0,"",COUNTIFS('Giao việc'!$O$5:$O$3004,SEL_K,'Giao việc'!$D$5:$D$3004,$A19,'Giao việc'!$Q$5:$Q$3004,"&gt;="&amp;S$8,'Giao việc'!$Q$5:$Q$3004,"&lt;="&amp;S$9,'Giao việc'!$J$5:$J$3004,"Xong")&amp;" / "&amp;COUNTIFS('Giao việc'!$O$5:$O$3004,SEL_K,'Giao việc'!$D$5:$D$3004,$A19,'Giao việc'!$Q$5:$Q$3004,"&gt;="&amp;S$8,'Giao việc'!$Q$5:$Q$3004,"&lt;="&amp;S$9,'Giao việc'!$J$5:$J$3004,"&lt;&gt;Bỏ qua"))</f>
        <v/>
      </c>
      <c r="H19" s="36">
        <f>IF(COUNTIFS('Giao việc'!$O$5:$O$3004,SEL_K,'Giao việc'!$D$5:$D$3004,$A19,'Giao việc'!$Q$5:$Q$3004,"&gt;="&amp;T$8,'Giao việc'!$Q$5:$Q$3004,"&lt;="&amp;T$9,'Giao việc'!$J$5:$J$3004,"&lt;&gt;Bỏ qua")=0,"",COUNTIFS('Giao việc'!$O$5:$O$3004,SEL_K,'Giao việc'!$D$5:$D$3004,$A19,'Giao việc'!$Q$5:$Q$3004,"&gt;="&amp;T$8,'Giao việc'!$Q$5:$Q$3004,"&lt;="&amp;T$9,'Giao việc'!$J$5:$J$3004,"Xong")&amp;" / "&amp;COUNTIFS('Giao việc'!$O$5:$O$3004,SEL_K,'Giao việc'!$D$5:$D$3004,$A19,'Giao việc'!$Q$5:$Q$3004,"&gt;="&amp;T$8,'Giao việc'!$Q$5:$Q$3004,"&lt;="&amp;T$9,'Giao việc'!$J$5:$J$3004,"&lt;&gt;Bỏ qua"))</f>
        <v/>
      </c>
      <c r="I19" s="36">
        <f>IF(COUNTIFS('Giao việc'!$O$5:$O$3004,SEL_K,'Giao việc'!$D$5:$D$3004,$A19,'Giao việc'!$Q$5:$Q$3004,"&gt;="&amp;U$8,'Giao việc'!$Q$5:$Q$3004,"&lt;="&amp;U$9,'Giao việc'!$J$5:$J$3004,"&lt;&gt;Bỏ qua")=0,"",COUNTIFS('Giao việc'!$O$5:$O$3004,SEL_K,'Giao việc'!$D$5:$D$3004,$A19,'Giao việc'!$Q$5:$Q$3004,"&gt;="&amp;U$8,'Giao việc'!$Q$5:$Q$3004,"&lt;="&amp;U$9,'Giao việc'!$J$5:$J$3004,"Xong")&amp;" / "&amp;COUNTIFS('Giao việc'!$O$5:$O$3004,SEL_K,'Giao việc'!$D$5:$D$3004,$A19,'Giao việc'!$Q$5:$Q$3004,"&gt;="&amp;U$8,'Giao việc'!$Q$5:$Q$3004,"&lt;="&amp;U$9,'Giao việc'!$J$5:$J$3004,"&lt;&gt;Bỏ qua"))</f>
        <v/>
      </c>
      <c r="J19" s="37">
        <f>IF(COUNTIFS('Giao việc'!$O$5:$O$3004,SEL_K,'Giao việc'!$D$5:$D$3004,$A19,'Giao việc'!$J$5:$J$3004,"&lt;&gt;Bỏ qua")=0,"",COUNTIFS('Giao việc'!$O$5:$O$3004,SEL_K,'Giao việc'!$D$5:$D$3004,$A19,'Giao việc'!$J$5:$J$3004,"Xong")&amp;" / "&amp;COUNTIFS('Giao việc'!$O$5:$O$3004,SEL_K,'Giao việc'!$D$5:$D$3004,$A19,'Giao việc'!$J$5:$J$3004,"&lt;&gt;Bỏ qua"))</f>
        <v/>
      </c>
      <c r="K19" s="19">
        <f>IF(COUNTIFS('Giao việc'!$O$5:$O$3004,SEL_K,'Giao việc'!$D$5:$D$3004,$A19,'Giao việc'!$J$5:$J$3004,"&lt;&gt;Bỏ qua")=0,"",REPT("█",ROUND(COUNTIFS('Giao việc'!$O$5:$O$3004,SEL_K,'Giao việc'!$D$5:$D$3004,$A19,'Giao việc'!$J$5:$J$3004,"Xong")/COUNTIFS('Giao việc'!$O$5:$O$3004,SEL_K,'Giao việc'!$D$5:$D$3004,$A19,'Giao việc'!$J$5:$J$3004,"&lt;&gt;Bỏ qua")*10,0))&amp;REPT("░",10-ROUND(COUNTIFS('Giao việc'!$O$5:$O$3004,SEL_K,'Giao việc'!$D$5:$D$3004,$A19,'Giao việc'!$J$5:$J$3004,"Xong")/COUNTIFS('Giao việc'!$O$5:$O$3004,SEL_K,'Giao việc'!$D$5:$D$3004,$A19,'Giao việc'!$J$5:$J$3004,"&lt;&gt;Bỏ qua")*10,0)))</f>
        <v/>
      </c>
      <c r="N19">
        <f>IF(COUNTIFS('Giao việc'!$O$5:$O$3004,SEL_K,'Giao việc'!$D$5:$D$3004,$A19,'Giao việc'!$Q$5:$Q$3004,"&gt;="&amp;N$8,'Giao việc'!$Q$5:$Q$3004,"&lt;="&amp;N$9,'Giao việc'!$J$5:$J$3004,"&lt;&gt;Bỏ qua")=0,0,IF(COUNTIFS('Giao việc'!$O$5:$O$3004,SEL_K,'Giao việc'!$D$5:$D$3004,$A19,'Giao việc'!$Q$5:$Q$3004,"&gt;="&amp;N$8,'Giao việc'!$Q$5:$Q$3004,"&lt;="&amp;N$9,'Giao việc'!$J$5:$J$3004,"Xong")=COUNTIFS('Giao việc'!$O$5:$O$3004,SEL_K,'Giao việc'!$D$5:$D$3004,$A19,'Giao việc'!$Q$5:$Q$3004,"&gt;="&amp;N$8,'Giao việc'!$Q$5:$Q$3004,"&lt;="&amp;N$9,'Giao việc'!$J$5:$J$3004,"&lt;&gt;Bỏ qua"),1,IF(COUNTIFS('Giao việc'!$O$5:$O$3004,SEL_K,'Giao việc'!$D$5:$D$3004,$A19,'Giao việc'!$Q$5:$Q$3004,"&gt;="&amp;N$8,'Giao việc'!$Q$5:$Q$3004,"&lt;="&amp;N$9,'Giao việc'!$M$5:$M$3004,"*QUÁ HẠN*")&gt;0,4,IF(COUNTIFS('Giao việc'!$O$5:$O$3004,SEL_K,'Giao việc'!$D$5:$D$3004,$A19,'Giao việc'!$Q$5:$Q$3004,"&gt;="&amp;N$8,'Giao việc'!$Q$5:$Q$3004,"&lt;="&amp;N$9,'Giao việc'!$M$5:$M$3004,"*Đến hạn*")&gt;0,3,2))))</f>
        <v/>
      </c>
      <c r="O19">
        <f>IF(COUNTIFS('Giao việc'!$O$5:$O$3004,SEL_K,'Giao việc'!$D$5:$D$3004,$A19,'Giao việc'!$Q$5:$Q$3004,"&gt;="&amp;O$8,'Giao việc'!$Q$5:$Q$3004,"&lt;="&amp;O$9,'Giao việc'!$J$5:$J$3004,"&lt;&gt;Bỏ qua")=0,0,IF(COUNTIFS('Giao việc'!$O$5:$O$3004,SEL_K,'Giao việc'!$D$5:$D$3004,$A19,'Giao việc'!$Q$5:$Q$3004,"&gt;="&amp;O$8,'Giao việc'!$Q$5:$Q$3004,"&lt;="&amp;O$9,'Giao việc'!$J$5:$J$3004,"Xong")=COUNTIFS('Giao việc'!$O$5:$O$3004,SEL_K,'Giao việc'!$D$5:$D$3004,$A19,'Giao việc'!$Q$5:$Q$3004,"&gt;="&amp;O$8,'Giao việc'!$Q$5:$Q$3004,"&lt;="&amp;O$9,'Giao việc'!$J$5:$J$3004,"&lt;&gt;Bỏ qua"),1,IF(COUNTIFS('Giao việc'!$O$5:$O$3004,SEL_K,'Giao việc'!$D$5:$D$3004,$A19,'Giao việc'!$Q$5:$Q$3004,"&gt;="&amp;O$8,'Giao việc'!$Q$5:$Q$3004,"&lt;="&amp;O$9,'Giao việc'!$M$5:$M$3004,"*QUÁ HẠN*")&gt;0,4,IF(COUNTIFS('Giao việc'!$O$5:$O$3004,SEL_K,'Giao việc'!$D$5:$D$3004,$A19,'Giao việc'!$Q$5:$Q$3004,"&gt;="&amp;O$8,'Giao việc'!$Q$5:$Q$3004,"&lt;="&amp;O$9,'Giao việc'!$M$5:$M$3004,"*Đến hạn*")&gt;0,3,2))))</f>
        <v/>
      </c>
      <c r="P19">
        <f>IF(COUNTIFS('Giao việc'!$O$5:$O$3004,SEL_K,'Giao việc'!$D$5:$D$3004,$A19,'Giao việc'!$Q$5:$Q$3004,"&gt;="&amp;P$8,'Giao việc'!$Q$5:$Q$3004,"&lt;="&amp;P$9,'Giao việc'!$J$5:$J$3004,"&lt;&gt;Bỏ qua")=0,0,IF(COUNTIFS('Giao việc'!$O$5:$O$3004,SEL_K,'Giao việc'!$D$5:$D$3004,$A19,'Giao việc'!$Q$5:$Q$3004,"&gt;="&amp;P$8,'Giao việc'!$Q$5:$Q$3004,"&lt;="&amp;P$9,'Giao việc'!$J$5:$J$3004,"Xong")=COUNTIFS('Giao việc'!$O$5:$O$3004,SEL_K,'Giao việc'!$D$5:$D$3004,$A19,'Giao việc'!$Q$5:$Q$3004,"&gt;="&amp;P$8,'Giao việc'!$Q$5:$Q$3004,"&lt;="&amp;P$9,'Giao việc'!$J$5:$J$3004,"&lt;&gt;Bỏ qua"),1,IF(COUNTIFS('Giao việc'!$O$5:$O$3004,SEL_K,'Giao việc'!$D$5:$D$3004,$A19,'Giao việc'!$Q$5:$Q$3004,"&gt;="&amp;P$8,'Giao việc'!$Q$5:$Q$3004,"&lt;="&amp;P$9,'Giao việc'!$M$5:$M$3004,"*QUÁ HẠN*")&gt;0,4,IF(COUNTIFS('Giao việc'!$O$5:$O$3004,SEL_K,'Giao việc'!$D$5:$D$3004,$A19,'Giao việc'!$Q$5:$Q$3004,"&gt;="&amp;P$8,'Giao việc'!$Q$5:$Q$3004,"&lt;="&amp;P$9,'Giao việc'!$M$5:$M$3004,"*Đến hạn*")&gt;0,3,2))))</f>
        <v/>
      </c>
      <c r="Q19">
        <f>IF(COUNTIFS('Giao việc'!$O$5:$O$3004,SEL_K,'Giao việc'!$D$5:$D$3004,$A19,'Giao việc'!$Q$5:$Q$3004,"&gt;="&amp;Q$8,'Giao việc'!$Q$5:$Q$3004,"&lt;="&amp;Q$9,'Giao việc'!$J$5:$J$3004,"&lt;&gt;Bỏ qua")=0,0,IF(COUNTIFS('Giao việc'!$O$5:$O$3004,SEL_K,'Giao việc'!$D$5:$D$3004,$A19,'Giao việc'!$Q$5:$Q$3004,"&gt;="&amp;Q$8,'Giao việc'!$Q$5:$Q$3004,"&lt;="&amp;Q$9,'Giao việc'!$J$5:$J$3004,"Xong")=COUNTIFS('Giao việc'!$O$5:$O$3004,SEL_K,'Giao việc'!$D$5:$D$3004,$A19,'Giao việc'!$Q$5:$Q$3004,"&gt;="&amp;Q$8,'Giao việc'!$Q$5:$Q$3004,"&lt;="&amp;Q$9,'Giao việc'!$J$5:$J$3004,"&lt;&gt;Bỏ qua"),1,IF(COUNTIFS('Giao việc'!$O$5:$O$3004,SEL_K,'Giao việc'!$D$5:$D$3004,$A19,'Giao việc'!$Q$5:$Q$3004,"&gt;="&amp;Q$8,'Giao việc'!$Q$5:$Q$3004,"&lt;="&amp;Q$9,'Giao việc'!$M$5:$M$3004,"*QUÁ HẠN*")&gt;0,4,IF(COUNTIFS('Giao việc'!$O$5:$O$3004,SEL_K,'Giao việc'!$D$5:$D$3004,$A19,'Giao việc'!$Q$5:$Q$3004,"&gt;="&amp;Q$8,'Giao việc'!$Q$5:$Q$3004,"&lt;="&amp;Q$9,'Giao việc'!$M$5:$M$3004,"*Đến hạn*")&gt;0,3,2))))</f>
        <v/>
      </c>
      <c r="R19">
        <f>IF(COUNTIFS('Giao việc'!$O$5:$O$3004,SEL_K,'Giao việc'!$D$5:$D$3004,$A19,'Giao việc'!$Q$5:$Q$3004,"&gt;="&amp;R$8,'Giao việc'!$Q$5:$Q$3004,"&lt;="&amp;R$9,'Giao việc'!$J$5:$J$3004,"&lt;&gt;Bỏ qua")=0,0,IF(COUNTIFS('Giao việc'!$O$5:$O$3004,SEL_K,'Giao việc'!$D$5:$D$3004,$A19,'Giao việc'!$Q$5:$Q$3004,"&gt;="&amp;R$8,'Giao việc'!$Q$5:$Q$3004,"&lt;="&amp;R$9,'Giao việc'!$J$5:$J$3004,"Xong")=COUNTIFS('Giao việc'!$O$5:$O$3004,SEL_K,'Giao việc'!$D$5:$D$3004,$A19,'Giao việc'!$Q$5:$Q$3004,"&gt;="&amp;R$8,'Giao việc'!$Q$5:$Q$3004,"&lt;="&amp;R$9,'Giao việc'!$J$5:$J$3004,"&lt;&gt;Bỏ qua"),1,IF(COUNTIFS('Giao việc'!$O$5:$O$3004,SEL_K,'Giao việc'!$D$5:$D$3004,$A19,'Giao việc'!$Q$5:$Q$3004,"&gt;="&amp;R$8,'Giao việc'!$Q$5:$Q$3004,"&lt;="&amp;R$9,'Giao việc'!$M$5:$M$3004,"*QUÁ HẠN*")&gt;0,4,IF(COUNTIFS('Giao việc'!$O$5:$O$3004,SEL_K,'Giao việc'!$D$5:$D$3004,$A19,'Giao việc'!$Q$5:$Q$3004,"&gt;="&amp;R$8,'Giao việc'!$Q$5:$Q$3004,"&lt;="&amp;R$9,'Giao việc'!$M$5:$M$3004,"*Đến hạn*")&gt;0,3,2))))</f>
        <v/>
      </c>
      <c r="S19">
        <f>IF(COUNTIFS('Giao việc'!$O$5:$O$3004,SEL_K,'Giao việc'!$D$5:$D$3004,$A19,'Giao việc'!$Q$5:$Q$3004,"&gt;="&amp;S$8,'Giao việc'!$Q$5:$Q$3004,"&lt;="&amp;S$9,'Giao việc'!$J$5:$J$3004,"&lt;&gt;Bỏ qua")=0,0,IF(COUNTIFS('Giao việc'!$O$5:$O$3004,SEL_K,'Giao việc'!$D$5:$D$3004,$A19,'Giao việc'!$Q$5:$Q$3004,"&gt;="&amp;S$8,'Giao việc'!$Q$5:$Q$3004,"&lt;="&amp;S$9,'Giao việc'!$J$5:$J$3004,"Xong")=COUNTIFS('Giao việc'!$O$5:$O$3004,SEL_K,'Giao việc'!$D$5:$D$3004,$A19,'Giao việc'!$Q$5:$Q$3004,"&gt;="&amp;S$8,'Giao việc'!$Q$5:$Q$3004,"&lt;="&amp;S$9,'Giao việc'!$J$5:$J$3004,"&lt;&gt;Bỏ qua"),1,IF(COUNTIFS('Giao việc'!$O$5:$O$3004,SEL_K,'Giao việc'!$D$5:$D$3004,$A19,'Giao việc'!$Q$5:$Q$3004,"&gt;="&amp;S$8,'Giao việc'!$Q$5:$Q$3004,"&lt;="&amp;S$9,'Giao việc'!$M$5:$M$3004,"*QUÁ HẠN*")&gt;0,4,IF(COUNTIFS('Giao việc'!$O$5:$O$3004,SEL_K,'Giao việc'!$D$5:$D$3004,$A19,'Giao việc'!$Q$5:$Q$3004,"&gt;="&amp;S$8,'Giao việc'!$Q$5:$Q$3004,"&lt;="&amp;S$9,'Giao việc'!$M$5:$M$3004,"*Đến hạn*")&gt;0,3,2))))</f>
        <v/>
      </c>
      <c r="T19">
        <f>IF(COUNTIFS('Giao việc'!$O$5:$O$3004,SEL_K,'Giao việc'!$D$5:$D$3004,$A19,'Giao việc'!$Q$5:$Q$3004,"&gt;="&amp;T$8,'Giao việc'!$Q$5:$Q$3004,"&lt;="&amp;T$9,'Giao việc'!$J$5:$J$3004,"&lt;&gt;Bỏ qua")=0,0,IF(COUNTIFS('Giao việc'!$O$5:$O$3004,SEL_K,'Giao việc'!$D$5:$D$3004,$A19,'Giao việc'!$Q$5:$Q$3004,"&gt;="&amp;T$8,'Giao việc'!$Q$5:$Q$3004,"&lt;="&amp;T$9,'Giao việc'!$J$5:$J$3004,"Xong")=COUNTIFS('Giao việc'!$O$5:$O$3004,SEL_K,'Giao việc'!$D$5:$D$3004,$A19,'Giao việc'!$Q$5:$Q$3004,"&gt;="&amp;T$8,'Giao việc'!$Q$5:$Q$3004,"&lt;="&amp;T$9,'Giao việc'!$J$5:$J$3004,"&lt;&gt;Bỏ qua"),1,IF(COUNTIFS('Giao việc'!$O$5:$O$3004,SEL_K,'Giao việc'!$D$5:$D$3004,$A19,'Giao việc'!$Q$5:$Q$3004,"&gt;="&amp;T$8,'Giao việc'!$Q$5:$Q$3004,"&lt;="&amp;T$9,'Giao việc'!$M$5:$M$3004,"*QUÁ HẠN*")&gt;0,4,IF(COUNTIFS('Giao việc'!$O$5:$O$3004,SEL_K,'Giao việc'!$D$5:$D$3004,$A19,'Giao việc'!$Q$5:$Q$3004,"&gt;="&amp;T$8,'Giao việc'!$Q$5:$Q$3004,"&lt;="&amp;T$9,'Giao việc'!$M$5:$M$3004,"*Đến hạn*")&gt;0,3,2))))</f>
        <v/>
      </c>
      <c r="U19">
        <f>IF(COUNTIFS('Giao việc'!$O$5:$O$3004,SEL_K,'Giao việc'!$D$5:$D$3004,$A19,'Giao việc'!$Q$5:$Q$3004,"&gt;="&amp;U$8,'Giao việc'!$Q$5:$Q$3004,"&lt;="&amp;U$9,'Giao việc'!$J$5:$J$3004,"&lt;&gt;Bỏ qua")=0,0,IF(COUNTIFS('Giao việc'!$O$5:$O$3004,SEL_K,'Giao việc'!$D$5:$D$3004,$A19,'Giao việc'!$Q$5:$Q$3004,"&gt;="&amp;U$8,'Giao việc'!$Q$5:$Q$3004,"&lt;="&amp;U$9,'Giao việc'!$J$5:$J$3004,"Xong")=COUNTIFS('Giao việc'!$O$5:$O$3004,SEL_K,'Giao việc'!$D$5:$D$3004,$A19,'Giao việc'!$Q$5:$Q$3004,"&gt;="&amp;U$8,'Giao việc'!$Q$5:$Q$3004,"&lt;="&amp;U$9,'Giao việc'!$J$5:$J$3004,"&lt;&gt;Bỏ qua"),1,IF(COUNTIFS('Giao việc'!$O$5:$O$3004,SEL_K,'Giao việc'!$D$5:$D$3004,$A19,'Giao việc'!$Q$5:$Q$3004,"&gt;="&amp;U$8,'Giao việc'!$Q$5:$Q$3004,"&lt;="&amp;U$9,'Giao việc'!$M$5:$M$3004,"*QUÁ HẠN*")&gt;0,4,IF(COUNTIFS('Giao việc'!$O$5:$O$3004,SEL_K,'Giao việc'!$D$5:$D$3004,$A19,'Giao việc'!$Q$5:$Q$3004,"&gt;="&amp;U$8,'Giao việc'!$Q$5:$Q$3004,"&lt;="&amp;U$9,'Giao việc'!$M$5:$M$3004,"*Đến hạn*")&gt;0,3,2))))</f>
        <v/>
      </c>
    </row>
    <row r="20" ht="20" customHeight="1">
      <c r="A20" s="17" t="inlineStr">
        <is>
          <t>11. Follow-up</t>
        </is>
      </c>
      <c r="B20" s="36">
        <f>IF(COUNTIFS('Giao việc'!$O$5:$O$3004,SEL_K,'Giao việc'!$D$5:$D$3004,$A20,'Giao việc'!$Q$5:$Q$3004,"&gt;="&amp;N$8,'Giao việc'!$Q$5:$Q$3004,"&lt;="&amp;N$9,'Giao việc'!$J$5:$J$3004,"&lt;&gt;Bỏ qua")=0,"",COUNTIFS('Giao việc'!$O$5:$O$3004,SEL_K,'Giao việc'!$D$5:$D$3004,$A20,'Giao việc'!$Q$5:$Q$3004,"&gt;="&amp;N$8,'Giao việc'!$Q$5:$Q$3004,"&lt;="&amp;N$9,'Giao việc'!$J$5:$J$3004,"Xong")&amp;" / "&amp;COUNTIFS('Giao việc'!$O$5:$O$3004,SEL_K,'Giao việc'!$D$5:$D$3004,$A20,'Giao việc'!$Q$5:$Q$3004,"&gt;="&amp;N$8,'Giao việc'!$Q$5:$Q$3004,"&lt;="&amp;N$9,'Giao việc'!$J$5:$J$3004,"&lt;&gt;Bỏ qua"))</f>
        <v/>
      </c>
      <c r="C20" s="36">
        <f>IF(COUNTIFS('Giao việc'!$O$5:$O$3004,SEL_K,'Giao việc'!$D$5:$D$3004,$A20,'Giao việc'!$Q$5:$Q$3004,"&gt;="&amp;O$8,'Giao việc'!$Q$5:$Q$3004,"&lt;="&amp;O$9,'Giao việc'!$J$5:$J$3004,"&lt;&gt;Bỏ qua")=0,"",COUNTIFS('Giao việc'!$O$5:$O$3004,SEL_K,'Giao việc'!$D$5:$D$3004,$A20,'Giao việc'!$Q$5:$Q$3004,"&gt;="&amp;O$8,'Giao việc'!$Q$5:$Q$3004,"&lt;="&amp;O$9,'Giao việc'!$J$5:$J$3004,"Xong")&amp;" / "&amp;COUNTIFS('Giao việc'!$O$5:$O$3004,SEL_K,'Giao việc'!$D$5:$D$3004,$A20,'Giao việc'!$Q$5:$Q$3004,"&gt;="&amp;O$8,'Giao việc'!$Q$5:$Q$3004,"&lt;="&amp;O$9,'Giao việc'!$J$5:$J$3004,"&lt;&gt;Bỏ qua"))</f>
        <v/>
      </c>
      <c r="D20" s="36">
        <f>IF(COUNTIFS('Giao việc'!$O$5:$O$3004,SEL_K,'Giao việc'!$D$5:$D$3004,$A20,'Giao việc'!$Q$5:$Q$3004,"&gt;="&amp;P$8,'Giao việc'!$Q$5:$Q$3004,"&lt;="&amp;P$9,'Giao việc'!$J$5:$J$3004,"&lt;&gt;Bỏ qua")=0,"",COUNTIFS('Giao việc'!$O$5:$O$3004,SEL_K,'Giao việc'!$D$5:$D$3004,$A20,'Giao việc'!$Q$5:$Q$3004,"&gt;="&amp;P$8,'Giao việc'!$Q$5:$Q$3004,"&lt;="&amp;P$9,'Giao việc'!$J$5:$J$3004,"Xong")&amp;" / "&amp;COUNTIFS('Giao việc'!$O$5:$O$3004,SEL_K,'Giao việc'!$D$5:$D$3004,$A20,'Giao việc'!$Q$5:$Q$3004,"&gt;="&amp;P$8,'Giao việc'!$Q$5:$Q$3004,"&lt;="&amp;P$9,'Giao việc'!$J$5:$J$3004,"&lt;&gt;Bỏ qua"))</f>
        <v/>
      </c>
      <c r="E20" s="36">
        <f>IF(COUNTIFS('Giao việc'!$O$5:$O$3004,SEL_K,'Giao việc'!$D$5:$D$3004,$A20,'Giao việc'!$Q$5:$Q$3004,"&gt;="&amp;Q$8,'Giao việc'!$Q$5:$Q$3004,"&lt;="&amp;Q$9,'Giao việc'!$J$5:$J$3004,"&lt;&gt;Bỏ qua")=0,"",COUNTIFS('Giao việc'!$O$5:$O$3004,SEL_K,'Giao việc'!$D$5:$D$3004,$A20,'Giao việc'!$Q$5:$Q$3004,"&gt;="&amp;Q$8,'Giao việc'!$Q$5:$Q$3004,"&lt;="&amp;Q$9,'Giao việc'!$J$5:$J$3004,"Xong")&amp;" / "&amp;COUNTIFS('Giao việc'!$O$5:$O$3004,SEL_K,'Giao việc'!$D$5:$D$3004,$A20,'Giao việc'!$Q$5:$Q$3004,"&gt;="&amp;Q$8,'Giao việc'!$Q$5:$Q$3004,"&lt;="&amp;Q$9,'Giao việc'!$J$5:$J$3004,"&lt;&gt;Bỏ qua"))</f>
        <v/>
      </c>
      <c r="F20" s="36">
        <f>IF(COUNTIFS('Giao việc'!$O$5:$O$3004,SEL_K,'Giao việc'!$D$5:$D$3004,$A20,'Giao việc'!$Q$5:$Q$3004,"&gt;="&amp;R$8,'Giao việc'!$Q$5:$Q$3004,"&lt;="&amp;R$9,'Giao việc'!$J$5:$J$3004,"&lt;&gt;Bỏ qua")=0,"",COUNTIFS('Giao việc'!$O$5:$O$3004,SEL_K,'Giao việc'!$D$5:$D$3004,$A20,'Giao việc'!$Q$5:$Q$3004,"&gt;="&amp;R$8,'Giao việc'!$Q$5:$Q$3004,"&lt;="&amp;R$9,'Giao việc'!$J$5:$J$3004,"Xong")&amp;" / "&amp;COUNTIFS('Giao việc'!$O$5:$O$3004,SEL_K,'Giao việc'!$D$5:$D$3004,$A20,'Giao việc'!$Q$5:$Q$3004,"&gt;="&amp;R$8,'Giao việc'!$Q$5:$Q$3004,"&lt;="&amp;R$9,'Giao việc'!$J$5:$J$3004,"&lt;&gt;Bỏ qua"))</f>
        <v/>
      </c>
      <c r="G20" s="36">
        <f>IF(COUNTIFS('Giao việc'!$O$5:$O$3004,SEL_K,'Giao việc'!$D$5:$D$3004,$A20,'Giao việc'!$Q$5:$Q$3004,"&gt;="&amp;S$8,'Giao việc'!$Q$5:$Q$3004,"&lt;="&amp;S$9,'Giao việc'!$J$5:$J$3004,"&lt;&gt;Bỏ qua")=0,"",COUNTIFS('Giao việc'!$O$5:$O$3004,SEL_K,'Giao việc'!$D$5:$D$3004,$A20,'Giao việc'!$Q$5:$Q$3004,"&gt;="&amp;S$8,'Giao việc'!$Q$5:$Q$3004,"&lt;="&amp;S$9,'Giao việc'!$J$5:$J$3004,"Xong")&amp;" / "&amp;COUNTIFS('Giao việc'!$O$5:$O$3004,SEL_K,'Giao việc'!$D$5:$D$3004,$A20,'Giao việc'!$Q$5:$Q$3004,"&gt;="&amp;S$8,'Giao việc'!$Q$5:$Q$3004,"&lt;="&amp;S$9,'Giao việc'!$J$5:$J$3004,"&lt;&gt;Bỏ qua"))</f>
        <v/>
      </c>
      <c r="H20" s="36">
        <f>IF(COUNTIFS('Giao việc'!$O$5:$O$3004,SEL_K,'Giao việc'!$D$5:$D$3004,$A20,'Giao việc'!$Q$5:$Q$3004,"&gt;="&amp;T$8,'Giao việc'!$Q$5:$Q$3004,"&lt;="&amp;T$9,'Giao việc'!$J$5:$J$3004,"&lt;&gt;Bỏ qua")=0,"",COUNTIFS('Giao việc'!$O$5:$O$3004,SEL_K,'Giao việc'!$D$5:$D$3004,$A20,'Giao việc'!$Q$5:$Q$3004,"&gt;="&amp;T$8,'Giao việc'!$Q$5:$Q$3004,"&lt;="&amp;T$9,'Giao việc'!$J$5:$J$3004,"Xong")&amp;" / "&amp;COUNTIFS('Giao việc'!$O$5:$O$3004,SEL_K,'Giao việc'!$D$5:$D$3004,$A20,'Giao việc'!$Q$5:$Q$3004,"&gt;="&amp;T$8,'Giao việc'!$Q$5:$Q$3004,"&lt;="&amp;T$9,'Giao việc'!$J$5:$J$3004,"&lt;&gt;Bỏ qua"))</f>
        <v/>
      </c>
      <c r="I20" s="36">
        <f>IF(COUNTIFS('Giao việc'!$O$5:$O$3004,SEL_K,'Giao việc'!$D$5:$D$3004,$A20,'Giao việc'!$Q$5:$Q$3004,"&gt;="&amp;U$8,'Giao việc'!$Q$5:$Q$3004,"&lt;="&amp;U$9,'Giao việc'!$J$5:$J$3004,"&lt;&gt;Bỏ qua")=0,"",COUNTIFS('Giao việc'!$O$5:$O$3004,SEL_K,'Giao việc'!$D$5:$D$3004,$A20,'Giao việc'!$Q$5:$Q$3004,"&gt;="&amp;U$8,'Giao việc'!$Q$5:$Q$3004,"&lt;="&amp;U$9,'Giao việc'!$J$5:$J$3004,"Xong")&amp;" / "&amp;COUNTIFS('Giao việc'!$O$5:$O$3004,SEL_K,'Giao việc'!$D$5:$D$3004,$A20,'Giao việc'!$Q$5:$Q$3004,"&gt;="&amp;U$8,'Giao việc'!$Q$5:$Q$3004,"&lt;="&amp;U$9,'Giao việc'!$J$5:$J$3004,"&lt;&gt;Bỏ qua"))</f>
        <v/>
      </c>
      <c r="J20" s="37">
        <f>IF(COUNTIFS('Giao việc'!$O$5:$O$3004,SEL_K,'Giao việc'!$D$5:$D$3004,$A20,'Giao việc'!$J$5:$J$3004,"&lt;&gt;Bỏ qua")=0,"",COUNTIFS('Giao việc'!$O$5:$O$3004,SEL_K,'Giao việc'!$D$5:$D$3004,$A20,'Giao việc'!$J$5:$J$3004,"Xong")&amp;" / "&amp;COUNTIFS('Giao việc'!$O$5:$O$3004,SEL_K,'Giao việc'!$D$5:$D$3004,$A20,'Giao việc'!$J$5:$J$3004,"&lt;&gt;Bỏ qua"))</f>
        <v/>
      </c>
      <c r="K20" s="19">
        <f>IF(COUNTIFS('Giao việc'!$O$5:$O$3004,SEL_K,'Giao việc'!$D$5:$D$3004,$A20,'Giao việc'!$J$5:$J$3004,"&lt;&gt;Bỏ qua")=0,"",REPT("█",ROUND(COUNTIFS('Giao việc'!$O$5:$O$3004,SEL_K,'Giao việc'!$D$5:$D$3004,$A20,'Giao việc'!$J$5:$J$3004,"Xong")/COUNTIFS('Giao việc'!$O$5:$O$3004,SEL_K,'Giao việc'!$D$5:$D$3004,$A20,'Giao việc'!$J$5:$J$3004,"&lt;&gt;Bỏ qua")*10,0))&amp;REPT("░",10-ROUND(COUNTIFS('Giao việc'!$O$5:$O$3004,SEL_K,'Giao việc'!$D$5:$D$3004,$A20,'Giao việc'!$J$5:$J$3004,"Xong")/COUNTIFS('Giao việc'!$O$5:$O$3004,SEL_K,'Giao việc'!$D$5:$D$3004,$A20,'Giao việc'!$J$5:$J$3004,"&lt;&gt;Bỏ qua")*10,0)))</f>
        <v/>
      </c>
      <c r="N20">
        <f>IF(COUNTIFS('Giao việc'!$O$5:$O$3004,SEL_K,'Giao việc'!$D$5:$D$3004,$A20,'Giao việc'!$Q$5:$Q$3004,"&gt;="&amp;N$8,'Giao việc'!$Q$5:$Q$3004,"&lt;="&amp;N$9,'Giao việc'!$J$5:$J$3004,"&lt;&gt;Bỏ qua")=0,0,IF(COUNTIFS('Giao việc'!$O$5:$O$3004,SEL_K,'Giao việc'!$D$5:$D$3004,$A20,'Giao việc'!$Q$5:$Q$3004,"&gt;="&amp;N$8,'Giao việc'!$Q$5:$Q$3004,"&lt;="&amp;N$9,'Giao việc'!$J$5:$J$3004,"Xong")=COUNTIFS('Giao việc'!$O$5:$O$3004,SEL_K,'Giao việc'!$D$5:$D$3004,$A20,'Giao việc'!$Q$5:$Q$3004,"&gt;="&amp;N$8,'Giao việc'!$Q$5:$Q$3004,"&lt;="&amp;N$9,'Giao việc'!$J$5:$J$3004,"&lt;&gt;Bỏ qua"),1,IF(COUNTIFS('Giao việc'!$O$5:$O$3004,SEL_K,'Giao việc'!$D$5:$D$3004,$A20,'Giao việc'!$Q$5:$Q$3004,"&gt;="&amp;N$8,'Giao việc'!$Q$5:$Q$3004,"&lt;="&amp;N$9,'Giao việc'!$M$5:$M$3004,"*QUÁ HẠN*")&gt;0,4,IF(COUNTIFS('Giao việc'!$O$5:$O$3004,SEL_K,'Giao việc'!$D$5:$D$3004,$A20,'Giao việc'!$Q$5:$Q$3004,"&gt;="&amp;N$8,'Giao việc'!$Q$5:$Q$3004,"&lt;="&amp;N$9,'Giao việc'!$M$5:$M$3004,"*Đến hạn*")&gt;0,3,2))))</f>
        <v/>
      </c>
      <c r="O20">
        <f>IF(COUNTIFS('Giao việc'!$O$5:$O$3004,SEL_K,'Giao việc'!$D$5:$D$3004,$A20,'Giao việc'!$Q$5:$Q$3004,"&gt;="&amp;O$8,'Giao việc'!$Q$5:$Q$3004,"&lt;="&amp;O$9,'Giao việc'!$J$5:$J$3004,"&lt;&gt;Bỏ qua")=0,0,IF(COUNTIFS('Giao việc'!$O$5:$O$3004,SEL_K,'Giao việc'!$D$5:$D$3004,$A20,'Giao việc'!$Q$5:$Q$3004,"&gt;="&amp;O$8,'Giao việc'!$Q$5:$Q$3004,"&lt;="&amp;O$9,'Giao việc'!$J$5:$J$3004,"Xong")=COUNTIFS('Giao việc'!$O$5:$O$3004,SEL_K,'Giao việc'!$D$5:$D$3004,$A20,'Giao việc'!$Q$5:$Q$3004,"&gt;="&amp;O$8,'Giao việc'!$Q$5:$Q$3004,"&lt;="&amp;O$9,'Giao việc'!$J$5:$J$3004,"&lt;&gt;Bỏ qua"),1,IF(COUNTIFS('Giao việc'!$O$5:$O$3004,SEL_K,'Giao việc'!$D$5:$D$3004,$A20,'Giao việc'!$Q$5:$Q$3004,"&gt;="&amp;O$8,'Giao việc'!$Q$5:$Q$3004,"&lt;="&amp;O$9,'Giao việc'!$M$5:$M$3004,"*QUÁ HẠN*")&gt;0,4,IF(COUNTIFS('Giao việc'!$O$5:$O$3004,SEL_K,'Giao việc'!$D$5:$D$3004,$A20,'Giao việc'!$Q$5:$Q$3004,"&gt;="&amp;O$8,'Giao việc'!$Q$5:$Q$3004,"&lt;="&amp;O$9,'Giao việc'!$M$5:$M$3004,"*Đến hạn*")&gt;0,3,2))))</f>
        <v/>
      </c>
      <c r="P20">
        <f>IF(COUNTIFS('Giao việc'!$O$5:$O$3004,SEL_K,'Giao việc'!$D$5:$D$3004,$A20,'Giao việc'!$Q$5:$Q$3004,"&gt;="&amp;P$8,'Giao việc'!$Q$5:$Q$3004,"&lt;="&amp;P$9,'Giao việc'!$J$5:$J$3004,"&lt;&gt;Bỏ qua")=0,0,IF(COUNTIFS('Giao việc'!$O$5:$O$3004,SEL_K,'Giao việc'!$D$5:$D$3004,$A20,'Giao việc'!$Q$5:$Q$3004,"&gt;="&amp;P$8,'Giao việc'!$Q$5:$Q$3004,"&lt;="&amp;P$9,'Giao việc'!$J$5:$J$3004,"Xong")=COUNTIFS('Giao việc'!$O$5:$O$3004,SEL_K,'Giao việc'!$D$5:$D$3004,$A20,'Giao việc'!$Q$5:$Q$3004,"&gt;="&amp;P$8,'Giao việc'!$Q$5:$Q$3004,"&lt;="&amp;P$9,'Giao việc'!$J$5:$J$3004,"&lt;&gt;Bỏ qua"),1,IF(COUNTIFS('Giao việc'!$O$5:$O$3004,SEL_K,'Giao việc'!$D$5:$D$3004,$A20,'Giao việc'!$Q$5:$Q$3004,"&gt;="&amp;P$8,'Giao việc'!$Q$5:$Q$3004,"&lt;="&amp;P$9,'Giao việc'!$M$5:$M$3004,"*QUÁ HẠN*")&gt;0,4,IF(COUNTIFS('Giao việc'!$O$5:$O$3004,SEL_K,'Giao việc'!$D$5:$D$3004,$A20,'Giao việc'!$Q$5:$Q$3004,"&gt;="&amp;P$8,'Giao việc'!$Q$5:$Q$3004,"&lt;="&amp;P$9,'Giao việc'!$M$5:$M$3004,"*Đến hạn*")&gt;0,3,2))))</f>
        <v/>
      </c>
      <c r="Q20">
        <f>IF(COUNTIFS('Giao việc'!$O$5:$O$3004,SEL_K,'Giao việc'!$D$5:$D$3004,$A20,'Giao việc'!$Q$5:$Q$3004,"&gt;="&amp;Q$8,'Giao việc'!$Q$5:$Q$3004,"&lt;="&amp;Q$9,'Giao việc'!$J$5:$J$3004,"&lt;&gt;Bỏ qua")=0,0,IF(COUNTIFS('Giao việc'!$O$5:$O$3004,SEL_K,'Giao việc'!$D$5:$D$3004,$A20,'Giao việc'!$Q$5:$Q$3004,"&gt;="&amp;Q$8,'Giao việc'!$Q$5:$Q$3004,"&lt;="&amp;Q$9,'Giao việc'!$J$5:$J$3004,"Xong")=COUNTIFS('Giao việc'!$O$5:$O$3004,SEL_K,'Giao việc'!$D$5:$D$3004,$A20,'Giao việc'!$Q$5:$Q$3004,"&gt;="&amp;Q$8,'Giao việc'!$Q$5:$Q$3004,"&lt;="&amp;Q$9,'Giao việc'!$J$5:$J$3004,"&lt;&gt;Bỏ qua"),1,IF(COUNTIFS('Giao việc'!$O$5:$O$3004,SEL_K,'Giao việc'!$D$5:$D$3004,$A20,'Giao việc'!$Q$5:$Q$3004,"&gt;="&amp;Q$8,'Giao việc'!$Q$5:$Q$3004,"&lt;="&amp;Q$9,'Giao việc'!$M$5:$M$3004,"*QUÁ HẠN*")&gt;0,4,IF(COUNTIFS('Giao việc'!$O$5:$O$3004,SEL_K,'Giao việc'!$D$5:$D$3004,$A20,'Giao việc'!$Q$5:$Q$3004,"&gt;="&amp;Q$8,'Giao việc'!$Q$5:$Q$3004,"&lt;="&amp;Q$9,'Giao việc'!$M$5:$M$3004,"*Đến hạn*")&gt;0,3,2))))</f>
        <v/>
      </c>
      <c r="R20">
        <f>IF(COUNTIFS('Giao việc'!$O$5:$O$3004,SEL_K,'Giao việc'!$D$5:$D$3004,$A20,'Giao việc'!$Q$5:$Q$3004,"&gt;="&amp;R$8,'Giao việc'!$Q$5:$Q$3004,"&lt;="&amp;R$9,'Giao việc'!$J$5:$J$3004,"&lt;&gt;Bỏ qua")=0,0,IF(COUNTIFS('Giao việc'!$O$5:$O$3004,SEL_K,'Giao việc'!$D$5:$D$3004,$A20,'Giao việc'!$Q$5:$Q$3004,"&gt;="&amp;R$8,'Giao việc'!$Q$5:$Q$3004,"&lt;="&amp;R$9,'Giao việc'!$J$5:$J$3004,"Xong")=COUNTIFS('Giao việc'!$O$5:$O$3004,SEL_K,'Giao việc'!$D$5:$D$3004,$A20,'Giao việc'!$Q$5:$Q$3004,"&gt;="&amp;R$8,'Giao việc'!$Q$5:$Q$3004,"&lt;="&amp;R$9,'Giao việc'!$J$5:$J$3004,"&lt;&gt;Bỏ qua"),1,IF(COUNTIFS('Giao việc'!$O$5:$O$3004,SEL_K,'Giao việc'!$D$5:$D$3004,$A20,'Giao việc'!$Q$5:$Q$3004,"&gt;="&amp;R$8,'Giao việc'!$Q$5:$Q$3004,"&lt;="&amp;R$9,'Giao việc'!$M$5:$M$3004,"*QUÁ HẠN*")&gt;0,4,IF(COUNTIFS('Giao việc'!$O$5:$O$3004,SEL_K,'Giao việc'!$D$5:$D$3004,$A20,'Giao việc'!$Q$5:$Q$3004,"&gt;="&amp;R$8,'Giao việc'!$Q$5:$Q$3004,"&lt;="&amp;R$9,'Giao việc'!$M$5:$M$3004,"*Đến hạn*")&gt;0,3,2))))</f>
        <v/>
      </c>
      <c r="S20">
        <f>IF(COUNTIFS('Giao việc'!$O$5:$O$3004,SEL_K,'Giao việc'!$D$5:$D$3004,$A20,'Giao việc'!$Q$5:$Q$3004,"&gt;="&amp;S$8,'Giao việc'!$Q$5:$Q$3004,"&lt;="&amp;S$9,'Giao việc'!$J$5:$J$3004,"&lt;&gt;Bỏ qua")=0,0,IF(COUNTIFS('Giao việc'!$O$5:$O$3004,SEL_K,'Giao việc'!$D$5:$D$3004,$A20,'Giao việc'!$Q$5:$Q$3004,"&gt;="&amp;S$8,'Giao việc'!$Q$5:$Q$3004,"&lt;="&amp;S$9,'Giao việc'!$J$5:$J$3004,"Xong")=COUNTIFS('Giao việc'!$O$5:$O$3004,SEL_K,'Giao việc'!$D$5:$D$3004,$A20,'Giao việc'!$Q$5:$Q$3004,"&gt;="&amp;S$8,'Giao việc'!$Q$5:$Q$3004,"&lt;="&amp;S$9,'Giao việc'!$J$5:$J$3004,"&lt;&gt;Bỏ qua"),1,IF(COUNTIFS('Giao việc'!$O$5:$O$3004,SEL_K,'Giao việc'!$D$5:$D$3004,$A20,'Giao việc'!$Q$5:$Q$3004,"&gt;="&amp;S$8,'Giao việc'!$Q$5:$Q$3004,"&lt;="&amp;S$9,'Giao việc'!$M$5:$M$3004,"*QUÁ HẠN*")&gt;0,4,IF(COUNTIFS('Giao việc'!$O$5:$O$3004,SEL_K,'Giao việc'!$D$5:$D$3004,$A20,'Giao việc'!$Q$5:$Q$3004,"&gt;="&amp;S$8,'Giao việc'!$Q$5:$Q$3004,"&lt;="&amp;S$9,'Giao việc'!$M$5:$M$3004,"*Đến hạn*")&gt;0,3,2))))</f>
        <v/>
      </c>
      <c r="T20">
        <f>IF(COUNTIFS('Giao việc'!$O$5:$O$3004,SEL_K,'Giao việc'!$D$5:$D$3004,$A20,'Giao việc'!$Q$5:$Q$3004,"&gt;="&amp;T$8,'Giao việc'!$Q$5:$Q$3004,"&lt;="&amp;T$9,'Giao việc'!$J$5:$J$3004,"&lt;&gt;Bỏ qua")=0,0,IF(COUNTIFS('Giao việc'!$O$5:$O$3004,SEL_K,'Giao việc'!$D$5:$D$3004,$A20,'Giao việc'!$Q$5:$Q$3004,"&gt;="&amp;T$8,'Giao việc'!$Q$5:$Q$3004,"&lt;="&amp;T$9,'Giao việc'!$J$5:$J$3004,"Xong")=COUNTIFS('Giao việc'!$O$5:$O$3004,SEL_K,'Giao việc'!$D$5:$D$3004,$A20,'Giao việc'!$Q$5:$Q$3004,"&gt;="&amp;T$8,'Giao việc'!$Q$5:$Q$3004,"&lt;="&amp;T$9,'Giao việc'!$J$5:$J$3004,"&lt;&gt;Bỏ qua"),1,IF(COUNTIFS('Giao việc'!$O$5:$O$3004,SEL_K,'Giao việc'!$D$5:$D$3004,$A20,'Giao việc'!$Q$5:$Q$3004,"&gt;="&amp;T$8,'Giao việc'!$Q$5:$Q$3004,"&lt;="&amp;T$9,'Giao việc'!$M$5:$M$3004,"*QUÁ HẠN*")&gt;0,4,IF(COUNTIFS('Giao việc'!$O$5:$O$3004,SEL_K,'Giao việc'!$D$5:$D$3004,$A20,'Giao việc'!$Q$5:$Q$3004,"&gt;="&amp;T$8,'Giao việc'!$Q$5:$Q$3004,"&lt;="&amp;T$9,'Giao việc'!$M$5:$M$3004,"*Đến hạn*")&gt;0,3,2))))</f>
        <v/>
      </c>
      <c r="U20">
        <f>IF(COUNTIFS('Giao việc'!$O$5:$O$3004,SEL_K,'Giao việc'!$D$5:$D$3004,$A20,'Giao việc'!$Q$5:$Q$3004,"&gt;="&amp;U$8,'Giao việc'!$Q$5:$Q$3004,"&lt;="&amp;U$9,'Giao việc'!$J$5:$J$3004,"&lt;&gt;Bỏ qua")=0,0,IF(COUNTIFS('Giao việc'!$O$5:$O$3004,SEL_K,'Giao việc'!$D$5:$D$3004,$A20,'Giao việc'!$Q$5:$Q$3004,"&gt;="&amp;U$8,'Giao việc'!$Q$5:$Q$3004,"&lt;="&amp;U$9,'Giao việc'!$J$5:$J$3004,"Xong")=COUNTIFS('Giao việc'!$O$5:$O$3004,SEL_K,'Giao việc'!$D$5:$D$3004,$A20,'Giao việc'!$Q$5:$Q$3004,"&gt;="&amp;U$8,'Giao việc'!$Q$5:$Q$3004,"&lt;="&amp;U$9,'Giao việc'!$J$5:$J$3004,"&lt;&gt;Bỏ qua"),1,IF(COUNTIFS('Giao việc'!$O$5:$O$3004,SEL_K,'Giao việc'!$D$5:$D$3004,$A20,'Giao việc'!$Q$5:$Q$3004,"&gt;="&amp;U$8,'Giao việc'!$Q$5:$Q$3004,"&lt;="&amp;U$9,'Giao việc'!$M$5:$M$3004,"*QUÁ HẠN*")&gt;0,4,IF(COUNTIFS('Giao việc'!$O$5:$O$3004,SEL_K,'Giao việc'!$D$5:$D$3004,$A20,'Giao việc'!$Q$5:$Q$3004,"&gt;="&amp;U$8,'Giao việc'!$Q$5:$Q$3004,"&lt;="&amp;U$9,'Giao việc'!$M$5:$M$3004,"*Đến hạn*")&gt;0,3,2))))</f>
        <v/>
      </c>
    </row>
    <row r="21" ht="20" customHeight="1">
      <c r="A21" s="38" t="inlineStr">
        <is>
          <t>TỔNG</t>
        </is>
      </c>
      <c r="B21" s="36">
        <f>IF(COUNTIFS('Giao việc'!$O$5:$O$3004,SEL_K,'Giao việc'!$Q$5:$Q$3004,"&gt;="&amp;N$8,'Giao việc'!$Q$5:$Q$3004,"&lt;="&amp;N$9,'Giao việc'!$J$5:$J$3004,"&lt;&gt;Bỏ qua")=0,"",COUNTIFS('Giao việc'!$O$5:$O$3004,SEL_K,'Giao việc'!$Q$5:$Q$3004,"&gt;="&amp;N$8,'Giao việc'!$Q$5:$Q$3004,"&lt;="&amp;N$9,'Giao việc'!$J$5:$J$3004,"Xong")&amp;" / "&amp;COUNTIFS('Giao việc'!$O$5:$O$3004,SEL_K,'Giao việc'!$Q$5:$Q$3004,"&gt;="&amp;N$8,'Giao việc'!$Q$5:$Q$3004,"&lt;="&amp;N$9,'Giao việc'!$J$5:$J$3004,"&lt;&gt;Bỏ qua"))</f>
        <v/>
      </c>
      <c r="C21" s="36">
        <f>IF(COUNTIFS('Giao việc'!$O$5:$O$3004,SEL_K,'Giao việc'!$Q$5:$Q$3004,"&gt;="&amp;O$8,'Giao việc'!$Q$5:$Q$3004,"&lt;="&amp;O$9,'Giao việc'!$J$5:$J$3004,"&lt;&gt;Bỏ qua")=0,"",COUNTIFS('Giao việc'!$O$5:$O$3004,SEL_K,'Giao việc'!$Q$5:$Q$3004,"&gt;="&amp;O$8,'Giao việc'!$Q$5:$Q$3004,"&lt;="&amp;O$9,'Giao việc'!$J$5:$J$3004,"Xong")&amp;" / "&amp;COUNTIFS('Giao việc'!$O$5:$O$3004,SEL_K,'Giao việc'!$Q$5:$Q$3004,"&gt;="&amp;O$8,'Giao việc'!$Q$5:$Q$3004,"&lt;="&amp;O$9,'Giao việc'!$J$5:$J$3004,"&lt;&gt;Bỏ qua"))</f>
        <v/>
      </c>
      <c r="D21" s="36">
        <f>IF(COUNTIFS('Giao việc'!$O$5:$O$3004,SEL_K,'Giao việc'!$Q$5:$Q$3004,"&gt;="&amp;P$8,'Giao việc'!$Q$5:$Q$3004,"&lt;="&amp;P$9,'Giao việc'!$J$5:$J$3004,"&lt;&gt;Bỏ qua")=0,"",COUNTIFS('Giao việc'!$O$5:$O$3004,SEL_K,'Giao việc'!$Q$5:$Q$3004,"&gt;="&amp;P$8,'Giao việc'!$Q$5:$Q$3004,"&lt;="&amp;P$9,'Giao việc'!$J$5:$J$3004,"Xong")&amp;" / "&amp;COUNTIFS('Giao việc'!$O$5:$O$3004,SEL_K,'Giao việc'!$Q$5:$Q$3004,"&gt;="&amp;P$8,'Giao việc'!$Q$5:$Q$3004,"&lt;="&amp;P$9,'Giao việc'!$J$5:$J$3004,"&lt;&gt;Bỏ qua"))</f>
        <v/>
      </c>
      <c r="E21" s="36">
        <f>IF(COUNTIFS('Giao việc'!$O$5:$O$3004,SEL_K,'Giao việc'!$Q$5:$Q$3004,"&gt;="&amp;Q$8,'Giao việc'!$Q$5:$Q$3004,"&lt;="&amp;Q$9,'Giao việc'!$J$5:$J$3004,"&lt;&gt;Bỏ qua")=0,"",COUNTIFS('Giao việc'!$O$5:$O$3004,SEL_K,'Giao việc'!$Q$5:$Q$3004,"&gt;="&amp;Q$8,'Giao việc'!$Q$5:$Q$3004,"&lt;="&amp;Q$9,'Giao việc'!$J$5:$J$3004,"Xong")&amp;" / "&amp;COUNTIFS('Giao việc'!$O$5:$O$3004,SEL_K,'Giao việc'!$Q$5:$Q$3004,"&gt;="&amp;Q$8,'Giao việc'!$Q$5:$Q$3004,"&lt;="&amp;Q$9,'Giao việc'!$J$5:$J$3004,"&lt;&gt;Bỏ qua"))</f>
        <v/>
      </c>
      <c r="F21" s="36">
        <f>IF(COUNTIFS('Giao việc'!$O$5:$O$3004,SEL_K,'Giao việc'!$Q$5:$Q$3004,"&gt;="&amp;R$8,'Giao việc'!$Q$5:$Q$3004,"&lt;="&amp;R$9,'Giao việc'!$J$5:$J$3004,"&lt;&gt;Bỏ qua")=0,"",COUNTIFS('Giao việc'!$O$5:$O$3004,SEL_K,'Giao việc'!$Q$5:$Q$3004,"&gt;="&amp;R$8,'Giao việc'!$Q$5:$Q$3004,"&lt;="&amp;R$9,'Giao việc'!$J$5:$J$3004,"Xong")&amp;" / "&amp;COUNTIFS('Giao việc'!$O$5:$O$3004,SEL_K,'Giao việc'!$Q$5:$Q$3004,"&gt;="&amp;R$8,'Giao việc'!$Q$5:$Q$3004,"&lt;="&amp;R$9,'Giao việc'!$J$5:$J$3004,"&lt;&gt;Bỏ qua"))</f>
        <v/>
      </c>
      <c r="G21" s="36">
        <f>IF(COUNTIFS('Giao việc'!$O$5:$O$3004,SEL_K,'Giao việc'!$Q$5:$Q$3004,"&gt;="&amp;S$8,'Giao việc'!$Q$5:$Q$3004,"&lt;="&amp;S$9,'Giao việc'!$J$5:$J$3004,"&lt;&gt;Bỏ qua")=0,"",COUNTIFS('Giao việc'!$O$5:$O$3004,SEL_K,'Giao việc'!$Q$5:$Q$3004,"&gt;="&amp;S$8,'Giao việc'!$Q$5:$Q$3004,"&lt;="&amp;S$9,'Giao việc'!$J$5:$J$3004,"Xong")&amp;" / "&amp;COUNTIFS('Giao việc'!$O$5:$O$3004,SEL_K,'Giao việc'!$Q$5:$Q$3004,"&gt;="&amp;S$8,'Giao việc'!$Q$5:$Q$3004,"&lt;="&amp;S$9,'Giao việc'!$J$5:$J$3004,"&lt;&gt;Bỏ qua"))</f>
        <v/>
      </c>
      <c r="H21" s="36">
        <f>IF(COUNTIFS('Giao việc'!$O$5:$O$3004,SEL_K,'Giao việc'!$Q$5:$Q$3004,"&gt;="&amp;T$8,'Giao việc'!$Q$5:$Q$3004,"&lt;="&amp;T$9,'Giao việc'!$J$5:$J$3004,"&lt;&gt;Bỏ qua")=0,"",COUNTIFS('Giao việc'!$O$5:$O$3004,SEL_K,'Giao việc'!$Q$5:$Q$3004,"&gt;="&amp;T$8,'Giao việc'!$Q$5:$Q$3004,"&lt;="&amp;T$9,'Giao việc'!$J$5:$J$3004,"Xong")&amp;" / "&amp;COUNTIFS('Giao việc'!$O$5:$O$3004,SEL_K,'Giao việc'!$Q$5:$Q$3004,"&gt;="&amp;T$8,'Giao việc'!$Q$5:$Q$3004,"&lt;="&amp;T$9,'Giao việc'!$J$5:$J$3004,"&lt;&gt;Bỏ qua"))</f>
        <v/>
      </c>
      <c r="I21" s="36">
        <f>IF(COUNTIFS('Giao việc'!$O$5:$O$3004,SEL_K,'Giao việc'!$Q$5:$Q$3004,"&gt;="&amp;U$8,'Giao việc'!$Q$5:$Q$3004,"&lt;="&amp;U$9,'Giao việc'!$J$5:$J$3004,"&lt;&gt;Bỏ qua")=0,"",COUNTIFS('Giao việc'!$O$5:$O$3004,SEL_K,'Giao việc'!$Q$5:$Q$3004,"&gt;="&amp;U$8,'Giao việc'!$Q$5:$Q$3004,"&lt;="&amp;U$9,'Giao việc'!$J$5:$J$3004,"Xong")&amp;" / "&amp;COUNTIFS('Giao việc'!$O$5:$O$3004,SEL_K,'Giao việc'!$Q$5:$Q$3004,"&gt;="&amp;U$8,'Giao việc'!$Q$5:$Q$3004,"&lt;="&amp;U$9,'Giao việc'!$J$5:$J$3004,"&lt;&gt;Bỏ qua"))</f>
        <v/>
      </c>
      <c r="J21" s="39">
        <f>IF(COUNTIFS('Giao việc'!$O$5:$O$3004,SEL_K,'Giao việc'!$J$5:$J$3004,"&lt;&gt;Bỏ qua")=0,"",COUNTIFS('Giao việc'!$O$5:$O$3004,SEL_K,'Giao việc'!$J$5:$J$3004,"Xong")&amp;" / "&amp;COUNTIFS('Giao việc'!$O$5:$O$3004,SEL_K,'Giao việc'!$J$5:$J$3004,"&lt;&gt;Bỏ qua"))</f>
        <v/>
      </c>
      <c r="K21" s="40">
        <f>IF(COUNTIFS('Giao việc'!$O$5:$O$3004,SEL_K,'Giao việc'!$J$5:$J$3004,"&lt;&gt;Bỏ qua")=0,"",REPT("█",ROUND(COUNTIFS('Giao việc'!$O$5:$O$3004,SEL_K,'Giao việc'!$J$5:$J$3004,"Xong")/COUNTIFS('Giao việc'!$O$5:$O$3004,SEL_K,'Giao việc'!$J$5:$J$3004,"&lt;&gt;Bỏ qua")*10,0))&amp;REPT("░",10-ROUND(COUNTIFS('Giao việc'!$O$5:$O$3004,SEL_K,'Giao việc'!$J$5:$J$3004,"Xong")/COUNTIFS('Giao việc'!$O$5:$O$3004,SEL_K,'Giao việc'!$J$5:$J$3004,"&lt;&gt;Bỏ qua")*10,0)))</f>
        <v/>
      </c>
      <c r="N21">
        <f>IF(COUNTIFS('Giao việc'!$O$5:$O$3004,SEL_K,'Giao việc'!$Q$5:$Q$3004,"&gt;="&amp;N$8,'Giao việc'!$Q$5:$Q$3004,"&lt;="&amp;N$9,'Giao việc'!$J$5:$J$3004,"&lt;&gt;Bỏ qua")=0,0,IF(COUNTIFS('Giao việc'!$O$5:$O$3004,SEL_K,'Giao việc'!$Q$5:$Q$3004,"&gt;="&amp;N$8,'Giao việc'!$Q$5:$Q$3004,"&lt;="&amp;N$9,'Giao việc'!$J$5:$J$3004,"Xong")=COUNTIFS('Giao việc'!$O$5:$O$3004,SEL_K,'Giao việc'!$Q$5:$Q$3004,"&gt;="&amp;N$8,'Giao việc'!$Q$5:$Q$3004,"&lt;="&amp;N$9,'Giao việc'!$J$5:$J$3004,"&lt;&gt;Bỏ qua"),1,IF(COUNTIFS('Giao việc'!$O$5:$O$3004,SEL_K,'Giao việc'!$Q$5:$Q$3004,"&gt;="&amp;N$8,'Giao việc'!$Q$5:$Q$3004,"&lt;="&amp;N$9,'Giao việc'!$M$5:$M$3004,"*QUÁ HẠN*")&gt;0,4,IF(COUNTIFS('Giao việc'!$O$5:$O$3004,SEL_K,'Giao việc'!$Q$5:$Q$3004,"&gt;="&amp;N$8,'Giao việc'!$Q$5:$Q$3004,"&lt;="&amp;N$9,'Giao việc'!$M$5:$M$3004,"*Đến hạn*")&gt;0,3,2))))</f>
        <v/>
      </c>
      <c r="O21">
        <f>IF(COUNTIFS('Giao việc'!$O$5:$O$3004,SEL_K,'Giao việc'!$Q$5:$Q$3004,"&gt;="&amp;O$8,'Giao việc'!$Q$5:$Q$3004,"&lt;="&amp;O$9,'Giao việc'!$J$5:$J$3004,"&lt;&gt;Bỏ qua")=0,0,IF(COUNTIFS('Giao việc'!$O$5:$O$3004,SEL_K,'Giao việc'!$Q$5:$Q$3004,"&gt;="&amp;O$8,'Giao việc'!$Q$5:$Q$3004,"&lt;="&amp;O$9,'Giao việc'!$J$5:$J$3004,"Xong")=COUNTIFS('Giao việc'!$O$5:$O$3004,SEL_K,'Giao việc'!$Q$5:$Q$3004,"&gt;="&amp;O$8,'Giao việc'!$Q$5:$Q$3004,"&lt;="&amp;O$9,'Giao việc'!$J$5:$J$3004,"&lt;&gt;Bỏ qua"),1,IF(COUNTIFS('Giao việc'!$O$5:$O$3004,SEL_K,'Giao việc'!$Q$5:$Q$3004,"&gt;="&amp;O$8,'Giao việc'!$Q$5:$Q$3004,"&lt;="&amp;O$9,'Giao việc'!$M$5:$M$3004,"*QUÁ HẠN*")&gt;0,4,IF(COUNTIFS('Giao việc'!$O$5:$O$3004,SEL_K,'Giao việc'!$Q$5:$Q$3004,"&gt;="&amp;O$8,'Giao việc'!$Q$5:$Q$3004,"&lt;="&amp;O$9,'Giao việc'!$M$5:$M$3004,"*Đến hạn*")&gt;0,3,2))))</f>
        <v/>
      </c>
      <c r="P21">
        <f>IF(COUNTIFS('Giao việc'!$O$5:$O$3004,SEL_K,'Giao việc'!$Q$5:$Q$3004,"&gt;="&amp;P$8,'Giao việc'!$Q$5:$Q$3004,"&lt;="&amp;P$9,'Giao việc'!$J$5:$J$3004,"&lt;&gt;Bỏ qua")=0,0,IF(COUNTIFS('Giao việc'!$O$5:$O$3004,SEL_K,'Giao việc'!$Q$5:$Q$3004,"&gt;="&amp;P$8,'Giao việc'!$Q$5:$Q$3004,"&lt;="&amp;P$9,'Giao việc'!$J$5:$J$3004,"Xong")=COUNTIFS('Giao việc'!$O$5:$O$3004,SEL_K,'Giao việc'!$Q$5:$Q$3004,"&gt;="&amp;P$8,'Giao việc'!$Q$5:$Q$3004,"&lt;="&amp;P$9,'Giao việc'!$J$5:$J$3004,"&lt;&gt;Bỏ qua"),1,IF(COUNTIFS('Giao việc'!$O$5:$O$3004,SEL_K,'Giao việc'!$Q$5:$Q$3004,"&gt;="&amp;P$8,'Giao việc'!$Q$5:$Q$3004,"&lt;="&amp;P$9,'Giao việc'!$M$5:$M$3004,"*QUÁ HẠN*")&gt;0,4,IF(COUNTIFS('Giao việc'!$O$5:$O$3004,SEL_K,'Giao việc'!$Q$5:$Q$3004,"&gt;="&amp;P$8,'Giao việc'!$Q$5:$Q$3004,"&lt;="&amp;P$9,'Giao việc'!$M$5:$M$3004,"*Đến hạn*")&gt;0,3,2))))</f>
        <v/>
      </c>
      <c r="Q21">
        <f>IF(COUNTIFS('Giao việc'!$O$5:$O$3004,SEL_K,'Giao việc'!$Q$5:$Q$3004,"&gt;="&amp;Q$8,'Giao việc'!$Q$5:$Q$3004,"&lt;="&amp;Q$9,'Giao việc'!$J$5:$J$3004,"&lt;&gt;Bỏ qua")=0,0,IF(COUNTIFS('Giao việc'!$O$5:$O$3004,SEL_K,'Giao việc'!$Q$5:$Q$3004,"&gt;="&amp;Q$8,'Giao việc'!$Q$5:$Q$3004,"&lt;="&amp;Q$9,'Giao việc'!$J$5:$J$3004,"Xong")=COUNTIFS('Giao việc'!$O$5:$O$3004,SEL_K,'Giao việc'!$Q$5:$Q$3004,"&gt;="&amp;Q$8,'Giao việc'!$Q$5:$Q$3004,"&lt;="&amp;Q$9,'Giao việc'!$J$5:$J$3004,"&lt;&gt;Bỏ qua"),1,IF(COUNTIFS('Giao việc'!$O$5:$O$3004,SEL_K,'Giao việc'!$Q$5:$Q$3004,"&gt;="&amp;Q$8,'Giao việc'!$Q$5:$Q$3004,"&lt;="&amp;Q$9,'Giao việc'!$M$5:$M$3004,"*QUÁ HẠN*")&gt;0,4,IF(COUNTIFS('Giao việc'!$O$5:$O$3004,SEL_K,'Giao việc'!$Q$5:$Q$3004,"&gt;="&amp;Q$8,'Giao việc'!$Q$5:$Q$3004,"&lt;="&amp;Q$9,'Giao việc'!$M$5:$M$3004,"*Đến hạn*")&gt;0,3,2))))</f>
        <v/>
      </c>
      <c r="R21">
        <f>IF(COUNTIFS('Giao việc'!$O$5:$O$3004,SEL_K,'Giao việc'!$Q$5:$Q$3004,"&gt;="&amp;R$8,'Giao việc'!$Q$5:$Q$3004,"&lt;="&amp;R$9,'Giao việc'!$J$5:$J$3004,"&lt;&gt;Bỏ qua")=0,0,IF(COUNTIFS('Giao việc'!$O$5:$O$3004,SEL_K,'Giao việc'!$Q$5:$Q$3004,"&gt;="&amp;R$8,'Giao việc'!$Q$5:$Q$3004,"&lt;="&amp;R$9,'Giao việc'!$J$5:$J$3004,"Xong")=COUNTIFS('Giao việc'!$O$5:$O$3004,SEL_K,'Giao việc'!$Q$5:$Q$3004,"&gt;="&amp;R$8,'Giao việc'!$Q$5:$Q$3004,"&lt;="&amp;R$9,'Giao việc'!$J$5:$J$3004,"&lt;&gt;Bỏ qua"),1,IF(COUNTIFS('Giao việc'!$O$5:$O$3004,SEL_K,'Giao việc'!$Q$5:$Q$3004,"&gt;="&amp;R$8,'Giao việc'!$Q$5:$Q$3004,"&lt;="&amp;R$9,'Giao việc'!$M$5:$M$3004,"*QUÁ HẠN*")&gt;0,4,IF(COUNTIFS('Giao việc'!$O$5:$O$3004,SEL_K,'Giao việc'!$Q$5:$Q$3004,"&gt;="&amp;R$8,'Giao việc'!$Q$5:$Q$3004,"&lt;="&amp;R$9,'Giao việc'!$M$5:$M$3004,"*Đến hạn*")&gt;0,3,2))))</f>
        <v/>
      </c>
      <c r="S21">
        <f>IF(COUNTIFS('Giao việc'!$O$5:$O$3004,SEL_K,'Giao việc'!$Q$5:$Q$3004,"&gt;="&amp;S$8,'Giao việc'!$Q$5:$Q$3004,"&lt;="&amp;S$9,'Giao việc'!$J$5:$J$3004,"&lt;&gt;Bỏ qua")=0,0,IF(COUNTIFS('Giao việc'!$O$5:$O$3004,SEL_K,'Giao việc'!$Q$5:$Q$3004,"&gt;="&amp;S$8,'Giao việc'!$Q$5:$Q$3004,"&lt;="&amp;S$9,'Giao việc'!$J$5:$J$3004,"Xong")=COUNTIFS('Giao việc'!$O$5:$O$3004,SEL_K,'Giao việc'!$Q$5:$Q$3004,"&gt;="&amp;S$8,'Giao việc'!$Q$5:$Q$3004,"&lt;="&amp;S$9,'Giao việc'!$J$5:$J$3004,"&lt;&gt;Bỏ qua"),1,IF(COUNTIFS('Giao việc'!$O$5:$O$3004,SEL_K,'Giao việc'!$Q$5:$Q$3004,"&gt;="&amp;S$8,'Giao việc'!$Q$5:$Q$3004,"&lt;="&amp;S$9,'Giao việc'!$M$5:$M$3004,"*QUÁ HẠN*")&gt;0,4,IF(COUNTIFS('Giao việc'!$O$5:$O$3004,SEL_K,'Giao việc'!$Q$5:$Q$3004,"&gt;="&amp;S$8,'Giao việc'!$Q$5:$Q$3004,"&lt;="&amp;S$9,'Giao việc'!$M$5:$M$3004,"*Đến hạn*")&gt;0,3,2))))</f>
        <v/>
      </c>
      <c r="T21">
        <f>IF(COUNTIFS('Giao việc'!$O$5:$O$3004,SEL_K,'Giao việc'!$Q$5:$Q$3004,"&gt;="&amp;T$8,'Giao việc'!$Q$5:$Q$3004,"&lt;="&amp;T$9,'Giao việc'!$J$5:$J$3004,"&lt;&gt;Bỏ qua")=0,0,IF(COUNTIFS('Giao việc'!$O$5:$O$3004,SEL_K,'Giao việc'!$Q$5:$Q$3004,"&gt;="&amp;T$8,'Giao việc'!$Q$5:$Q$3004,"&lt;="&amp;T$9,'Giao việc'!$J$5:$J$3004,"Xong")=COUNTIFS('Giao việc'!$O$5:$O$3004,SEL_K,'Giao việc'!$Q$5:$Q$3004,"&gt;="&amp;T$8,'Giao việc'!$Q$5:$Q$3004,"&lt;="&amp;T$9,'Giao việc'!$J$5:$J$3004,"&lt;&gt;Bỏ qua"),1,IF(COUNTIFS('Giao việc'!$O$5:$O$3004,SEL_K,'Giao việc'!$Q$5:$Q$3004,"&gt;="&amp;T$8,'Giao việc'!$Q$5:$Q$3004,"&lt;="&amp;T$9,'Giao việc'!$M$5:$M$3004,"*QUÁ HẠN*")&gt;0,4,IF(COUNTIFS('Giao việc'!$O$5:$O$3004,SEL_K,'Giao việc'!$Q$5:$Q$3004,"&gt;="&amp;T$8,'Giao việc'!$Q$5:$Q$3004,"&lt;="&amp;T$9,'Giao việc'!$M$5:$M$3004,"*Đến hạn*")&gt;0,3,2))))</f>
        <v/>
      </c>
      <c r="U21">
        <f>IF(COUNTIFS('Giao việc'!$O$5:$O$3004,SEL_K,'Giao việc'!$Q$5:$Q$3004,"&gt;="&amp;U$8,'Giao việc'!$Q$5:$Q$3004,"&lt;="&amp;U$9,'Giao việc'!$J$5:$J$3004,"&lt;&gt;Bỏ qua")=0,0,IF(COUNTIFS('Giao việc'!$O$5:$O$3004,SEL_K,'Giao việc'!$Q$5:$Q$3004,"&gt;="&amp;U$8,'Giao việc'!$Q$5:$Q$3004,"&lt;="&amp;U$9,'Giao việc'!$J$5:$J$3004,"Xong")=COUNTIFS('Giao việc'!$O$5:$O$3004,SEL_K,'Giao việc'!$Q$5:$Q$3004,"&gt;="&amp;U$8,'Giao việc'!$Q$5:$Q$3004,"&lt;="&amp;U$9,'Giao việc'!$J$5:$J$3004,"&lt;&gt;Bỏ qua"),1,IF(COUNTIFS('Giao việc'!$O$5:$O$3004,SEL_K,'Giao việc'!$Q$5:$Q$3004,"&gt;="&amp;U$8,'Giao việc'!$Q$5:$Q$3004,"&lt;="&amp;U$9,'Giao việc'!$M$5:$M$3004,"*QUÁ HẠN*")&gt;0,4,IF(COUNTIFS('Giao việc'!$O$5:$O$3004,SEL_K,'Giao việc'!$Q$5:$Q$3004,"&gt;="&amp;U$8,'Giao việc'!$Q$5:$Q$3004,"&lt;="&amp;U$9,'Giao việc'!$M$5:$M$3004,"*Đến hạn*")&gt;0,3,2))))</f>
        <v/>
      </c>
    </row>
    <row r="23">
      <c r="A23" s="35" t="inlineStr">
        <is>
          <t>ĐỘI THỰC HIỆN — đổi người ở tab Sự kiện (cột Owner → Đầu mối NPP)</t>
        </is>
      </c>
    </row>
    <row r="24">
      <c r="A24" s="11" t="inlineStr">
        <is>
          <t>Vai trò</t>
        </is>
      </c>
      <c r="B24" s="11" t="inlineStr">
        <is>
          <t>Người</t>
        </is>
      </c>
      <c r="C24" s="22" t="n"/>
      <c r="D24" s="11" t="inlineStr">
        <is>
          <t>Việc của người này</t>
        </is>
      </c>
      <c r="E24" s="11" t="inlineStr">
        <is>
          <t>Xong</t>
        </is>
      </c>
      <c r="F24" s="11" t="inlineStr">
        <is>
          <t>Quá hạn</t>
        </is>
      </c>
      <c r="G24" s="11" t="inlineStr">
        <is>
          <t>Đến hạn ≤ 3</t>
        </is>
      </c>
      <c r="H24" s="11" t="inlineStr">
        <is>
          <t>Chờ đối tác</t>
        </is>
      </c>
      <c r="I24" s="11" t="inlineStr">
        <is>
          <t>Chưa giao (Owner giao)</t>
        </is>
      </c>
      <c r="J24" s="11" t="inlineStr">
        <is>
          <t>%</t>
        </is>
      </c>
      <c r="K24" s="11" t="inlineStr">
        <is>
          <t>Tiến độ</t>
        </is>
      </c>
    </row>
    <row r="25">
      <c r="A25" s="41" t="inlineStr">
        <is>
          <t>MKT Leader</t>
        </is>
      </c>
      <c r="B25" s="17">
        <f>IFERROR(INDEX('Sự kiện'!$K$5:$K$304,MATCH(SEL_K,SK_A,0)),"")&amp;""</f>
        <v/>
      </c>
      <c r="C25" s="17" t="n"/>
      <c r="D25" s="36">
        <f>IF($B25="","",COUNTIFS('Giao việc'!$O$5:$O$3004,SEL_K,'Giao việc'!$G$5:$G$3004,$B25,'Giao việc'!$J$5:$J$3004,"&lt;&gt;Bỏ qua"))</f>
        <v/>
      </c>
      <c r="E25" s="36">
        <f>IF($B25="","",COUNTIFS('Giao việc'!$O$5:$O$3004,SEL_K,'Giao việc'!$G$5:$G$3004,$B25,'Giao việc'!$J$5:$J$3004,"Xong"))</f>
        <v/>
      </c>
      <c r="F25" s="36">
        <f>IF($B25="","",COUNTIFS('Giao việc'!$O$5:$O$3004,SEL_K,'Giao việc'!$G$5:$G$3004,$B25,'Giao việc'!$M$5:$M$3004,"*QUÁ HẠN*"))</f>
        <v/>
      </c>
      <c r="G25" s="36">
        <f>IF($B25="","",COUNTIFS('Giao việc'!$O$5:$O$3004,SEL_K,'Giao việc'!$G$5:$G$3004,$B25,'Giao việc'!$M$5:$M$3004,"*Đến hạn*"))</f>
        <v/>
      </c>
      <c r="H25" s="36">
        <f>IF($B25="","",COUNTIFS('Giao việc'!$O$5:$O$3004,SEL_K,'Giao việc'!$G$5:$G$3004,$B25,'Giao việc'!$J$5:$J$3004,"Chờ đối tác"))</f>
        <v/>
      </c>
      <c r="I25" s="36">
        <f>IF(A25&lt;&gt;"MKT Leader","",COUNTIFS('Giao việc'!$O$5:$O$3004,SEL_K,'Giao việc'!$M$5:$M$3004,"*CHƯA GIAO*"))</f>
        <v/>
      </c>
      <c r="J25" s="42">
        <f>IF(N(D25)=0,"",E25/D25)</f>
        <v/>
      </c>
      <c r="K25" s="19">
        <f>IF(J25="","",REPT("█",ROUND(J25*10,0))&amp;REPT("░",10-ROUND(J25*10,0)))</f>
        <v/>
      </c>
    </row>
    <row r="26">
      <c r="A26" s="41" t="inlineStr">
        <is>
          <t>Digital MKT</t>
        </is>
      </c>
      <c r="B26" s="17">
        <f>IFERROR(INDEX('Sự kiện'!$L$5:$L$304,MATCH(SEL_K,SK_A,0)),"")&amp;""</f>
        <v/>
      </c>
      <c r="C26" s="17" t="n"/>
      <c r="D26" s="36">
        <f>IF($B26="","",COUNTIFS('Giao việc'!$O$5:$O$3004,SEL_K,'Giao việc'!$G$5:$G$3004,$B26,'Giao việc'!$J$5:$J$3004,"&lt;&gt;Bỏ qua"))</f>
        <v/>
      </c>
      <c r="E26" s="36">
        <f>IF($B26="","",COUNTIFS('Giao việc'!$O$5:$O$3004,SEL_K,'Giao việc'!$G$5:$G$3004,$B26,'Giao việc'!$J$5:$J$3004,"Xong"))</f>
        <v/>
      </c>
      <c r="F26" s="36">
        <f>IF($B26="","",COUNTIFS('Giao việc'!$O$5:$O$3004,SEL_K,'Giao việc'!$G$5:$G$3004,$B26,'Giao việc'!$M$5:$M$3004,"*QUÁ HẠN*"))</f>
        <v/>
      </c>
      <c r="G26" s="36">
        <f>IF($B26="","",COUNTIFS('Giao việc'!$O$5:$O$3004,SEL_K,'Giao việc'!$G$5:$G$3004,$B26,'Giao việc'!$M$5:$M$3004,"*Đến hạn*"))</f>
        <v/>
      </c>
      <c r="H26" s="36">
        <f>IF($B26="","",COUNTIFS('Giao việc'!$O$5:$O$3004,SEL_K,'Giao việc'!$G$5:$G$3004,$B26,'Giao việc'!$J$5:$J$3004,"Chờ đối tác"))</f>
        <v/>
      </c>
      <c r="I26" s="36">
        <f>IF(A26&lt;&gt;"MKT Leader","",COUNTIFS('Giao việc'!$O$5:$O$3004,SEL_K,'Giao việc'!$M$5:$M$3004,"*CHƯA GIAO*"))</f>
        <v/>
      </c>
      <c r="J26" s="42">
        <f>IF(N(D26)=0,"",E26/D26)</f>
        <v/>
      </c>
      <c r="K26" s="19">
        <f>IF(J26="","",REPT("█",ROUND(J26*10,0))&amp;REPT("░",10-ROUND(J26*10,0)))</f>
        <v/>
      </c>
    </row>
    <row r="27">
      <c r="A27" s="41" t="inlineStr">
        <is>
          <t>Trade MKT</t>
        </is>
      </c>
      <c r="B27" s="17">
        <f>IFERROR(INDEX('Sự kiện'!$M$5:$M$304,MATCH(SEL_K,SK_A,0)),"")&amp;""</f>
        <v/>
      </c>
      <c r="C27" s="17" t="n"/>
      <c r="D27" s="36">
        <f>IF($B27="","",COUNTIFS('Giao việc'!$O$5:$O$3004,SEL_K,'Giao việc'!$G$5:$G$3004,$B27,'Giao việc'!$J$5:$J$3004,"&lt;&gt;Bỏ qua"))</f>
        <v/>
      </c>
      <c r="E27" s="36">
        <f>IF($B27="","",COUNTIFS('Giao việc'!$O$5:$O$3004,SEL_K,'Giao việc'!$G$5:$G$3004,$B27,'Giao việc'!$J$5:$J$3004,"Xong"))</f>
        <v/>
      </c>
      <c r="F27" s="36">
        <f>IF($B27="","",COUNTIFS('Giao việc'!$O$5:$O$3004,SEL_K,'Giao việc'!$G$5:$G$3004,$B27,'Giao việc'!$M$5:$M$3004,"*QUÁ HẠN*"))</f>
        <v/>
      </c>
      <c r="G27" s="36">
        <f>IF($B27="","",COUNTIFS('Giao việc'!$O$5:$O$3004,SEL_K,'Giao việc'!$G$5:$G$3004,$B27,'Giao việc'!$M$5:$M$3004,"*Đến hạn*"))</f>
        <v/>
      </c>
      <c r="H27" s="36">
        <f>IF($B27="","",COUNTIFS('Giao việc'!$O$5:$O$3004,SEL_K,'Giao việc'!$G$5:$G$3004,$B27,'Giao việc'!$J$5:$J$3004,"Chờ đối tác"))</f>
        <v/>
      </c>
      <c r="I27" s="36">
        <f>IF(A27&lt;&gt;"MKT Leader","",COUNTIFS('Giao việc'!$O$5:$O$3004,SEL_K,'Giao việc'!$M$5:$M$3004,"*CHƯA GIAO*"))</f>
        <v/>
      </c>
      <c r="J27" s="42">
        <f>IF(N(D27)=0,"",E27/D27)</f>
        <v/>
      </c>
      <c r="K27" s="19">
        <f>IF(J27="","",REPT("█",ROUND(J27*10,0))&amp;REPT("░",10-ROUND(J27*10,0)))</f>
        <v/>
      </c>
    </row>
    <row r="28">
      <c r="A28" s="41" t="inlineStr">
        <is>
          <t>Sales</t>
        </is>
      </c>
      <c r="B28" s="17">
        <f>IFERROR(INDEX('Sự kiện'!$N$5:$N$304,MATCH(SEL_K,SK_A,0)),"")&amp;""</f>
        <v/>
      </c>
      <c r="C28" s="17" t="n"/>
      <c r="D28" s="36">
        <f>IF($B28="","",COUNTIFS('Giao việc'!$O$5:$O$3004,SEL_K,'Giao việc'!$G$5:$G$3004,$B28,'Giao việc'!$J$5:$J$3004,"&lt;&gt;Bỏ qua"))</f>
        <v/>
      </c>
      <c r="E28" s="36">
        <f>IF($B28="","",COUNTIFS('Giao việc'!$O$5:$O$3004,SEL_K,'Giao việc'!$G$5:$G$3004,$B28,'Giao việc'!$J$5:$J$3004,"Xong"))</f>
        <v/>
      </c>
      <c r="F28" s="36">
        <f>IF($B28="","",COUNTIFS('Giao việc'!$O$5:$O$3004,SEL_K,'Giao việc'!$G$5:$G$3004,$B28,'Giao việc'!$M$5:$M$3004,"*QUÁ HẠN*"))</f>
        <v/>
      </c>
      <c r="G28" s="36">
        <f>IF($B28="","",COUNTIFS('Giao việc'!$O$5:$O$3004,SEL_K,'Giao việc'!$G$5:$G$3004,$B28,'Giao việc'!$M$5:$M$3004,"*Đến hạn*"))</f>
        <v/>
      </c>
      <c r="H28" s="36">
        <f>IF($B28="","",COUNTIFS('Giao việc'!$O$5:$O$3004,SEL_K,'Giao việc'!$G$5:$G$3004,$B28,'Giao việc'!$J$5:$J$3004,"Chờ đối tác"))</f>
        <v/>
      </c>
      <c r="I28" s="36">
        <f>IF(A28&lt;&gt;"MKT Leader","",COUNTIFS('Giao việc'!$O$5:$O$3004,SEL_K,'Giao việc'!$M$5:$M$3004,"*CHƯA GIAO*"))</f>
        <v/>
      </c>
      <c r="J28" s="42">
        <f>IF(N(D28)=0,"",E28/D28)</f>
        <v/>
      </c>
      <c r="K28" s="19">
        <f>IF(J28="","",REPT("█",ROUND(J28*10,0))&amp;REPT("░",10-ROUND(J28*10,0)))</f>
        <v/>
      </c>
    </row>
    <row r="29">
      <c r="A29" s="41" t="inlineStr">
        <is>
          <t>NPP / đối tác</t>
        </is>
      </c>
      <c r="B29" s="17">
        <f>IFERROR(INDEX('Sự kiện'!$O$5:$O$304,MATCH(SEL_K,SK_A,0)),"")&amp;""</f>
        <v/>
      </c>
      <c r="C29" s="17" t="n"/>
      <c r="D29" s="36">
        <f>IF($B29="","",COUNTIFS('Giao việc'!$O$5:$O$3004,SEL_K,'Giao việc'!$G$5:$G$3004,$B29,'Giao việc'!$J$5:$J$3004,"&lt;&gt;Bỏ qua"))</f>
        <v/>
      </c>
      <c r="E29" s="36">
        <f>IF($B29="","",COUNTIFS('Giao việc'!$O$5:$O$3004,SEL_K,'Giao việc'!$G$5:$G$3004,$B29,'Giao việc'!$J$5:$J$3004,"Xong"))</f>
        <v/>
      </c>
      <c r="F29" s="36">
        <f>IF($B29="","",COUNTIFS('Giao việc'!$O$5:$O$3004,SEL_K,'Giao việc'!$G$5:$G$3004,$B29,'Giao việc'!$M$5:$M$3004,"*QUÁ HẠN*"))</f>
        <v/>
      </c>
      <c r="G29" s="36">
        <f>IF($B29="","",COUNTIFS('Giao việc'!$O$5:$O$3004,SEL_K,'Giao việc'!$G$5:$G$3004,$B29,'Giao việc'!$M$5:$M$3004,"*Đến hạn*"))</f>
        <v/>
      </c>
      <c r="H29" s="36">
        <f>IF($B29="","",COUNTIFS('Giao việc'!$O$5:$O$3004,SEL_K,'Giao việc'!$G$5:$G$3004,$B29,'Giao việc'!$J$5:$J$3004,"Chờ đối tác"))</f>
        <v/>
      </c>
      <c r="I29" s="36">
        <f>IF(A29&lt;&gt;"MKT Leader","",COUNTIFS('Giao việc'!$O$5:$O$3004,SEL_K,'Giao việc'!$M$5:$M$3004,"*CHƯA GIAO*"))</f>
        <v/>
      </c>
      <c r="J29" s="42">
        <f>IF(N(D29)=0,"",E29/D29)</f>
        <v/>
      </c>
      <c r="K29" s="19">
        <f>IF(J29="","",REPT("█",ROUND(J29*10,0))&amp;REPT("░",10-ROUND(J29*10,0)))</f>
        <v/>
      </c>
    </row>
    <row r="30">
      <c r="A30" s="41" t="inlineStr">
        <is>
          <t>Giám đốc</t>
        </is>
      </c>
      <c r="B30" s="17">
        <f>'Cài đặt'!$B$10&amp;""</f>
        <v/>
      </c>
      <c r="C30" s="17" t="n"/>
      <c r="D30" s="36">
        <f>IF($B30="","",COUNTIFS('Giao việc'!$O$5:$O$3004,SEL_K,'Giao việc'!$G$5:$G$3004,$B30,'Giao việc'!$J$5:$J$3004,"&lt;&gt;Bỏ qua"))</f>
        <v/>
      </c>
      <c r="E30" s="36">
        <f>IF($B30="","",COUNTIFS('Giao việc'!$O$5:$O$3004,SEL_K,'Giao việc'!$G$5:$G$3004,$B30,'Giao việc'!$J$5:$J$3004,"Xong"))</f>
        <v/>
      </c>
      <c r="F30" s="36">
        <f>IF($B30="","",COUNTIFS('Giao việc'!$O$5:$O$3004,SEL_K,'Giao việc'!$G$5:$G$3004,$B30,'Giao việc'!$M$5:$M$3004,"*QUÁ HẠN*"))</f>
        <v/>
      </c>
      <c r="G30" s="36">
        <f>IF($B30="","",COUNTIFS('Giao việc'!$O$5:$O$3004,SEL_K,'Giao việc'!$G$5:$G$3004,$B30,'Giao việc'!$M$5:$M$3004,"*Đến hạn*"))</f>
        <v/>
      </c>
      <c r="H30" s="36">
        <f>IF($B30="","",COUNTIFS('Giao việc'!$O$5:$O$3004,SEL_K,'Giao việc'!$G$5:$G$3004,$B30,'Giao việc'!$J$5:$J$3004,"Chờ đối tác"))</f>
        <v/>
      </c>
      <c r="I30" s="36">
        <f>IF(A30&lt;&gt;"MKT Leader","",COUNTIFS('Giao việc'!$O$5:$O$3004,SEL_K,'Giao việc'!$M$5:$M$3004,"*CHƯA GIAO*"))</f>
        <v/>
      </c>
      <c r="J30" s="42">
        <f>IF(N(D30)=0,"",E30/D30)</f>
        <v/>
      </c>
      <c r="K30" s="19">
        <f>IF(J30="","",REPT("█",ROUND(J30*10,0))&amp;REPT("░",10-ROUND(J30*10,0)))</f>
        <v/>
      </c>
    </row>
    <row r="32">
      <c r="A32" s="35" t="inlineStr">
        <is>
          <t>VIỆC CẦN THEO DÕI (chưa xong, theo hạn — sửa ở tab Giao việc)</t>
        </is>
      </c>
    </row>
    <row r="33">
      <c r="A33" s="11" t="inlineStr">
        <is>
          <t>Việc</t>
        </is>
      </c>
      <c r="B33" s="11" t="inlineStr">
        <is>
          <t>Hạn</t>
        </is>
      </c>
      <c r="C33" s="11" t="inlineStr">
        <is>
          <t>Mốc</t>
        </is>
      </c>
      <c r="D33" s="11" t="inlineStr">
        <is>
          <t>Người phụ trách</t>
        </is>
      </c>
      <c r="E33" s="43" t="n"/>
      <c r="F33" s="11" t="inlineStr">
        <is>
          <t>Trạng thái</t>
        </is>
      </c>
      <c r="G33" s="11" t="inlineStr">
        <is>
          <t>Cảnh báo</t>
        </is>
      </c>
      <c r="H33" s="43" t="n"/>
      <c r="I33" s="11" t="inlineStr">
        <is>
          <t>Ghi chú / link</t>
        </is>
      </c>
      <c r="J33" s="43" t="n"/>
      <c r="K33" s="43" t="n"/>
    </row>
    <row r="34" ht="30" customHeight="1">
      <c r="A34" s="12">
        <f>IF(IFERROR(MATCH(SMALL('Giao việc'!$V$5:$V$3004,1),'Giao việc'!$V$5:$V$3004,0),0)=0,"",INDEX('Giao việc'!$E$5:$E$3004,IFERROR(MATCH(SMALL('Giao việc'!$V$5:$V$3004,1),'Giao việc'!$V$5:$V$3004,0),0))&amp;"")</f>
        <v/>
      </c>
      <c r="B34" s="23">
        <f>IF(IFERROR(MATCH(SMALL('Giao việc'!$V$5:$V$3004,1),'Giao việc'!$V$5:$V$3004,0),0)=0,"",INDEX('Giao việc'!$I$5:$I$3004,IFERROR(MATCH(SMALL('Giao việc'!$V$5:$V$3004,1),'Giao việc'!$V$5:$V$3004,0),0)))</f>
        <v/>
      </c>
      <c r="C34" s="12">
        <f>IF(IFERROR(MATCH(SMALL('Giao việc'!$V$5:$V$3004,1),'Giao việc'!$V$5:$V$3004,0),0)=0,"",INDEX('Giao việc'!$C$5:$C$3004,IFERROR(MATCH(SMALL('Giao việc'!$V$5:$V$3004,1),'Giao việc'!$V$5:$V$3004,0),0))&amp;"")</f>
        <v/>
      </c>
      <c r="D34" s="12">
        <f>IF(IFERROR(MATCH(SMALL('Giao việc'!$V$5:$V$3004,1),'Giao việc'!$V$5:$V$3004,0),0)=0,"",INDEX('Giao việc'!$G$5:$G$3004,IFERROR(MATCH(SMALL('Giao việc'!$V$5:$V$3004,1),'Giao việc'!$V$5:$V$3004,0),0))&amp;"")</f>
        <v/>
      </c>
      <c r="E34" s="12" t="n"/>
      <c r="F34" s="12">
        <f>IF(IFERROR(MATCH(SMALL('Giao việc'!$V$5:$V$3004,1),'Giao việc'!$V$5:$V$3004,0),0)=0,"",INDEX('Giao việc'!$J$5:$J$3004,IFERROR(MATCH(SMALL('Giao việc'!$V$5:$V$3004,1),'Giao việc'!$V$5:$V$3004,0),0))&amp;"")</f>
        <v/>
      </c>
      <c r="G34" s="12">
        <f>IF(IFERROR(MATCH(SMALL('Giao việc'!$V$5:$V$3004,1),'Giao việc'!$V$5:$V$3004,0),0)=0,"",INDEX('Giao việc'!$M$5:$M$3004,IFERROR(MATCH(SMALL('Giao việc'!$V$5:$V$3004,1),'Giao việc'!$V$5:$V$3004,0),0))&amp;"")</f>
        <v/>
      </c>
      <c r="H34" s="12" t="n"/>
      <c r="I34" s="12">
        <f>IF(IFERROR(MATCH(SMALL('Giao việc'!$V$5:$V$3004,1),'Giao việc'!$V$5:$V$3004,0),0)=0,"",INDEX('Giao việc'!$L$5:$L$3004,IFERROR(MATCH(SMALL('Giao việc'!$V$5:$V$3004,1),'Giao việc'!$V$5:$V$3004,0),0))&amp;"")</f>
        <v/>
      </c>
      <c r="J34" s="12" t="n"/>
      <c r="K34" s="12" t="n"/>
    </row>
    <row r="35" ht="30" customHeight="1">
      <c r="A35" s="12">
        <f>IF(IFERROR(MATCH(SMALL('Giao việc'!$V$5:$V$3004,2),'Giao việc'!$V$5:$V$3004,0),0)=0,"",INDEX('Giao việc'!$E$5:$E$3004,IFERROR(MATCH(SMALL('Giao việc'!$V$5:$V$3004,2),'Giao việc'!$V$5:$V$3004,0),0))&amp;"")</f>
        <v/>
      </c>
      <c r="B35" s="23">
        <f>IF(IFERROR(MATCH(SMALL('Giao việc'!$V$5:$V$3004,2),'Giao việc'!$V$5:$V$3004,0),0)=0,"",INDEX('Giao việc'!$I$5:$I$3004,IFERROR(MATCH(SMALL('Giao việc'!$V$5:$V$3004,2),'Giao việc'!$V$5:$V$3004,0),0)))</f>
        <v/>
      </c>
      <c r="C35" s="12">
        <f>IF(IFERROR(MATCH(SMALL('Giao việc'!$V$5:$V$3004,2),'Giao việc'!$V$5:$V$3004,0),0)=0,"",INDEX('Giao việc'!$C$5:$C$3004,IFERROR(MATCH(SMALL('Giao việc'!$V$5:$V$3004,2),'Giao việc'!$V$5:$V$3004,0),0))&amp;"")</f>
        <v/>
      </c>
      <c r="D35" s="12">
        <f>IF(IFERROR(MATCH(SMALL('Giao việc'!$V$5:$V$3004,2),'Giao việc'!$V$5:$V$3004,0),0)=0,"",INDEX('Giao việc'!$G$5:$G$3004,IFERROR(MATCH(SMALL('Giao việc'!$V$5:$V$3004,2),'Giao việc'!$V$5:$V$3004,0),0))&amp;"")</f>
        <v/>
      </c>
      <c r="E35" s="12" t="n"/>
      <c r="F35" s="12">
        <f>IF(IFERROR(MATCH(SMALL('Giao việc'!$V$5:$V$3004,2),'Giao việc'!$V$5:$V$3004,0),0)=0,"",INDEX('Giao việc'!$J$5:$J$3004,IFERROR(MATCH(SMALL('Giao việc'!$V$5:$V$3004,2),'Giao việc'!$V$5:$V$3004,0),0))&amp;"")</f>
        <v/>
      </c>
      <c r="G35" s="12">
        <f>IF(IFERROR(MATCH(SMALL('Giao việc'!$V$5:$V$3004,2),'Giao việc'!$V$5:$V$3004,0),0)=0,"",INDEX('Giao việc'!$M$5:$M$3004,IFERROR(MATCH(SMALL('Giao việc'!$V$5:$V$3004,2),'Giao việc'!$V$5:$V$3004,0),0))&amp;"")</f>
        <v/>
      </c>
      <c r="H35" s="12" t="n"/>
      <c r="I35" s="12">
        <f>IF(IFERROR(MATCH(SMALL('Giao việc'!$V$5:$V$3004,2),'Giao việc'!$V$5:$V$3004,0),0)=0,"",INDEX('Giao việc'!$L$5:$L$3004,IFERROR(MATCH(SMALL('Giao việc'!$V$5:$V$3004,2),'Giao việc'!$V$5:$V$3004,0),0))&amp;"")</f>
        <v/>
      </c>
      <c r="J35" s="12" t="n"/>
      <c r="K35" s="12" t="n"/>
    </row>
    <row r="36" ht="30" customHeight="1">
      <c r="A36" s="12">
        <f>IF(IFERROR(MATCH(SMALL('Giao việc'!$V$5:$V$3004,3),'Giao việc'!$V$5:$V$3004,0),0)=0,"",INDEX('Giao việc'!$E$5:$E$3004,IFERROR(MATCH(SMALL('Giao việc'!$V$5:$V$3004,3),'Giao việc'!$V$5:$V$3004,0),0))&amp;"")</f>
        <v/>
      </c>
      <c r="B36" s="23">
        <f>IF(IFERROR(MATCH(SMALL('Giao việc'!$V$5:$V$3004,3),'Giao việc'!$V$5:$V$3004,0),0)=0,"",INDEX('Giao việc'!$I$5:$I$3004,IFERROR(MATCH(SMALL('Giao việc'!$V$5:$V$3004,3),'Giao việc'!$V$5:$V$3004,0),0)))</f>
        <v/>
      </c>
      <c r="C36" s="12">
        <f>IF(IFERROR(MATCH(SMALL('Giao việc'!$V$5:$V$3004,3),'Giao việc'!$V$5:$V$3004,0),0)=0,"",INDEX('Giao việc'!$C$5:$C$3004,IFERROR(MATCH(SMALL('Giao việc'!$V$5:$V$3004,3),'Giao việc'!$V$5:$V$3004,0),0))&amp;"")</f>
        <v/>
      </c>
      <c r="D36" s="12">
        <f>IF(IFERROR(MATCH(SMALL('Giao việc'!$V$5:$V$3004,3),'Giao việc'!$V$5:$V$3004,0),0)=0,"",INDEX('Giao việc'!$G$5:$G$3004,IFERROR(MATCH(SMALL('Giao việc'!$V$5:$V$3004,3),'Giao việc'!$V$5:$V$3004,0),0))&amp;"")</f>
        <v/>
      </c>
      <c r="E36" s="12" t="n"/>
      <c r="F36" s="12">
        <f>IF(IFERROR(MATCH(SMALL('Giao việc'!$V$5:$V$3004,3),'Giao việc'!$V$5:$V$3004,0),0)=0,"",INDEX('Giao việc'!$J$5:$J$3004,IFERROR(MATCH(SMALL('Giao việc'!$V$5:$V$3004,3),'Giao việc'!$V$5:$V$3004,0),0))&amp;"")</f>
        <v/>
      </c>
      <c r="G36" s="12">
        <f>IF(IFERROR(MATCH(SMALL('Giao việc'!$V$5:$V$3004,3),'Giao việc'!$V$5:$V$3004,0),0)=0,"",INDEX('Giao việc'!$M$5:$M$3004,IFERROR(MATCH(SMALL('Giao việc'!$V$5:$V$3004,3),'Giao việc'!$V$5:$V$3004,0),0))&amp;"")</f>
        <v/>
      </c>
      <c r="H36" s="12" t="n"/>
      <c r="I36" s="12">
        <f>IF(IFERROR(MATCH(SMALL('Giao việc'!$V$5:$V$3004,3),'Giao việc'!$V$5:$V$3004,0),0)=0,"",INDEX('Giao việc'!$L$5:$L$3004,IFERROR(MATCH(SMALL('Giao việc'!$V$5:$V$3004,3),'Giao việc'!$V$5:$V$3004,0),0))&amp;"")</f>
        <v/>
      </c>
      <c r="J36" s="12" t="n"/>
      <c r="K36" s="12" t="n"/>
    </row>
    <row r="37" ht="30" customHeight="1">
      <c r="A37" s="12">
        <f>IF(IFERROR(MATCH(SMALL('Giao việc'!$V$5:$V$3004,4),'Giao việc'!$V$5:$V$3004,0),0)=0,"",INDEX('Giao việc'!$E$5:$E$3004,IFERROR(MATCH(SMALL('Giao việc'!$V$5:$V$3004,4),'Giao việc'!$V$5:$V$3004,0),0))&amp;"")</f>
        <v/>
      </c>
      <c r="B37" s="23">
        <f>IF(IFERROR(MATCH(SMALL('Giao việc'!$V$5:$V$3004,4),'Giao việc'!$V$5:$V$3004,0),0)=0,"",INDEX('Giao việc'!$I$5:$I$3004,IFERROR(MATCH(SMALL('Giao việc'!$V$5:$V$3004,4),'Giao việc'!$V$5:$V$3004,0),0)))</f>
        <v/>
      </c>
      <c r="C37" s="12">
        <f>IF(IFERROR(MATCH(SMALL('Giao việc'!$V$5:$V$3004,4),'Giao việc'!$V$5:$V$3004,0),0)=0,"",INDEX('Giao việc'!$C$5:$C$3004,IFERROR(MATCH(SMALL('Giao việc'!$V$5:$V$3004,4),'Giao việc'!$V$5:$V$3004,0),0))&amp;"")</f>
        <v/>
      </c>
      <c r="D37" s="12">
        <f>IF(IFERROR(MATCH(SMALL('Giao việc'!$V$5:$V$3004,4),'Giao việc'!$V$5:$V$3004,0),0)=0,"",INDEX('Giao việc'!$G$5:$G$3004,IFERROR(MATCH(SMALL('Giao việc'!$V$5:$V$3004,4),'Giao việc'!$V$5:$V$3004,0),0))&amp;"")</f>
        <v/>
      </c>
      <c r="E37" s="12" t="n"/>
      <c r="F37" s="12">
        <f>IF(IFERROR(MATCH(SMALL('Giao việc'!$V$5:$V$3004,4),'Giao việc'!$V$5:$V$3004,0),0)=0,"",INDEX('Giao việc'!$J$5:$J$3004,IFERROR(MATCH(SMALL('Giao việc'!$V$5:$V$3004,4),'Giao việc'!$V$5:$V$3004,0),0))&amp;"")</f>
        <v/>
      </c>
      <c r="G37" s="12">
        <f>IF(IFERROR(MATCH(SMALL('Giao việc'!$V$5:$V$3004,4),'Giao việc'!$V$5:$V$3004,0),0)=0,"",INDEX('Giao việc'!$M$5:$M$3004,IFERROR(MATCH(SMALL('Giao việc'!$V$5:$V$3004,4),'Giao việc'!$V$5:$V$3004,0),0))&amp;"")</f>
        <v/>
      </c>
      <c r="H37" s="12" t="n"/>
      <c r="I37" s="12">
        <f>IF(IFERROR(MATCH(SMALL('Giao việc'!$V$5:$V$3004,4),'Giao việc'!$V$5:$V$3004,0),0)=0,"",INDEX('Giao việc'!$L$5:$L$3004,IFERROR(MATCH(SMALL('Giao việc'!$V$5:$V$3004,4),'Giao việc'!$V$5:$V$3004,0),0))&amp;"")</f>
        <v/>
      </c>
      <c r="J37" s="12" t="n"/>
      <c r="K37" s="12" t="n"/>
    </row>
    <row r="38" ht="30" customHeight="1">
      <c r="A38" s="12">
        <f>IF(IFERROR(MATCH(SMALL('Giao việc'!$V$5:$V$3004,5),'Giao việc'!$V$5:$V$3004,0),0)=0,"",INDEX('Giao việc'!$E$5:$E$3004,IFERROR(MATCH(SMALL('Giao việc'!$V$5:$V$3004,5),'Giao việc'!$V$5:$V$3004,0),0))&amp;"")</f>
        <v/>
      </c>
      <c r="B38" s="23">
        <f>IF(IFERROR(MATCH(SMALL('Giao việc'!$V$5:$V$3004,5),'Giao việc'!$V$5:$V$3004,0),0)=0,"",INDEX('Giao việc'!$I$5:$I$3004,IFERROR(MATCH(SMALL('Giao việc'!$V$5:$V$3004,5),'Giao việc'!$V$5:$V$3004,0),0)))</f>
        <v/>
      </c>
      <c r="C38" s="12">
        <f>IF(IFERROR(MATCH(SMALL('Giao việc'!$V$5:$V$3004,5),'Giao việc'!$V$5:$V$3004,0),0)=0,"",INDEX('Giao việc'!$C$5:$C$3004,IFERROR(MATCH(SMALL('Giao việc'!$V$5:$V$3004,5),'Giao việc'!$V$5:$V$3004,0),0))&amp;"")</f>
        <v/>
      </c>
      <c r="D38" s="12">
        <f>IF(IFERROR(MATCH(SMALL('Giao việc'!$V$5:$V$3004,5),'Giao việc'!$V$5:$V$3004,0),0)=0,"",INDEX('Giao việc'!$G$5:$G$3004,IFERROR(MATCH(SMALL('Giao việc'!$V$5:$V$3004,5),'Giao việc'!$V$5:$V$3004,0),0))&amp;"")</f>
        <v/>
      </c>
      <c r="E38" s="12" t="n"/>
      <c r="F38" s="12">
        <f>IF(IFERROR(MATCH(SMALL('Giao việc'!$V$5:$V$3004,5),'Giao việc'!$V$5:$V$3004,0),0)=0,"",INDEX('Giao việc'!$J$5:$J$3004,IFERROR(MATCH(SMALL('Giao việc'!$V$5:$V$3004,5),'Giao việc'!$V$5:$V$3004,0),0))&amp;"")</f>
        <v/>
      </c>
      <c r="G38" s="12">
        <f>IF(IFERROR(MATCH(SMALL('Giao việc'!$V$5:$V$3004,5),'Giao việc'!$V$5:$V$3004,0),0)=0,"",INDEX('Giao việc'!$M$5:$M$3004,IFERROR(MATCH(SMALL('Giao việc'!$V$5:$V$3004,5),'Giao việc'!$V$5:$V$3004,0),0))&amp;"")</f>
        <v/>
      </c>
      <c r="H38" s="12" t="n"/>
      <c r="I38" s="12">
        <f>IF(IFERROR(MATCH(SMALL('Giao việc'!$V$5:$V$3004,5),'Giao việc'!$V$5:$V$3004,0),0)=0,"",INDEX('Giao việc'!$L$5:$L$3004,IFERROR(MATCH(SMALL('Giao việc'!$V$5:$V$3004,5),'Giao việc'!$V$5:$V$3004,0),0))&amp;"")</f>
        <v/>
      </c>
      <c r="J38" s="12" t="n"/>
      <c r="K38" s="12" t="n"/>
    </row>
    <row r="39" ht="30" customHeight="1">
      <c r="A39" s="12">
        <f>IF(IFERROR(MATCH(SMALL('Giao việc'!$V$5:$V$3004,6),'Giao việc'!$V$5:$V$3004,0),0)=0,"",INDEX('Giao việc'!$E$5:$E$3004,IFERROR(MATCH(SMALL('Giao việc'!$V$5:$V$3004,6),'Giao việc'!$V$5:$V$3004,0),0))&amp;"")</f>
        <v/>
      </c>
      <c r="B39" s="23">
        <f>IF(IFERROR(MATCH(SMALL('Giao việc'!$V$5:$V$3004,6),'Giao việc'!$V$5:$V$3004,0),0)=0,"",INDEX('Giao việc'!$I$5:$I$3004,IFERROR(MATCH(SMALL('Giao việc'!$V$5:$V$3004,6),'Giao việc'!$V$5:$V$3004,0),0)))</f>
        <v/>
      </c>
      <c r="C39" s="12">
        <f>IF(IFERROR(MATCH(SMALL('Giao việc'!$V$5:$V$3004,6),'Giao việc'!$V$5:$V$3004,0),0)=0,"",INDEX('Giao việc'!$C$5:$C$3004,IFERROR(MATCH(SMALL('Giao việc'!$V$5:$V$3004,6),'Giao việc'!$V$5:$V$3004,0),0))&amp;"")</f>
        <v/>
      </c>
      <c r="D39" s="12">
        <f>IF(IFERROR(MATCH(SMALL('Giao việc'!$V$5:$V$3004,6),'Giao việc'!$V$5:$V$3004,0),0)=0,"",INDEX('Giao việc'!$G$5:$G$3004,IFERROR(MATCH(SMALL('Giao việc'!$V$5:$V$3004,6),'Giao việc'!$V$5:$V$3004,0),0))&amp;"")</f>
        <v/>
      </c>
      <c r="E39" s="12" t="n"/>
      <c r="F39" s="12">
        <f>IF(IFERROR(MATCH(SMALL('Giao việc'!$V$5:$V$3004,6),'Giao việc'!$V$5:$V$3004,0),0)=0,"",INDEX('Giao việc'!$J$5:$J$3004,IFERROR(MATCH(SMALL('Giao việc'!$V$5:$V$3004,6),'Giao việc'!$V$5:$V$3004,0),0))&amp;"")</f>
        <v/>
      </c>
      <c r="G39" s="12">
        <f>IF(IFERROR(MATCH(SMALL('Giao việc'!$V$5:$V$3004,6),'Giao việc'!$V$5:$V$3004,0),0)=0,"",INDEX('Giao việc'!$M$5:$M$3004,IFERROR(MATCH(SMALL('Giao việc'!$V$5:$V$3004,6),'Giao việc'!$V$5:$V$3004,0),0))&amp;"")</f>
        <v/>
      </c>
      <c r="H39" s="12" t="n"/>
      <c r="I39" s="12">
        <f>IF(IFERROR(MATCH(SMALL('Giao việc'!$V$5:$V$3004,6),'Giao việc'!$V$5:$V$3004,0),0)=0,"",INDEX('Giao việc'!$L$5:$L$3004,IFERROR(MATCH(SMALL('Giao việc'!$V$5:$V$3004,6),'Giao việc'!$V$5:$V$3004,0),0))&amp;"")</f>
        <v/>
      </c>
      <c r="J39" s="12" t="n"/>
      <c r="K39" s="12" t="n"/>
    </row>
    <row r="40" ht="30" customHeight="1">
      <c r="A40" s="12">
        <f>IF(IFERROR(MATCH(SMALL('Giao việc'!$V$5:$V$3004,7),'Giao việc'!$V$5:$V$3004,0),0)=0,"",INDEX('Giao việc'!$E$5:$E$3004,IFERROR(MATCH(SMALL('Giao việc'!$V$5:$V$3004,7),'Giao việc'!$V$5:$V$3004,0),0))&amp;"")</f>
        <v/>
      </c>
      <c r="B40" s="23">
        <f>IF(IFERROR(MATCH(SMALL('Giao việc'!$V$5:$V$3004,7),'Giao việc'!$V$5:$V$3004,0),0)=0,"",INDEX('Giao việc'!$I$5:$I$3004,IFERROR(MATCH(SMALL('Giao việc'!$V$5:$V$3004,7),'Giao việc'!$V$5:$V$3004,0),0)))</f>
        <v/>
      </c>
      <c r="C40" s="12">
        <f>IF(IFERROR(MATCH(SMALL('Giao việc'!$V$5:$V$3004,7),'Giao việc'!$V$5:$V$3004,0),0)=0,"",INDEX('Giao việc'!$C$5:$C$3004,IFERROR(MATCH(SMALL('Giao việc'!$V$5:$V$3004,7),'Giao việc'!$V$5:$V$3004,0),0))&amp;"")</f>
        <v/>
      </c>
      <c r="D40" s="12">
        <f>IF(IFERROR(MATCH(SMALL('Giao việc'!$V$5:$V$3004,7),'Giao việc'!$V$5:$V$3004,0),0)=0,"",INDEX('Giao việc'!$G$5:$G$3004,IFERROR(MATCH(SMALL('Giao việc'!$V$5:$V$3004,7),'Giao việc'!$V$5:$V$3004,0),0))&amp;"")</f>
        <v/>
      </c>
      <c r="E40" s="12" t="n"/>
      <c r="F40" s="12">
        <f>IF(IFERROR(MATCH(SMALL('Giao việc'!$V$5:$V$3004,7),'Giao việc'!$V$5:$V$3004,0),0)=0,"",INDEX('Giao việc'!$J$5:$J$3004,IFERROR(MATCH(SMALL('Giao việc'!$V$5:$V$3004,7),'Giao việc'!$V$5:$V$3004,0),0))&amp;"")</f>
        <v/>
      </c>
      <c r="G40" s="12">
        <f>IF(IFERROR(MATCH(SMALL('Giao việc'!$V$5:$V$3004,7),'Giao việc'!$V$5:$V$3004,0),0)=0,"",INDEX('Giao việc'!$M$5:$M$3004,IFERROR(MATCH(SMALL('Giao việc'!$V$5:$V$3004,7),'Giao việc'!$V$5:$V$3004,0),0))&amp;"")</f>
        <v/>
      </c>
      <c r="H40" s="12" t="n"/>
      <c r="I40" s="12">
        <f>IF(IFERROR(MATCH(SMALL('Giao việc'!$V$5:$V$3004,7),'Giao việc'!$V$5:$V$3004,0),0)=0,"",INDEX('Giao việc'!$L$5:$L$3004,IFERROR(MATCH(SMALL('Giao việc'!$V$5:$V$3004,7),'Giao việc'!$V$5:$V$3004,0),0))&amp;"")</f>
        <v/>
      </c>
      <c r="J40" s="12" t="n"/>
      <c r="K40" s="12" t="n"/>
    </row>
    <row r="41" ht="30" customHeight="1">
      <c r="A41" s="12">
        <f>IF(IFERROR(MATCH(SMALL('Giao việc'!$V$5:$V$3004,8),'Giao việc'!$V$5:$V$3004,0),0)=0,"",INDEX('Giao việc'!$E$5:$E$3004,IFERROR(MATCH(SMALL('Giao việc'!$V$5:$V$3004,8),'Giao việc'!$V$5:$V$3004,0),0))&amp;"")</f>
        <v/>
      </c>
      <c r="B41" s="23">
        <f>IF(IFERROR(MATCH(SMALL('Giao việc'!$V$5:$V$3004,8),'Giao việc'!$V$5:$V$3004,0),0)=0,"",INDEX('Giao việc'!$I$5:$I$3004,IFERROR(MATCH(SMALL('Giao việc'!$V$5:$V$3004,8),'Giao việc'!$V$5:$V$3004,0),0)))</f>
        <v/>
      </c>
      <c r="C41" s="12">
        <f>IF(IFERROR(MATCH(SMALL('Giao việc'!$V$5:$V$3004,8),'Giao việc'!$V$5:$V$3004,0),0)=0,"",INDEX('Giao việc'!$C$5:$C$3004,IFERROR(MATCH(SMALL('Giao việc'!$V$5:$V$3004,8),'Giao việc'!$V$5:$V$3004,0),0))&amp;"")</f>
        <v/>
      </c>
      <c r="D41" s="12">
        <f>IF(IFERROR(MATCH(SMALL('Giao việc'!$V$5:$V$3004,8),'Giao việc'!$V$5:$V$3004,0),0)=0,"",INDEX('Giao việc'!$G$5:$G$3004,IFERROR(MATCH(SMALL('Giao việc'!$V$5:$V$3004,8),'Giao việc'!$V$5:$V$3004,0),0))&amp;"")</f>
        <v/>
      </c>
      <c r="E41" s="12" t="n"/>
      <c r="F41" s="12">
        <f>IF(IFERROR(MATCH(SMALL('Giao việc'!$V$5:$V$3004,8),'Giao việc'!$V$5:$V$3004,0),0)=0,"",INDEX('Giao việc'!$J$5:$J$3004,IFERROR(MATCH(SMALL('Giao việc'!$V$5:$V$3004,8),'Giao việc'!$V$5:$V$3004,0),0))&amp;"")</f>
        <v/>
      </c>
      <c r="G41" s="12">
        <f>IF(IFERROR(MATCH(SMALL('Giao việc'!$V$5:$V$3004,8),'Giao việc'!$V$5:$V$3004,0),0)=0,"",INDEX('Giao việc'!$M$5:$M$3004,IFERROR(MATCH(SMALL('Giao việc'!$V$5:$V$3004,8),'Giao việc'!$V$5:$V$3004,0),0))&amp;"")</f>
        <v/>
      </c>
      <c r="H41" s="12" t="n"/>
      <c r="I41" s="12">
        <f>IF(IFERROR(MATCH(SMALL('Giao việc'!$V$5:$V$3004,8),'Giao việc'!$V$5:$V$3004,0),0)=0,"",INDEX('Giao việc'!$L$5:$L$3004,IFERROR(MATCH(SMALL('Giao việc'!$V$5:$V$3004,8),'Giao việc'!$V$5:$V$3004,0),0))&amp;"")</f>
        <v/>
      </c>
      <c r="J41" s="12" t="n"/>
      <c r="K41" s="12" t="n"/>
    </row>
    <row r="42" ht="30" customHeight="1">
      <c r="A42" s="12">
        <f>IF(IFERROR(MATCH(SMALL('Giao việc'!$V$5:$V$3004,9),'Giao việc'!$V$5:$V$3004,0),0)=0,"",INDEX('Giao việc'!$E$5:$E$3004,IFERROR(MATCH(SMALL('Giao việc'!$V$5:$V$3004,9),'Giao việc'!$V$5:$V$3004,0),0))&amp;"")</f>
        <v/>
      </c>
      <c r="B42" s="23">
        <f>IF(IFERROR(MATCH(SMALL('Giao việc'!$V$5:$V$3004,9),'Giao việc'!$V$5:$V$3004,0),0)=0,"",INDEX('Giao việc'!$I$5:$I$3004,IFERROR(MATCH(SMALL('Giao việc'!$V$5:$V$3004,9),'Giao việc'!$V$5:$V$3004,0),0)))</f>
        <v/>
      </c>
      <c r="C42" s="12">
        <f>IF(IFERROR(MATCH(SMALL('Giao việc'!$V$5:$V$3004,9),'Giao việc'!$V$5:$V$3004,0),0)=0,"",INDEX('Giao việc'!$C$5:$C$3004,IFERROR(MATCH(SMALL('Giao việc'!$V$5:$V$3004,9),'Giao việc'!$V$5:$V$3004,0),0))&amp;"")</f>
        <v/>
      </c>
      <c r="D42" s="12">
        <f>IF(IFERROR(MATCH(SMALL('Giao việc'!$V$5:$V$3004,9),'Giao việc'!$V$5:$V$3004,0),0)=0,"",INDEX('Giao việc'!$G$5:$G$3004,IFERROR(MATCH(SMALL('Giao việc'!$V$5:$V$3004,9),'Giao việc'!$V$5:$V$3004,0),0))&amp;"")</f>
        <v/>
      </c>
      <c r="E42" s="12" t="n"/>
      <c r="F42" s="12">
        <f>IF(IFERROR(MATCH(SMALL('Giao việc'!$V$5:$V$3004,9),'Giao việc'!$V$5:$V$3004,0),0)=0,"",INDEX('Giao việc'!$J$5:$J$3004,IFERROR(MATCH(SMALL('Giao việc'!$V$5:$V$3004,9),'Giao việc'!$V$5:$V$3004,0),0))&amp;"")</f>
        <v/>
      </c>
      <c r="G42" s="12">
        <f>IF(IFERROR(MATCH(SMALL('Giao việc'!$V$5:$V$3004,9),'Giao việc'!$V$5:$V$3004,0),0)=0,"",INDEX('Giao việc'!$M$5:$M$3004,IFERROR(MATCH(SMALL('Giao việc'!$V$5:$V$3004,9),'Giao việc'!$V$5:$V$3004,0),0))&amp;"")</f>
        <v/>
      </c>
      <c r="H42" s="12" t="n"/>
      <c r="I42" s="12">
        <f>IF(IFERROR(MATCH(SMALL('Giao việc'!$V$5:$V$3004,9),'Giao việc'!$V$5:$V$3004,0),0)=0,"",INDEX('Giao việc'!$L$5:$L$3004,IFERROR(MATCH(SMALL('Giao việc'!$V$5:$V$3004,9),'Giao việc'!$V$5:$V$3004,0),0))&amp;"")</f>
        <v/>
      </c>
      <c r="J42" s="12" t="n"/>
      <c r="K42" s="12" t="n"/>
    </row>
    <row r="43" ht="30" customHeight="1">
      <c r="A43" s="12">
        <f>IF(IFERROR(MATCH(SMALL('Giao việc'!$V$5:$V$3004,10),'Giao việc'!$V$5:$V$3004,0),0)=0,"",INDEX('Giao việc'!$E$5:$E$3004,IFERROR(MATCH(SMALL('Giao việc'!$V$5:$V$3004,10),'Giao việc'!$V$5:$V$3004,0),0))&amp;"")</f>
        <v/>
      </c>
      <c r="B43" s="23">
        <f>IF(IFERROR(MATCH(SMALL('Giao việc'!$V$5:$V$3004,10),'Giao việc'!$V$5:$V$3004,0),0)=0,"",INDEX('Giao việc'!$I$5:$I$3004,IFERROR(MATCH(SMALL('Giao việc'!$V$5:$V$3004,10),'Giao việc'!$V$5:$V$3004,0),0)))</f>
        <v/>
      </c>
      <c r="C43" s="12">
        <f>IF(IFERROR(MATCH(SMALL('Giao việc'!$V$5:$V$3004,10),'Giao việc'!$V$5:$V$3004,0),0)=0,"",INDEX('Giao việc'!$C$5:$C$3004,IFERROR(MATCH(SMALL('Giao việc'!$V$5:$V$3004,10),'Giao việc'!$V$5:$V$3004,0),0))&amp;"")</f>
        <v/>
      </c>
      <c r="D43" s="12">
        <f>IF(IFERROR(MATCH(SMALL('Giao việc'!$V$5:$V$3004,10),'Giao việc'!$V$5:$V$3004,0),0)=0,"",INDEX('Giao việc'!$G$5:$G$3004,IFERROR(MATCH(SMALL('Giao việc'!$V$5:$V$3004,10),'Giao việc'!$V$5:$V$3004,0),0))&amp;"")</f>
        <v/>
      </c>
      <c r="E43" s="12" t="n"/>
      <c r="F43" s="12">
        <f>IF(IFERROR(MATCH(SMALL('Giao việc'!$V$5:$V$3004,10),'Giao việc'!$V$5:$V$3004,0),0)=0,"",INDEX('Giao việc'!$J$5:$J$3004,IFERROR(MATCH(SMALL('Giao việc'!$V$5:$V$3004,10),'Giao việc'!$V$5:$V$3004,0),0))&amp;"")</f>
        <v/>
      </c>
      <c r="G43" s="12">
        <f>IF(IFERROR(MATCH(SMALL('Giao việc'!$V$5:$V$3004,10),'Giao việc'!$V$5:$V$3004,0),0)=0,"",INDEX('Giao việc'!$M$5:$M$3004,IFERROR(MATCH(SMALL('Giao việc'!$V$5:$V$3004,10),'Giao việc'!$V$5:$V$3004,0),0))&amp;"")</f>
        <v/>
      </c>
      <c r="H43" s="12" t="n"/>
      <c r="I43" s="12">
        <f>IF(IFERROR(MATCH(SMALL('Giao việc'!$V$5:$V$3004,10),'Giao việc'!$V$5:$V$3004,0),0)=0,"",INDEX('Giao việc'!$L$5:$L$3004,IFERROR(MATCH(SMALL('Giao việc'!$V$5:$V$3004,10),'Giao việc'!$V$5:$V$3004,0),0))&amp;"")</f>
        <v/>
      </c>
      <c r="J43" s="12" t="n"/>
      <c r="K43" s="12" t="n"/>
    </row>
    <row r="44" ht="30" customHeight="1">
      <c r="A44" s="12">
        <f>IF(IFERROR(MATCH(SMALL('Giao việc'!$V$5:$V$3004,11),'Giao việc'!$V$5:$V$3004,0),0)=0,"",INDEX('Giao việc'!$E$5:$E$3004,IFERROR(MATCH(SMALL('Giao việc'!$V$5:$V$3004,11),'Giao việc'!$V$5:$V$3004,0),0))&amp;"")</f>
        <v/>
      </c>
      <c r="B44" s="23">
        <f>IF(IFERROR(MATCH(SMALL('Giao việc'!$V$5:$V$3004,11),'Giao việc'!$V$5:$V$3004,0),0)=0,"",INDEX('Giao việc'!$I$5:$I$3004,IFERROR(MATCH(SMALL('Giao việc'!$V$5:$V$3004,11),'Giao việc'!$V$5:$V$3004,0),0)))</f>
        <v/>
      </c>
      <c r="C44" s="12">
        <f>IF(IFERROR(MATCH(SMALL('Giao việc'!$V$5:$V$3004,11),'Giao việc'!$V$5:$V$3004,0),0)=0,"",INDEX('Giao việc'!$C$5:$C$3004,IFERROR(MATCH(SMALL('Giao việc'!$V$5:$V$3004,11),'Giao việc'!$V$5:$V$3004,0),0))&amp;"")</f>
        <v/>
      </c>
      <c r="D44" s="12">
        <f>IF(IFERROR(MATCH(SMALL('Giao việc'!$V$5:$V$3004,11),'Giao việc'!$V$5:$V$3004,0),0)=0,"",INDEX('Giao việc'!$G$5:$G$3004,IFERROR(MATCH(SMALL('Giao việc'!$V$5:$V$3004,11),'Giao việc'!$V$5:$V$3004,0),0))&amp;"")</f>
        <v/>
      </c>
      <c r="E44" s="12" t="n"/>
      <c r="F44" s="12">
        <f>IF(IFERROR(MATCH(SMALL('Giao việc'!$V$5:$V$3004,11),'Giao việc'!$V$5:$V$3004,0),0)=0,"",INDEX('Giao việc'!$J$5:$J$3004,IFERROR(MATCH(SMALL('Giao việc'!$V$5:$V$3004,11),'Giao việc'!$V$5:$V$3004,0),0))&amp;"")</f>
        <v/>
      </c>
      <c r="G44" s="12">
        <f>IF(IFERROR(MATCH(SMALL('Giao việc'!$V$5:$V$3004,11),'Giao việc'!$V$5:$V$3004,0),0)=0,"",INDEX('Giao việc'!$M$5:$M$3004,IFERROR(MATCH(SMALL('Giao việc'!$V$5:$V$3004,11),'Giao việc'!$V$5:$V$3004,0),0))&amp;"")</f>
        <v/>
      </c>
      <c r="H44" s="12" t="n"/>
      <c r="I44" s="12">
        <f>IF(IFERROR(MATCH(SMALL('Giao việc'!$V$5:$V$3004,11),'Giao việc'!$V$5:$V$3004,0),0)=0,"",INDEX('Giao việc'!$L$5:$L$3004,IFERROR(MATCH(SMALL('Giao việc'!$V$5:$V$3004,11),'Giao việc'!$V$5:$V$3004,0),0))&amp;"")</f>
        <v/>
      </c>
      <c r="J44" s="12" t="n"/>
      <c r="K44" s="12" t="n"/>
    </row>
    <row r="45" ht="30" customHeight="1">
      <c r="A45" s="12">
        <f>IF(IFERROR(MATCH(SMALL('Giao việc'!$V$5:$V$3004,12),'Giao việc'!$V$5:$V$3004,0),0)=0,"",INDEX('Giao việc'!$E$5:$E$3004,IFERROR(MATCH(SMALL('Giao việc'!$V$5:$V$3004,12),'Giao việc'!$V$5:$V$3004,0),0))&amp;"")</f>
        <v/>
      </c>
      <c r="B45" s="23">
        <f>IF(IFERROR(MATCH(SMALL('Giao việc'!$V$5:$V$3004,12),'Giao việc'!$V$5:$V$3004,0),0)=0,"",INDEX('Giao việc'!$I$5:$I$3004,IFERROR(MATCH(SMALL('Giao việc'!$V$5:$V$3004,12),'Giao việc'!$V$5:$V$3004,0),0)))</f>
        <v/>
      </c>
      <c r="C45" s="12">
        <f>IF(IFERROR(MATCH(SMALL('Giao việc'!$V$5:$V$3004,12),'Giao việc'!$V$5:$V$3004,0),0)=0,"",INDEX('Giao việc'!$C$5:$C$3004,IFERROR(MATCH(SMALL('Giao việc'!$V$5:$V$3004,12),'Giao việc'!$V$5:$V$3004,0),0))&amp;"")</f>
        <v/>
      </c>
      <c r="D45" s="12">
        <f>IF(IFERROR(MATCH(SMALL('Giao việc'!$V$5:$V$3004,12),'Giao việc'!$V$5:$V$3004,0),0)=0,"",INDEX('Giao việc'!$G$5:$G$3004,IFERROR(MATCH(SMALL('Giao việc'!$V$5:$V$3004,12),'Giao việc'!$V$5:$V$3004,0),0))&amp;"")</f>
        <v/>
      </c>
      <c r="E45" s="12" t="n"/>
      <c r="F45" s="12">
        <f>IF(IFERROR(MATCH(SMALL('Giao việc'!$V$5:$V$3004,12),'Giao việc'!$V$5:$V$3004,0),0)=0,"",INDEX('Giao việc'!$J$5:$J$3004,IFERROR(MATCH(SMALL('Giao việc'!$V$5:$V$3004,12),'Giao việc'!$V$5:$V$3004,0),0))&amp;"")</f>
        <v/>
      </c>
      <c r="G45" s="12">
        <f>IF(IFERROR(MATCH(SMALL('Giao việc'!$V$5:$V$3004,12),'Giao việc'!$V$5:$V$3004,0),0)=0,"",INDEX('Giao việc'!$M$5:$M$3004,IFERROR(MATCH(SMALL('Giao việc'!$V$5:$V$3004,12),'Giao việc'!$V$5:$V$3004,0),0))&amp;"")</f>
        <v/>
      </c>
      <c r="H45" s="12" t="n"/>
      <c r="I45" s="12">
        <f>IF(IFERROR(MATCH(SMALL('Giao việc'!$V$5:$V$3004,12),'Giao việc'!$V$5:$V$3004,0),0)=0,"",INDEX('Giao việc'!$L$5:$L$3004,IFERROR(MATCH(SMALL('Giao việc'!$V$5:$V$3004,12),'Giao việc'!$V$5:$V$3004,0),0))&amp;"")</f>
        <v/>
      </c>
      <c r="J45" s="12" t="n"/>
      <c r="K45" s="12" t="n"/>
    </row>
    <row r="46" ht="30" customHeight="1">
      <c r="A46" s="12">
        <f>IF(IFERROR(MATCH(SMALL('Giao việc'!$V$5:$V$3004,13),'Giao việc'!$V$5:$V$3004,0),0)=0,"",INDEX('Giao việc'!$E$5:$E$3004,IFERROR(MATCH(SMALL('Giao việc'!$V$5:$V$3004,13),'Giao việc'!$V$5:$V$3004,0),0))&amp;"")</f>
        <v/>
      </c>
      <c r="B46" s="23">
        <f>IF(IFERROR(MATCH(SMALL('Giao việc'!$V$5:$V$3004,13),'Giao việc'!$V$5:$V$3004,0),0)=0,"",INDEX('Giao việc'!$I$5:$I$3004,IFERROR(MATCH(SMALL('Giao việc'!$V$5:$V$3004,13),'Giao việc'!$V$5:$V$3004,0),0)))</f>
        <v/>
      </c>
      <c r="C46" s="12">
        <f>IF(IFERROR(MATCH(SMALL('Giao việc'!$V$5:$V$3004,13),'Giao việc'!$V$5:$V$3004,0),0)=0,"",INDEX('Giao việc'!$C$5:$C$3004,IFERROR(MATCH(SMALL('Giao việc'!$V$5:$V$3004,13),'Giao việc'!$V$5:$V$3004,0),0))&amp;"")</f>
        <v/>
      </c>
      <c r="D46" s="12">
        <f>IF(IFERROR(MATCH(SMALL('Giao việc'!$V$5:$V$3004,13),'Giao việc'!$V$5:$V$3004,0),0)=0,"",INDEX('Giao việc'!$G$5:$G$3004,IFERROR(MATCH(SMALL('Giao việc'!$V$5:$V$3004,13),'Giao việc'!$V$5:$V$3004,0),0))&amp;"")</f>
        <v/>
      </c>
      <c r="E46" s="12" t="n"/>
      <c r="F46" s="12">
        <f>IF(IFERROR(MATCH(SMALL('Giao việc'!$V$5:$V$3004,13),'Giao việc'!$V$5:$V$3004,0),0)=0,"",INDEX('Giao việc'!$J$5:$J$3004,IFERROR(MATCH(SMALL('Giao việc'!$V$5:$V$3004,13),'Giao việc'!$V$5:$V$3004,0),0))&amp;"")</f>
        <v/>
      </c>
      <c r="G46" s="12">
        <f>IF(IFERROR(MATCH(SMALL('Giao việc'!$V$5:$V$3004,13),'Giao việc'!$V$5:$V$3004,0),0)=0,"",INDEX('Giao việc'!$M$5:$M$3004,IFERROR(MATCH(SMALL('Giao việc'!$V$5:$V$3004,13),'Giao việc'!$V$5:$V$3004,0),0))&amp;"")</f>
        <v/>
      </c>
      <c r="H46" s="12" t="n"/>
      <c r="I46" s="12">
        <f>IF(IFERROR(MATCH(SMALL('Giao việc'!$V$5:$V$3004,13),'Giao việc'!$V$5:$V$3004,0),0)=0,"",INDEX('Giao việc'!$L$5:$L$3004,IFERROR(MATCH(SMALL('Giao việc'!$V$5:$V$3004,13),'Giao việc'!$V$5:$V$3004,0),0))&amp;"")</f>
        <v/>
      </c>
      <c r="J46" s="12" t="n"/>
      <c r="K46" s="12" t="n"/>
    </row>
    <row r="47" ht="30" customHeight="1">
      <c r="A47" s="12">
        <f>IF(IFERROR(MATCH(SMALL('Giao việc'!$V$5:$V$3004,14),'Giao việc'!$V$5:$V$3004,0),0)=0,"",INDEX('Giao việc'!$E$5:$E$3004,IFERROR(MATCH(SMALL('Giao việc'!$V$5:$V$3004,14),'Giao việc'!$V$5:$V$3004,0),0))&amp;"")</f>
        <v/>
      </c>
      <c r="B47" s="23">
        <f>IF(IFERROR(MATCH(SMALL('Giao việc'!$V$5:$V$3004,14),'Giao việc'!$V$5:$V$3004,0),0)=0,"",INDEX('Giao việc'!$I$5:$I$3004,IFERROR(MATCH(SMALL('Giao việc'!$V$5:$V$3004,14),'Giao việc'!$V$5:$V$3004,0),0)))</f>
        <v/>
      </c>
      <c r="C47" s="12">
        <f>IF(IFERROR(MATCH(SMALL('Giao việc'!$V$5:$V$3004,14),'Giao việc'!$V$5:$V$3004,0),0)=0,"",INDEX('Giao việc'!$C$5:$C$3004,IFERROR(MATCH(SMALL('Giao việc'!$V$5:$V$3004,14),'Giao việc'!$V$5:$V$3004,0),0))&amp;"")</f>
        <v/>
      </c>
      <c r="D47" s="12">
        <f>IF(IFERROR(MATCH(SMALL('Giao việc'!$V$5:$V$3004,14),'Giao việc'!$V$5:$V$3004,0),0)=0,"",INDEX('Giao việc'!$G$5:$G$3004,IFERROR(MATCH(SMALL('Giao việc'!$V$5:$V$3004,14),'Giao việc'!$V$5:$V$3004,0),0))&amp;"")</f>
        <v/>
      </c>
      <c r="E47" s="12" t="n"/>
      <c r="F47" s="12">
        <f>IF(IFERROR(MATCH(SMALL('Giao việc'!$V$5:$V$3004,14),'Giao việc'!$V$5:$V$3004,0),0)=0,"",INDEX('Giao việc'!$J$5:$J$3004,IFERROR(MATCH(SMALL('Giao việc'!$V$5:$V$3004,14),'Giao việc'!$V$5:$V$3004,0),0))&amp;"")</f>
        <v/>
      </c>
      <c r="G47" s="12">
        <f>IF(IFERROR(MATCH(SMALL('Giao việc'!$V$5:$V$3004,14),'Giao việc'!$V$5:$V$3004,0),0)=0,"",INDEX('Giao việc'!$M$5:$M$3004,IFERROR(MATCH(SMALL('Giao việc'!$V$5:$V$3004,14),'Giao việc'!$V$5:$V$3004,0),0))&amp;"")</f>
        <v/>
      </c>
      <c r="H47" s="12" t="n"/>
      <c r="I47" s="12">
        <f>IF(IFERROR(MATCH(SMALL('Giao việc'!$V$5:$V$3004,14),'Giao việc'!$V$5:$V$3004,0),0)=0,"",INDEX('Giao việc'!$L$5:$L$3004,IFERROR(MATCH(SMALL('Giao việc'!$V$5:$V$3004,14),'Giao việc'!$V$5:$V$3004,0),0))&amp;"")</f>
        <v/>
      </c>
      <c r="J47" s="12" t="n"/>
      <c r="K47" s="12" t="n"/>
    </row>
    <row r="48" ht="30" customHeight="1">
      <c r="A48" s="12">
        <f>IF(IFERROR(MATCH(SMALL('Giao việc'!$V$5:$V$3004,15),'Giao việc'!$V$5:$V$3004,0),0)=0,"",INDEX('Giao việc'!$E$5:$E$3004,IFERROR(MATCH(SMALL('Giao việc'!$V$5:$V$3004,15),'Giao việc'!$V$5:$V$3004,0),0))&amp;"")</f>
        <v/>
      </c>
      <c r="B48" s="23">
        <f>IF(IFERROR(MATCH(SMALL('Giao việc'!$V$5:$V$3004,15),'Giao việc'!$V$5:$V$3004,0),0)=0,"",INDEX('Giao việc'!$I$5:$I$3004,IFERROR(MATCH(SMALL('Giao việc'!$V$5:$V$3004,15),'Giao việc'!$V$5:$V$3004,0),0)))</f>
        <v/>
      </c>
      <c r="C48" s="12">
        <f>IF(IFERROR(MATCH(SMALL('Giao việc'!$V$5:$V$3004,15),'Giao việc'!$V$5:$V$3004,0),0)=0,"",INDEX('Giao việc'!$C$5:$C$3004,IFERROR(MATCH(SMALL('Giao việc'!$V$5:$V$3004,15),'Giao việc'!$V$5:$V$3004,0),0))&amp;"")</f>
        <v/>
      </c>
      <c r="D48" s="12">
        <f>IF(IFERROR(MATCH(SMALL('Giao việc'!$V$5:$V$3004,15),'Giao việc'!$V$5:$V$3004,0),0)=0,"",INDEX('Giao việc'!$G$5:$G$3004,IFERROR(MATCH(SMALL('Giao việc'!$V$5:$V$3004,15),'Giao việc'!$V$5:$V$3004,0),0))&amp;"")</f>
        <v/>
      </c>
      <c r="E48" s="12" t="n"/>
      <c r="F48" s="12">
        <f>IF(IFERROR(MATCH(SMALL('Giao việc'!$V$5:$V$3004,15),'Giao việc'!$V$5:$V$3004,0),0)=0,"",INDEX('Giao việc'!$J$5:$J$3004,IFERROR(MATCH(SMALL('Giao việc'!$V$5:$V$3004,15),'Giao việc'!$V$5:$V$3004,0),0))&amp;"")</f>
        <v/>
      </c>
      <c r="G48" s="12">
        <f>IF(IFERROR(MATCH(SMALL('Giao việc'!$V$5:$V$3004,15),'Giao việc'!$V$5:$V$3004,0),0)=0,"",INDEX('Giao việc'!$M$5:$M$3004,IFERROR(MATCH(SMALL('Giao việc'!$V$5:$V$3004,15),'Giao việc'!$V$5:$V$3004,0),0))&amp;"")</f>
        <v/>
      </c>
      <c r="H48" s="12" t="n"/>
      <c r="I48" s="12">
        <f>IF(IFERROR(MATCH(SMALL('Giao việc'!$V$5:$V$3004,15),'Giao việc'!$V$5:$V$3004,0),0)=0,"",INDEX('Giao việc'!$L$5:$L$3004,IFERROR(MATCH(SMALL('Giao việc'!$V$5:$V$3004,15),'Giao việc'!$V$5:$V$3004,0),0))&amp;"")</f>
        <v/>
      </c>
      <c r="J48" s="12" t="n"/>
      <c r="K48" s="12" t="n"/>
    </row>
    <row r="50">
      <c r="A50" s="35" t="inlineStr">
        <is>
          <t>NHẬT KÝ VỚI ĐỐI TÁC · QUYẾT ĐỊNH (mới nhất — ghi thêm ở tab Nhật ký)</t>
        </is>
      </c>
    </row>
    <row r="51">
      <c r="A51" s="11" t="inlineStr">
        <is>
          <t>Nội dung</t>
        </is>
      </c>
      <c r="B51" s="11" t="inlineStr">
        <is>
          <t>Ngày</t>
        </is>
      </c>
      <c r="C51" s="11" t="inlineStr">
        <is>
          <t>Loại</t>
        </is>
      </c>
      <c r="D51" s="43" t="n"/>
      <c r="E51" s="11" t="inlineStr">
        <is>
          <t>Với ai</t>
        </is>
      </c>
      <c r="F51" s="11" t="inlineStr">
        <is>
          <t>Việc tiếp theo · ai làm</t>
        </is>
      </c>
      <c r="G51" s="43" t="n"/>
      <c r="H51" s="43" t="n"/>
      <c r="I51" s="11" t="inlineStr">
        <is>
          <t>Hạn</t>
        </is>
      </c>
      <c r="J51" s="11" t="inlineStr">
        <is>
          <t>Trạng thái</t>
        </is>
      </c>
      <c r="K51" s="11" t="inlineStr">
        <is>
          <t>Người ghi</t>
        </is>
      </c>
    </row>
    <row r="52" ht="30" customHeight="1">
      <c r="A52" s="12">
        <f>IF(IFERROR(MATCH(LARGE('Nhật ký'!$J$5:$J$504,1),'Nhật ký'!$J$5:$J$504,0),0)=0,"",INDEX('Nhật ký'!$D$5:$D$504,IFERROR(MATCH(LARGE('Nhật ký'!$J$5:$J$504,1),'Nhật ký'!$J$5:$J$504,0),0))&amp;"")</f>
        <v/>
      </c>
      <c r="B52" s="23">
        <f>IF(IFERROR(MATCH(LARGE('Nhật ký'!$J$5:$J$504,1),'Nhật ký'!$J$5:$J$504,0),0)=0,"",IF(INDEX('Nhật ký'!$A$5:$A$504,IFERROR(MATCH(LARGE('Nhật ký'!$J$5:$J$504,1),'Nhật ký'!$J$5:$J$504,0),0))="","",INDEX('Nhật ký'!$A$5:$A$504,IFERROR(MATCH(LARGE('Nhật ký'!$J$5:$J$504,1),'Nhật ký'!$J$5:$J$504,0),0))))</f>
        <v/>
      </c>
      <c r="C52" s="12">
        <f>IF(IFERROR(MATCH(LARGE('Nhật ký'!$J$5:$J$504,1),'Nhật ký'!$J$5:$J$504,0),0)=0,"",INDEX('Nhật ký'!$C$5:$C$504,IFERROR(MATCH(LARGE('Nhật ký'!$J$5:$J$504,1),'Nhật ký'!$J$5:$J$504,0),0))&amp;"")</f>
        <v/>
      </c>
      <c r="D52" s="12" t="n"/>
      <c r="E52" s="12">
        <f>IF(IFERROR(MATCH(LARGE('Nhật ký'!$J$5:$J$504,1),'Nhật ký'!$J$5:$J$504,0),0)=0,"",INDEX('Nhật ký'!$E$5:$E$504,IFERROR(MATCH(LARGE('Nhật ký'!$J$5:$J$504,1),'Nhật ký'!$J$5:$J$504,0),0))&amp;"")</f>
        <v/>
      </c>
      <c r="F52" s="12">
        <f>IF(IFERROR(MATCH(LARGE('Nhật ký'!$J$5:$J$504,1),'Nhật ký'!$J$5:$J$504,0),0)=0,"",INDEX('Nhật ký'!$G$5:$G$504,IFERROR(MATCH(LARGE('Nhật ký'!$J$5:$J$504,1),'Nhật ký'!$J$5:$J$504,0),0))&amp;"")</f>
        <v/>
      </c>
      <c r="G52" s="12" t="n"/>
      <c r="H52" s="12" t="n"/>
      <c r="I52" s="23">
        <f>IF(IFERROR(MATCH(LARGE('Nhật ký'!$J$5:$J$504,1),'Nhật ký'!$J$5:$J$504,0),0)=0,"",IF(INDEX('Nhật ký'!$H$5:$H$504,IFERROR(MATCH(LARGE('Nhật ký'!$J$5:$J$504,1),'Nhật ký'!$J$5:$J$504,0),0))="","",INDEX('Nhật ký'!$H$5:$H$504,IFERROR(MATCH(LARGE('Nhật ký'!$J$5:$J$504,1),'Nhật ký'!$J$5:$J$504,0),0))))</f>
        <v/>
      </c>
      <c r="J52" s="12">
        <f>IF(IFERROR(MATCH(LARGE('Nhật ký'!$J$5:$J$504,1),'Nhật ký'!$J$5:$J$504,0),0)=0,"",INDEX('Nhật ký'!$I$5:$I$504,IFERROR(MATCH(LARGE('Nhật ký'!$J$5:$J$504,1),'Nhật ký'!$J$5:$J$504,0),0))&amp;"")</f>
        <v/>
      </c>
      <c r="K52" s="12">
        <f>IF(IFERROR(MATCH(LARGE('Nhật ký'!$J$5:$J$504,1),'Nhật ký'!$J$5:$J$504,0),0)=0,"",INDEX('Nhật ký'!$F$5:$F$504,IFERROR(MATCH(LARGE('Nhật ký'!$J$5:$J$504,1),'Nhật ký'!$J$5:$J$504,0),0))&amp;"")</f>
        <v/>
      </c>
    </row>
    <row r="53" ht="30" customHeight="1">
      <c r="A53" s="12">
        <f>IF(IFERROR(MATCH(LARGE('Nhật ký'!$J$5:$J$504,2),'Nhật ký'!$J$5:$J$504,0),0)=0,"",INDEX('Nhật ký'!$D$5:$D$504,IFERROR(MATCH(LARGE('Nhật ký'!$J$5:$J$504,2),'Nhật ký'!$J$5:$J$504,0),0))&amp;"")</f>
        <v/>
      </c>
      <c r="B53" s="23">
        <f>IF(IFERROR(MATCH(LARGE('Nhật ký'!$J$5:$J$504,2),'Nhật ký'!$J$5:$J$504,0),0)=0,"",IF(INDEX('Nhật ký'!$A$5:$A$504,IFERROR(MATCH(LARGE('Nhật ký'!$J$5:$J$504,2),'Nhật ký'!$J$5:$J$504,0),0))="","",INDEX('Nhật ký'!$A$5:$A$504,IFERROR(MATCH(LARGE('Nhật ký'!$J$5:$J$504,2),'Nhật ký'!$J$5:$J$504,0),0))))</f>
        <v/>
      </c>
      <c r="C53" s="12">
        <f>IF(IFERROR(MATCH(LARGE('Nhật ký'!$J$5:$J$504,2),'Nhật ký'!$J$5:$J$504,0),0)=0,"",INDEX('Nhật ký'!$C$5:$C$504,IFERROR(MATCH(LARGE('Nhật ký'!$J$5:$J$504,2),'Nhật ký'!$J$5:$J$504,0),0))&amp;"")</f>
        <v/>
      </c>
      <c r="D53" s="12" t="n"/>
      <c r="E53" s="12">
        <f>IF(IFERROR(MATCH(LARGE('Nhật ký'!$J$5:$J$504,2),'Nhật ký'!$J$5:$J$504,0),0)=0,"",INDEX('Nhật ký'!$E$5:$E$504,IFERROR(MATCH(LARGE('Nhật ký'!$J$5:$J$504,2),'Nhật ký'!$J$5:$J$504,0),0))&amp;"")</f>
        <v/>
      </c>
      <c r="F53" s="12">
        <f>IF(IFERROR(MATCH(LARGE('Nhật ký'!$J$5:$J$504,2),'Nhật ký'!$J$5:$J$504,0),0)=0,"",INDEX('Nhật ký'!$G$5:$G$504,IFERROR(MATCH(LARGE('Nhật ký'!$J$5:$J$504,2),'Nhật ký'!$J$5:$J$504,0),0))&amp;"")</f>
        <v/>
      </c>
      <c r="G53" s="12" t="n"/>
      <c r="H53" s="12" t="n"/>
      <c r="I53" s="23">
        <f>IF(IFERROR(MATCH(LARGE('Nhật ký'!$J$5:$J$504,2),'Nhật ký'!$J$5:$J$504,0),0)=0,"",IF(INDEX('Nhật ký'!$H$5:$H$504,IFERROR(MATCH(LARGE('Nhật ký'!$J$5:$J$504,2),'Nhật ký'!$J$5:$J$504,0),0))="","",INDEX('Nhật ký'!$H$5:$H$504,IFERROR(MATCH(LARGE('Nhật ký'!$J$5:$J$504,2),'Nhật ký'!$J$5:$J$504,0),0))))</f>
        <v/>
      </c>
      <c r="J53" s="12">
        <f>IF(IFERROR(MATCH(LARGE('Nhật ký'!$J$5:$J$504,2),'Nhật ký'!$J$5:$J$504,0),0)=0,"",INDEX('Nhật ký'!$I$5:$I$504,IFERROR(MATCH(LARGE('Nhật ký'!$J$5:$J$504,2),'Nhật ký'!$J$5:$J$504,0),0))&amp;"")</f>
        <v/>
      </c>
      <c r="K53" s="12">
        <f>IF(IFERROR(MATCH(LARGE('Nhật ký'!$J$5:$J$504,2),'Nhật ký'!$J$5:$J$504,0),0)=0,"",INDEX('Nhật ký'!$F$5:$F$504,IFERROR(MATCH(LARGE('Nhật ký'!$J$5:$J$504,2),'Nhật ký'!$J$5:$J$504,0),0))&amp;"")</f>
        <v/>
      </c>
    </row>
    <row r="54" ht="30" customHeight="1">
      <c r="A54" s="12">
        <f>IF(IFERROR(MATCH(LARGE('Nhật ký'!$J$5:$J$504,3),'Nhật ký'!$J$5:$J$504,0),0)=0,"",INDEX('Nhật ký'!$D$5:$D$504,IFERROR(MATCH(LARGE('Nhật ký'!$J$5:$J$504,3),'Nhật ký'!$J$5:$J$504,0),0))&amp;"")</f>
        <v/>
      </c>
      <c r="B54" s="23">
        <f>IF(IFERROR(MATCH(LARGE('Nhật ký'!$J$5:$J$504,3),'Nhật ký'!$J$5:$J$504,0),0)=0,"",IF(INDEX('Nhật ký'!$A$5:$A$504,IFERROR(MATCH(LARGE('Nhật ký'!$J$5:$J$504,3),'Nhật ký'!$J$5:$J$504,0),0))="","",INDEX('Nhật ký'!$A$5:$A$504,IFERROR(MATCH(LARGE('Nhật ký'!$J$5:$J$504,3),'Nhật ký'!$J$5:$J$504,0),0))))</f>
        <v/>
      </c>
      <c r="C54" s="12">
        <f>IF(IFERROR(MATCH(LARGE('Nhật ký'!$J$5:$J$504,3),'Nhật ký'!$J$5:$J$504,0),0)=0,"",INDEX('Nhật ký'!$C$5:$C$504,IFERROR(MATCH(LARGE('Nhật ký'!$J$5:$J$504,3),'Nhật ký'!$J$5:$J$504,0),0))&amp;"")</f>
        <v/>
      </c>
      <c r="D54" s="12" t="n"/>
      <c r="E54" s="12">
        <f>IF(IFERROR(MATCH(LARGE('Nhật ký'!$J$5:$J$504,3),'Nhật ký'!$J$5:$J$504,0),0)=0,"",INDEX('Nhật ký'!$E$5:$E$504,IFERROR(MATCH(LARGE('Nhật ký'!$J$5:$J$504,3),'Nhật ký'!$J$5:$J$504,0),0))&amp;"")</f>
        <v/>
      </c>
      <c r="F54" s="12">
        <f>IF(IFERROR(MATCH(LARGE('Nhật ký'!$J$5:$J$504,3),'Nhật ký'!$J$5:$J$504,0),0)=0,"",INDEX('Nhật ký'!$G$5:$G$504,IFERROR(MATCH(LARGE('Nhật ký'!$J$5:$J$504,3),'Nhật ký'!$J$5:$J$504,0),0))&amp;"")</f>
        <v/>
      </c>
      <c r="G54" s="12" t="n"/>
      <c r="H54" s="12" t="n"/>
      <c r="I54" s="23">
        <f>IF(IFERROR(MATCH(LARGE('Nhật ký'!$J$5:$J$504,3),'Nhật ký'!$J$5:$J$504,0),0)=0,"",IF(INDEX('Nhật ký'!$H$5:$H$504,IFERROR(MATCH(LARGE('Nhật ký'!$J$5:$J$504,3),'Nhật ký'!$J$5:$J$504,0),0))="","",INDEX('Nhật ký'!$H$5:$H$504,IFERROR(MATCH(LARGE('Nhật ký'!$J$5:$J$504,3),'Nhật ký'!$J$5:$J$504,0),0))))</f>
        <v/>
      </c>
      <c r="J54" s="12">
        <f>IF(IFERROR(MATCH(LARGE('Nhật ký'!$J$5:$J$504,3),'Nhật ký'!$J$5:$J$504,0),0)=0,"",INDEX('Nhật ký'!$I$5:$I$504,IFERROR(MATCH(LARGE('Nhật ký'!$J$5:$J$504,3),'Nhật ký'!$J$5:$J$504,0),0))&amp;"")</f>
        <v/>
      </c>
      <c r="K54" s="12">
        <f>IF(IFERROR(MATCH(LARGE('Nhật ký'!$J$5:$J$504,3),'Nhật ký'!$J$5:$J$504,0),0)=0,"",INDEX('Nhật ký'!$F$5:$F$504,IFERROR(MATCH(LARGE('Nhật ký'!$J$5:$J$504,3),'Nhật ký'!$J$5:$J$504,0),0))&amp;"")</f>
        <v/>
      </c>
    </row>
    <row r="55" ht="30" customHeight="1">
      <c r="A55" s="12">
        <f>IF(IFERROR(MATCH(LARGE('Nhật ký'!$J$5:$J$504,4),'Nhật ký'!$J$5:$J$504,0),0)=0,"",INDEX('Nhật ký'!$D$5:$D$504,IFERROR(MATCH(LARGE('Nhật ký'!$J$5:$J$504,4),'Nhật ký'!$J$5:$J$504,0),0))&amp;"")</f>
        <v/>
      </c>
      <c r="B55" s="23">
        <f>IF(IFERROR(MATCH(LARGE('Nhật ký'!$J$5:$J$504,4),'Nhật ký'!$J$5:$J$504,0),0)=0,"",IF(INDEX('Nhật ký'!$A$5:$A$504,IFERROR(MATCH(LARGE('Nhật ký'!$J$5:$J$504,4),'Nhật ký'!$J$5:$J$504,0),0))="","",INDEX('Nhật ký'!$A$5:$A$504,IFERROR(MATCH(LARGE('Nhật ký'!$J$5:$J$504,4),'Nhật ký'!$J$5:$J$504,0),0))))</f>
        <v/>
      </c>
      <c r="C55" s="12">
        <f>IF(IFERROR(MATCH(LARGE('Nhật ký'!$J$5:$J$504,4),'Nhật ký'!$J$5:$J$504,0),0)=0,"",INDEX('Nhật ký'!$C$5:$C$504,IFERROR(MATCH(LARGE('Nhật ký'!$J$5:$J$504,4),'Nhật ký'!$J$5:$J$504,0),0))&amp;"")</f>
        <v/>
      </c>
      <c r="D55" s="12" t="n"/>
      <c r="E55" s="12">
        <f>IF(IFERROR(MATCH(LARGE('Nhật ký'!$J$5:$J$504,4),'Nhật ký'!$J$5:$J$504,0),0)=0,"",INDEX('Nhật ký'!$E$5:$E$504,IFERROR(MATCH(LARGE('Nhật ký'!$J$5:$J$504,4),'Nhật ký'!$J$5:$J$504,0),0))&amp;"")</f>
        <v/>
      </c>
      <c r="F55" s="12">
        <f>IF(IFERROR(MATCH(LARGE('Nhật ký'!$J$5:$J$504,4),'Nhật ký'!$J$5:$J$504,0),0)=0,"",INDEX('Nhật ký'!$G$5:$G$504,IFERROR(MATCH(LARGE('Nhật ký'!$J$5:$J$504,4),'Nhật ký'!$J$5:$J$504,0),0))&amp;"")</f>
        <v/>
      </c>
      <c r="G55" s="12" t="n"/>
      <c r="H55" s="12" t="n"/>
      <c r="I55" s="23">
        <f>IF(IFERROR(MATCH(LARGE('Nhật ký'!$J$5:$J$504,4),'Nhật ký'!$J$5:$J$504,0),0)=0,"",IF(INDEX('Nhật ký'!$H$5:$H$504,IFERROR(MATCH(LARGE('Nhật ký'!$J$5:$J$504,4),'Nhật ký'!$J$5:$J$504,0),0))="","",INDEX('Nhật ký'!$H$5:$H$504,IFERROR(MATCH(LARGE('Nhật ký'!$J$5:$J$504,4),'Nhật ký'!$J$5:$J$504,0),0))))</f>
        <v/>
      </c>
      <c r="J55" s="12">
        <f>IF(IFERROR(MATCH(LARGE('Nhật ký'!$J$5:$J$504,4),'Nhật ký'!$J$5:$J$504,0),0)=0,"",INDEX('Nhật ký'!$I$5:$I$504,IFERROR(MATCH(LARGE('Nhật ký'!$J$5:$J$504,4),'Nhật ký'!$J$5:$J$504,0),0))&amp;"")</f>
        <v/>
      </c>
      <c r="K55" s="12">
        <f>IF(IFERROR(MATCH(LARGE('Nhật ký'!$J$5:$J$504,4),'Nhật ký'!$J$5:$J$504,0),0)=0,"",INDEX('Nhật ký'!$F$5:$F$504,IFERROR(MATCH(LARGE('Nhật ký'!$J$5:$J$504,4),'Nhật ký'!$J$5:$J$504,0),0))&amp;"")</f>
        <v/>
      </c>
    </row>
    <row r="56" ht="30" customHeight="1">
      <c r="A56" s="12">
        <f>IF(IFERROR(MATCH(LARGE('Nhật ký'!$J$5:$J$504,5),'Nhật ký'!$J$5:$J$504,0),0)=0,"",INDEX('Nhật ký'!$D$5:$D$504,IFERROR(MATCH(LARGE('Nhật ký'!$J$5:$J$504,5),'Nhật ký'!$J$5:$J$504,0),0))&amp;"")</f>
        <v/>
      </c>
      <c r="B56" s="23">
        <f>IF(IFERROR(MATCH(LARGE('Nhật ký'!$J$5:$J$504,5),'Nhật ký'!$J$5:$J$504,0),0)=0,"",IF(INDEX('Nhật ký'!$A$5:$A$504,IFERROR(MATCH(LARGE('Nhật ký'!$J$5:$J$504,5),'Nhật ký'!$J$5:$J$504,0),0))="","",INDEX('Nhật ký'!$A$5:$A$504,IFERROR(MATCH(LARGE('Nhật ký'!$J$5:$J$504,5),'Nhật ký'!$J$5:$J$504,0),0))))</f>
        <v/>
      </c>
      <c r="C56" s="12">
        <f>IF(IFERROR(MATCH(LARGE('Nhật ký'!$J$5:$J$504,5),'Nhật ký'!$J$5:$J$504,0),0)=0,"",INDEX('Nhật ký'!$C$5:$C$504,IFERROR(MATCH(LARGE('Nhật ký'!$J$5:$J$504,5),'Nhật ký'!$J$5:$J$504,0),0))&amp;"")</f>
        <v/>
      </c>
      <c r="D56" s="12" t="n"/>
      <c r="E56" s="12">
        <f>IF(IFERROR(MATCH(LARGE('Nhật ký'!$J$5:$J$504,5),'Nhật ký'!$J$5:$J$504,0),0)=0,"",INDEX('Nhật ký'!$E$5:$E$504,IFERROR(MATCH(LARGE('Nhật ký'!$J$5:$J$504,5),'Nhật ký'!$J$5:$J$504,0),0))&amp;"")</f>
        <v/>
      </c>
      <c r="F56" s="12">
        <f>IF(IFERROR(MATCH(LARGE('Nhật ký'!$J$5:$J$504,5),'Nhật ký'!$J$5:$J$504,0),0)=0,"",INDEX('Nhật ký'!$G$5:$G$504,IFERROR(MATCH(LARGE('Nhật ký'!$J$5:$J$504,5),'Nhật ký'!$J$5:$J$504,0),0))&amp;"")</f>
        <v/>
      </c>
      <c r="G56" s="12" t="n"/>
      <c r="H56" s="12" t="n"/>
      <c r="I56" s="23">
        <f>IF(IFERROR(MATCH(LARGE('Nhật ký'!$J$5:$J$504,5),'Nhật ký'!$J$5:$J$504,0),0)=0,"",IF(INDEX('Nhật ký'!$H$5:$H$504,IFERROR(MATCH(LARGE('Nhật ký'!$J$5:$J$504,5),'Nhật ký'!$J$5:$J$504,0),0))="","",INDEX('Nhật ký'!$H$5:$H$504,IFERROR(MATCH(LARGE('Nhật ký'!$J$5:$J$504,5),'Nhật ký'!$J$5:$J$504,0),0))))</f>
        <v/>
      </c>
      <c r="J56" s="12">
        <f>IF(IFERROR(MATCH(LARGE('Nhật ký'!$J$5:$J$504,5),'Nhật ký'!$J$5:$J$504,0),0)=0,"",INDEX('Nhật ký'!$I$5:$I$504,IFERROR(MATCH(LARGE('Nhật ký'!$J$5:$J$504,5),'Nhật ký'!$J$5:$J$504,0),0))&amp;"")</f>
        <v/>
      </c>
      <c r="K56" s="12">
        <f>IF(IFERROR(MATCH(LARGE('Nhật ký'!$J$5:$J$504,5),'Nhật ký'!$J$5:$J$504,0),0)=0,"",INDEX('Nhật ký'!$F$5:$F$504,IFERROR(MATCH(LARGE('Nhật ký'!$J$5:$J$504,5),'Nhật ký'!$J$5:$J$504,0),0))&amp;"")</f>
        <v/>
      </c>
    </row>
    <row r="57" ht="30" customHeight="1">
      <c r="A57" s="12">
        <f>IF(IFERROR(MATCH(LARGE('Nhật ký'!$J$5:$J$504,6),'Nhật ký'!$J$5:$J$504,0),0)=0,"",INDEX('Nhật ký'!$D$5:$D$504,IFERROR(MATCH(LARGE('Nhật ký'!$J$5:$J$504,6),'Nhật ký'!$J$5:$J$504,0),0))&amp;"")</f>
        <v/>
      </c>
      <c r="B57" s="23">
        <f>IF(IFERROR(MATCH(LARGE('Nhật ký'!$J$5:$J$504,6),'Nhật ký'!$J$5:$J$504,0),0)=0,"",IF(INDEX('Nhật ký'!$A$5:$A$504,IFERROR(MATCH(LARGE('Nhật ký'!$J$5:$J$504,6),'Nhật ký'!$J$5:$J$504,0),0))="","",INDEX('Nhật ký'!$A$5:$A$504,IFERROR(MATCH(LARGE('Nhật ký'!$J$5:$J$504,6),'Nhật ký'!$J$5:$J$504,0),0))))</f>
        <v/>
      </c>
      <c r="C57" s="12">
        <f>IF(IFERROR(MATCH(LARGE('Nhật ký'!$J$5:$J$504,6),'Nhật ký'!$J$5:$J$504,0),0)=0,"",INDEX('Nhật ký'!$C$5:$C$504,IFERROR(MATCH(LARGE('Nhật ký'!$J$5:$J$504,6),'Nhật ký'!$J$5:$J$504,0),0))&amp;"")</f>
        <v/>
      </c>
      <c r="D57" s="12" t="n"/>
      <c r="E57" s="12">
        <f>IF(IFERROR(MATCH(LARGE('Nhật ký'!$J$5:$J$504,6),'Nhật ký'!$J$5:$J$504,0),0)=0,"",INDEX('Nhật ký'!$E$5:$E$504,IFERROR(MATCH(LARGE('Nhật ký'!$J$5:$J$504,6),'Nhật ký'!$J$5:$J$504,0),0))&amp;"")</f>
        <v/>
      </c>
      <c r="F57" s="12">
        <f>IF(IFERROR(MATCH(LARGE('Nhật ký'!$J$5:$J$504,6),'Nhật ký'!$J$5:$J$504,0),0)=0,"",INDEX('Nhật ký'!$G$5:$G$504,IFERROR(MATCH(LARGE('Nhật ký'!$J$5:$J$504,6),'Nhật ký'!$J$5:$J$504,0),0))&amp;"")</f>
        <v/>
      </c>
      <c r="G57" s="12" t="n"/>
      <c r="H57" s="12" t="n"/>
      <c r="I57" s="23">
        <f>IF(IFERROR(MATCH(LARGE('Nhật ký'!$J$5:$J$504,6),'Nhật ký'!$J$5:$J$504,0),0)=0,"",IF(INDEX('Nhật ký'!$H$5:$H$504,IFERROR(MATCH(LARGE('Nhật ký'!$J$5:$J$504,6),'Nhật ký'!$J$5:$J$504,0),0))="","",INDEX('Nhật ký'!$H$5:$H$504,IFERROR(MATCH(LARGE('Nhật ký'!$J$5:$J$504,6),'Nhật ký'!$J$5:$J$504,0),0))))</f>
        <v/>
      </c>
      <c r="J57" s="12">
        <f>IF(IFERROR(MATCH(LARGE('Nhật ký'!$J$5:$J$504,6),'Nhật ký'!$J$5:$J$504,0),0)=0,"",INDEX('Nhật ký'!$I$5:$I$504,IFERROR(MATCH(LARGE('Nhật ký'!$J$5:$J$504,6),'Nhật ký'!$J$5:$J$504,0),0))&amp;"")</f>
        <v/>
      </c>
      <c r="K57" s="12">
        <f>IF(IFERROR(MATCH(LARGE('Nhật ký'!$J$5:$J$504,6),'Nhật ký'!$J$5:$J$504,0),0)=0,"",INDEX('Nhật ký'!$F$5:$F$504,IFERROR(MATCH(LARGE('Nhật ký'!$J$5:$J$504,6),'Nhật ký'!$J$5:$J$504,0),0))&amp;"")</f>
        <v/>
      </c>
    </row>
    <row r="58" ht="30" customHeight="1">
      <c r="A58" s="12">
        <f>IF(IFERROR(MATCH(LARGE('Nhật ký'!$J$5:$J$504,7),'Nhật ký'!$J$5:$J$504,0),0)=0,"",INDEX('Nhật ký'!$D$5:$D$504,IFERROR(MATCH(LARGE('Nhật ký'!$J$5:$J$504,7),'Nhật ký'!$J$5:$J$504,0),0))&amp;"")</f>
        <v/>
      </c>
      <c r="B58" s="23">
        <f>IF(IFERROR(MATCH(LARGE('Nhật ký'!$J$5:$J$504,7),'Nhật ký'!$J$5:$J$504,0),0)=0,"",IF(INDEX('Nhật ký'!$A$5:$A$504,IFERROR(MATCH(LARGE('Nhật ký'!$J$5:$J$504,7),'Nhật ký'!$J$5:$J$504,0),0))="","",INDEX('Nhật ký'!$A$5:$A$504,IFERROR(MATCH(LARGE('Nhật ký'!$J$5:$J$504,7),'Nhật ký'!$J$5:$J$504,0),0))))</f>
        <v/>
      </c>
      <c r="C58" s="12">
        <f>IF(IFERROR(MATCH(LARGE('Nhật ký'!$J$5:$J$504,7),'Nhật ký'!$J$5:$J$504,0),0)=0,"",INDEX('Nhật ký'!$C$5:$C$504,IFERROR(MATCH(LARGE('Nhật ký'!$J$5:$J$504,7),'Nhật ký'!$J$5:$J$504,0),0))&amp;"")</f>
        <v/>
      </c>
      <c r="D58" s="12" t="n"/>
      <c r="E58" s="12">
        <f>IF(IFERROR(MATCH(LARGE('Nhật ký'!$J$5:$J$504,7),'Nhật ký'!$J$5:$J$504,0),0)=0,"",INDEX('Nhật ký'!$E$5:$E$504,IFERROR(MATCH(LARGE('Nhật ký'!$J$5:$J$504,7),'Nhật ký'!$J$5:$J$504,0),0))&amp;"")</f>
        <v/>
      </c>
      <c r="F58" s="12">
        <f>IF(IFERROR(MATCH(LARGE('Nhật ký'!$J$5:$J$504,7),'Nhật ký'!$J$5:$J$504,0),0)=0,"",INDEX('Nhật ký'!$G$5:$G$504,IFERROR(MATCH(LARGE('Nhật ký'!$J$5:$J$504,7),'Nhật ký'!$J$5:$J$504,0),0))&amp;"")</f>
        <v/>
      </c>
      <c r="G58" s="12" t="n"/>
      <c r="H58" s="12" t="n"/>
      <c r="I58" s="23">
        <f>IF(IFERROR(MATCH(LARGE('Nhật ký'!$J$5:$J$504,7),'Nhật ký'!$J$5:$J$504,0),0)=0,"",IF(INDEX('Nhật ký'!$H$5:$H$504,IFERROR(MATCH(LARGE('Nhật ký'!$J$5:$J$504,7),'Nhật ký'!$J$5:$J$504,0),0))="","",INDEX('Nhật ký'!$H$5:$H$504,IFERROR(MATCH(LARGE('Nhật ký'!$J$5:$J$504,7),'Nhật ký'!$J$5:$J$504,0),0))))</f>
        <v/>
      </c>
      <c r="J58" s="12">
        <f>IF(IFERROR(MATCH(LARGE('Nhật ký'!$J$5:$J$504,7),'Nhật ký'!$J$5:$J$504,0),0)=0,"",INDEX('Nhật ký'!$I$5:$I$504,IFERROR(MATCH(LARGE('Nhật ký'!$J$5:$J$504,7),'Nhật ký'!$J$5:$J$504,0),0))&amp;"")</f>
        <v/>
      </c>
      <c r="K58" s="12">
        <f>IF(IFERROR(MATCH(LARGE('Nhật ký'!$J$5:$J$504,7),'Nhật ký'!$J$5:$J$504,0),0)=0,"",INDEX('Nhật ký'!$F$5:$F$504,IFERROR(MATCH(LARGE('Nhật ký'!$J$5:$J$504,7),'Nhật ký'!$J$5:$J$504,0),0))&amp;"")</f>
        <v/>
      </c>
    </row>
    <row r="59" ht="30" customHeight="1">
      <c r="A59" s="12">
        <f>IF(IFERROR(MATCH(LARGE('Nhật ký'!$J$5:$J$504,8),'Nhật ký'!$J$5:$J$504,0),0)=0,"",INDEX('Nhật ký'!$D$5:$D$504,IFERROR(MATCH(LARGE('Nhật ký'!$J$5:$J$504,8),'Nhật ký'!$J$5:$J$504,0),0))&amp;"")</f>
        <v/>
      </c>
      <c r="B59" s="23">
        <f>IF(IFERROR(MATCH(LARGE('Nhật ký'!$J$5:$J$504,8),'Nhật ký'!$J$5:$J$504,0),0)=0,"",IF(INDEX('Nhật ký'!$A$5:$A$504,IFERROR(MATCH(LARGE('Nhật ký'!$J$5:$J$504,8),'Nhật ký'!$J$5:$J$504,0),0))="","",INDEX('Nhật ký'!$A$5:$A$504,IFERROR(MATCH(LARGE('Nhật ký'!$J$5:$J$504,8),'Nhật ký'!$J$5:$J$504,0),0))))</f>
        <v/>
      </c>
      <c r="C59" s="12">
        <f>IF(IFERROR(MATCH(LARGE('Nhật ký'!$J$5:$J$504,8),'Nhật ký'!$J$5:$J$504,0),0)=0,"",INDEX('Nhật ký'!$C$5:$C$504,IFERROR(MATCH(LARGE('Nhật ký'!$J$5:$J$504,8),'Nhật ký'!$J$5:$J$504,0),0))&amp;"")</f>
        <v/>
      </c>
      <c r="D59" s="12" t="n"/>
      <c r="E59" s="12">
        <f>IF(IFERROR(MATCH(LARGE('Nhật ký'!$J$5:$J$504,8),'Nhật ký'!$J$5:$J$504,0),0)=0,"",INDEX('Nhật ký'!$E$5:$E$504,IFERROR(MATCH(LARGE('Nhật ký'!$J$5:$J$504,8),'Nhật ký'!$J$5:$J$504,0),0))&amp;"")</f>
        <v/>
      </c>
      <c r="F59" s="12">
        <f>IF(IFERROR(MATCH(LARGE('Nhật ký'!$J$5:$J$504,8),'Nhật ký'!$J$5:$J$504,0),0)=0,"",INDEX('Nhật ký'!$G$5:$G$504,IFERROR(MATCH(LARGE('Nhật ký'!$J$5:$J$504,8),'Nhật ký'!$J$5:$J$504,0),0))&amp;"")</f>
        <v/>
      </c>
      <c r="G59" s="12" t="n"/>
      <c r="H59" s="12" t="n"/>
      <c r="I59" s="23">
        <f>IF(IFERROR(MATCH(LARGE('Nhật ký'!$J$5:$J$504,8),'Nhật ký'!$J$5:$J$504,0),0)=0,"",IF(INDEX('Nhật ký'!$H$5:$H$504,IFERROR(MATCH(LARGE('Nhật ký'!$J$5:$J$504,8),'Nhật ký'!$J$5:$J$504,0),0))="","",INDEX('Nhật ký'!$H$5:$H$504,IFERROR(MATCH(LARGE('Nhật ký'!$J$5:$J$504,8),'Nhật ký'!$J$5:$J$504,0),0))))</f>
        <v/>
      </c>
      <c r="J59" s="12">
        <f>IF(IFERROR(MATCH(LARGE('Nhật ký'!$J$5:$J$504,8),'Nhật ký'!$J$5:$J$504,0),0)=0,"",INDEX('Nhật ký'!$I$5:$I$504,IFERROR(MATCH(LARGE('Nhật ký'!$J$5:$J$504,8),'Nhật ký'!$J$5:$J$504,0),0))&amp;"")</f>
        <v/>
      </c>
      <c r="K59" s="12">
        <f>IF(IFERROR(MATCH(LARGE('Nhật ký'!$J$5:$J$504,8),'Nhật ký'!$J$5:$J$504,0),0)=0,"",INDEX('Nhật ký'!$F$5:$F$504,IFERROR(MATCH(LARGE('Nhật ký'!$J$5:$J$504,8),'Nhật ký'!$J$5:$J$504,0),0))&amp;"")</f>
        <v/>
      </c>
    </row>
  </sheetData>
  <mergeCells count="78">
    <mergeCell ref="D36:E36"/>
    <mergeCell ref="D45:E45"/>
    <mergeCell ref="D6:E6"/>
    <mergeCell ref="C54:D54"/>
    <mergeCell ref="D48:E48"/>
    <mergeCell ref="C56:D56"/>
    <mergeCell ref="G34:H34"/>
    <mergeCell ref="I34:K34"/>
    <mergeCell ref="B24:C24"/>
    <mergeCell ref="I36:K36"/>
    <mergeCell ref="D33:E33"/>
    <mergeCell ref="I45:K45"/>
    <mergeCell ref="G44:H44"/>
    <mergeCell ref="B26:C26"/>
    <mergeCell ref="D35:E35"/>
    <mergeCell ref="F51:H51"/>
    <mergeCell ref="I47:K47"/>
    <mergeCell ref="B25:C25"/>
    <mergeCell ref="D34:E34"/>
    <mergeCell ref="I37:K37"/>
    <mergeCell ref="B27:C27"/>
    <mergeCell ref="G48:H48"/>
    <mergeCell ref="G38:H38"/>
    <mergeCell ref="D47:E47"/>
    <mergeCell ref="B29:C29"/>
    <mergeCell ref="G33:H33"/>
    <mergeCell ref="D37:E37"/>
    <mergeCell ref="D39:E39"/>
    <mergeCell ref="B3:G3"/>
    <mergeCell ref="G35:H35"/>
    <mergeCell ref="B6:C6"/>
    <mergeCell ref="C57:D57"/>
    <mergeCell ref="D38:E38"/>
    <mergeCell ref="C53:D53"/>
    <mergeCell ref="F59:H59"/>
    <mergeCell ref="F55:H55"/>
    <mergeCell ref="G42:H42"/>
    <mergeCell ref="C58:D58"/>
    <mergeCell ref="G39:H39"/>
    <mergeCell ref="I39:K39"/>
    <mergeCell ref="G37:H37"/>
    <mergeCell ref="I48:K48"/>
    <mergeCell ref="F58:H58"/>
    <mergeCell ref="F52:H52"/>
    <mergeCell ref="C59:D59"/>
    <mergeCell ref="I38:K38"/>
    <mergeCell ref="C51:D51"/>
    <mergeCell ref="F57:H57"/>
    <mergeCell ref="B28:C28"/>
    <mergeCell ref="I40:K40"/>
    <mergeCell ref="F53:H53"/>
    <mergeCell ref="B30:C30"/>
    <mergeCell ref="B5:C5"/>
    <mergeCell ref="D5:E5"/>
    <mergeCell ref="G41:H41"/>
    <mergeCell ref="I41:K41"/>
    <mergeCell ref="G43:H43"/>
    <mergeCell ref="G36:H36"/>
    <mergeCell ref="I43:K43"/>
    <mergeCell ref="D46:E46"/>
    <mergeCell ref="D40:E40"/>
    <mergeCell ref="I33:K33"/>
    <mergeCell ref="I42:K42"/>
    <mergeCell ref="C55:D55"/>
    <mergeCell ref="F56:H56"/>
    <mergeCell ref="I35:K35"/>
    <mergeCell ref="D41:E41"/>
    <mergeCell ref="I44:K44"/>
    <mergeCell ref="D43:E43"/>
    <mergeCell ref="G45:H45"/>
    <mergeCell ref="C52:D52"/>
    <mergeCell ref="F54:H54"/>
    <mergeCell ref="I46:K46"/>
    <mergeCell ref="D42:E42"/>
    <mergeCell ref="G47:H47"/>
    <mergeCell ref="G46:H46"/>
    <mergeCell ref="G40:H40"/>
    <mergeCell ref="D44:E44"/>
  </mergeCells>
  <conditionalFormatting sqref="B9:I9">
    <cfRule type="expression" priority="1" dxfId="7">
      <formula>AND(IF(ISNUMBER(IFERROR(INDEX('Sự kiện'!$C$5:$C$304,MATCH(SEL_K,SK_A,0)),"")),TODAY()-IFERROR(INDEX('Sự kiện'!$C$5:$C$304,MATCH(SEL_K,SK_A,0)),""),-9999)&gt;=N$8,IF(ISNUMBER(IFERROR(INDEX('Sự kiện'!$C$5:$C$304,MATCH(SEL_K,SK_A,0)),"")),TODAY()-IFERROR(INDEX('Sự kiện'!$C$5:$C$304,MATCH(SEL_K,SK_A,0)),""),-9999)&lt;=N$9)</formula>
    </cfRule>
  </conditionalFormatting>
  <conditionalFormatting sqref="B10:I21">
    <cfRule type="expression" priority="2" dxfId="8">
      <formula>N10=4</formula>
    </cfRule>
    <cfRule type="expression" priority="3" dxfId="9">
      <formula>N10=3</formula>
    </cfRule>
    <cfRule type="expression" priority="4" dxfId="10">
      <formula>N10=1</formula>
    </cfRule>
    <cfRule type="expression" priority="5" dxfId="11">
      <formula>N10=2</formula>
    </cfRule>
  </conditionalFormatting>
  <conditionalFormatting sqref="F25:F30">
    <cfRule type="expression" priority="6" dxfId="0">
      <formula>N(F25)&gt;0</formula>
    </cfRule>
  </conditionalFormatting>
  <conditionalFormatting sqref="G25:G30">
    <cfRule type="expression" priority="7" dxfId="1">
      <formula>N(G25)&gt;0</formula>
    </cfRule>
  </conditionalFormatting>
  <conditionalFormatting sqref="H25:H30">
    <cfRule type="expression" priority="8" dxfId="3">
      <formula>N(H25)&gt;0</formula>
    </cfRule>
  </conditionalFormatting>
  <conditionalFormatting sqref="I25:I30">
    <cfRule type="expression" priority="9" dxfId="12">
      <formula>N(I25)&gt;0</formula>
    </cfRule>
  </conditionalFormatting>
  <conditionalFormatting sqref="B25:B30">
    <cfRule type="expression" priority="10" dxfId="13">
      <formula>AND(B25="",N(D25)&gt;0)</formula>
    </cfRule>
  </conditionalFormatting>
  <conditionalFormatting sqref="A34:K48">
    <cfRule type="expression" priority="11" dxfId="4">
      <formula>ISNUMBER(SEARCH("QUÁ HẠN",$G34))</formula>
    </cfRule>
    <cfRule type="expression" priority="12" dxfId="5">
      <formula>ISNUMBER(SEARCH("Đến hạn",$G34))</formula>
    </cfRule>
    <cfRule type="expression" priority="13" dxfId="6">
      <formula>$F34="Chờ đối tác"</formula>
    </cfRule>
  </conditionalFormatting>
  <conditionalFormatting sqref="D34:E48">
    <cfRule type="expression" priority="14" dxfId="13">
      <formula>AND($A34&lt;&gt;"",$D34="")</formula>
    </cfRule>
  </conditionalFormatting>
  <conditionalFormatting sqref="A52:K59">
    <cfRule type="expression" priority="15" dxfId="4">
      <formula>AND($J52="Mở",ISNUMBER($I52),TODAY()&gt;$I52)</formula>
    </cfRule>
    <cfRule type="expression" priority="16" dxfId="14">
      <formula>$J52="Xong"</formula>
    </cfRule>
  </conditionalFormatting>
  <dataValidations count="1">
    <dataValidation sqref="B3" showDropDown="0" showInputMessage="0" showErrorMessage="1" allowBlank="1" type="list">
      <formula1>SK_B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A5CAA"/>
    <outlinePr summaryBelow="1" summaryRight="1"/>
    <pageSetUpPr/>
  </sheetPr>
  <dimension ref="A1:V70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7" customWidth="1" min="3" max="3"/>
    <col width="14" customWidth="1" min="4" max="4"/>
    <col width="46" customWidth="1" min="5" max="5"/>
    <col width="11" customWidth="1" min="6" max="6"/>
    <col width="17" customWidth="1" min="7" max="7"/>
    <col width="14" customWidth="1" min="8" max="8"/>
    <col width="9" customWidth="1" min="9" max="9"/>
    <col width="12" customWidth="1" min="10" max="10"/>
    <col width="9" customWidth="1" min="11" max="11"/>
    <col width="24" customWidth="1" min="12" max="12"/>
    <col width="22" customWidth="1" min="13" max="13"/>
    <col width="11" customWidth="1" min="14" max="14"/>
    <col hidden="1" width="4" customWidth="1" min="15" max="15"/>
    <col hidden="1" width="4" customWidth="1" min="16" max="16"/>
    <col hidden="1" width="4" customWidth="1" min="17" max="17"/>
    <col hidden="1" width="4" customWidth="1" min="18" max="18"/>
    <col hidden="1" width="4" customWidth="1" min="19" max="19"/>
    <col hidden="1" width="4" customWidth="1" min="20" max="20"/>
    <col hidden="1" width="4" customWidth="1" min="21" max="21"/>
    <col hidden="1" width="4" customWidth="1" min="22" max="22"/>
  </cols>
  <sheetData>
    <row r="1" ht="26" customHeight="1">
      <c r="A1" s="1" t="inlineStr">
        <is>
          <t>GIAO VIỆC &amp; THEO DÕI</t>
        </is>
      </c>
    </row>
    <row r="2">
      <c r="A2" s="2" t="inlineStr">
        <is>
          <t>Người phụ trách tự điền theo ĐỘI của sự kiện (tab Sự kiện); Owner đổi riêng từng việc ở cột G nếu cần. Người làm cập nhật Trạng thái + Ghi chú — chọn "Xong" thì Ngày xong tự điền, cột Cập nhật ghi giờ + người sửa. Lọc cột G để xem việc của mình.</t>
        </is>
      </c>
    </row>
    <row r="4" ht="32" customHeight="1">
      <c r="A4" s="11" t="inlineStr">
        <is>
          <t>Sự kiện</t>
        </is>
      </c>
      <c r="B4" s="11" t="inlineStr">
        <is>
          <t>Ngày D</t>
        </is>
      </c>
      <c r="C4" s="11" t="inlineStr">
        <is>
          <t>Mốc</t>
        </is>
      </c>
      <c r="D4" s="11" t="inlineStr">
        <is>
          <t>Hạng mục</t>
        </is>
      </c>
      <c r="E4" s="11" t="inlineStr">
        <is>
          <t>Việc cần làm</t>
        </is>
      </c>
      <c r="F4" s="11" t="inlineStr">
        <is>
          <t>Vai trò</t>
        </is>
      </c>
      <c r="G4" s="44" t="inlineStr">
        <is>
          <t>Người phụ trách</t>
        </is>
      </c>
      <c r="H4" s="44" t="inlineStr">
        <is>
          <t>Phối hợp / đối tác</t>
        </is>
      </c>
      <c r="I4" s="44" t="inlineStr">
        <is>
          <t>Hạn</t>
        </is>
      </c>
      <c r="J4" s="44" t="inlineStr">
        <is>
          <t>Trạng thái</t>
        </is>
      </c>
      <c r="K4" s="44" t="inlineStr">
        <is>
          <t>Ngày xong</t>
        </is>
      </c>
      <c r="L4" s="44" t="inlineStr">
        <is>
          <t>Ghi chú / link</t>
        </is>
      </c>
      <c r="M4" s="11" t="inlineStr">
        <is>
          <t>Cảnh báo</t>
        </is>
      </c>
      <c r="N4" s="11" t="inlineStr">
        <is>
          <t>Cập nhật</t>
        </is>
      </c>
      <c r="O4" s="11" t="inlineStr">
        <is>
          <t>_sk</t>
        </is>
      </c>
      <c r="P4" s="11" t="inlineStr">
        <is>
          <t>_ma</t>
        </is>
      </c>
      <c r="Q4" s="11" t="inlineStr">
        <is>
          <t>_n</t>
        </is>
      </c>
      <c r="R4" s="11" t="inlineStr">
        <is>
          <t>_t</t>
        </is>
      </c>
      <c r="S4" s="11" t="inlineStr">
        <is>
          <t>_sort</t>
        </is>
      </c>
      <c r="T4" s="11" t="inlineStr">
        <is>
          <t>_td</t>
        </is>
      </c>
      <c r="U4" s="11" t="inlineStr">
        <is>
          <t>_auto</t>
        </is>
      </c>
      <c r="V4" s="11" t="inlineStr">
        <is>
          <t>_sel</t>
        </is>
      </c>
    </row>
    <row r="5">
      <c r="A5" s="12">
        <f>IF(O5="","",IFERROR(INDEX(SK_B,MATCH(O5,SK_A,0))&amp;"",""))</f>
        <v/>
      </c>
      <c r="B5" s="45">
        <f>IF(O5="","",IFERROR(INDEX(SK_C,MATCH(O5,SK_A,0)),""))</f>
        <v/>
      </c>
      <c r="C5" s="46">
        <f>IF(Q5="","",IF(Q5=0,"D",IF(Q5&lt;0,"D"&amp;Q5,"D+"&amp;Q5)))</f>
        <v/>
      </c>
      <c r="D5" s="14" t="inlineStr">
        <is>
          <t>1. Kế hoạch</t>
        </is>
      </c>
      <c r="E5" s="12" t="inlineStr">
        <is>
          <t>Lập kế hoạch tổng quan (KOL, số khách, mục đích, KPI bán hàng, khuyến mại, khảo sát) + xin Giám đốc duyệt ngân sách</t>
        </is>
      </c>
      <c r="F5" s="46" t="inlineStr">
        <is>
          <t>MKT Leader</t>
        </is>
      </c>
      <c r="G5" s="47" t="inlineStr">
        <is>
          <t>Leader MKT (ví dụ)</t>
        </is>
      </c>
      <c r="H5" s="14" t="inlineStr">
        <is>
          <t>Sales, NPP</t>
        </is>
      </c>
      <c r="I5" s="13">
        <f>IF(OR(B5="",Q5=""),"",IF(Q5&gt;0,IF(R5="Làm việc",WORKDAY(IFERROR(IF(INDEX(SK_D,MATCH(O5,SK_A,0))="",B5,INDEX(SK_D,MATCH(O5,SK_A,0))),B5),Q5,HOLI),IFERROR(IF(INDEX(SK_D,MATCH(O5,SK_A,0))="",B5,INDEX(SK_D,MATCH(O5,SK_A,0))),B5)+Q5),B5+Q5))</f>
        <v/>
      </c>
      <c r="J5" s="14" t="inlineStr">
        <is>
          <t>Xong</t>
        </is>
      </c>
      <c r="K5" s="13" t="n">
        <v>46282</v>
      </c>
      <c r="L5" s="12" t="n"/>
      <c r="M5" s="48">
        <f>IF(E5="","",IF(J5="Bỏ qua","—",IF(J5="Xong",IF(AND(ISNUMBER(K5),ISNUMBER(I5),K5&gt;I5),"Xong trễ","Xong"),MID(IF(G5=""," · CHƯA GIAO","")&amp;IF(NOT(ISNUMBER(I5)),"",IF(TODAY()&gt;I5," · QUÁ HẠN "&amp;(TODAY()-I5)&amp;" ngày",IF(I5-TODAY()&lt;=3," · Đến hạn "&amp;IF(I5=TODAY(),"hôm nay","trong "&amp;(I5-TODAY())&amp;" ngày"),"")))&amp;IF(J5="Chờ đối tác"," · Chờ đối tác"&amp;IF(ISNUMBER(N5)," "&amp;(TODAY()-INT(N5))&amp;" ngày",""),""),4,200))))</f>
        <v/>
      </c>
      <c r="N5" s="49" t="n">
        <v>46282.6875</v>
      </c>
      <c r="O5" t="inlineStr">
        <is>
          <t>VD-1</t>
        </is>
      </c>
      <c r="P5" t="inlineStr">
        <is>
          <t>K01</t>
        </is>
      </c>
      <c r="Q5" t="n">
        <v>-30</v>
      </c>
      <c r="R5" t="inlineStr">
        <is>
          <t>Lịch</t>
        </is>
      </c>
      <c r="S5">
        <f>IF(AND(E5&lt;&gt;"",T5="Có",J5&lt;&gt;"Xong",J5&lt;&gt;"Bỏ qua",ISNUMBER(I5)),I5+ROW()/100000,"")</f>
        <v/>
      </c>
      <c r="T5">
        <f>IF(O5="","",IFERROR(INDEX(SK_TD,MATCH(O5,SK_A,0)),""))</f>
        <v/>
      </c>
      <c r="U5" t="inlineStr">
        <is>
          <t>Leader MKT (ví dụ)</t>
        </is>
      </c>
      <c r="V5">
        <f>IF(AND(O5&lt;&gt;"",O5=SEL_K,J5&lt;&gt;"Xong",J5&lt;&gt;"Bỏ qua"),IF(ISNUMBER(I5),I5,99999)+ROW()/100000,"")</f>
        <v/>
      </c>
    </row>
    <row r="6">
      <c r="A6" s="12">
        <f>IF(O6="","",IFERROR(INDEX(SK_B,MATCH(O6,SK_A,0))&amp;"",""))</f>
        <v/>
      </c>
      <c r="B6" s="45">
        <f>IF(O6="","",IFERROR(INDEX(SK_C,MATCH(O6,SK_A,0)),""))</f>
        <v/>
      </c>
      <c r="C6" s="46">
        <f>IF(Q6="","",IF(Q6=0,"D",IF(Q6&lt;0,"D"&amp;Q6,"D+"&amp;Q6)))</f>
        <v/>
      </c>
      <c r="D6" s="14" t="inlineStr">
        <is>
          <t>1. Kế hoạch</t>
        </is>
      </c>
      <c r="E6" s="12" t="inlineStr">
        <is>
          <t>Chia việc với NPP, Trường / Viện (tuyển sinh, đồ thực hành, MC, số bàn trưng bày)</t>
        </is>
      </c>
      <c r="F6" s="46" t="inlineStr">
        <is>
          <t>MKT Leader</t>
        </is>
      </c>
      <c r="G6" s="47" t="inlineStr">
        <is>
          <t>Leader MKT (ví dụ)</t>
        </is>
      </c>
      <c r="H6" s="14" t="inlineStr">
        <is>
          <t>NPP, Viện</t>
        </is>
      </c>
      <c r="I6" s="13">
        <f>IF(OR(B6="",Q6=""),"",IF(Q6&gt;0,IF(R6="Làm việc",WORKDAY(IFERROR(IF(INDEX(SK_D,MATCH(O6,SK_A,0))="",B6,INDEX(SK_D,MATCH(O6,SK_A,0))),B6),Q6,HOLI),IFERROR(IF(INDEX(SK_D,MATCH(O6,SK_A,0))="",B6,INDEX(SK_D,MATCH(O6,SK_A,0))),B6)+Q6),B6+Q6))</f>
        <v/>
      </c>
      <c r="J6" s="14" t="inlineStr">
        <is>
          <t>Xong</t>
        </is>
      </c>
      <c r="K6" s="13" t="n">
        <v>46281</v>
      </c>
      <c r="L6" s="12" t="n"/>
      <c r="M6" s="48">
        <f>IF(E6="","",IF(J6="Bỏ qua","—",IF(J6="Xong",IF(AND(ISNUMBER(K6),ISNUMBER(I6),K6&gt;I6),"Xong trễ","Xong"),MID(IF(G6=""," · CHƯA GIAO","")&amp;IF(NOT(ISNUMBER(I6)),"",IF(TODAY()&gt;I6," · QUÁ HẠN "&amp;(TODAY()-I6)&amp;" ngày",IF(I6-TODAY()&lt;=3," · Đến hạn "&amp;IF(I6=TODAY(),"hôm nay","trong "&amp;(I6-TODAY())&amp;" ngày"),"")))&amp;IF(J6="Chờ đối tác"," · Chờ đối tác"&amp;IF(ISNUMBER(N6)," "&amp;(TODAY()-INT(N6))&amp;" ngày",""),""),4,200))))</f>
        <v/>
      </c>
      <c r="N6" s="49" t="n">
        <v>46281.6875</v>
      </c>
      <c r="O6" t="inlineStr">
        <is>
          <t>VD-1</t>
        </is>
      </c>
      <c r="P6" t="inlineStr">
        <is>
          <t>K02</t>
        </is>
      </c>
      <c r="Q6" t="n">
        <v>-30</v>
      </c>
      <c r="R6" t="inlineStr">
        <is>
          <t>Lịch</t>
        </is>
      </c>
      <c r="S6">
        <f>IF(AND(E6&lt;&gt;"",T6="Có",J6&lt;&gt;"Xong",J6&lt;&gt;"Bỏ qua",ISNUMBER(I6)),I6+ROW()/100000,"")</f>
        <v/>
      </c>
      <c r="T6">
        <f>IF(O6="","",IFERROR(INDEX(SK_TD,MATCH(O6,SK_A,0)),""))</f>
        <v/>
      </c>
      <c r="U6" t="inlineStr">
        <is>
          <t>Leader MKT (ví dụ)</t>
        </is>
      </c>
      <c r="V6">
        <f>IF(AND(O6&lt;&gt;"",O6=SEL_K,J6&lt;&gt;"Xong",J6&lt;&gt;"Bỏ qua"),IF(ISNUMBER(I6),I6,99999)+ROW()/100000,"")</f>
        <v/>
      </c>
    </row>
    <row r="7">
      <c r="A7" s="12">
        <f>IF(O7="","",IFERROR(INDEX(SK_B,MATCH(O7,SK_A,0))&amp;"",""))</f>
        <v/>
      </c>
      <c r="B7" s="45">
        <f>IF(O7="","",IFERROR(INDEX(SK_C,MATCH(O7,SK_A,0)),""))</f>
        <v/>
      </c>
      <c r="C7" s="46">
        <f>IF(Q7="","",IF(Q7=0,"D",IF(Q7&lt;0,"D"&amp;Q7,"D+"&amp;Q7)))</f>
        <v/>
      </c>
      <c r="D7" s="14" t="inlineStr">
        <is>
          <t>2. KOL &amp; đối tác</t>
        </is>
      </c>
      <c r="E7" s="12" t="inlineStr">
        <is>
          <t>Chốt KOL: hợp đồng, lịch di chuyển, xem trước bài giảng, người chăm sóc KOL</t>
        </is>
      </c>
      <c r="F7" s="46" t="inlineStr">
        <is>
          <t>MKT Leader</t>
        </is>
      </c>
      <c r="G7" s="47" t="inlineStr">
        <is>
          <t>Leader MKT (ví dụ)</t>
        </is>
      </c>
      <c r="H7" s="14" t="inlineStr">
        <is>
          <t>KOL</t>
        </is>
      </c>
      <c r="I7" s="13">
        <f>IF(OR(B7="",Q7=""),"",IF(Q7&gt;0,IF(R7="Làm việc",WORKDAY(IFERROR(IF(INDEX(SK_D,MATCH(O7,SK_A,0))="",B7,INDEX(SK_D,MATCH(O7,SK_A,0))),B7),Q7,HOLI),IFERROR(IF(INDEX(SK_D,MATCH(O7,SK_A,0))="",B7,INDEX(SK_D,MATCH(O7,SK_A,0))),B7)+Q7),B7+Q7))</f>
        <v/>
      </c>
      <c r="J7" s="14" t="inlineStr">
        <is>
          <t>Xong</t>
        </is>
      </c>
      <c r="K7" s="13" t="n">
        <v>46283</v>
      </c>
      <c r="L7" s="12" t="n"/>
      <c r="M7" s="48">
        <f>IF(E7="","",IF(J7="Bỏ qua","—",IF(J7="Xong",IF(AND(ISNUMBER(K7),ISNUMBER(I7),K7&gt;I7),"Xong trễ","Xong"),MID(IF(G7=""," · CHƯA GIAO","")&amp;IF(NOT(ISNUMBER(I7)),"",IF(TODAY()&gt;I7," · QUÁ HẠN "&amp;(TODAY()-I7)&amp;" ngày",IF(I7-TODAY()&lt;=3," · Đến hạn "&amp;IF(I7=TODAY(),"hôm nay","trong "&amp;(I7-TODAY())&amp;" ngày"),"")))&amp;IF(J7="Chờ đối tác"," · Chờ đối tác"&amp;IF(ISNUMBER(N7)," "&amp;(TODAY()-INT(N7))&amp;" ngày",""),""),4,200))))</f>
        <v/>
      </c>
      <c r="N7" s="49" t="n">
        <v>46283.6875</v>
      </c>
      <c r="O7" t="inlineStr">
        <is>
          <t>VD-1</t>
        </is>
      </c>
      <c r="P7" t="inlineStr">
        <is>
          <t>K03</t>
        </is>
      </c>
      <c r="Q7" t="n">
        <v>-30</v>
      </c>
      <c r="R7" t="inlineStr">
        <is>
          <t>Lịch</t>
        </is>
      </c>
      <c r="S7">
        <f>IF(AND(E7&lt;&gt;"",T7="Có",J7&lt;&gt;"Xong",J7&lt;&gt;"Bỏ qua",ISNUMBER(I7)),I7+ROW()/100000,"")</f>
        <v/>
      </c>
      <c r="T7">
        <f>IF(O7="","",IFERROR(INDEX(SK_TD,MATCH(O7,SK_A,0)),""))</f>
        <v/>
      </c>
      <c r="U7" t="inlineStr">
        <is>
          <t>Leader MKT (ví dụ)</t>
        </is>
      </c>
      <c r="V7">
        <f>IF(AND(O7&lt;&gt;"",O7=SEL_K,J7&lt;&gt;"Xong",J7&lt;&gt;"Bỏ qua"),IF(ISNUMBER(I7),I7,99999)+ROW()/100000,"")</f>
        <v/>
      </c>
    </row>
    <row r="8">
      <c r="A8" s="12">
        <f>IF(O8="","",IFERROR(INDEX(SK_B,MATCH(O8,SK_A,0))&amp;"",""))</f>
        <v/>
      </c>
      <c r="B8" s="45">
        <f>IF(O8="","",IFERROR(INDEX(SK_C,MATCH(O8,SK_A,0)),""))</f>
        <v/>
      </c>
      <c r="C8" s="46">
        <f>IF(Q8="","",IF(Q8=0,"D",IF(Q8&lt;0,"D"&amp;Q8,"D+"&amp;Q8)))</f>
        <v/>
      </c>
      <c r="D8" s="14" t="inlineStr">
        <is>
          <t>3. Tuyển sinh</t>
        </is>
      </c>
      <c r="E8" s="12" t="inlineStr">
        <is>
          <t>Mở tuyển sinh: form đăng ký (khảo sát trước, đồng ý dữ liệu, nguồn đăng ký) + nhóm Zalo khách</t>
        </is>
      </c>
      <c r="F8" s="46" t="inlineStr">
        <is>
          <t>Digital MKT</t>
        </is>
      </c>
      <c r="G8" s="47" t="inlineStr">
        <is>
          <t>Digital (ví dụ)</t>
        </is>
      </c>
      <c r="H8" s="14" t="inlineStr">
        <is>
          <t>Sales, NPP</t>
        </is>
      </c>
      <c r="I8" s="13">
        <f>IF(OR(B8="",Q8=""),"",IF(Q8&gt;0,IF(R8="Làm việc",WORKDAY(IFERROR(IF(INDEX(SK_D,MATCH(O8,SK_A,0))="",B8,INDEX(SK_D,MATCH(O8,SK_A,0))),B8),Q8,HOLI),IFERROR(IF(INDEX(SK_D,MATCH(O8,SK_A,0))="",B8,INDEX(SK_D,MATCH(O8,SK_A,0))),B8)+Q8),B8+Q8))</f>
        <v/>
      </c>
      <c r="J8" s="14" t="inlineStr">
        <is>
          <t>Xong</t>
        </is>
      </c>
      <c r="K8" s="13" t="n">
        <v>46280</v>
      </c>
      <c r="L8" s="12" t="n"/>
      <c r="M8" s="48">
        <f>IF(E8="","",IF(J8="Bỏ qua","—",IF(J8="Xong",IF(AND(ISNUMBER(K8),ISNUMBER(I8),K8&gt;I8),"Xong trễ","Xong"),MID(IF(G8=""," · CHƯA GIAO","")&amp;IF(NOT(ISNUMBER(I8)),"",IF(TODAY()&gt;I8," · QUÁ HẠN "&amp;(TODAY()-I8)&amp;" ngày",IF(I8-TODAY()&lt;=3," · Đến hạn "&amp;IF(I8=TODAY(),"hôm nay","trong "&amp;(I8-TODAY())&amp;" ngày"),"")))&amp;IF(J8="Chờ đối tác"," · Chờ đối tác"&amp;IF(ISNUMBER(N8)," "&amp;(TODAY()-INT(N8))&amp;" ngày",""),""),4,200))))</f>
        <v/>
      </c>
      <c r="N8" s="49" t="n">
        <v>46280.6875</v>
      </c>
      <c r="O8" t="inlineStr">
        <is>
          <t>VD-1</t>
        </is>
      </c>
      <c r="P8" t="inlineStr">
        <is>
          <t>K04</t>
        </is>
      </c>
      <c r="Q8" t="n">
        <v>-30</v>
      </c>
      <c r="R8" t="inlineStr">
        <is>
          <t>Lịch</t>
        </is>
      </c>
      <c r="S8">
        <f>IF(AND(E8&lt;&gt;"",T8="Có",J8&lt;&gt;"Xong",J8&lt;&gt;"Bỏ qua",ISNUMBER(I8)),I8+ROW()/100000,"")</f>
        <v/>
      </c>
      <c r="T8">
        <f>IF(O8="","",IFERROR(INDEX(SK_TD,MATCH(O8,SK_A,0)),""))</f>
        <v/>
      </c>
      <c r="U8" t="inlineStr">
        <is>
          <t>Digital (ví dụ)</t>
        </is>
      </c>
      <c r="V8">
        <f>IF(AND(O8&lt;&gt;"",O8=SEL_K,J8&lt;&gt;"Xong",J8&lt;&gt;"Bỏ qua"),IF(ISNUMBER(I8),I8,99999)+ROW()/100000,"")</f>
        <v/>
      </c>
    </row>
    <row r="9">
      <c r="A9" s="12">
        <f>IF(O9="","",IFERROR(INDEX(SK_B,MATCH(O9,SK_A,0))&amp;"",""))</f>
        <v/>
      </c>
      <c r="B9" s="45">
        <f>IF(O9="","",IFERROR(INDEX(SK_C,MATCH(O9,SK_A,0)),""))</f>
        <v/>
      </c>
      <c r="C9" s="46">
        <f>IF(Q9="","",IF(Q9=0,"D",IF(Q9&lt;0,"D"&amp;Q9,"D+"&amp;Q9)))</f>
        <v/>
      </c>
      <c r="D9" s="14" t="inlineStr">
        <is>
          <t>3. Tuyển sinh</t>
        </is>
      </c>
      <c r="E9" s="12" t="inlineStr">
        <is>
          <t>Báo cáo số đăng ký theo nguồn cho team (thứ Hai hằng tuần, đến D-1)</t>
        </is>
      </c>
      <c r="F9" s="46" t="inlineStr">
        <is>
          <t>MKT Leader</t>
        </is>
      </c>
      <c r="G9" s="47" t="inlineStr">
        <is>
          <t>Leader MKT (ví dụ)</t>
        </is>
      </c>
      <c r="H9" s="14" t="inlineStr">
        <is>
          <t>Sales, NPP</t>
        </is>
      </c>
      <c r="I9" s="13">
        <f>IF(OR(B9="",Q9=""),"",IF(Q9&gt;0,IF(R9="Làm việc",WORKDAY(IFERROR(IF(INDEX(SK_D,MATCH(O9,SK_A,0))="",B9,INDEX(SK_D,MATCH(O9,SK_A,0))),B9),Q9,HOLI),IFERROR(IF(INDEX(SK_D,MATCH(O9,SK_A,0))="",B9,INDEX(SK_D,MATCH(O9,SK_A,0))),B9)+Q9),B9+Q9))</f>
        <v/>
      </c>
      <c r="J9" s="14" t="inlineStr">
        <is>
          <t>Xong</t>
        </is>
      </c>
      <c r="K9" s="13" t="n">
        <v>46309</v>
      </c>
      <c r="L9" s="12" t="n"/>
      <c r="M9" s="48">
        <f>IF(E9="","",IF(J9="Bỏ qua","—",IF(J9="Xong",IF(AND(ISNUMBER(K9),ISNUMBER(I9),K9&gt;I9),"Xong trễ","Xong"),MID(IF(G9=""," · CHƯA GIAO","")&amp;IF(NOT(ISNUMBER(I9)),"",IF(TODAY()&gt;I9," · QUÁ HẠN "&amp;(TODAY()-I9)&amp;" ngày",IF(I9-TODAY()&lt;=3," · Đến hạn "&amp;IF(I9=TODAY(),"hôm nay","trong "&amp;(I9-TODAY())&amp;" ngày"),"")))&amp;IF(J9="Chờ đối tác"," · Chờ đối tác"&amp;IF(ISNUMBER(N9)," "&amp;(TODAY()-INT(N9))&amp;" ngày",""),""),4,200))))</f>
        <v/>
      </c>
      <c r="N9" s="49" t="n">
        <v>46309.6875</v>
      </c>
      <c r="O9" t="inlineStr">
        <is>
          <t>VD-1</t>
        </is>
      </c>
      <c r="P9" t="inlineStr">
        <is>
          <t>K05</t>
        </is>
      </c>
      <c r="Q9" t="n">
        <v>-1</v>
      </c>
      <c r="R9" t="inlineStr">
        <is>
          <t>Lịch</t>
        </is>
      </c>
      <c r="S9">
        <f>IF(AND(E9&lt;&gt;"",T9="Có",J9&lt;&gt;"Xong",J9&lt;&gt;"Bỏ qua",ISNUMBER(I9)),I9+ROW()/100000,"")</f>
        <v/>
      </c>
      <c r="T9">
        <f>IF(O9="","",IFERROR(INDEX(SK_TD,MATCH(O9,SK_A,0)),""))</f>
        <v/>
      </c>
      <c r="U9" t="inlineStr">
        <is>
          <t>Leader MKT (ví dụ)</t>
        </is>
      </c>
      <c r="V9">
        <f>IF(AND(O9&lt;&gt;"",O9=SEL_K,J9&lt;&gt;"Xong",J9&lt;&gt;"Bỏ qua"),IF(ISNUMBER(I9),I9,99999)+ROW()/100000,"")</f>
        <v/>
      </c>
    </row>
    <row r="10">
      <c r="A10" s="12">
        <f>IF(O10="","",IFERROR(INDEX(SK_B,MATCH(O10,SK_A,0))&amp;"",""))</f>
        <v/>
      </c>
      <c r="B10" s="45">
        <f>IF(O10="","",IFERROR(INDEX(SK_C,MATCH(O10,SK_A,0)),""))</f>
        <v/>
      </c>
      <c r="C10" s="46">
        <f>IF(Q10="","",IF(Q10=0,"D",IF(Q10&lt;0,"D"&amp;Q10,"D+"&amp;Q10)))</f>
        <v/>
      </c>
      <c r="D10" s="14" t="inlineStr">
        <is>
          <t>3. Tuyển sinh</t>
        </is>
      </c>
      <c r="E10" s="12" t="inlineStr">
        <is>
          <t>Checkpoint D-14: đăng ký &lt; 60% target ⇒ báo Giám đốc phương án</t>
        </is>
      </c>
      <c r="F10" s="46" t="inlineStr">
        <is>
          <t>MKT Leader</t>
        </is>
      </c>
      <c r="G10" s="47" t="inlineStr">
        <is>
          <t>Leader MKT (ví dụ)</t>
        </is>
      </c>
      <c r="H10" s="14" t="inlineStr">
        <is>
          <t>Giám đốc</t>
        </is>
      </c>
      <c r="I10" s="13">
        <f>IF(OR(B10="",Q10=""),"",IF(Q10&gt;0,IF(R10="Làm việc",WORKDAY(IFERROR(IF(INDEX(SK_D,MATCH(O10,SK_A,0))="",B10,INDEX(SK_D,MATCH(O10,SK_A,0))),B10),Q10,HOLI),IFERROR(IF(INDEX(SK_D,MATCH(O10,SK_A,0))="",B10,INDEX(SK_D,MATCH(O10,SK_A,0))),B10)+Q10),B10+Q10))</f>
        <v/>
      </c>
      <c r="J10" s="14" t="inlineStr">
        <is>
          <t>Xong</t>
        </is>
      </c>
      <c r="K10" s="13" t="n">
        <v>46298</v>
      </c>
      <c r="L10" s="12" t="n"/>
      <c r="M10" s="48">
        <f>IF(E10="","",IF(J10="Bỏ qua","—",IF(J10="Xong",IF(AND(ISNUMBER(K10),ISNUMBER(I10),K10&gt;I10),"Xong trễ","Xong"),MID(IF(G10=""," · CHƯA GIAO","")&amp;IF(NOT(ISNUMBER(I10)),"",IF(TODAY()&gt;I10," · QUÁ HẠN "&amp;(TODAY()-I10)&amp;" ngày",IF(I10-TODAY()&lt;=3," · Đến hạn "&amp;IF(I10=TODAY(),"hôm nay","trong "&amp;(I10-TODAY())&amp;" ngày"),"")))&amp;IF(J10="Chờ đối tác"," · Chờ đối tác"&amp;IF(ISNUMBER(N10)," "&amp;(TODAY()-INT(N10))&amp;" ngày",""),""),4,200))))</f>
        <v/>
      </c>
      <c r="N10" s="49" t="n">
        <v>46298.6875</v>
      </c>
      <c r="O10" t="inlineStr">
        <is>
          <t>VD-1</t>
        </is>
      </c>
      <c r="P10" t="inlineStr">
        <is>
          <t>K06</t>
        </is>
      </c>
      <c r="Q10" t="n">
        <v>-14</v>
      </c>
      <c r="R10" t="inlineStr">
        <is>
          <t>Lịch</t>
        </is>
      </c>
      <c r="S10">
        <f>IF(AND(E10&lt;&gt;"",T10="Có",J10&lt;&gt;"Xong",J10&lt;&gt;"Bỏ qua",ISNUMBER(I10)),I10+ROW()/100000,"")</f>
        <v/>
      </c>
      <c r="T10">
        <f>IF(O10="","",IFERROR(INDEX(SK_TD,MATCH(O10,SK_A,0)),""))</f>
        <v/>
      </c>
      <c r="U10" t="inlineStr">
        <is>
          <t>Leader MKT (ví dụ)</t>
        </is>
      </c>
      <c r="V10">
        <f>IF(AND(O10&lt;&gt;"",O10=SEL_K,J10&lt;&gt;"Xong",J10&lt;&gt;"Bỏ qua"),IF(ISNUMBER(I10),I10,99999)+ROW()/100000,"")</f>
        <v/>
      </c>
    </row>
    <row r="11">
      <c r="A11" s="12">
        <f>IF(O11="","",IFERROR(INDEX(SK_B,MATCH(O11,SK_A,0))&amp;"",""))</f>
        <v/>
      </c>
      <c r="B11" s="45">
        <f>IF(O11="","",IFERROR(INDEX(SK_C,MATCH(O11,SK_A,0)),""))</f>
        <v/>
      </c>
      <c r="C11" s="46">
        <f>IF(Q11="","",IF(Q11=0,"D",IF(Q11&lt;0,"D"&amp;Q11,"D+"&amp;Q11)))</f>
        <v/>
      </c>
      <c r="D11" s="14" t="inlineStr">
        <is>
          <t>3. Tuyển sinh</t>
        </is>
      </c>
      <c r="E11" s="12" t="inlineStr">
        <is>
          <t>Sales / NPP gửi đủ thông tin khách đăng ký hộ (Họ tên · SĐT · Nơi công tác)</t>
        </is>
      </c>
      <c r="F11" s="46" t="inlineStr">
        <is>
          <t>Sales</t>
        </is>
      </c>
      <c r="G11" s="47" t="inlineStr">
        <is>
          <t>Sales Dental (ví dụ)</t>
        </is>
      </c>
      <c r="H11" s="14" t="inlineStr">
        <is>
          <t>NPP</t>
        </is>
      </c>
      <c r="I11" s="13">
        <f>IF(OR(B11="",Q11=""),"",IF(Q11&gt;0,IF(R11="Làm việc",WORKDAY(IFERROR(IF(INDEX(SK_D,MATCH(O11,SK_A,0))="",B11,INDEX(SK_D,MATCH(O11,SK_A,0))),B11),Q11,HOLI),IFERROR(IF(INDEX(SK_D,MATCH(O11,SK_A,0))="",B11,INDEX(SK_D,MATCH(O11,SK_A,0))),B11)+Q11),B11+Q11))</f>
        <v/>
      </c>
      <c r="J11" s="14" t="inlineStr">
        <is>
          <t>Xong</t>
        </is>
      </c>
      <c r="K11" s="13" t="n">
        <v>46307</v>
      </c>
      <c r="L11" s="12" t="n"/>
      <c r="M11" s="48">
        <f>IF(E11="","",IF(J11="Bỏ qua","—",IF(J11="Xong",IF(AND(ISNUMBER(K11),ISNUMBER(I11),K11&gt;I11),"Xong trễ","Xong"),MID(IF(G11=""," · CHƯA GIAO","")&amp;IF(NOT(ISNUMBER(I11)),"",IF(TODAY()&gt;I11," · QUÁ HẠN "&amp;(TODAY()-I11)&amp;" ngày",IF(I11-TODAY()&lt;=3," · Đến hạn "&amp;IF(I11=TODAY(),"hôm nay","trong "&amp;(I11-TODAY())&amp;" ngày"),"")))&amp;IF(J11="Chờ đối tác"," · Chờ đối tác"&amp;IF(ISNUMBER(N11)," "&amp;(TODAY()-INT(N11))&amp;" ngày",""),""),4,200))))</f>
        <v/>
      </c>
      <c r="N11" s="49" t="n">
        <v>46307.6875</v>
      </c>
      <c r="O11" t="inlineStr">
        <is>
          <t>VD-1</t>
        </is>
      </c>
      <c r="P11" t="inlineStr">
        <is>
          <t>K07</t>
        </is>
      </c>
      <c r="Q11" t="n">
        <v>-5</v>
      </c>
      <c r="R11" t="inlineStr">
        <is>
          <t>Lịch</t>
        </is>
      </c>
      <c r="S11">
        <f>IF(AND(E11&lt;&gt;"",T11="Có",J11&lt;&gt;"Xong",J11&lt;&gt;"Bỏ qua",ISNUMBER(I11)),I11+ROW()/100000,"")</f>
        <v/>
      </c>
      <c r="T11">
        <f>IF(O11="","",IFERROR(INDEX(SK_TD,MATCH(O11,SK_A,0)),""))</f>
        <v/>
      </c>
      <c r="U11" t="inlineStr">
        <is>
          <t>Sales Dental (ví dụ)</t>
        </is>
      </c>
      <c r="V11">
        <f>IF(AND(O11&lt;&gt;"",O11=SEL_K,J11&lt;&gt;"Xong",J11&lt;&gt;"Bỏ qua"),IF(ISNUMBER(I11),I11,99999)+ROW()/100000,"")</f>
        <v/>
      </c>
    </row>
    <row r="12">
      <c r="A12" s="12">
        <f>IF(O12="","",IFERROR(INDEX(SK_B,MATCH(O12,SK_A,0))&amp;"",""))</f>
        <v/>
      </c>
      <c r="B12" s="45">
        <f>IF(O12="","",IFERROR(INDEX(SK_C,MATCH(O12,SK_A,0)),""))</f>
        <v/>
      </c>
      <c r="C12" s="46">
        <f>IF(Q12="","",IF(Q12=0,"D",IF(Q12&lt;0,"D"&amp;Q12,"D+"&amp;Q12)))</f>
        <v/>
      </c>
      <c r="D12" s="14" t="inlineStr">
        <is>
          <t>4. Truyền thông</t>
        </is>
      </c>
      <c r="E12" s="12" t="inlineStr">
        <is>
          <t>Đăng chuỗi bài truyền thông sự kiện</t>
        </is>
      </c>
      <c r="F12" s="46" t="inlineStr">
        <is>
          <t>Digital MKT</t>
        </is>
      </c>
      <c r="G12" s="47" t="inlineStr">
        <is>
          <t>Digital (ví dụ)</t>
        </is>
      </c>
      <c r="H12" s="14" t="inlineStr">
        <is>
          <t>Sales, NPP chia sẻ</t>
        </is>
      </c>
      <c r="I12" s="13">
        <f>IF(OR(B12="",Q12=""),"",IF(Q12&gt;0,IF(R12="Làm việc",WORKDAY(IFERROR(IF(INDEX(SK_D,MATCH(O12,SK_A,0))="",B12,INDEX(SK_D,MATCH(O12,SK_A,0))),B12),Q12,HOLI),IFERROR(IF(INDEX(SK_D,MATCH(O12,SK_A,0))="",B12,INDEX(SK_D,MATCH(O12,SK_A,0))),B12)+Q12),B12+Q12))</f>
        <v/>
      </c>
      <c r="J12" s="14" t="inlineStr">
        <is>
          <t>Xong</t>
        </is>
      </c>
      <c r="K12" s="13" t="n">
        <v>46298</v>
      </c>
      <c r="L12" s="12" t="n"/>
      <c r="M12" s="48">
        <f>IF(E12="","",IF(J12="Bỏ qua","—",IF(J12="Xong",IF(AND(ISNUMBER(K12),ISNUMBER(I12),K12&gt;I12),"Xong trễ","Xong"),MID(IF(G12=""," · CHƯA GIAO","")&amp;IF(NOT(ISNUMBER(I12)),"",IF(TODAY()&gt;I12," · QUÁ HẠN "&amp;(TODAY()-I12)&amp;" ngày",IF(I12-TODAY()&lt;=3," · Đến hạn "&amp;IF(I12=TODAY(),"hôm nay","trong "&amp;(I12-TODAY())&amp;" ngày"),"")))&amp;IF(J12="Chờ đối tác"," · Chờ đối tác"&amp;IF(ISNUMBER(N12)," "&amp;(TODAY()-INT(N12))&amp;" ngày",""),""),4,200))))</f>
        <v/>
      </c>
      <c r="N12" s="49" t="n">
        <v>46298.6875</v>
      </c>
      <c r="O12" t="inlineStr">
        <is>
          <t>VD-1</t>
        </is>
      </c>
      <c r="P12" t="inlineStr">
        <is>
          <t>K08</t>
        </is>
      </c>
      <c r="Q12" t="n">
        <v>-14</v>
      </c>
      <c r="R12" t="inlineStr">
        <is>
          <t>Lịch</t>
        </is>
      </c>
      <c r="S12">
        <f>IF(AND(E12&lt;&gt;"",T12="Có",J12&lt;&gt;"Xong",J12&lt;&gt;"Bỏ qua",ISNUMBER(I12)),I12+ROW()/100000,"")</f>
        <v/>
      </c>
      <c r="T12">
        <f>IF(O12="","",IFERROR(INDEX(SK_TD,MATCH(O12,SK_A,0)),""))</f>
        <v/>
      </c>
      <c r="U12" t="inlineStr">
        <is>
          <t>Digital (ví dụ)</t>
        </is>
      </c>
      <c r="V12">
        <f>IF(AND(O12&lt;&gt;"",O12=SEL_K,J12&lt;&gt;"Xong",J12&lt;&gt;"Bỏ qua"),IF(ISNUMBER(I12),I12,99999)+ROW()/100000,"")</f>
        <v/>
      </c>
    </row>
    <row r="13">
      <c r="A13" s="12">
        <f>IF(O13="","",IFERROR(INDEX(SK_B,MATCH(O13,SK_A,0))&amp;"",""))</f>
        <v/>
      </c>
      <c r="B13" s="45">
        <f>IF(O13="","",IFERROR(INDEX(SK_C,MATCH(O13,SK_A,0)),""))</f>
        <v/>
      </c>
      <c r="C13" s="46">
        <f>IF(Q13="","",IF(Q13=0,"D",IF(Q13&lt;0,"D"&amp;Q13,"D+"&amp;Q13)))</f>
        <v/>
      </c>
      <c r="D13" s="14" t="inlineStr">
        <is>
          <t>5. Địa điểm &amp; hậu cần</t>
        </is>
      </c>
      <c r="E13" s="12" t="inlineStr">
        <is>
          <t>Đặt địa điểm (ngày, phòng, sức chứa, báo giá)</t>
        </is>
      </c>
      <c r="F13" s="46" t="inlineStr">
        <is>
          <t>Trade MKT</t>
        </is>
      </c>
      <c r="G13" s="47" t="inlineStr">
        <is>
          <t>Trade (ví dụ)</t>
        </is>
      </c>
      <c r="H13" s="14" t="inlineStr">
        <is>
          <t>Địa điểm</t>
        </is>
      </c>
      <c r="I13" s="13">
        <f>IF(OR(B13="",Q13=""),"",IF(Q13&gt;0,IF(R13="Làm việc",WORKDAY(IFERROR(IF(INDEX(SK_D,MATCH(O13,SK_A,0))="",B13,INDEX(SK_D,MATCH(O13,SK_A,0))),B13),Q13,HOLI),IFERROR(IF(INDEX(SK_D,MATCH(O13,SK_A,0))="",B13,INDEX(SK_D,MATCH(O13,SK_A,0))),B13)+Q13),B13+Q13))</f>
        <v/>
      </c>
      <c r="J13" s="14" t="inlineStr">
        <is>
          <t>Xong</t>
        </is>
      </c>
      <c r="K13" s="13" t="n">
        <v>46283</v>
      </c>
      <c r="L13" s="12" t="n"/>
      <c r="M13" s="48">
        <f>IF(E13="","",IF(J13="Bỏ qua","—",IF(J13="Xong",IF(AND(ISNUMBER(K13),ISNUMBER(I13),K13&gt;I13),"Xong trễ","Xong"),MID(IF(G13=""," · CHƯA GIAO","")&amp;IF(NOT(ISNUMBER(I13)),"",IF(TODAY()&gt;I13," · QUÁ HẠN "&amp;(TODAY()-I13)&amp;" ngày",IF(I13-TODAY()&lt;=3," · Đến hạn "&amp;IF(I13=TODAY(),"hôm nay","trong "&amp;(I13-TODAY())&amp;" ngày"),"")))&amp;IF(J13="Chờ đối tác"," · Chờ đối tác"&amp;IF(ISNUMBER(N13)," "&amp;(TODAY()-INT(N13))&amp;" ngày",""),""),4,200))))</f>
        <v/>
      </c>
      <c r="N13" s="49" t="n">
        <v>46283.6875</v>
      </c>
      <c r="O13" t="inlineStr">
        <is>
          <t>VD-1</t>
        </is>
      </c>
      <c r="P13" t="inlineStr">
        <is>
          <t>K09</t>
        </is>
      </c>
      <c r="Q13" t="n">
        <v>-30</v>
      </c>
      <c r="R13" t="inlineStr">
        <is>
          <t>Lịch</t>
        </is>
      </c>
      <c r="S13">
        <f>IF(AND(E13&lt;&gt;"",T13="Có",J13&lt;&gt;"Xong",J13&lt;&gt;"Bỏ qua",ISNUMBER(I13)),I13+ROW()/100000,"")</f>
        <v/>
      </c>
      <c r="T13">
        <f>IF(O13="","",IFERROR(INDEX(SK_TD,MATCH(O13,SK_A,0)),""))</f>
        <v/>
      </c>
      <c r="U13" t="inlineStr">
        <is>
          <t>Trade (ví dụ)</t>
        </is>
      </c>
      <c r="V13">
        <f>IF(AND(O13&lt;&gt;"",O13=SEL_K,J13&lt;&gt;"Xong",J13&lt;&gt;"Bỏ qua"),IF(ISNUMBER(I13),I13,99999)+ROW()/100000,"")</f>
        <v/>
      </c>
    </row>
    <row r="14">
      <c r="A14" s="12">
        <f>IF(O14="","",IFERROR(INDEX(SK_B,MATCH(O14,SK_A,0))&amp;"",""))</f>
        <v/>
      </c>
      <c r="B14" s="45">
        <f>IF(O14="","",IFERROR(INDEX(SK_C,MATCH(O14,SK_A,0)),""))</f>
        <v/>
      </c>
      <c r="C14" s="46">
        <f>IF(Q14="","",IF(Q14=0,"D",IF(Q14&lt;0,"D"&amp;Q14,"D+"&amp;Q14)))</f>
        <v/>
      </c>
      <c r="D14" s="14" t="inlineStr">
        <is>
          <t>5. Địa điểm &amp; hậu cần</t>
        </is>
      </c>
      <c r="E14" s="12" t="inlineStr">
        <is>
          <t>Chốt setup với địa điểm: sơ đồ, tea break / ăn trưa, kỹ thuật, sự kiện khác cùng giờ</t>
        </is>
      </c>
      <c r="F14" s="46" t="inlineStr">
        <is>
          <t>Trade MKT</t>
        </is>
      </c>
      <c r="G14" s="47" t="inlineStr">
        <is>
          <t>Trade (ví dụ)</t>
        </is>
      </c>
      <c r="H14" s="14" t="inlineStr">
        <is>
          <t>Địa điểm</t>
        </is>
      </c>
      <c r="I14" s="13">
        <f>IF(OR(B14="",Q14=""),"",IF(Q14&gt;0,IF(R14="Làm việc",WORKDAY(IFERROR(IF(INDEX(SK_D,MATCH(O14,SK_A,0))="",B14,INDEX(SK_D,MATCH(O14,SK_A,0))),B14),Q14,HOLI),IFERROR(IF(INDEX(SK_D,MATCH(O14,SK_A,0))="",B14,INDEX(SK_D,MATCH(O14,SK_A,0))),B14)+Q14),B14+Q14))</f>
        <v/>
      </c>
      <c r="J14" s="14" t="inlineStr">
        <is>
          <t>Xong</t>
        </is>
      </c>
      <c r="K14" s="13" t="n">
        <v>46298</v>
      </c>
      <c r="L14" s="12" t="n"/>
      <c r="M14" s="48">
        <f>IF(E14="","",IF(J14="Bỏ qua","—",IF(J14="Xong",IF(AND(ISNUMBER(K14),ISNUMBER(I14),K14&gt;I14),"Xong trễ","Xong"),MID(IF(G14=""," · CHƯA GIAO","")&amp;IF(NOT(ISNUMBER(I14)),"",IF(TODAY()&gt;I14," · QUÁ HẠN "&amp;(TODAY()-I14)&amp;" ngày",IF(I14-TODAY()&lt;=3," · Đến hạn "&amp;IF(I14=TODAY(),"hôm nay","trong "&amp;(I14-TODAY())&amp;" ngày"),"")))&amp;IF(J14="Chờ đối tác"," · Chờ đối tác"&amp;IF(ISNUMBER(N14)," "&amp;(TODAY()-INT(N14))&amp;" ngày",""),""),4,200))))</f>
        <v/>
      </c>
      <c r="N14" s="49" t="n">
        <v>46298.6875</v>
      </c>
      <c r="O14" t="inlineStr">
        <is>
          <t>VD-1</t>
        </is>
      </c>
      <c r="P14" t="inlineStr">
        <is>
          <t>K10</t>
        </is>
      </c>
      <c r="Q14" t="n">
        <v>-14</v>
      </c>
      <c r="R14" t="inlineStr">
        <is>
          <t>Lịch</t>
        </is>
      </c>
      <c r="S14">
        <f>IF(AND(E14&lt;&gt;"",T14="Có",J14&lt;&gt;"Xong",J14&lt;&gt;"Bỏ qua",ISNUMBER(I14)),I14+ROW()/100000,"")</f>
        <v/>
      </c>
      <c r="T14">
        <f>IF(O14="","",IFERROR(INDEX(SK_TD,MATCH(O14,SK_A,0)),""))</f>
        <v/>
      </c>
      <c r="U14" t="inlineStr">
        <is>
          <t>Trade (ví dụ)</t>
        </is>
      </c>
      <c r="V14">
        <f>IF(AND(O14&lt;&gt;"",O14=SEL_K,J14&lt;&gt;"Xong",J14&lt;&gt;"Bỏ qua"),IF(ISNUMBER(I14),I14,99999)+ROW()/100000,"")</f>
        <v/>
      </c>
    </row>
    <row r="15">
      <c r="A15" s="12">
        <f>IF(O15="","",IFERROR(INDEX(SK_B,MATCH(O15,SK_A,0))&amp;"",""))</f>
        <v/>
      </c>
      <c r="B15" s="45">
        <f>IF(O15="","",IFERROR(INDEX(SK_C,MATCH(O15,SK_A,0)),""))</f>
        <v/>
      </c>
      <c r="C15" s="46">
        <f>IF(Q15="","",IF(Q15=0,"D",IF(Q15&lt;0,"D"&amp;Q15,"D+"&amp;Q15)))</f>
        <v/>
      </c>
      <c r="D15" s="14" t="inlineStr">
        <is>
          <t>6. Nội dung</t>
        </is>
      </c>
      <c r="E15" s="12" t="inlineStr">
        <is>
          <t>Timeline chi tiết ngày D</t>
        </is>
      </c>
      <c r="F15" s="46" t="inlineStr">
        <is>
          <t>MKT Leader</t>
        </is>
      </c>
      <c r="G15" s="47" t="inlineStr">
        <is>
          <t>Leader MKT (ví dụ)</t>
        </is>
      </c>
      <c r="H15" s="14" t="inlineStr">
        <is>
          <t>KOL, Viện</t>
        </is>
      </c>
      <c r="I15" s="13">
        <f>IF(OR(B15="",Q15=""),"",IF(Q15&gt;0,IF(R15="Làm việc",WORKDAY(IFERROR(IF(INDEX(SK_D,MATCH(O15,SK_A,0))="",B15,INDEX(SK_D,MATCH(O15,SK_A,0))),B15),Q15,HOLI),IFERROR(IF(INDEX(SK_D,MATCH(O15,SK_A,0))="",B15,INDEX(SK_D,MATCH(O15,SK_A,0))),B15)+Q15),B15+Q15))</f>
        <v/>
      </c>
      <c r="J15" s="14" t="inlineStr">
        <is>
          <t>Xong</t>
        </is>
      </c>
      <c r="K15" s="13" t="n">
        <v>46305</v>
      </c>
      <c r="L15" s="12" t="n"/>
      <c r="M15" s="48">
        <f>IF(E15="","",IF(J15="Bỏ qua","—",IF(J15="Xong",IF(AND(ISNUMBER(K15),ISNUMBER(I15),K15&gt;I15),"Xong trễ","Xong"),MID(IF(G15=""," · CHƯA GIAO","")&amp;IF(NOT(ISNUMBER(I15)),"",IF(TODAY()&gt;I15," · QUÁ HẠN "&amp;(TODAY()-I15)&amp;" ngày",IF(I15-TODAY()&lt;=3," · Đến hạn "&amp;IF(I15=TODAY(),"hôm nay","trong "&amp;(I15-TODAY())&amp;" ngày"),"")))&amp;IF(J15="Chờ đối tác"," · Chờ đối tác"&amp;IF(ISNUMBER(N15)," "&amp;(TODAY()-INT(N15))&amp;" ngày",""),""),4,200))))</f>
        <v/>
      </c>
      <c r="N15" s="49" t="n">
        <v>46305.6875</v>
      </c>
      <c r="O15" t="inlineStr">
        <is>
          <t>VD-1</t>
        </is>
      </c>
      <c r="P15" t="inlineStr">
        <is>
          <t>K12</t>
        </is>
      </c>
      <c r="Q15" t="n">
        <v>-7</v>
      </c>
      <c r="R15" t="inlineStr">
        <is>
          <t>Lịch</t>
        </is>
      </c>
      <c r="S15">
        <f>IF(AND(E15&lt;&gt;"",T15="Có",J15&lt;&gt;"Xong",J15&lt;&gt;"Bỏ qua",ISNUMBER(I15)),I15+ROW()/100000,"")</f>
        <v/>
      </c>
      <c r="T15">
        <f>IF(O15="","",IFERROR(INDEX(SK_TD,MATCH(O15,SK_A,0)),""))</f>
        <v/>
      </c>
      <c r="U15" t="inlineStr">
        <is>
          <t>Leader MKT (ví dụ)</t>
        </is>
      </c>
      <c r="V15">
        <f>IF(AND(O15&lt;&gt;"",O15=SEL_K,J15&lt;&gt;"Xong",J15&lt;&gt;"Bỏ qua"),IF(ISNUMBER(I15),I15,99999)+ROW()/100000,"")</f>
        <v/>
      </c>
    </row>
    <row r="16">
      <c r="A16" s="12">
        <f>IF(O16="","",IFERROR(INDEX(SK_B,MATCH(O16,SK_A,0))&amp;"",""))</f>
        <v/>
      </c>
      <c r="B16" s="45">
        <f>IF(O16="","",IFERROR(INDEX(SK_C,MATCH(O16,SK_A,0)),""))</f>
        <v/>
      </c>
      <c r="C16" s="46">
        <f>IF(Q16="","",IF(Q16=0,"D",IF(Q16&lt;0,"D"&amp;Q16,"D+"&amp;Q16)))</f>
        <v/>
      </c>
      <c r="D16" s="14" t="inlineStr">
        <is>
          <t>6. Nội dung</t>
        </is>
      </c>
      <c r="E16" s="12" t="inlineStr">
        <is>
          <t>Kịch bản MC, kịch bản phát biểu, video trình chiếu</t>
        </is>
      </c>
      <c r="F16" s="46" t="inlineStr">
        <is>
          <t>Digital MKT</t>
        </is>
      </c>
      <c r="G16" s="47" t="inlineStr">
        <is>
          <t>Digital (ví dụ)</t>
        </is>
      </c>
      <c r="H16" s="14" t="inlineStr">
        <is>
          <t>KOL, Viện</t>
        </is>
      </c>
      <c r="I16" s="13">
        <f>IF(OR(B16="",Q16=""),"",IF(Q16&gt;0,IF(R16="Làm việc",WORKDAY(IFERROR(IF(INDEX(SK_D,MATCH(O16,SK_A,0))="",B16,INDEX(SK_D,MATCH(O16,SK_A,0))),B16),Q16,HOLI),IFERROR(IF(INDEX(SK_D,MATCH(O16,SK_A,0))="",B16,INDEX(SK_D,MATCH(O16,SK_A,0))),B16)+Q16),B16+Q16))</f>
        <v/>
      </c>
      <c r="J16" s="14" t="inlineStr">
        <is>
          <t>Xong</t>
        </is>
      </c>
      <c r="K16" s="13" t="n">
        <v>46305</v>
      </c>
      <c r="L16" s="12" t="n"/>
      <c r="M16" s="48">
        <f>IF(E16="","",IF(J16="Bỏ qua","—",IF(J16="Xong",IF(AND(ISNUMBER(K16),ISNUMBER(I16),K16&gt;I16),"Xong trễ","Xong"),MID(IF(G16=""," · CHƯA GIAO","")&amp;IF(NOT(ISNUMBER(I16)),"",IF(TODAY()&gt;I16," · QUÁ HẠN "&amp;(TODAY()-I16)&amp;" ngày",IF(I16-TODAY()&lt;=3," · Đến hạn "&amp;IF(I16=TODAY(),"hôm nay","trong "&amp;(I16-TODAY())&amp;" ngày"),"")))&amp;IF(J16="Chờ đối tác"," · Chờ đối tác"&amp;IF(ISNUMBER(N16)," "&amp;(TODAY()-INT(N16))&amp;" ngày",""),""),4,200))))</f>
        <v/>
      </c>
      <c r="N16" s="49" t="n">
        <v>46305.6875</v>
      </c>
      <c r="O16" t="inlineStr">
        <is>
          <t>VD-1</t>
        </is>
      </c>
      <c r="P16" t="inlineStr">
        <is>
          <t>K13</t>
        </is>
      </c>
      <c r="Q16" t="n">
        <v>-7</v>
      </c>
      <c r="R16" t="inlineStr">
        <is>
          <t>Lịch</t>
        </is>
      </c>
      <c r="S16">
        <f>IF(AND(E16&lt;&gt;"",T16="Có",J16&lt;&gt;"Xong",J16&lt;&gt;"Bỏ qua",ISNUMBER(I16)),I16+ROW()/100000,"")</f>
        <v/>
      </c>
      <c r="T16">
        <f>IF(O16="","",IFERROR(INDEX(SK_TD,MATCH(O16,SK_A,0)),""))</f>
        <v/>
      </c>
      <c r="U16" t="inlineStr">
        <is>
          <t>Digital (ví dụ)</t>
        </is>
      </c>
      <c r="V16">
        <f>IF(AND(O16&lt;&gt;"",O16=SEL_K,J16&lt;&gt;"Xong",J16&lt;&gt;"Bỏ qua"),IF(ISNUMBER(I16),I16,99999)+ROW()/100000,"")</f>
        <v/>
      </c>
    </row>
    <row r="17">
      <c r="A17" s="12">
        <f>IF(O17="","",IFERROR(INDEX(SK_B,MATCH(O17,SK_A,0))&amp;"",""))</f>
        <v/>
      </c>
      <c r="B17" s="45">
        <f>IF(O17="","",IFERROR(INDEX(SK_C,MATCH(O17,SK_A,0)),""))</f>
        <v/>
      </c>
      <c r="C17" s="46">
        <f>IF(Q17="","",IF(Q17=0,"D",IF(Q17&lt;0,"D"&amp;Q17,"D+"&amp;Q17)))</f>
        <v/>
      </c>
      <c r="D17" s="14" t="inlineStr">
        <is>
          <t>7. Ấn phẩm &amp; đồ</t>
        </is>
      </c>
      <c r="E17" s="12" t="inlineStr">
        <is>
          <t>Thiết kế &amp; in: backdrop, standee, thẻ đeo, bảng tên, folder, QR khảo sát, biểu mẫu check-in ký tay</t>
        </is>
      </c>
      <c r="F17" s="46" t="inlineStr">
        <is>
          <t>Digital MKT</t>
        </is>
      </c>
      <c r="G17" s="47" t="inlineStr">
        <is>
          <t>Digital (ví dụ)</t>
        </is>
      </c>
      <c r="H17" s="14" t="inlineStr">
        <is>
          <t>Trade MKT</t>
        </is>
      </c>
      <c r="I17" s="13">
        <f>IF(OR(B17="",Q17=""),"",IF(Q17&gt;0,IF(R17="Làm việc",WORKDAY(IFERROR(IF(INDEX(SK_D,MATCH(O17,SK_A,0))="",B17,INDEX(SK_D,MATCH(O17,SK_A,0))),B17),Q17,HOLI),IFERROR(IF(INDEX(SK_D,MATCH(O17,SK_A,0))="",B17,INDEX(SK_D,MATCH(O17,SK_A,0))),B17)+Q17),B17+Q17))</f>
        <v/>
      </c>
      <c r="J17" s="14" t="inlineStr">
        <is>
          <t>Xong</t>
        </is>
      </c>
      <c r="K17" s="13" t="n">
        <v>46305</v>
      </c>
      <c r="L17" s="12" t="n"/>
      <c r="M17" s="48">
        <f>IF(E17="","",IF(J17="Bỏ qua","—",IF(J17="Xong",IF(AND(ISNUMBER(K17),ISNUMBER(I17),K17&gt;I17),"Xong trễ","Xong"),MID(IF(G17=""," · CHƯA GIAO","")&amp;IF(NOT(ISNUMBER(I17)),"",IF(TODAY()&gt;I17," · QUÁ HẠN "&amp;(TODAY()-I17)&amp;" ngày",IF(I17-TODAY()&lt;=3," · Đến hạn "&amp;IF(I17=TODAY(),"hôm nay","trong "&amp;(I17-TODAY())&amp;" ngày"),"")))&amp;IF(J17="Chờ đối tác"," · Chờ đối tác"&amp;IF(ISNUMBER(N17)," "&amp;(TODAY()-INT(N17))&amp;" ngày",""),""),4,200))))</f>
        <v/>
      </c>
      <c r="N17" s="49" t="n">
        <v>46305.6875</v>
      </c>
      <c r="O17" t="inlineStr">
        <is>
          <t>VD-1</t>
        </is>
      </c>
      <c r="P17" t="inlineStr">
        <is>
          <t>K14</t>
        </is>
      </c>
      <c r="Q17" t="n">
        <v>-7</v>
      </c>
      <c r="R17" t="inlineStr">
        <is>
          <t>Lịch</t>
        </is>
      </c>
      <c r="S17">
        <f>IF(AND(E17&lt;&gt;"",T17="Có",J17&lt;&gt;"Xong",J17&lt;&gt;"Bỏ qua",ISNUMBER(I17)),I17+ROW()/100000,"")</f>
        <v/>
      </c>
      <c r="T17">
        <f>IF(O17="","",IFERROR(INDEX(SK_TD,MATCH(O17,SK_A,0)),""))</f>
        <v/>
      </c>
      <c r="U17" t="inlineStr">
        <is>
          <t>Digital (ví dụ)</t>
        </is>
      </c>
      <c r="V17">
        <f>IF(AND(O17&lt;&gt;"",O17=SEL_K,J17&lt;&gt;"Xong",J17&lt;&gt;"Bỏ qua"),IF(ISNUMBER(I17),I17,99999)+ROW()/100000,"")</f>
        <v/>
      </c>
    </row>
    <row r="18">
      <c r="A18" s="12">
        <f>IF(O18="","",IFERROR(INDEX(SK_B,MATCH(O18,SK_A,0))&amp;"",""))</f>
        <v/>
      </c>
      <c r="B18" s="45">
        <f>IF(O18="","",IFERROR(INDEX(SK_C,MATCH(O18,SK_A,0)),""))</f>
        <v/>
      </c>
      <c r="C18" s="46">
        <f>IF(Q18="","",IF(Q18=0,"D",IF(Q18&lt;0,"D"&amp;Q18,"D+"&amp;Q18)))</f>
        <v/>
      </c>
      <c r="D18" s="14" t="inlineStr">
        <is>
          <t>7. Ấn phẩm &amp; đồ</t>
        </is>
      </c>
      <c r="E18" s="12" t="inlineStr">
        <is>
          <t>Đồ marketing + đồ thực hành theo phiên (nguồn, báo giá, đồ mượn)</t>
        </is>
      </c>
      <c r="F18" s="46" t="inlineStr">
        <is>
          <t>Trade MKT</t>
        </is>
      </c>
      <c r="G18" s="47" t="inlineStr">
        <is>
          <t>Trade (ví dụ)</t>
        </is>
      </c>
      <c r="H18" s="14" t="inlineStr">
        <is>
          <t>KOL, NPP</t>
        </is>
      </c>
      <c r="I18" s="13">
        <f>IF(OR(B18="",Q18=""),"",IF(Q18&gt;0,IF(R18="Làm việc",WORKDAY(IFERROR(IF(INDEX(SK_D,MATCH(O18,SK_A,0))="",B18,INDEX(SK_D,MATCH(O18,SK_A,0))),B18),Q18,HOLI),IFERROR(IF(INDEX(SK_D,MATCH(O18,SK_A,0))="",B18,INDEX(SK_D,MATCH(O18,SK_A,0))),B18)+Q18),B18+Q18))</f>
        <v/>
      </c>
      <c r="J18" s="14" t="inlineStr">
        <is>
          <t>Xong</t>
        </is>
      </c>
      <c r="K18" s="13" t="n">
        <v>46300</v>
      </c>
      <c r="L18" s="12" t="n"/>
      <c r="M18" s="48">
        <f>IF(E18="","",IF(J18="Bỏ qua","—",IF(J18="Xong",IF(AND(ISNUMBER(K18),ISNUMBER(I18),K18&gt;I18),"Xong trễ","Xong"),MID(IF(G18=""," · CHƯA GIAO","")&amp;IF(NOT(ISNUMBER(I18)),"",IF(TODAY()&gt;I18," · QUÁ HẠN "&amp;(TODAY()-I18)&amp;" ngày",IF(I18-TODAY()&lt;=3," · Đến hạn "&amp;IF(I18=TODAY(),"hôm nay","trong "&amp;(I18-TODAY())&amp;" ngày"),"")))&amp;IF(J18="Chờ đối tác"," · Chờ đối tác"&amp;IF(ISNUMBER(N18)," "&amp;(TODAY()-INT(N18))&amp;" ngày",""),""),4,200))))</f>
        <v/>
      </c>
      <c r="N18" s="49" t="n">
        <v>46300.6875</v>
      </c>
      <c r="O18" t="inlineStr">
        <is>
          <t>VD-1</t>
        </is>
      </c>
      <c r="P18" t="inlineStr">
        <is>
          <t>K15</t>
        </is>
      </c>
      <c r="Q18" t="n">
        <v>-10</v>
      </c>
      <c r="R18" t="inlineStr">
        <is>
          <t>Lịch</t>
        </is>
      </c>
      <c r="S18">
        <f>IF(AND(E18&lt;&gt;"",T18="Có",J18&lt;&gt;"Xong",J18&lt;&gt;"Bỏ qua",ISNUMBER(I18)),I18+ROW()/100000,"")</f>
        <v/>
      </c>
      <c r="T18">
        <f>IF(O18="","",IFERROR(INDEX(SK_TD,MATCH(O18,SK_A,0)),""))</f>
        <v/>
      </c>
      <c r="U18" t="inlineStr">
        <is>
          <t>Trade (ví dụ)</t>
        </is>
      </c>
      <c r="V18">
        <f>IF(AND(O18&lt;&gt;"",O18=SEL_K,J18&lt;&gt;"Xong",J18&lt;&gt;"Bỏ qua"),IF(ISNUMBER(I18),I18,99999)+ROW()/100000,"")</f>
        <v/>
      </c>
    </row>
    <row r="19">
      <c r="A19" s="12">
        <f>IF(O19="","",IFERROR(INDEX(SK_B,MATCH(O19,SK_A,0))&amp;"",""))</f>
        <v/>
      </c>
      <c r="B19" s="45">
        <f>IF(O19="","",IFERROR(INDEX(SK_C,MATCH(O19,SK_A,0)),""))</f>
        <v/>
      </c>
      <c r="C19" s="46">
        <f>IF(Q19="","",IF(Q19=0,"D",IF(Q19&lt;0,"D"&amp;Q19,"D+"&amp;Q19)))</f>
        <v/>
      </c>
      <c r="D19" s="14" t="inlineStr">
        <is>
          <t>7. Ấn phẩm &amp; đồ</t>
        </is>
      </c>
      <c r="E19" s="12" t="inlineStr">
        <is>
          <t>VIP / đại biểu (nếu có Viện): danh sách, hoa, bảng tên mica, quà, lời giới thiệu</t>
        </is>
      </c>
      <c r="F19" s="46" t="inlineStr">
        <is>
          <t>Trade MKT</t>
        </is>
      </c>
      <c r="G19" s="47" t="inlineStr">
        <is>
          <t>Trade (ví dụ)</t>
        </is>
      </c>
      <c r="H19" s="14" t="inlineStr">
        <is>
          <t>Viện</t>
        </is>
      </c>
      <c r="I19" s="13">
        <f>IF(OR(B19="",Q19=""),"",IF(Q19&gt;0,IF(R19="Làm việc",WORKDAY(IFERROR(IF(INDEX(SK_D,MATCH(O19,SK_A,0))="",B19,INDEX(SK_D,MATCH(O19,SK_A,0))),B19),Q19,HOLI),IFERROR(IF(INDEX(SK_D,MATCH(O19,SK_A,0))="",B19,INDEX(SK_D,MATCH(O19,SK_A,0))),B19)+Q19),B19+Q19))</f>
        <v/>
      </c>
      <c r="J19" s="14" t="inlineStr">
        <is>
          <t>Xong</t>
        </is>
      </c>
      <c r="K19" s="13" t="n">
        <v>46304</v>
      </c>
      <c r="L19" s="12" t="n"/>
      <c r="M19" s="48">
        <f>IF(E19="","",IF(J19="Bỏ qua","—",IF(J19="Xong",IF(AND(ISNUMBER(K19),ISNUMBER(I19),K19&gt;I19),"Xong trễ","Xong"),MID(IF(G19=""," · CHƯA GIAO","")&amp;IF(NOT(ISNUMBER(I19)),"",IF(TODAY()&gt;I19," · QUÁ HẠN "&amp;(TODAY()-I19)&amp;" ngày",IF(I19-TODAY()&lt;=3," · Đến hạn "&amp;IF(I19=TODAY(),"hôm nay","trong "&amp;(I19-TODAY())&amp;" ngày"),"")))&amp;IF(J19="Chờ đối tác"," · Chờ đối tác"&amp;IF(ISNUMBER(N19)," "&amp;(TODAY()-INT(N19))&amp;" ngày",""),""),4,200))))</f>
        <v/>
      </c>
      <c r="N19" s="49" t="n">
        <v>46304.6875</v>
      </c>
      <c r="O19" t="inlineStr">
        <is>
          <t>VD-1</t>
        </is>
      </c>
      <c r="P19" t="inlineStr">
        <is>
          <t>K16</t>
        </is>
      </c>
      <c r="Q19" t="n">
        <v>-7</v>
      </c>
      <c r="R19" t="inlineStr">
        <is>
          <t>Lịch</t>
        </is>
      </c>
      <c r="S19">
        <f>IF(AND(E19&lt;&gt;"",T19="Có",J19&lt;&gt;"Xong",J19&lt;&gt;"Bỏ qua",ISNUMBER(I19)),I19+ROW()/100000,"")</f>
        <v/>
      </c>
      <c r="T19">
        <f>IF(O19="","",IFERROR(INDEX(SK_TD,MATCH(O19,SK_A,0)),""))</f>
        <v/>
      </c>
      <c r="U19" t="inlineStr">
        <is>
          <t>Trade (ví dụ)</t>
        </is>
      </c>
      <c r="V19">
        <f>IF(AND(O19&lt;&gt;"",O19=SEL_K,J19&lt;&gt;"Xong",J19&lt;&gt;"Bỏ qua"),IF(ISNUMBER(I19),I19,99999)+ROW()/100000,"")</f>
        <v/>
      </c>
    </row>
    <row r="20">
      <c r="A20" s="12">
        <f>IF(O20="","",IFERROR(INDEX(SK_B,MATCH(O20,SK_A,0))&amp;"",""))</f>
        <v/>
      </c>
      <c r="B20" s="45">
        <f>IF(O20="","",IFERROR(INDEX(SK_C,MATCH(O20,SK_A,0)),""))</f>
        <v/>
      </c>
      <c r="C20" s="46">
        <f>IF(Q20="","",IF(Q20=0,"D",IF(Q20&lt;0,"D"&amp;Q20,"D+"&amp;Q20)))</f>
        <v/>
      </c>
      <c r="D20" s="14" t="inlineStr">
        <is>
          <t>8. Chốt trước D</t>
        </is>
      </c>
      <c r="E20" s="12" t="inlineStr">
        <is>
          <t>Họp với NPP: agenda, nhân sự, bán hàng, sản phẩm</t>
        </is>
      </c>
      <c r="F20" s="46" t="inlineStr">
        <is>
          <t>MKT Leader</t>
        </is>
      </c>
      <c r="G20" s="47" t="inlineStr">
        <is>
          <t>Leader MKT (ví dụ)</t>
        </is>
      </c>
      <c r="H20" s="14" t="inlineStr">
        <is>
          <t>NPP, Sales</t>
        </is>
      </c>
      <c r="I20" s="13">
        <f>IF(OR(B20="",Q20=""),"",IF(Q20&gt;0,IF(R20="Làm việc",WORKDAY(IFERROR(IF(INDEX(SK_D,MATCH(O20,SK_A,0))="",B20,INDEX(SK_D,MATCH(O20,SK_A,0))),B20),Q20,HOLI),IFERROR(IF(INDEX(SK_D,MATCH(O20,SK_A,0))="",B20,INDEX(SK_D,MATCH(O20,SK_A,0))),B20)+Q20),B20+Q20))</f>
        <v/>
      </c>
      <c r="J20" s="14" t="inlineStr">
        <is>
          <t>Xong</t>
        </is>
      </c>
      <c r="K20" s="13" t="n">
        <v>46310</v>
      </c>
      <c r="L20" s="12" t="n"/>
      <c r="M20" s="48">
        <f>IF(E20="","",IF(J20="Bỏ qua","—",IF(J20="Xong",IF(AND(ISNUMBER(K20),ISNUMBER(I20),K20&gt;I20),"Xong trễ","Xong"),MID(IF(G20=""," · CHƯA GIAO","")&amp;IF(NOT(ISNUMBER(I20)),"",IF(TODAY()&gt;I20," · QUÁ HẠN "&amp;(TODAY()-I20)&amp;" ngày",IF(I20-TODAY()&lt;=3," · Đến hạn "&amp;IF(I20=TODAY(),"hôm nay","trong "&amp;(I20-TODAY())&amp;" ngày"),"")))&amp;IF(J20="Chờ đối tác"," · Chờ đối tác"&amp;IF(ISNUMBER(N20)," "&amp;(TODAY()-INT(N20))&amp;" ngày",""),""),4,200))))</f>
        <v/>
      </c>
      <c r="N20" s="49" t="n">
        <v>46310.6875</v>
      </c>
      <c r="O20" t="inlineStr">
        <is>
          <t>VD-1</t>
        </is>
      </c>
      <c r="P20" t="inlineStr">
        <is>
          <t>K18</t>
        </is>
      </c>
      <c r="Q20" t="n">
        <v>-3</v>
      </c>
      <c r="R20" t="inlineStr">
        <is>
          <t>Lịch</t>
        </is>
      </c>
      <c r="S20">
        <f>IF(AND(E20&lt;&gt;"",T20="Có",J20&lt;&gt;"Xong",J20&lt;&gt;"Bỏ qua",ISNUMBER(I20)),I20+ROW()/100000,"")</f>
        <v/>
      </c>
      <c r="T20">
        <f>IF(O20="","",IFERROR(INDEX(SK_TD,MATCH(O20,SK_A,0)),""))</f>
        <v/>
      </c>
      <c r="U20" t="inlineStr">
        <is>
          <t>Leader MKT (ví dụ)</t>
        </is>
      </c>
      <c r="V20">
        <f>IF(AND(O20&lt;&gt;"",O20=SEL_K,J20&lt;&gt;"Xong",J20&lt;&gt;"Bỏ qua"),IF(ISNUMBER(I20),I20,99999)+ROW()/100000,"")</f>
        <v/>
      </c>
    </row>
    <row r="21">
      <c r="A21" s="12">
        <f>IF(O21="","",IFERROR(INDEX(SK_B,MATCH(O21,SK_A,0))&amp;"",""))</f>
        <v/>
      </c>
      <c r="B21" s="45">
        <f>IF(O21="","",IFERROR(INDEX(SK_C,MATCH(O21,SK_A,0)),""))</f>
        <v/>
      </c>
      <c r="C21" s="46">
        <f>IF(Q21="","",IF(Q21=0,"D",IF(Q21&lt;0,"D"&amp;Q21,"D+"&amp;Q21)))</f>
        <v/>
      </c>
      <c r="D21" s="14" t="inlineStr">
        <is>
          <t>8. Chốt trước D</t>
        </is>
      </c>
      <c r="E21" s="12" t="inlineStr">
        <is>
          <t>Rà soát dữ liệu khách (thiếu thông tin / chưa đồng ý dữ liệu)</t>
        </is>
      </c>
      <c r="F21" s="46" t="inlineStr">
        <is>
          <t>Digital MKT</t>
        </is>
      </c>
      <c r="G21" s="47" t="inlineStr">
        <is>
          <t>Digital (ví dụ)</t>
        </is>
      </c>
      <c r="H21" s="14" t="inlineStr">
        <is>
          <t>Sales, NPP</t>
        </is>
      </c>
      <c r="I21" s="13">
        <f>IF(OR(B21="",Q21=""),"",IF(Q21&gt;0,IF(R21="Làm việc",WORKDAY(IFERROR(IF(INDEX(SK_D,MATCH(O21,SK_A,0))="",B21,INDEX(SK_D,MATCH(O21,SK_A,0))),B21),Q21,HOLI),IFERROR(IF(INDEX(SK_D,MATCH(O21,SK_A,0))="",B21,INDEX(SK_D,MATCH(O21,SK_A,0))),B21)+Q21),B21+Q21))</f>
        <v/>
      </c>
      <c r="J21" s="14" t="inlineStr">
        <is>
          <t>Xong</t>
        </is>
      </c>
      <c r="K21" s="13" t="n">
        <v>46309</v>
      </c>
      <c r="L21" s="12" t="n"/>
      <c r="M21" s="48">
        <f>IF(E21="","",IF(J21="Bỏ qua","—",IF(J21="Xong",IF(AND(ISNUMBER(K21),ISNUMBER(I21),K21&gt;I21),"Xong trễ","Xong"),MID(IF(G21=""," · CHƯA GIAO","")&amp;IF(NOT(ISNUMBER(I21)),"",IF(TODAY()&gt;I21," · QUÁ HẠN "&amp;(TODAY()-I21)&amp;" ngày",IF(I21-TODAY()&lt;=3," · Đến hạn "&amp;IF(I21=TODAY(),"hôm nay","trong "&amp;(I21-TODAY())&amp;" ngày"),"")))&amp;IF(J21="Chờ đối tác"," · Chờ đối tác"&amp;IF(ISNUMBER(N21)," "&amp;(TODAY()-INT(N21))&amp;" ngày",""),""),4,200))))</f>
        <v/>
      </c>
      <c r="N21" s="49" t="n">
        <v>46309.6875</v>
      </c>
      <c r="O21" t="inlineStr">
        <is>
          <t>VD-1</t>
        </is>
      </c>
      <c r="P21" t="inlineStr">
        <is>
          <t>K19</t>
        </is>
      </c>
      <c r="Q21" t="n">
        <v>-3</v>
      </c>
      <c r="R21" t="inlineStr">
        <is>
          <t>Lịch</t>
        </is>
      </c>
      <c r="S21">
        <f>IF(AND(E21&lt;&gt;"",T21="Có",J21&lt;&gt;"Xong",J21&lt;&gt;"Bỏ qua",ISNUMBER(I21)),I21+ROW()/100000,"")</f>
        <v/>
      </c>
      <c r="T21">
        <f>IF(O21="","",IFERROR(INDEX(SK_TD,MATCH(O21,SK_A,0)),""))</f>
        <v/>
      </c>
      <c r="U21" t="inlineStr">
        <is>
          <t>Digital (ví dụ)</t>
        </is>
      </c>
      <c r="V21">
        <f>IF(AND(O21&lt;&gt;"",O21=SEL_K,J21&lt;&gt;"Xong",J21&lt;&gt;"Bỏ qua"),IF(ISNUMBER(I21),I21,99999)+ROW()/100000,"")</f>
        <v/>
      </c>
    </row>
    <row r="22">
      <c r="A22" s="12">
        <f>IF(O22="","",IFERROR(INDEX(SK_B,MATCH(O22,SK_A,0))&amp;"",""))</f>
        <v/>
      </c>
      <c r="B22" s="45">
        <f>IF(O22="","",IFERROR(INDEX(SK_C,MATCH(O22,SK_A,0)),""))</f>
        <v/>
      </c>
      <c r="C22" s="46">
        <f>IF(Q22="","",IF(Q22=0,"D",IF(Q22&lt;0,"D"&amp;Q22,"D+"&amp;Q22)))</f>
        <v/>
      </c>
      <c r="D22" s="14" t="inlineStr">
        <is>
          <t>8. Chốt trước D</t>
        </is>
      </c>
      <c r="E22" s="12" t="inlineStr">
        <is>
          <t>Phân công nhân sự trước / trong / sau, giờ có mặt</t>
        </is>
      </c>
      <c r="F22" s="46" t="inlineStr">
        <is>
          <t>MKT Leader</t>
        </is>
      </c>
      <c r="G22" s="47" t="inlineStr">
        <is>
          <t>Leader MKT (ví dụ)</t>
        </is>
      </c>
      <c r="H22" s="14" t="inlineStr">
        <is>
          <t>Sales, NPP</t>
        </is>
      </c>
      <c r="I22" s="13">
        <f>IF(OR(B22="",Q22=""),"",IF(Q22&gt;0,IF(R22="Làm việc",WORKDAY(IFERROR(IF(INDEX(SK_D,MATCH(O22,SK_A,0))="",B22,INDEX(SK_D,MATCH(O22,SK_A,0))),B22),Q22,HOLI),IFERROR(IF(INDEX(SK_D,MATCH(O22,SK_A,0))="",B22,INDEX(SK_D,MATCH(O22,SK_A,0))),B22)+Q22),B22+Q22))</f>
        <v/>
      </c>
      <c r="J22" s="14" t="inlineStr">
        <is>
          <t>Xong</t>
        </is>
      </c>
      <c r="K22" s="13" t="n">
        <v>46308</v>
      </c>
      <c r="L22" s="12" t="n"/>
      <c r="M22" s="48">
        <f>IF(E22="","",IF(J22="Bỏ qua","—",IF(J22="Xong",IF(AND(ISNUMBER(K22),ISNUMBER(I22),K22&gt;I22),"Xong trễ","Xong"),MID(IF(G22=""," · CHƯA GIAO","")&amp;IF(NOT(ISNUMBER(I22)),"",IF(TODAY()&gt;I22," · QUÁ HẠN "&amp;(TODAY()-I22)&amp;" ngày",IF(I22-TODAY()&lt;=3," · Đến hạn "&amp;IF(I22=TODAY(),"hôm nay","trong "&amp;(I22-TODAY())&amp;" ngày"),"")))&amp;IF(J22="Chờ đối tác"," · Chờ đối tác"&amp;IF(ISNUMBER(N22)," "&amp;(TODAY()-INT(N22))&amp;" ngày",""),""),4,200))))</f>
        <v/>
      </c>
      <c r="N22" s="49" t="n">
        <v>46308.6875</v>
      </c>
      <c r="O22" t="inlineStr">
        <is>
          <t>VD-1</t>
        </is>
      </c>
      <c r="P22" t="inlineStr">
        <is>
          <t>K20</t>
        </is>
      </c>
      <c r="Q22" t="n">
        <v>-3</v>
      </c>
      <c r="R22" t="inlineStr">
        <is>
          <t>Lịch</t>
        </is>
      </c>
      <c r="S22">
        <f>IF(AND(E22&lt;&gt;"",T22="Có",J22&lt;&gt;"Xong",J22&lt;&gt;"Bỏ qua",ISNUMBER(I22)),I22+ROW()/100000,"")</f>
        <v/>
      </c>
      <c r="T22">
        <f>IF(O22="","",IFERROR(INDEX(SK_TD,MATCH(O22,SK_A,0)),""))</f>
        <v/>
      </c>
      <c r="U22" t="inlineStr">
        <is>
          <t>Leader MKT (ví dụ)</t>
        </is>
      </c>
      <c r="V22">
        <f>IF(AND(O22&lt;&gt;"",O22=SEL_K,J22&lt;&gt;"Xong",J22&lt;&gt;"Bỏ qua"),IF(ISNUMBER(I22),I22,99999)+ROW()/100000,"")</f>
        <v/>
      </c>
    </row>
    <row r="23">
      <c r="A23" s="12">
        <f>IF(O23="","",IFERROR(INDEX(SK_B,MATCH(O23,SK_A,0))&amp;"",""))</f>
        <v/>
      </c>
      <c r="B23" s="45">
        <f>IF(O23="","",IFERROR(INDEX(SK_C,MATCH(O23,SK_A,0)),""))</f>
        <v/>
      </c>
      <c r="C23" s="46">
        <f>IF(Q23="","",IF(Q23=0,"D",IF(Q23&lt;0,"D"&amp;Q23,"D+"&amp;Q23)))</f>
        <v/>
      </c>
      <c r="D23" s="14" t="inlineStr">
        <is>
          <t>8. Chốt trước D</t>
        </is>
      </c>
      <c r="E23" s="12" t="inlineStr">
        <is>
          <t>Họp review D-1 + gọi nhắc khách + set up địa điểm / chạy thử Zoom</t>
        </is>
      </c>
      <c r="F23" s="46" t="inlineStr">
        <is>
          <t>MKT Leader</t>
        </is>
      </c>
      <c r="G23" s="47" t="inlineStr">
        <is>
          <t>Leader MKT (ví dụ)</t>
        </is>
      </c>
      <c r="H23" s="14" t="inlineStr">
        <is>
          <t>Toàn team</t>
        </is>
      </c>
      <c r="I23" s="13">
        <f>IF(OR(B23="",Q23=""),"",IF(Q23&gt;0,IF(R23="Làm việc",WORKDAY(IFERROR(IF(INDEX(SK_D,MATCH(O23,SK_A,0))="",B23,INDEX(SK_D,MATCH(O23,SK_A,0))),B23),Q23,HOLI),IFERROR(IF(INDEX(SK_D,MATCH(O23,SK_A,0))="",B23,INDEX(SK_D,MATCH(O23,SK_A,0))),B23)+Q23),B23+Q23))</f>
        <v/>
      </c>
      <c r="J23" s="14" t="inlineStr">
        <is>
          <t>Xong</t>
        </is>
      </c>
      <c r="K23" s="13" t="n">
        <v>46312</v>
      </c>
      <c r="L23" s="12" t="n"/>
      <c r="M23" s="48">
        <f>IF(E23="","",IF(J23="Bỏ qua","—",IF(J23="Xong",IF(AND(ISNUMBER(K23),ISNUMBER(I23),K23&gt;I23),"Xong trễ","Xong"),MID(IF(G23=""," · CHƯA GIAO","")&amp;IF(NOT(ISNUMBER(I23)),"",IF(TODAY()&gt;I23," · QUÁ HẠN "&amp;(TODAY()-I23)&amp;" ngày",IF(I23-TODAY()&lt;=3," · Đến hạn "&amp;IF(I23=TODAY(),"hôm nay","trong "&amp;(I23-TODAY())&amp;" ngày"),"")))&amp;IF(J23="Chờ đối tác"," · Chờ đối tác"&amp;IF(ISNUMBER(N23)," "&amp;(TODAY()-INT(N23))&amp;" ngày",""),""),4,200))))</f>
        <v/>
      </c>
      <c r="N23" s="49" t="n">
        <v>46312.6875</v>
      </c>
      <c r="O23" t="inlineStr">
        <is>
          <t>VD-1</t>
        </is>
      </c>
      <c r="P23" t="inlineStr">
        <is>
          <t>K21</t>
        </is>
      </c>
      <c r="Q23" t="n">
        <v>-1</v>
      </c>
      <c r="R23" t="inlineStr">
        <is>
          <t>Lịch</t>
        </is>
      </c>
      <c r="S23">
        <f>IF(AND(E23&lt;&gt;"",T23="Có",J23&lt;&gt;"Xong",J23&lt;&gt;"Bỏ qua",ISNUMBER(I23)),I23+ROW()/100000,"")</f>
        <v/>
      </c>
      <c r="T23">
        <f>IF(O23="","",IFERROR(INDEX(SK_TD,MATCH(O23,SK_A,0)),""))</f>
        <v/>
      </c>
      <c r="U23" t="inlineStr">
        <is>
          <t>Leader MKT (ví dụ)</t>
        </is>
      </c>
      <c r="V23">
        <f>IF(AND(O23&lt;&gt;"",O23=SEL_K,J23&lt;&gt;"Xong",J23&lt;&gt;"Bỏ qua"),IF(ISNUMBER(I23),I23,99999)+ROW()/100000,"")</f>
        <v/>
      </c>
    </row>
    <row r="24">
      <c r="A24" s="12">
        <f>IF(O24="","",IFERROR(INDEX(SK_B,MATCH(O24,SK_A,0))&amp;"",""))</f>
        <v/>
      </c>
      <c r="B24" s="45">
        <f>IF(O24="","",IFERROR(INDEX(SK_C,MATCH(O24,SK_A,0)),""))</f>
        <v/>
      </c>
      <c r="C24" s="46">
        <f>IF(Q24="","",IF(Q24=0,"D",IF(Q24&lt;0,"D"&amp;Q24,"D+"&amp;Q24)))</f>
        <v/>
      </c>
      <c r="D24" s="14" t="inlineStr">
        <is>
          <t>9. Ngày D</t>
        </is>
      </c>
      <c r="E24" s="12" t="inlineStr">
        <is>
          <t>Check-in có chữ ký + đồng ý dữ liệu (webinar: xuất báo cáo Zoom ngay sau buổi)</t>
        </is>
      </c>
      <c r="F24" s="46" t="inlineStr">
        <is>
          <t>Digital MKT</t>
        </is>
      </c>
      <c r="G24" s="47" t="inlineStr">
        <is>
          <t>Digital (ví dụ)</t>
        </is>
      </c>
      <c r="H24" s="14" t="inlineStr">
        <is>
          <t>Trade, NPP</t>
        </is>
      </c>
      <c r="I24" s="13">
        <f>IF(OR(B24="",Q24=""),"",IF(Q24&gt;0,IF(R24="Làm việc",WORKDAY(IFERROR(IF(INDEX(SK_D,MATCH(O24,SK_A,0))="",B24,INDEX(SK_D,MATCH(O24,SK_A,0))),B24),Q24,HOLI),IFERROR(IF(INDEX(SK_D,MATCH(O24,SK_A,0))="",B24,INDEX(SK_D,MATCH(O24,SK_A,0))),B24)+Q24),B24+Q24))</f>
        <v/>
      </c>
      <c r="J24" s="14" t="inlineStr">
        <is>
          <t>Xong</t>
        </is>
      </c>
      <c r="K24" s="13" t="n">
        <v>46312</v>
      </c>
      <c r="L24" s="12" t="n"/>
      <c r="M24" s="48">
        <f>IF(E24="","",IF(J24="Bỏ qua","—",IF(J24="Xong",IF(AND(ISNUMBER(K24),ISNUMBER(I24),K24&gt;I24),"Xong trễ","Xong"),MID(IF(G24=""," · CHƯA GIAO","")&amp;IF(NOT(ISNUMBER(I24)),"",IF(TODAY()&gt;I24," · QUÁ HẠN "&amp;(TODAY()-I24)&amp;" ngày",IF(I24-TODAY()&lt;=3," · Đến hạn "&amp;IF(I24=TODAY(),"hôm nay","trong "&amp;(I24-TODAY())&amp;" ngày"),"")))&amp;IF(J24="Chờ đối tác"," · Chờ đối tác"&amp;IF(ISNUMBER(N24)," "&amp;(TODAY()-INT(N24))&amp;" ngày",""),""),4,200))))</f>
        <v/>
      </c>
      <c r="N24" s="49" t="n">
        <v>46312.6875</v>
      </c>
      <c r="O24" t="inlineStr">
        <is>
          <t>VD-1</t>
        </is>
      </c>
      <c r="P24" t="inlineStr">
        <is>
          <t>K22</t>
        </is>
      </c>
      <c r="Q24" t="n">
        <v>0</v>
      </c>
      <c r="R24" t="inlineStr">
        <is>
          <t>Lịch</t>
        </is>
      </c>
      <c r="S24">
        <f>IF(AND(E24&lt;&gt;"",T24="Có",J24&lt;&gt;"Xong",J24&lt;&gt;"Bỏ qua",ISNUMBER(I24)),I24+ROW()/100000,"")</f>
        <v/>
      </c>
      <c r="T24">
        <f>IF(O24="","",IFERROR(INDEX(SK_TD,MATCH(O24,SK_A,0)),""))</f>
        <v/>
      </c>
      <c r="U24" t="inlineStr">
        <is>
          <t>Digital (ví dụ)</t>
        </is>
      </c>
      <c r="V24">
        <f>IF(AND(O24&lt;&gt;"",O24=SEL_K,J24&lt;&gt;"Xong",J24&lt;&gt;"Bỏ qua"),IF(ISNUMBER(I24),I24,99999)+ROW()/100000,"")</f>
        <v/>
      </c>
    </row>
    <row r="25">
      <c r="A25" s="12">
        <f>IF(O25="","",IFERROR(INDEX(SK_B,MATCH(O25,SK_A,0))&amp;"",""))</f>
        <v/>
      </c>
      <c r="B25" s="45">
        <f>IF(O25="","",IFERROR(INDEX(SK_C,MATCH(O25,SK_A,0)),""))</f>
        <v/>
      </c>
      <c r="C25" s="46">
        <f>IF(Q25="","",IF(Q25=0,"D",IF(Q25&lt;0,"D"&amp;Q25,"D+"&amp;Q25)))</f>
        <v/>
      </c>
      <c r="D25" s="14" t="inlineStr">
        <is>
          <t>9. Ngày D</t>
        </is>
      </c>
      <c r="E25" s="12" t="inlineStr">
        <is>
          <t>Điều phối chương trình, khảo sát QR trước bế mạc, ảnh / video</t>
        </is>
      </c>
      <c r="F25" s="46" t="inlineStr">
        <is>
          <t>MKT Leader</t>
        </is>
      </c>
      <c r="G25" s="47" t="inlineStr">
        <is>
          <t>Leader MKT (ví dụ)</t>
        </is>
      </c>
      <c r="H25" s="14" t="inlineStr">
        <is>
          <t>Digital MKT</t>
        </is>
      </c>
      <c r="I25" s="13">
        <f>IF(OR(B25="",Q25=""),"",IF(Q25&gt;0,IF(R25="Làm việc",WORKDAY(IFERROR(IF(INDEX(SK_D,MATCH(O25,SK_A,0))="",B25,INDEX(SK_D,MATCH(O25,SK_A,0))),B25),Q25,HOLI),IFERROR(IF(INDEX(SK_D,MATCH(O25,SK_A,0))="",B25,INDEX(SK_D,MATCH(O25,SK_A,0))),B25)+Q25),B25+Q25))</f>
        <v/>
      </c>
      <c r="J25" s="14" t="inlineStr">
        <is>
          <t>Xong</t>
        </is>
      </c>
      <c r="K25" s="13" t="n">
        <v>46311</v>
      </c>
      <c r="L25" s="12" t="n"/>
      <c r="M25" s="48">
        <f>IF(E25="","",IF(J25="Bỏ qua","—",IF(J25="Xong",IF(AND(ISNUMBER(K25),ISNUMBER(I25),K25&gt;I25),"Xong trễ","Xong"),MID(IF(G25=""," · CHƯA GIAO","")&amp;IF(NOT(ISNUMBER(I25)),"",IF(TODAY()&gt;I25," · QUÁ HẠN "&amp;(TODAY()-I25)&amp;" ngày",IF(I25-TODAY()&lt;=3," · Đến hạn "&amp;IF(I25=TODAY(),"hôm nay","trong "&amp;(I25-TODAY())&amp;" ngày"),"")))&amp;IF(J25="Chờ đối tác"," · Chờ đối tác"&amp;IF(ISNUMBER(N25)," "&amp;(TODAY()-INT(N25))&amp;" ngày",""),""),4,200))))</f>
        <v/>
      </c>
      <c r="N25" s="49" t="n">
        <v>46311.6875</v>
      </c>
      <c r="O25" t="inlineStr">
        <is>
          <t>VD-1</t>
        </is>
      </c>
      <c r="P25" t="inlineStr">
        <is>
          <t>K23</t>
        </is>
      </c>
      <c r="Q25" t="n">
        <v>0</v>
      </c>
      <c r="R25" t="inlineStr">
        <is>
          <t>Lịch</t>
        </is>
      </c>
      <c r="S25">
        <f>IF(AND(E25&lt;&gt;"",T25="Có",J25&lt;&gt;"Xong",J25&lt;&gt;"Bỏ qua",ISNUMBER(I25)),I25+ROW()/100000,"")</f>
        <v/>
      </c>
      <c r="T25">
        <f>IF(O25="","",IFERROR(INDEX(SK_TD,MATCH(O25,SK_A,0)),""))</f>
        <v/>
      </c>
      <c r="U25" t="inlineStr">
        <is>
          <t>Leader MKT (ví dụ)</t>
        </is>
      </c>
      <c r="V25">
        <f>IF(AND(O25&lt;&gt;"",O25=SEL_K,J25&lt;&gt;"Xong",J25&lt;&gt;"Bỏ qua"),IF(ISNUMBER(I25),I25,99999)+ROW()/100000,"")</f>
        <v/>
      </c>
    </row>
    <row r="26">
      <c r="A26" s="12">
        <f>IF(O26="","",IFERROR(INDEX(SK_B,MATCH(O26,SK_A,0))&amp;"",""))</f>
        <v/>
      </c>
      <c r="B26" s="45">
        <f>IF(O26="","",IFERROR(INDEX(SK_C,MATCH(O26,SK_A,0)),""))</f>
        <v/>
      </c>
      <c r="C26" s="46">
        <f>IF(Q26="","",IF(Q26=0,"D",IF(Q26&lt;0,"D"&amp;Q26,"D+"&amp;Q26)))</f>
        <v/>
      </c>
      <c r="D26" s="14" t="inlineStr">
        <is>
          <t>9. Ngày D</t>
        </is>
      </c>
      <c r="E26" s="12" t="inlineStr">
        <is>
          <t>Bán hàng tại bàn trưng bày + ghi khách quan tâm</t>
        </is>
      </c>
      <c r="F26" s="46" t="inlineStr">
        <is>
          <t>Sales</t>
        </is>
      </c>
      <c r="G26" s="47" t="inlineStr">
        <is>
          <t>Sales Dental (ví dụ)</t>
        </is>
      </c>
      <c r="H26" s="14" t="inlineStr">
        <is>
          <t>NPP</t>
        </is>
      </c>
      <c r="I26" s="13">
        <f>IF(OR(B26="",Q26=""),"",IF(Q26&gt;0,IF(R26="Làm việc",WORKDAY(IFERROR(IF(INDEX(SK_D,MATCH(O26,SK_A,0))="",B26,INDEX(SK_D,MATCH(O26,SK_A,0))),B26),Q26,HOLI),IFERROR(IF(INDEX(SK_D,MATCH(O26,SK_A,0))="",B26,INDEX(SK_D,MATCH(O26,SK_A,0))),B26)+Q26),B26+Q26))</f>
        <v/>
      </c>
      <c r="J26" s="14" t="inlineStr">
        <is>
          <t>Xong</t>
        </is>
      </c>
      <c r="K26" s="13" t="n">
        <v>46312</v>
      </c>
      <c r="L26" s="12" t="n"/>
      <c r="M26" s="48">
        <f>IF(E26="","",IF(J26="Bỏ qua","—",IF(J26="Xong",IF(AND(ISNUMBER(K26),ISNUMBER(I26),K26&gt;I26),"Xong trễ","Xong"),MID(IF(G26=""," · CHƯA GIAO","")&amp;IF(NOT(ISNUMBER(I26)),"",IF(TODAY()&gt;I26," · QUÁ HẠN "&amp;(TODAY()-I26)&amp;" ngày",IF(I26-TODAY()&lt;=3," · Đến hạn "&amp;IF(I26=TODAY(),"hôm nay","trong "&amp;(I26-TODAY())&amp;" ngày"),"")))&amp;IF(J26="Chờ đối tác"," · Chờ đối tác"&amp;IF(ISNUMBER(N26)," "&amp;(TODAY()-INT(N26))&amp;" ngày",""),""),4,200))))</f>
        <v/>
      </c>
      <c r="N26" s="49" t="n">
        <v>46312.6875</v>
      </c>
      <c r="O26" t="inlineStr">
        <is>
          <t>VD-1</t>
        </is>
      </c>
      <c r="P26" t="inlineStr">
        <is>
          <t>K24</t>
        </is>
      </c>
      <c r="Q26" t="n">
        <v>0</v>
      </c>
      <c r="R26" t="inlineStr">
        <is>
          <t>Lịch</t>
        </is>
      </c>
      <c r="S26">
        <f>IF(AND(E26&lt;&gt;"",T26="Có",J26&lt;&gt;"Xong",J26&lt;&gt;"Bỏ qua",ISNUMBER(I26)),I26+ROW()/100000,"")</f>
        <v/>
      </c>
      <c r="T26">
        <f>IF(O26="","",IFERROR(INDEX(SK_TD,MATCH(O26,SK_A,0)),""))</f>
        <v/>
      </c>
      <c r="U26" t="inlineStr">
        <is>
          <t>Sales Dental (ví dụ)</t>
        </is>
      </c>
      <c r="V26">
        <f>IF(AND(O26&lt;&gt;"",O26=SEL_K,J26&lt;&gt;"Xong",J26&lt;&gt;"Bỏ qua"),IF(ISNUMBER(I26),I26,99999)+ROW()/100000,"")</f>
        <v/>
      </c>
    </row>
    <row r="27">
      <c r="A27" s="12">
        <f>IF(O27="","",IFERROR(INDEX(SK_B,MATCH(O27,SK_A,0))&amp;"",""))</f>
        <v/>
      </c>
      <c r="B27" s="45">
        <f>IF(O27="","",IFERROR(INDEX(SK_C,MATCH(O27,SK_A,0)),""))</f>
        <v/>
      </c>
      <c r="C27" s="46">
        <f>IF(Q27="","",IF(Q27=0,"D",IF(Q27&lt;0,"D"&amp;Q27,"D+"&amp;Q27)))</f>
        <v/>
      </c>
      <c r="D27" s="14" t="inlineStr">
        <is>
          <t>9. Ngày D</t>
        </is>
      </c>
      <c r="E27" s="12" t="inlineStr">
        <is>
          <t>Thu dọn, kiểm đếm, ghi POSM hỏng</t>
        </is>
      </c>
      <c r="F27" s="46" t="inlineStr">
        <is>
          <t>Trade MKT</t>
        </is>
      </c>
      <c r="G27" s="47" t="inlineStr">
        <is>
          <t>Trade (ví dụ)</t>
        </is>
      </c>
      <c r="H27" s="14" t="inlineStr">
        <is>
          <t>NPP</t>
        </is>
      </c>
      <c r="I27" s="13">
        <f>IF(OR(B27="",Q27=""),"",IF(Q27&gt;0,IF(R27="Làm việc",WORKDAY(IFERROR(IF(INDEX(SK_D,MATCH(O27,SK_A,0))="",B27,INDEX(SK_D,MATCH(O27,SK_A,0))),B27),Q27,HOLI),IFERROR(IF(INDEX(SK_D,MATCH(O27,SK_A,0))="",B27,INDEX(SK_D,MATCH(O27,SK_A,0))),B27)+Q27),B27+Q27))</f>
        <v/>
      </c>
      <c r="J27" s="14" t="inlineStr">
        <is>
          <t>Chưa làm</t>
        </is>
      </c>
      <c r="K27" s="13" t="n"/>
      <c r="L27" s="12" t="n"/>
      <c r="M27" s="48">
        <f>IF(E27="","",IF(J27="Bỏ qua","—",IF(J27="Xong",IF(AND(ISNUMBER(K27),ISNUMBER(I27),K27&gt;I27),"Xong trễ","Xong"),MID(IF(G27=""," · CHƯA GIAO","")&amp;IF(NOT(ISNUMBER(I27)),"",IF(TODAY()&gt;I27," · QUÁ HẠN "&amp;(TODAY()-I27)&amp;" ngày",IF(I27-TODAY()&lt;=3," · Đến hạn "&amp;IF(I27=TODAY(),"hôm nay","trong "&amp;(I27-TODAY())&amp;" ngày"),"")))&amp;IF(J27="Chờ đối tác"," · Chờ đối tác"&amp;IF(ISNUMBER(N27)," "&amp;(TODAY()-INT(N27))&amp;" ngày",""),""),4,200))))</f>
        <v/>
      </c>
      <c r="N27" s="49" t="n"/>
      <c r="O27" t="inlineStr">
        <is>
          <t>VD-1</t>
        </is>
      </c>
      <c r="P27" t="inlineStr">
        <is>
          <t>K25</t>
        </is>
      </c>
      <c r="Q27" t="n">
        <v>0</v>
      </c>
      <c r="R27" t="inlineStr">
        <is>
          <t>Lịch</t>
        </is>
      </c>
      <c r="S27">
        <f>IF(AND(E27&lt;&gt;"",T27="Có",J27&lt;&gt;"Xong",J27&lt;&gt;"Bỏ qua",ISNUMBER(I27)),I27+ROW()/100000,"")</f>
        <v/>
      </c>
      <c r="T27">
        <f>IF(O27="","",IFERROR(INDEX(SK_TD,MATCH(O27,SK_A,0)),""))</f>
        <v/>
      </c>
      <c r="U27" t="inlineStr">
        <is>
          <t>Trade (ví dụ)</t>
        </is>
      </c>
      <c r="V27">
        <f>IF(AND(O27&lt;&gt;"",O27=SEL_K,J27&lt;&gt;"Xong",J27&lt;&gt;"Bỏ qua"),IF(ISNUMBER(I27),I27,99999)+ROW()/100000,"")</f>
        <v/>
      </c>
    </row>
    <row r="28">
      <c r="A28" s="12">
        <f>IF(O28="","",IFERROR(INDEX(SK_B,MATCH(O28,SK_A,0))&amp;"",""))</f>
        <v/>
      </c>
      <c r="B28" s="45">
        <f>IF(O28="","",IFERROR(INDEX(SK_C,MATCH(O28,SK_A,0)),""))</f>
        <v/>
      </c>
      <c r="C28" s="46">
        <f>IF(Q28="","",IF(Q28=0,"D",IF(Q28&lt;0,"D"&amp;Q28,"D+"&amp;Q28)))</f>
        <v/>
      </c>
      <c r="D28" s="14" t="inlineStr">
        <is>
          <t>10. Sau sự kiện</t>
        </is>
      </c>
      <c r="E28" s="12" t="inlineStr">
        <is>
          <t>Bài cảm ơn + ảnh recap; video recap (nếu có)</t>
        </is>
      </c>
      <c r="F28" s="46" t="inlineStr">
        <is>
          <t>Digital MKT</t>
        </is>
      </c>
      <c r="G28" s="47" t="inlineStr">
        <is>
          <t>Digital (ví dụ)</t>
        </is>
      </c>
      <c r="H28" s="14" t="inlineStr"/>
      <c r="I28" s="13">
        <f>IF(OR(B28="",Q28=""),"",IF(Q28&gt;0,IF(R28="Làm việc",WORKDAY(IFERROR(IF(INDEX(SK_D,MATCH(O28,SK_A,0))="",B28,INDEX(SK_D,MATCH(O28,SK_A,0))),B28),Q28,HOLI),IFERROR(IF(INDEX(SK_D,MATCH(O28,SK_A,0))="",B28,INDEX(SK_D,MATCH(O28,SK_A,0))),B28)+Q28),B28+Q28))</f>
        <v/>
      </c>
      <c r="J28" s="14" t="inlineStr">
        <is>
          <t>Xong</t>
        </is>
      </c>
      <c r="K28" s="13" t="n">
        <v>46314</v>
      </c>
      <c r="L28" s="12" t="n"/>
      <c r="M28" s="48">
        <f>IF(E28="","",IF(J28="Bỏ qua","—",IF(J28="Xong",IF(AND(ISNUMBER(K28),ISNUMBER(I28),K28&gt;I28),"Xong trễ","Xong"),MID(IF(G28=""," · CHƯA GIAO","")&amp;IF(NOT(ISNUMBER(I28)),"",IF(TODAY()&gt;I28," · QUÁ HẠN "&amp;(TODAY()-I28)&amp;" ngày",IF(I28-TODAY()&lt;=3," · Đến hạn "&amp;IF(I28=TODAY(),"hôm nay","trong "&amp;(I28-TODAY())&amp;" ngày"),"")))&amp;IF(J28="Chờ đối tác"," · Chờ đối tác"&amp;IF(ISNUMBER(N28)," "&amp;(TODAY()-INT(N28))&amp;" ngày",""),""),4,200))))</f>
        <v/>
      </c>
      <c r="N28" s="49" t="n">
        <v>46314.6875</v>
      </c>
      <c r="O28" t="inlineStr">
        <is>
          <t>VD-1</t>
        </is>
      </c>
      <c r="P28" t="inlineStr">
        <is>
          <t>K26</t>
        </is>
      </c>
      <c r="Q28" t="n">
        <v>2</v>
      </c>
      <c r="R28" t="inlineStr">
        <is>
          <t>Làm việc</t>
        </is>
      </c>
      <c r="S28">
        <f>IF(AND(E28&lt;&gt;"",T28="Có",J28&lt;&gt;"Xong",J28&lt;&gt;"Bỏ qua",ISNUMBER(I28)),I28+ROW()/100000,"")</f>
        <v/>
      </c>
      <c r="T28">
        <f>IF(O28="","",IFERROR(INDEX(SK_TD,MATCH(O28,SK_A,0)),""))</f>
        <v/>
      </c>
      <c r="U28" t="inlineStr">
        <is>
          <t>Digital (ví dụ)</t>
        </is>
      </c>
      <c r="V28">
        <f>IF(AND(O28&lt;&gt;"",O28=SEL_K,J28&lt;&gt;"Xong",J28&lt;&gt;"Bỏ qua"),IF(ISNUMBER(I28),I28,99999)+ROW()/100000,"")</f>
        <v/>
      </c>
    </row>
    <row r="29">
      <c r="A29" s="12">
        <f>IF(O29="","",IFERROR(INDEX(SK_B,MATCH(O29,SK_A,0))&amp;"",""))</f>
        <v/>
      </c>
      <c r="B29" s="45">
        <f>IF(O29="","",IFERROR(INDEX(SK_C,MATCH(O29,SK_A,0)),""))</f>
        <v/>
      </c>
      <c r="C29" s="46">
        <f>IF(Q29="","",IF(Q29=0,"D",IF(Q29&lt;0,"D"&amp;Q29,"D+"&amp;Q29)))</f>
        <v/>
      </c>
      <c r="D29" s="14" t="inlineStr">
        <is>
          <t>10. Sau sự kiện</t>
        </is>
      </c>
      <c r="E29" s="12" t="inlineStr">
        <is>
          <t>Scan biểu mẫu ký tay + upload ảnh / video lên folder sự kiện</t>
        </is>
      </c>
      <c r="F29" s="46" t="inlineStr">
        <is>
          <t>Trade MKT</t>
        </is>
      </c>
      <c r="G29" s="47" t="inlineStr">
        <is>
          <t>Trade (ví dụ)</t>
        </is>
      </c>
      <c r="H29" s="14" t="inlineStr">
        <is>
          <t>Digital MKT</t>
        </is>
      </c>
      <c r="I29" s="13">
        <f>IF(OR(B29="",Q29=""),"",IF(Q29&gt;0,IF(R29="Làm việc",WORKDAY(IFERROR(IF(INDEX(SK_D,MATCH(O29,SK_A,0))="",B29,INDEX(SK_D,MATCH(O29,SK_A,0))),B29),Q29,HOLI),IFERROR(IF(INDEX(SK_D,MATCH(O29,SK_A,0))="",B29,INDEX(SK_D,MATCH(O29,SK_A,0))),B29)+Q29),B29+Q29))</f>
        <v/>
      </c>
      <c r="J29" s="14" t="inlineStr">
        <is>
          <t>Xong</t>
        </is>
      </c>
      <c r="K29" s="13" t="n">
        <v>46313</v>
      </c>
      <c r="L29" s="12" t="n"/>
      <c r="M29" s="48">
        <f>IF(E29="","",IF(J29="Bỏ qua","—",IF(J29="Xong",IF(AND(ISNUMBER(K29),ISNUMBER(I29),K29&gt;I29),"Xong trễ","Xong"),MID(IF(G29=""," · CHƯA GIAO","")&amp;IF(NOT(ISNUMBER(I29)),"",IF(TODAY()&gt;I29," · QUÁ HẠN "&amp;(TODAY()-I29)&amp;" ngày",IF(I29-TODAY()&lt;=3," · Đến hạn "&amp;IF(I29=TODAY(),"hôm nay","trong "&amp;(I29-TODAY())&amp;" ngày"),"")))&amp;IF(J29="Chờ đối tác"," · Chờ đối tác"&amp;IF(ISNUMBER(N29)," "&amp;(TODAY()-INT(N29))&amp;" ngày",""),""),4,200))))</f>
        <v/>
      </c>
      <c r="N29" s="49" t="n">
        <v>46313.6875</v>
      </c>
      <c r="O29" t="inlineStr">
        <is>
          <t>VD-1</t>
        </is>
      </c>
      <c r="P29" t="inlineStr">
        <is>
          <t>K27</t>
        </is>
      </c>
      <c r="Q29" t="n">
        <v>2</v>
      </c>
      <c r="R29" t="inlineStr">
        <is>
          <t>Làm việc</t>
        </is>
      </c>
      <c r="S29">
        <f>IF(AND(E29&lt;&gt;"",T29="Có",J29&lt;&gt;"Xong",J29&lt;&gt;"Bỏ qua",ISNUMBER(I29)),I29+ROW()/100000,"")</f>
        <v/>
      </c>
      <c r="T29">
        <f>IF(O29="","",IFERROR(INDEX(SK_TD,MATCH(O29,SK_A,0)),""))</f>
        <v/>
      </c>
      <c r="U29" t="inlineStr">
        <is>
          <t>Trade (ví dụ)</t>
        </is>
      </c>
      <c r="V29">
        <f>IF(AND(O29&lt;&gt;"",O29=SEL_K,J29&lt;&gt;"Xong",J29&lt;&gt;"Bỏ qua"),IF(ISNUMBER(I29),I29,99999)+ROW()/100000,"")</f>
        <v/>
      </c>
    </row>
    <row r="30">
      <c r="A30" s="12">
        <f>IF(O30="","",IFERROR(INDEX(SK_B,MATCH(O30,SK_A,0))&amp;"",""))</f>
        <v/>
      </c>
      <c r="B30" s="45">
        <f>IF(O30="","",IFERROR(INDEX(SK_C,MATCH(O30,SK_A,0)),""))</f>
        <v/>
      </c>
      <c r="C30" s="46">
        <f>IF(Q30="","",IF(Q30=0,"D",IF(Q30&lt;0,"D"&amp;Q30,"D+"&amp;Q30)))</f>
        <v/>
      </c>
      <c r="D30" s="14" t="inlineStr">
        <is>
          <t>10. Sau sự kiện</t>
        </is>
      </c>
      <c r="E30" s="12" t="inlineStr">
        <is>
          <t>Đối chiếu dữ liệu khách (loại trùng, đủ trường) ⇒ CUSTOMER LIST; tổng hợp khảo sát</t>
        </is>
      </c>
      <c r="F30" s="46" t="inlineStr">
        <is>
          <t>Digital MKT</t>
        </is>
      </c>
      <c r="G30" s="47" t="inlineStr">
        <is>
          <t>Digital (ví dụ)</t>
        </is>
      </c>
      <c r="H30" s="14" t="inlineStr">
        <is>
          <t>Sales, NPP</t>
        </is>
      </c>
      <c r="I30" s="13">
        <f>IF(OR(B30="",Q30=""),"",IF(Q30&gt;0,IF(R30="Làm việc",WORKDAY(IFERROR(IF(INDEX(SK_D,MATCH(O30,SK_A,0))="",B30,INDEX(SK_D,MATCH(O30,SK_A,0))),B30),Q30,HOLI),IFERROR(IF(INDEX(SK_D,MATCH(O30,SK_A,0))="",B30,INDEX(SK_D,MATCH(O30,SK_A,0))),B30)+Q30),B30+Q30))</f>
        <v/>
      </c>
      <c r="J30" s="14" t="inlineStr">
        <is>
          <t>Xong</t>
        </is>
      </c>
      <c r="K30" s="13" t="n">
        <v>46316</v>
      </c>
      <c r="L30" s="12" t="n"/>
      <c r="M30" s="48">
        <f>IF(E30="","",IF(J30="Bỏ qua","—",IF(J30="Xong",IF(AND(ISNUMBER(K30),ISNUMBER(I30),K30&gt;I30),"Xong trễ","Xong"),MID(IF(G30=""," · CHƯA GIAO","")&amp;IF(NOT(ISNUMBER(I30)),"",IF(TODAY()&gt;I30," · QUÁ HẠN "&amp;(TODAY()-I30)&amp;" ngày",IF(I30-TODAY()&lt;=3," · Đến hạn "&amp;IF(I30=TODAY(),"hôm nay","trong "&amp;(I30-TODAY())&amp;" ngày"),"")))&amp;IF(J30="Chờ đối tác"," · Chờ đối tác"&amp;IF(ISNUMBER(N30)," "&amp;(TODAY()-INT(N30))&amp;" ngày",""),""),4,200))))</f>
        <v/>
      </c>
      <c r="N30" s="49" t="n">
        <v>46316.6875</v>
      </c>
      <c r="O30" t="inlineStr">
        <is>
          <t>VD-1</t>
        </is>
      </c>
      <c r="P30" t="inlineStr">
        <is>
          <t>K28</t>
        </is>
      </c>
      <c r="Q30" t="n">
        <v>3</v>
      </c>
      <c r="R30" t="inlineStr">
        <is>
          <t>Làm việc</t>
        </is>
      </c>
      <c r="S30">
        <f>IF(AND(E30&lt;&gt;"",T30="Có",J30&lt;&gt;"Xong",J30&lt;&gt;"Bỏ qua",ISNUMBER(I30)),I30+ROW()/100000,"")</f>
        <v/>
      </c>
      <c r="T30">
        <f>IF(O30="","",IFERROR(INDEX(SK_TD,MATCH(O30,SK_A,0)),""))</f>
        <v/>
      </c>
      <c r="U30" t="inlineStr">
        <is>
          <t>Digital (ví dụ)</t>
        </is>
      </c>
      <c r="V30">
        <f>IF(AND(O30&lt;&gt;"",O30=SEL_K,J30&lt;&gt;"Xong",J30&lt;&gt;"Bỏ qua"),IF(ISNUMBER(I30),I30,99999)+ROW()/100000,"")</f>
        <v/>
      </c>
    </row>
    <row r="31">
      <c r="A31" s="12">
        <f>IF(O31="","",IFERROR(INDEX(SK_B,MATCH(O31,SK_A,0))&amp;"",""))</f>
        <v/>
      </c>
      <c r="B31" s="45">
        <f>IF(O31="","",IFERROR(INDEX(SK_C,MATCH(O31,SK_A,0)),""))</f>
        <v/>
      </c>
      <c r="C31" s="46">
        <f>IF(Q31="","",IF(Q31=0,"D",IF(Q31&lt;0,"D"&amp;Q31,"D+"&amp;Q31)))</f>
        <v/>
      </c>
      <c r="D31" s="14" t="inlineStr">
        <is>
          <t>10. Sau sự kiện</t>
        </is>
      </c>
      <c r="E31" s="12" t="inlineStr">
        <is>
          <t>Sales + NPP gửi số liệu bán hàng tại sự kiện</t>
        </is>
      </c>
      <c r="F31" s="46" t="inlineStr">
        <is>
          <t>Sales</t>
        </is>
      </c>
      <c r="G31" s="47" t="inlineStr">
        <is>
          <t>Sales Dental (ví dụ)</t>
        </is>
      </c>
      <c r="H31" s="14" t="inlineStr">
        <is>
          <t>NPP</t>
        </is>
      </c>
      <c r="I31" s="13">
        <f>IF(OR(B31="",Q31=""),"",IF(Q31&gt;0,IF(R31="Làm việc",WORKDAY(IFERROR(IF(INDEX(SK_D,MATCH(O31,SK_A,0))="",B31,INDEX(SK_D,MATCH(O31,SK_A,0))),B31),Q31,HOLI),IFERROR(IF(INDEX(SK_D,MATCH(O31,SK_A,0))="",B31,INDEX(SK_D,MATCH(O31,SK_A,0))),B31)+Q31),B31+Q31))</f>
        <v/>
      </c>
      <c r="J31" s="14" t="inlineStr">
        <is>
          <t>Chưa làm</t>
        </is>
      </c>
      <c r="K31" s="13" t="n"/>
      <c r="L31" s="12" t="n"/>
      <c r="M31" s="48">
        <f>IF(E31="","",IF(J31="Bỏ qua","—",IF(J31="Xong",IF(AND(ISNUMBER(K31),ISNUMBER(I31),K31&gt;I31),"Xong trễ","Xong"),MID(IF(G31=""," · CHƯA GIAO","")&amp;IF(NOT(ISNUMBER(I31)),"",IF(TODAY()&gt;I31," · QUÁ HẠN "&amp;(TODAY()-I31)&amp;" ngày",IF(I31-TODAY()&lt;=3," · Đến hạn "&amp;IF(I31=TODAY(),"hôm nay","trong "&amp;(I31-TODAY())&amp;" ngày"),"")))&amp;IF(J31="Chờ đối tác"," · Chờ đối tác"&amp;IF(ISNUMBER(N31)," "&amp;(TODAY()-INT(N31))&amp;" ngày",""),""),4,200))))</f>
        <v/>
      </c>
      <c r="N31" s="49" t="n"/>
      <c r="O31" t="inlineStr">
        <is>
          <t>VD-1</t>
        </is>
      </c>
      <c r="P31" t="inlineStr">
        <is>
          <t>K29</t>
        </is>
      </c>
      <c r="Q31" t="n">
        <v>3</v>
      </c>
      <c r="R31" t="inlineStr">
        <is>
          <t>Làm việc</t>
        </is>
      </c>
      <c r="S31">
        <f>IF(AND(E31&lt;&gt;"",T31="Có",J31&lt;&gt;"Xong",J31&lt;&gt;"Bỏ qua",ISNUMBER(I31)),I31+ROW()/100000,"")</f>
        <v/>
      </c>
      <c r="T31">
        <f>IF(O31="","",IFERROR(INDEX(SK_TD,MATCH(O31,SK_A,0)),""))</f>
        <v/>
      </c>
      <c r="U31" t="inlineStr">
        <is>
          <t>Sales Dental (ví dụ)</t>
        </is>
      </c>
      <c r="V31">
        <f>IF(AND(O31&lt;&gt;"",O31=SEL_K,J31&lt;&gt;"Xong",J31&lt;&gt;"Bỏ qua"),IF(ISNUMBER(I31),I31,99999)+ROW()/100000,"")</f>
        <v/>
      </c>
    </row>
    <row r="32">
      <c r="A32" s="12">
        <f>IF(O32="","",IFERROR(INDEX(SK_B,MATCH(O32,SK_A,0))&amp;"",""))</f>
        <v/>
      </c>
      <c r="B32" s="45">
        <f>IF(O32="","",IFERROR(INDEX(SK_C,MATCH(O32,SK_A,0)),""))</f>
        <v/>
      </c>
      <c r="C32" s="46">
        <f>IF(Q32="","",IF(Q32=0,"D",IF(Q32&lt;0,"D"&amp;Q32,"D+"&amp;Q32)))</f>
        <v/>
      </c>
      <c r="D32" s="14" t="inlineStr">
        <is>
          <t>10. Sau sự kiện</t>
        </is>
      </c>
      <c r="E32" s="12" t="inlineStr">
        <is>
          <t>Bàn giao danh sách khách cần follow-up cho Sales</t>
        </is>
      </c>
      <c r="F32" s="46" t="inlineStr">
        <is>
          <t>Digital MKT</t>
        </is>
      </c>
      <c r="G32" s="47" t="inlineStr">
        <is>
          <t>Digital (ví dụ)</t>
        </is>
      </c>
      <c r="H32" s="14" t="inlineStr">
        <is>
          <t>Sales</t>
        </is>
      </c>
      <c r="I32" s="13">
        <f>IF(OR(B32="",Q32=""),"",IF(Q32&gt;0,IF(R32="Làm việc",WORKDAY(IFERROR(IF(INDEX(SK_D,MATCH(O32,SK_A,0))="",B32,INDEX(SK_D,MATCH(O32,SK_A,0))),B32),Q32,HOLI),IFERROR(IF(INDEX(SK_D,MATCH(O32,SK_A,0))="",B32,INDEX(SK_D,MATCH(O32,SK_A,0))),B32)+Q32),B32+Q32))</f>
        <v/>
      </c>
      <c r="J32" s="14" t="inlineStr">
        <is>
          <t>Xong</t>
        </is>
      </c>
      <c r="K32" s="13" t="n">
        <v>46316</v>
      </c>
      <c r="L32" s="12" t="n"/>
      <c r="M32" s="48">
        <f>IF(E32="","",IF(J32="Bỏ qua","—",IF(J32="Xong",IF(AND(ISNUMBER(K32),ISNUMBER(I32),K32&gt;I32),"Xong trễ","Xong"),MID(IF(G32=""," · CHƯA GIAO","")&amp;IF(NOT(ISNUMBER(I32)),"",IF(TODAY()&gt;I32," · QUÁ HẠN "&amp;(TODAY()-I32)&amp;" ngày",IF(I32-TODAY()&lt;=3," · Đến hạn "&amp;IF(I32=TODAY(),"hôm nay","trong "&amp;(I32-TODAY())&amp;" ngày"),"")))&amp;IF(J32="Chờ đối tác"," · Chờ đối tác"&amp;IF(ISNUMBER(N32)," "&amp;(TODAY()-INT(N32))&amp;" ngày",""),""),4,200))))</f>
        <v/>
      </c>
      <c r="N32" s="49" t="n">
        <v>46316.6875</v>
      </c>
      <c r="O32" t="inlineStr">
        <is>
          <t>VD-1</t>
        </is>
      </c>
      <c r="P32" t="inlineStr">
        <is>
          <t>K30</t>
        </is>
      </c>
      <c r="Q32" t="n">
        <v>3</v>
      </c>
      <c r="R32" t="inlineStr">
        <is>
          <t>Làm việc</t>
        </is>
      </c>
      <c r="S32">
        <f>IF(AND(E32&lt;&gt;"",T32="Có",J32&lt;&gt;"Xong",J32&lt;&gt;"Bỏ qua",ISNUMBER(I32)),I32+ROW()/100000,"")</f>
        <v/>
      </c>
      <c r="T32">
        <f>IF(O32="","",IFERROR(INDEX(SK_TD,MATCH(O32,SK_A,0)),""))</f>
        <v/>
      </c>
      <c r="U32" t="inlineStr">
        <is>
          <t>Digital (ví dụ)</t>
        </is>
      </c>
      <c r="V32">
        <f>IF(AND(O32&lt;&gt;"",O32=SEL_K,J32&lt;&gt;"Xong",J32&lt;&gt;"Bỏ qua"),IF(ISNUMBER(I32),I32,99999)+ROW()/100000,"")</f>
        <v/>
      </c>
    </row>
    <row r="33">
      <c r="A33" s="12">
        <f>IF(O33="","",IFERROR(INDEX(SK_B,MATCH(O33,SK_A,0))&amp;"",""))</f>
        <v/>
      </c>
      <c r="B33" s="45">
        <f>IF(O33="","",IFERROR(INDEX(SK_C,MATCH(O33,SK_A,0)),""))</f>
        <v/>
      </c>
      <c r="C33" s="46">
        <f>IF(Q33="","",IF(Q33=0,"D",IF(Q33&lt;0,"D"&amp;Q33,"D+"&amp;Q33)))</f>
        <v/>
      </c>
      <c r="D33" s="14" t="inlineStr">
        <is>
          <t>10. Sau sự kiện</t>
        </is>
      </c>
      <c r="E33" s="12" t="inlineStr">
        <is>
          <t>Báo cáo sự kiện + chứng từ KOL, hoá đơn địa điểm</t>
        </is>
      </c>
      <c r="F33" s="46" t="inlineStr">
        <is>
          <t>MKT Leader</t>
        </is>
      </c>
      <c r="G33" s="47" t="inlineStr">
        <is>
          <t>Leader MKT (ví dụ)</t>
        </is>
      </c>
      <c r="H33" s="14" t="inlineStr">
        <is>
          <t>Trade MKT</t>
        </is>
      </c>
      <c r="I33" s="13">
        <f>IF(OR(B33="",Q33=""),"",IF(Q33&gt;0,IF(R33="Làm việc",WORKDAY(IFERROR(IF(INDEX(SK_D,MATCH(O33,SK_A,0))="",B33,INDEX(SK_D,MATCH(O33,SK_A,0))),B33),Q33,HOLI),IFERROR(IF(INDEX(SK_D,MATCH(O33,SK_A,0))="",B33,INDEX(SK_D,MATCH(O33,SK_A,0))),B33)+Q33),B33+Q33))</f>
        <v/>
      </c>
      <c r="J33" s="14" t="inlineStr">
        <is>
          <t>Xong</t>
        </is>
      </c>
      <c r="K33" s="13" t="n">
        <v>46316</v>
      </c>
      <c r="L33" s="12" t="n"/>
      <c r="M33" s="48">
        <f>IF(E33="","",IF(J33="Bỏ qua","—",IF(J33="Xong",IF(AND(ISNUMBER(K33),ISNUMBER(I33),K33&gt;I33),"Xong trễ","Xong"),MID(IF(G33=""," · CHƯA GIAO","")&amp;IF(NOT(ISNUMBER(I33)),"",IF(TODAY()&gt;I33," · QUÁ HẠN "&amp;(TODAY()-I33)&amp;" ngày",IF(I33-TODAY()&lt;=3," · Đến hạn "&amp;IF(I33=TODAY(),"hôm nay","trong "&amp;(I33-TODAY())&amp;" ngày"),"")))&amp;IF(J33="Chờ đối tác"," · Chờ đối tác"&amp;IF(ISNUMBER(N33)," "&amp;(TODAY()-INT(N33))&amp;" ngày",""),""),4,200))))</f>
        <v/>
      </c>
      <c r="N33" s="49" t="n">
        <v>46316.6875</v>
      </c>
      <c r="O33" t="inlineStr">
        <is>
          <t>VD-1</t>
        </is>
      </c>
      <c r="P33" t="inlineStr">
        <is>
          <t>K31</t>
        </is>
      </c>
      <c r="Q33" t="n">
        <v>5</v>
      </c>
      <c r="R33" t="inlineStr">
        <is>
          <t>Làm việc</t>
        </is>
      </c>
      <c r="S33">
        <f>IF(AND(E33&lt;&gt;"",T33="Có",J33&lt;&gt;"Xong",J33&lt;&gt;"Bỏ qua",ISNUMBER(I33)),I33+ROW()/100000,"")</f>
        <v/>
      </c>
      <c r="T33">
        <f>IF(O33="","",IFERROR(INDEX(SK_TD,MATCH(O33,SK_A,0)),""))</f>
        <v/>
      </c>
      <c r="U33" t="inlineStr">
        <is>
          <t>Leader MKT (ví dụ)</t>
        </is>
      </c>
      <c r="V33">
        <f>IF(AND(O33&lt;&gt;"",O33=SEL_K,J33&lt;&gt;"Xong",J33&lt;&gt;"Bỏ qua"),IF(ISNUMBER(I33),I33,99999)+ROW()/100000,"")</f>
        <v/>
      </c>
    </row>
    <row r="34">
      <c r="A34" s="12">
        <f>IF(O34="","",IFERROR(INDEX(SK_B,MATCH(O34,SK_A,0))&amp;"",""))</f>
        <v/>
      </c>
      <c r="B34" s="45">
        <f>IF(O34="","",IFERROR(INDEX(SK_C,MATCH(O34,SK_A,0)),""))</f>
        <v/>
      </c>
      <c r="C34" s="46">
        <f>IF(Q34="","",IF(Q34=0,"D",IF(Q34&lt;0,"D"&amp;Q34,"D+"&amp;Q34)))</f>
        <v/>
      </c>
      <c r="D34" s="14" t="inlineStr">
        <is>
          <t>10. Sau sự kiện</t>
        </is>
      </c>
      <c r="E34" s="12" t="inlineStr">
        <is>
          <t>Email báo cáo toàn MMH (4 file đính kèm) + hoàn tất lưu hồ sơ</t>
        </is>
      </c>
      <c r="F34" s="46" t="inlineStr">
        <is>
          <t>MKT Leader</t>
        </is>
      </c>
      <c r="G34" s="47" t="inlineStr">
        <is>
          <t>Leader MKT (ví dụ)</t>
        </is>
      </c>
      <c r="H34" s="14" t="inlineStr"/>
      <c r="I34" s="13">
        <f>IF(OR(B34="",Q34=""),"",IF(Q34&gt;0,IF(R34="Làm việc",WORKDAY(IFERROR(IF(INDEX(SK_D,MATCH(O34,SK_A,0))="",B34,INDEX(SK_D,MATCH(O34,SK_A,0))),B34),Q34,HOLI),IFERROR(IF(INDEX(SK_D,MATCH(O34,SK_A,0))="",B34,INDEX(SK_D,MATCH(O34,SK_A,0))),B34)+Q34),B34+Q34))</f>
        <v/>
      </c>
      <c r="J34" s="14" t="inlineStr">
        <is>
          <t>Xong</t>
        </is>
      </c>
      <c r="K34" s="13" t="n">
        <v>46321</v>
      </c>
      <c r="L34" s="12" t="n"/>
      <c r="M34" s="48">
        <f>IF(E34="","",IF(J34="Bỏ qua","—",IF(J34="Xong",IF(AND(ISNUMBER(K34),ISNUMBER(I34),K34&gt;I34),"Xong trễ","Xong"),MID(IF(G34=""," · CHƯA GIAO","")&amp;IF(NOT(ISNUMBER(I34)),"",IF(TODAY()&gt;I34," · QUÁ HẠN "&amp;(TODAY()-I34)&amp;" ngày",IF(I34-TODAY()&lt;=3," · Đến hạn "&amp;IF(I34=TODAY(),"hôm nay","trong "&amp;(I34-TODAY())&amp;" ngày"),"")))&amp;IF(J34="Chờ đối tác"," · Chờ đối tác"&amp;IF(ISNUMBER(N34)," "&amp;(TODAY()-INT(N34))&amp;" ngày",""),""),4,200))))</f>
        <v/>
      </c>
      <c r="N34" s="49" t="n">
        <v>46321.6875</v>
      </c>
      <c r="O34" t="inlineStr">
        <is>
          <t>VD-1</t>
        </is>
      </c>
      <c r="P34" t="inlineStr">
        <is>
          <t>K32</t>
        </is>
      </c>
      <c r="Q34" t="n">
        <v>7</v>
      </c>
      <c r="R34" t="inlineStr">
        <is>
          <t>Làm việc</t>
        </is>
      </c>
      <c r="S34">
        <f>IF(AND(E34&lt;&gt;"",T34="Có",J34&lt;&gt;"Xong",J34&lt;&gt;"Bỏ qua",ISNUMBER(I34)),I34+ROW()/100000,"")</f>
        <v/>
      </c>
      <c r="T34">
        <f>IF(O34="","",IFERROR(INDEX(SK_TD,MATCH(O34,SK_A,0)),""))</f>
        <v/>
      </c>
      <c r="U34" t="inlineStr">
        <is>
          <t>Leader MKT (ví dụ)</t>
        </is>
      </c>
      <c r="V34">
        <f>IF(AND(O34&lt;&gt;"",O34=SEL_K,J34&lt;&gt;"Xong",J34&lt;&gt;"Bỏ qua"),IF(ISNUMBER(I34),I34,99999)+ROW()/100000,"")</f>
        <v/>
      </c>
    </row>
    <row r="35">
      <c r="A35" s="12">
        <f>IF(O35="","",IFERROR(INDEX(SK_B,MATCH(O35,SK_A,0))&amp;"",""))</f>
        <v/>
      </c>
      <c r="B35" s="45">
        <f>IF(O35="","",IFERROR(INDEX(SK_C,MATCH(O35,SK_A,0)),""))</f>
        <v/>
      </c>
      <c r="C35" s="46">
        <f>IF(Q35="","",IF(Q35=0,"D",IF(Q35&lt;0,"D"&amp;Q35,"D+"&amp;Q35)))</f>
        <v/>
      </c>
      <c r="D35" s="14" t="inlineStr">
        <is>
          <t>11. Follow-up</t>
        </is>
      </c>
      <c r="E35" s="12" t="inlineStr">
        <is>
          <t>Sales liên hệ lần đầu khách cần follow-up</t>
        </is>
      </c>
      <c r="F35" s="46" t="inlineStr">
        <is>
          <t>Sales</t>
        </is>
      </c>
      <c r="G35" s="47" t="inlineStr">
        <is>
          <t>Sales Dental (ví dụ)</t>
        </is>
      </c>
      <c r="H35" s="14" t="inlineStr">
        <is>
          <t>NPP</t>
        </is>
      </c>
      <c r="I35" s="13">
        <f>IF(OR(B35="",Q35=""),"",IF(Q35&gt;0,IF(R35="Làm việc",WORKDAY(IFERROR(IF(INDEX(SK_D,MATCH(O35,SK_A,0))="",B35,INDEX(SK_D,MATCH(O35,SK_A,0))),B35),Q35,HOLI),IFERROR(IF(INDEX(SK_D,MATCH(O35,SK_A,0))="",B35,INDEX(SK_D,MATCH(O35,SK_A,0))),B35)+Q35),B35+Q35))</f>
        <v/>
      </c>
      <c r="J35" s="14" t="inlineStr">
        <is>
          <t>Xong</t>
        </is>
      </c>
      <c r="K35" s="13" t="n">
        <v>46318</v>
      </c>
      <c r="L35" s="12" t="n"/>
      <c r="M35" s="48">
        <f>IF(E35="","",IF(J35="Bỏ qua","—",IF(J35="Xong",IF(AND(ISNUMBER(K35),ISNUMBER(I35),K35&gt;I35),"Xong trễ","Xong"),MID(IF(G35=""," · CHƯA GIAO","")&amp;IF(NOT(ISNUMBER(I35)),"",IF(TODAY()&gt;I35," · QUÁ HẠN "&amp;(TODAY()-I35)&amp;" ngày",IF(I35-TODAY()&lt;=3," · Đến hạn "&amp;IF(I35=TODAY(),"hôm nay","trong "&amp;(I35-TODAY())&amp;" ngày"),"")))&amp;IF(J35="Chờ đối tác"," · Chờ đối tác"&amp;IF(ISNUMBER(N35)," "&amp;(TODAY()-INT(N35))&amp;" ngày",""),""),4,200))))</f>
        <v/>
      </c>
      <c r="N35" s="49" t="n">
        <v>46318.6875</v>
      </c>
      <c r="O35" t="inlineStr">
        <is>
          <t>VD-1</t>
        </is>
      </c>
      <c r="P35" t="inlineStr">
        <is>
          <t>K33</t>
        </is>
      </c>
      <c r="Q35" t="n">
        <v>5</v>
      </c>
      <c r="R35" t="inlineStr">
        <is>
          <t>Làm việc</t>
        </is>
      </c>
      <c r="S35">
        <f>IF(AND(E35&lt;&gt;"",T35="Có",J35&lt;&gt;"Xong",J35&lt;&gt;"Bỏ qua",ISNUMBER(I35)),I35+ROW()/100000,"")</f>
        <v/>
      </c>
      <c r="T35">
        <f>IF(O35="","",IFERROR(INDEX(SK_TD,MATCH(O35,SK_A,0)),""))</f>
        <v/>
      </c>
      <c r="U35" t="inlineStr">
        <is>
          <t>Sales Dental (ví dụ)</t>
        </is>
      </c>
      <c r="V35">
        <f>IF(AND(O35&lt;&gt;"",O35=SEL_K,J35&lt;&gt;"Xong",J35&lt;&gt;"Bỏ qua"),IF(ISNUMBER(I35),I35,99999)+ROW()/100000,"")</f>
        <v/>
      </c>
    </row>
    <row r="36">
      <c r="A36" s="12">
        <f>IF(O36="","",IFERROR(INDEX(SK_B,MATCH(O36,SK_A,0))&amp;"",""))</f>
        <v/>
      </c>
      <c r="B36" s="45">
        <f>IF(O36="","",IFERROR(INDEX(SK_C,MATCH(O36,SK_A,0)),""))</f>
        <v/>
      </c>
      <c r="C36" s="46">
        <f>IF(Q36="","",IF(Q36=0,"D",IF(Q36&lt;0,"D"&amp;Q36,"D+"&amp;Q36)))</f>
        <v/>
      </c>
      <c r="D36" s="14" t="inlineStr">
        <is>
          <t>11. Follow-up</t>
        </is>
      </c>
      <c r="E36" s="12" t="inlineStr">
        <is>
          <t>Sales báo kết quả chuyển đổi đơn hàng</t>
        </is>
      </c>
      <c r="F36" s="46" t="inlineStr">
        <is>
          <t>Sales</t>
        </is>
      </c>
      <c r="G36" s="47" t="inlineStr">
        <is>
          <t>Sales Dental (ví dụ)</t>
        </is>
      </c>
      <c r="H36" s="14" t="inlineStr">
        <is>
          <t>NPP</t>
        </is>
      </c>
      <c r="I36" s="13">
        <f>IF(OR(B36="",Q36=""),"",IF(Q36&gt;0,IF(R36="Làm việc",WORKDAY(IFERROR(IF(INDEX(SK_D,MATCH(O36,SK_A,0))="",B36,INDEX(SK_D,MATCH(O36,SK_A,0))),B36),Q36,HOLI),IFERROR(IF(INDEX(SK_D,MATCH(O36,SK_A,0))="",B36,INDEX(SK_D,MATCH(O36,SK_A,0))),B36)+Q36),B36+Q36))</f>
        <v/>
      </c>
      <c r="J36" s="14" t="inlineStr">
        <is>
          <t>Chưa làm</t>
        </is>
      </c>
      <c r="K36" s="13" t="n"/>
      <c r="L36" s="12" t="n"/>
      <c r="M36" s="48">
        <f>IF(E36="","",IF(J36="Bỏ qua","—",IF(J36="Xong",IF(AND(ISNUMBER(K36),ISNUMBER(I36),K36&gt;I36),"Xong trễ","Xong"),MID(IF(G36=""," · CHƯA GIAO","")&amp;IF(NOT(ISNUMBER(I36)),"",IF(TODAY()&gt;I36," · QUÁ HẠN "&amp;(TODAY()-I36)&amp;" ngày",IF(I36-TODAY()&lt;=3," · Đến hạn "&amp;IF(I36=TODAY(),"hôm nay","trong "&amp;(I36-TODAY())&amp;" ngày"),"")))&amp;IF(J36="Chờ đối tác"," · Chờ đối tác"&amp;IF(ISNUMBER(N36)," "&amp;(TODAY()-INT(N36))&amp;" ngày",""),""),4,200))))</f>
        <v/>
      </c>
      <c r="N36" s="49" t="n"/>
      <c r="O36" t="inlineStr">
        <is>
          <t>VD-1</t>
        </is>
      </c>
      <c r="P36" t="inlineStr">
        <is>
          <t>K34</t>
        </is>
      </c>
      <c r="Q36" t="n">
        <v>20</v>
      </c>
      <c r="R36" t="inlineStr">
        <is>
          <t>Làm việc</t>
        </is>
      </c>
      <c r="S36">
        <f>IF(AND(E36&lt;&gt;"",T36="Có",J36&lt;&gt;"Xong",J36&lt;&gt;"Bỏ qua",ISNUMBER(I36)),I36+ROW()/100000,"")</f>
        <v/>
      </c>
      <c r="T36">
        <f>IF(O36="","",IFERROR(INDEX(SK_TD,MATCH(O36,SK_A,0)),""))</f>
        <v/>
      </c>
      <c r="U36" t="inlineStr">
        <is>
          <t>Sales Dental (ví dụ)</t>
        </is>
      </c>
      <c r="V36">
        <f>IF(AND(O36&lt;&gt;"",O36=SEL_K,J36&lt;&gt;"Xong",J36&lt;&gt;"Bỏ qua"),IF(ISNUMBER(I36),I36,99999)+ROW()/100000,"")</f>
        <v/>
      </c>
    </row>
    <row r="37">
      <c r="A37" s="12">
        <f>IF(O37="","",IFERROR(INDEX(SK_B,MATCH(O37,SK_A,0))&amp;"",""))</f>
        <v/>
      </c>
      <c r="B37" s="45">
        <f>IF(O37="","",IFERROR(INDEX(SK_C,MATCH(O37,SK_A,0)),""))</f>
        <v/>
      </c>
      <c r="C37" s="46">
        <f>IF(Q37="","",IF(Q37=0,"D",IF(Q37&lt;0,"D"&amp;Q37,"D+"&amp;Q37)))</f>
        <v/>
      </c>
      <c r="D37" s="14" t="inlineStr">
        <is>
          <t>1. Kế hoạch</t>
        </is>
      </c>
      <c r="E37" s="12" t="inlineStr">
        <is>
          <t>Lập kế hoạch tổng quan (KOL, số khách, mục đích, KPI bán hàng, khuyến mại, khảo sát) + xin Giám đốc duyệt ngân sách</t>
        </is>
      </c>
      <c r="F37" s="46" t="inlineStr">
        <is>
          <t>MKT Leader</t>
        </is>
      </c>
      <c r="G37" s="47" t="inlineStr">
        <is>
          <t>Leader MKT (ví dụ)</t>
        </is>
      </c>
      <c r="H37" s="14" t="inlineStr">
        <is>
          <t>Sales, NPP</t>
        </is>
      </c>
      <c r="I37" s="13">
        <f>IF(OR(B37="",Q37=""),"",IF(Q37&gt;0,IF(R37="Làm việc",WORKDAY(IFERROR(IF(INDEX(SK_D,MATCH(O37,SK_A,0))="",B37,INDEX(SK_D,MATCH(O37,SK_A,0))),B37),Q37,HOLI),IFERROR(IF(INDEX(SK_D,MATCH(O37,SK_A,0))="",B37,INDEX(SK_D,MATCH(O37,SK_A,0))),B37)+Q37),B37+Q37))</f>
        <v/>
      </c>
      <c r="J37" s="14" t="inlineStr">
        <is>
          <t>Xong</t>
        </is>
      </c>
      <c r="K37" s="13" t="n">
        <v>46304</v>
      </c>
      <c r="L37" s="12" t="n"/>
      <c r="M37" s="48">
        <f>IF(E37="","",IF(J37="Bỏ qua","—",IF(J37="Xong",IF(AND(ISNUMBER(K37),ISNUMBER(I37),K37&gt;I37),"Xong trễ","Xong"),MID(IF(G37=""," · CHƯA GIAO","")&amp;IF(NOT(ISNUMBER(I37)),"",IF(TODAY()&gt;I37," · QUÁ HẠN "&amp;(TODAY()-I37)&amp;" ngày",IF(I37-TODAY()&lt;=3," · Đến hạn "&amp;IF(I37=TODAY(),"hôm nay","trong "&amp;(I37-TODAY())&amp;" ngày"),"")))&amp;IF(J37="Chờ đối tác"," · Chờ đối tác"&amp;IF(ISNUMBER(N37)," "&amp;(TODAY()-INT(N37))&amp;" ngày",""),""),4,200))))</f>
        <v/>
      </c>
      <c r="N37" s="49" t="n">
        <v>46304.6875</v>
      </c>
      <c r="O37" t="inlineStr">
        <is>
          <t>VD-2</t>
        </is>
      </c>
      <c r="P37" t="inlineStr">
        <is>
          <t>K01</t>
        </is>
      </c>
      <c r="Q37" t="n">
        <v>-30</v>
      </c>
      <c r="R37" t="inlineStr">
        <is>
          <t>Lịch</t>
        </is>
      </c>
      <c r="S37">
        <f>IF(AND(E37&lt;&gt;"",T37="Có",J37&lt;&gt;"Xong",J37&lt;&gt;"Bỏ qua",ISNUMBER(I37)),I37+ROW()/100000,"")</f>
        <v/>
      </c>
      <c r="T37">
        <f>IF(O37="","",IFERROR(INDEX(SK_TD,MATCH(O37,SK_A,0)),""))</f>
        <v/>
      </c>
      <c r="U37" t="inlineStr">
        <is>
          <t>Leader MKT (ví dụ)</t>
        </is>
      </c>
      <c r="V37">
        <f>IF(AND(O37&lt;&gt;"",O37=SEL_K,J37&lt;&gt;"Xong",J37&lt;&gt;"Bỏ qua"),IF(ISNUMBER(I37),I37,99999)+ROW()/100000,"")</f>
        <v/>
      </c>
    </row>
    <row r="38">
      <c r="A38" s="12">
        <f>IF(O38="","",IFERROR(INDEX(SK_B,MATCH(O38,SK_A,0))&amp;"",""))</f>
        <v/>
      </c>
      <c r="B38" s="45">
        <f>IF(O38="","",IFERROR(INDEX(SK_C,MATCH(O38,SK_A,0)),""))</f>
        <v/>
      </c>
      <c r="C38" s="46">
        <f>IF(Q38="","",IF(Q38=0,"D",IF(Q38&lt;0,"D"&amp;Q38,"D+"&amp;Q38)))</f>
        <v/>
      </c>
      <c r="D38" s="14" t="inlineStr">
        <is>
          <t>1. Kế hoạch</t>
        </is>
      </c>
      <c r="E38" s="12" t="inlineStr">
        <is>
          <t>Chia việc với NPP, Trường / Viện (tuyển sinh, đồ thực hành, MC, số bàn trưng bày)</t>
        </is>
      </c>
      <c r="F38" s="46" t="inlineStr">
        <is>
          <t>MKT Leader</t>
        </is>
      </c>
      <c r="G38" s="47" t="inlineStr">
        <is>
          <t>Leader MKT (ví dụ)</t>
        </is>
      </c>
      <c r="H38" s="14" t="inlineStr">
        <is>
          <t>NPP, Viện</t>
        </is>
      </c>
      <c r="I38" s="13">
        <f>IF(OR(B38="",Q38=""),"",IF(Q38&gt;0,IF(R38="Làm việc",WORKDAY(IFERROR(IF(INDEX(SK_D,MATCH(O38,SK_A,0))="",B38,INDEX(SK_D,MATCH(O38,SK_A,0))),B38),Q38,HOLI),IFERROR(IF(INDEX(SK_D,MATCH(O38,SK_A,0))="",B38,INDEX(SK_D,MATCH(O38,SK_A,0))),B38)+Q38),B38+Q38))</f>
        <v/>
      </c>
      <c r="J38" s="14" t="inlineStr">
        <is>
          <t>Xong</t>
        </is>
      </c>
      <c r="K38" s="13" t="n">
        <v>46304</v>
      </c>
      <c r="L38" s="12" t="n"/>
      <c r="M38" s="48">
        <f>IF(E38="","",IF(J38="Bỏ qua","—",IF(J38="Xong",IF(AND(ISNUMBER(K38),ISNUMBER(I38),K38&gt;I38),"Xong trễ","Xong"),MID(IF(G38=""," · CHƯA GIAO","")&amp;IF(NOT(ISNUMBER(I38)),"",IF(TODAY()&gt;I38," · QUÁ HẠN "&amp;(TODAY()-I38)&amp;" ngày",IF(I38-TODAY()&lt;=3," · Đến hạn "&amp;IF(I38=TODAY(),"hôm nay","trong "&amp;(I38-TODAY())&amp;" ngày"),"")))&amp;IF(J38="Chờ đối tác"," · Chờ đối tác"&amp;IF(ISNUMBER(N38)," "&amp;(TODAY()-INT(N38))&amp;" ngày",""),""),4,200))))</f>
        <v/>
      </c>
      <c r="N38" s="49" t="n">
        <v>46304.6875</v>
      </c>
      <c r="O38" t="inlineStr">
        <is>
          <t>VD-2</t>
        </is>
      </c>
      <c r="P38" t="inlineStr">
        <is>
          <t>K02</t>
        </is>
      </c>
      <c r="Q38" t="n">
        <v>-30</v>
      </c>
      <c r="R38" t="inlineStr">
        <is>
          <t>Lịch</t>
        </is>
      </c>
      <c r="S38">
        <f>IF(AND(E38&lt;&gt;"",T38="Có",J38&lt;&gt;"Xong",J38&lt;&gt;"Bỏ qua",ISNUMBER(I38)),I38+ROW()/100000,"")</f>
        <v/>
      </c>
      <c r="T38">
        <f>IF(O38="","",IFERROR(INDEX(SK_TD,MATCH(O38,SK_A,0)),""))</f>
        <v/>
      </c>
      <c r="U38" t="inlineStr">
        <is>
          <t>Leader MKT (ví dụ)</t>
        </is>
      </c>
      <c r="V38">
        <f>IF(AND(O38&lt;&gt;"",O38=SEL_K,J38&lt;&gt;"Xong",J38&lt;&gt;"Bỏ qua"),IF(ISNUMBER(I38),I38,99999)+ROW()/100000,"")</f>
        <v/>
      </c>
    </row>
    <row r="39">
      <c r="A39" s="12">
        <f>IF(O39="","",IFERROR(INDEX(SK_B,MATCH(O39,SK_A,0))&amp;"",""))</f>
        <v/>
      </c>
      <c r="B39" s="45">
        <f>IF(O39="","",IFERROR(INDEX(SK_C,MATCH(O39,SK_A,0)),""))</f>
        <v/>
      </c>
      <c r="C39" s="46">
        <f>IF(Q39="","",IF(Q39=0,"D",IF(Q39&lt;0,"D"&amp;Q39,"D+"&amp;Q39)))</f>
        <v/>
      </c>
      <c r="D39" s="14" t="inlineStr">
        <is>
          <t>2. KOL &amp; đối tác</t>
        </is>
      </c>
      <c r="E39" s="12" t="inlineStr">
        <is>
          <t>Chốt KOL: hợp đồng, lịch di chuyển, xem trước bài giảng, người chăm sóc KOL</t>
        </is>
      </c>
      <c r="F39" s="46" t="inlineStr">
        <is>
          <t>MKT Leader</t>
        </is>
      </c>
      <c r="G39" s="47" t="inlineStr">
        <is>
          <t>Leader MKT (ví dụ)</t>
        </is>
      </c>
      <c r="H39" s="14" t="inlineStr">
        <is>
          <t>KOL</t>
        </is>
      </c>
      <c r="I39" s="13">
        <f>IF(OR(B39="",Q39=""),"",IF(Q39&gt;0,IF(R39="Làm việc",WORKDAY(IFERROR(IF(INDEX(SK_D,MATCH(O39,SK_A,0))="",B39,INDEX(SK_D,MATCH(O39,SK_A,0))),B39),Q39,HOLI),IFERROR(IF(INDEX(SK_D,MATCH(O39,SK_A,0))="",B39,INDEX(SK_D,MATCH(O39,SK_A,0))),B39)+Q39),B39+Q39))</f>
        <v/>
      </c>
      <c r="J39" s="14" t="inlineStr">
        <is>
          <t>Xong</t>
        </is>
      </c>
      <c r="K39" s="13" t="n">
        <v>46305</v>
      </c>
      <c r="L39" s="12" t="n"/>
      <c r="M39" s="48">
        <f>IF(E39="","",IF(J39="Bỏ qua","—",IF(J39="Xong",IF(AND(ISNUMBER(K39),ISNUMBER(I39),K39&gt;I39),"Xong trễ","Xong"),MID(IF(G39=""," · CHƯA GIAO","")&amp;IF(NOT(ISNUMBER(I39)),"",IF(TODAY()&gt;I39," · QUÁ HẠN "&amp;(TODAY()-I39)&amp;" ngày",IF(I39-TODAY()&lt;=3," · Đến hạn "&amp;IF(I39=TODAY(),"hôm nay","trong "&amp;(I39-TODAY())&amp;" ngày"),"")))&amp;IF(J39="Chờ đối tác"," · Chờ đối tác"&amp;IF(ISNUMBER(N39)," "&amp;(TODAY()-INT(N39))&amp;" ngày",""),""),4,200))))</f>
        <v/>
      </c>
      <c r="N39" s="49" t="n">
        <v>46305.6875</v>
      </c>
      <c r="O39" t="inlineStr">
        <is>
          <t>VD-2</t>
        </is>
      </c>
      <c r="P39" t="inlineStr">
        <is>
          <t>K03</t>
        </is>
      </c>
      <c r="Q39" t="n">
        <v>-30</v>
      </c>
      <c r="R39" t="inlineStr">
        <is>
          <t>Lịch</t>
        </is>
      </c>
      <c r="S39">
        <f>IF(AND(E39&lt;&gt;"",T39="Có",J39&lt;&gt;"Xong",J39&lt;&gt;"Bỏ qua",ISNUMBER(I39)),I39+ROW()/100000,"")</f>
        <v/>
      </c>
      <c r="T39">
        <f>IF(O39="","",IFERROR(INDEX(SK_TD,MATCH(O39,SK_A,0)),""))</f>
        <v/>
      </c>
      <c r="U39" t="inlineStr">
        <is>
          <t>Leader MKT (ví dụ)</t>
        </is>
      </c>
      <c r="V39">
        <f>IF(AND(O39&lt;&gt;"",O39=SEL_K,J39&lt;&gt;"Xong",J39&lt;&gt;"Bỏ qua"),IF(ISNUMBER(I39),I39,99999)+ROW()/100000,"")</f>
        <v/>
      </c>
    </row>
    <row r="40">
      <c r="A40" s="12">
        <f>IF(O40="","",IFERROR(INDEX(SK_B,MATCH(O40,SK_A,0))&amp;"",""))</f>
        <v/>
      </c>
      <c r="B40" s="45">
        <f>IF(O40="","",IFERROR(INDEX(SK_C,MATCH(O40,SK_A,0)),""))</f>
        <v/>
      </c>
      <c r="C40" s="46">
        <f>IF(Q40="","",IF(Q40=0,"D",IF(Q40&lt;0,"D"&amp;Q40,"D+"&amp;Q40)))</f>
        <v/>
      </c>
      <c r="D40" s="14" t="inlineStr">
        <is>
          <t>3. Tuyển sinh</t>
        </is>
      </c>
      <c r="E40" s="12" t="inlineStr">
        <is>
          <t>Mở tuyển sinh: form đăng ký (khảo sát trước, đồng ý dữ liệu, nguồn đăng ký) + nhóm Zalo khách</t>
        </is>
      </c>
      <c r="F40" s="46" t="inlineStr">
        <is>
          <t>Digital MKT</t>
        </is>
      </c>
      <c r="G40" s="47" t="inlineStr">
        <is>
          <t>Digital (ví dụ)</t>
        </is>
      </c>
      <c r="H40" s="14" t="inlineStr">
        <is>
          <t>Sales, NPP</t>
        </is>
      </c>
      <c r="I40" s="13">
        <f>IF(OR(B40="",Q40=""),"",IF(Q40&gt;0,IF(R40="Làm việc",WORKDAY(IFERROR(IF(INDEX(SK_D,MATCH(O40,SK_A,0))="",B40,INDEX(SK_D,MATCH(O40,SK_A,0))),B40),Q40,HOLI),IFERROR(IF(INDEX(SK_D,MATCH(O40,SK_A,0))="",B40,INDEX(SK_D,MATCH(O40,SK_A,0))),B40)+Q40),B40+Q40))</f>
        <v/>
      </c>
      <c r="J40" s="14" t="inlineStr">
        <is>
          <t>Xong</t>
        </is>
      </c>
      <c r="K40" s="13" t="n">
        <v>46302</v>
      </c>
      <c r="L40" s="12" t="n"/>
      <c r="M40" s="48">
        <f>IF(E40="","",IF(J40="Bỏ qua","—",IF(J40="Xong",IF(AND(ISNUMBER(K40),ISNUMBER(I40),K40&gt;I40),"Xong trễ","Xong"),MID(IF(G40=""," · CHƯA GIAO","")&amp;IF(NOT(ISNUMBER(I40)),"",IF(TODAY()&gt;I40," · QUÁ HẠN "&amp;(TODAY()-I40)&amp;" ngày",IF(I40-TODAY()&lt;=3," · Đến hạn "&amp;IF(I40=TODAY(),"hôm nay","trong "&amp;(I40-TODAY())&amp;" ngày"),"")))&amp;IF(J40="Chờ đối tác"," · Chờ đối tác"&amp;IF(ISNUMBER(N40)," "&amp;(TODAY()-INT(N40))&amp;" ngày",""),""),4,200))))</f>
        <v/>
      </c>
      <c r="N40" s="49" t="n">
        <v>46302.6875</v>
      </c>
      <c r="O40" t="inlineStr">
        <is>
          <t>VD-2</t>
        </is>
      </c>
      <c r="P40" t="inlineStr">
        <is>
          <t>K04</t>
        </is>
      </c>
      <c r="Q40" t="n">
        <v>-30</v>
      </c>
      <c r="R40" t="inlineStr">
        <is>
          <t>Lịch</t>
        </is>
      </c>
      <c r="S40">
        <f>IF(AND(E40&lt;&gt;"",T40="Có",J40&lt;&gt;"Xong",J40&lt;&gt;"Bỏ qua",ISNUMBER(I40)),I40+ROW()/100000,"")</f>
        <v/>
      </c>
      <c r="T40">
        <f>IF(O40="","",IFERROR(INDEX(SK_TD,MATCH(O40,SK_A,0)),""))</f>
        <v/>
      </c>
      <c r="U40" t="inlineStr">
        <is>
          <t>Digital (ví dụ)</t>
        </is>
      </c>
      <c r="V40">
        <f>IF(AND(O40&lt;&gt;"",O40=SEL_K,J40&lt;&gt;"Xong",J40&lt;&gt;"Bỏ qua"),IF(ISNUMBER(I40),I40,99999)+ROW()/100000,"")</f>
        <v/>
      </c>
    </row>
    <row r="41">
      <c r="A41" s="12">
        <f>IF(O41="","",IFERROR(INDEX(SK_B,MATCH(O41,SK_A,0))&amp;"",""))</f>
        <v/>
      </c>
      <c r="B41" s="45">
        <f>IF(O41="","",IFERROR(INDEX(SK_C,MATCH(O41,SK_A,0)),""))</f>
        <v/>
      </c>
      <c r="C41" s="46">
        <f>IF(Q41="","",IF(Q41=0,"D",IF(Q41&lt;0,"D"&amp;Q41,"D+"&amp;Q41)))</f>
        <v/>
      </c>
      <c r="D41" s="14" t="inlineStr">
        <is>
          <t>3. Tuyển sinh</t>
        </is>
      </c>
      <c r="E41" s="12" t="inlineStr">
        <is>
          <t>Báo cáo số đăng ký theo nguồn cho team (thứ Hai hằng tuần, đến D-1)</t>
        </is>
      </c>
      <c r="F41" s="46" t="inlineStr">
        <is>
          <t>MKT Leader</t>
        </is>
      </c>
      <c r="G41" s="47" t="inlineStr">
        <is>
          <t>Leader MKT (ví dụ)</t>
        </is>
      </c>
      <c r="H41" s="14" t="inlineStr">
        <is>
          <t>Sales, NPP</t>
        </is>
      </c>
      <c r="I41" s="13">
        <f>IF(OR(B41="",Q41=""),"",IF(Q41&gt;0,IF(R41="Làm việc",WORKDAY(IFERROR(IF(INDEX(SK_D,MATCH(O41,SK_A,0))="",B41,INDEX(SK_D,MATCH(O41,SK_A,0))),B41),Q41,HOLI),IFERROR(IF(INDEX(SK_D,MATCH(O41,SK_A,0))="",B41,INDEX(SK_D,MATCH(O41,SK_A,0))),B41)+Q41),B41+Q41))</f>
        <v/>
      </c>
      <c r="J41" s="14" t="inlineStr">
        <is>
          <t>Chưa làm</t>
        </is>
      </c>
      <c r="K41" s="13" t="n"/>
      <c r="L41" s="12" t="n"/>
      <c r="M41" s="48">
        <f>IF(E41="","",IF(J41="Bỏ qua","—",IF(J41="Xong",IF(AND(ISNUMBER(K41),ISNUMBER(I41),K41&gt;I41),"Xong trễ","Xong"),MID(IF(G41=""," · CHƯA GIAO","")&amp;IF(NOT(ISNUMBER(I41)),"",IF(TODAY()&gt;I41," · QUÁ HẠN "&amp;(TODAY()-I41)&amp;" ngày",IF(I41-TODAY()&lt;=3," · Đến hạn "&amp;IF(I41=TODAY(),"hôm nay","trong "&amp;(I41-TODAY())&amp;" ngày"),"")))&amp;IF(J41="Chờ đối tác"," · Chờ đối tác"&amp;IF(ISNUMBER(N41)," "&amp;(TODAY()-INT(N41))&amp;" ngày",""),""),4,200))))</f>
        <v/>
      </c>
      <c r="N41" s="49" t="n"/>
      <c r="O41" t="inlineStr">
        <is>
          <t>VD-2</t>
        </is>
      </c>
      <c r="P41" t="inlineStr">
        <is>
          <t>K05</t>
        </is>
      </c>
      <c r="Q41" t="n">
        <v>-1</v>
      </c>
      <c r="R41" t="inlineStr">
        <is>
          <t>Lịch</t>
        </is>
      </c>
      <c r="S41">
        <f>IF(AND(E41&lt;&gt;"",T41="Có",J41&lt;&gt;"Xong",J41&lt;&gt;"Bỏ qua",ISNUMBER(I41)),I41+ROW()/100000,"")</f>
        <v/>
      </c>
      <c r="T41">
        <f>IF(O41="","",IFERROR(INDEX(SK_TD,MATCH(O41,SK_A,0)),""))</f>
        <v/>
      </c>
      <c r="U41" t="inlineStr">
        <is>
          <t>Leader MKT (ví dụ)</t>
        </is>
      </c>
      <c r="V41">
        <f>IF(AND(O41&lt;&gt;"",O41=SEL_K,J41&lt;&gt;"Xong",J41&lt;&gt;"Bỏ qua"),IF(ISNUMBER(I41),I41,99999)+ROW()/100000,"")</f>
        <v/>
      </c>
    </row>
    <row r="42">
      <c r="A42" s="12">
        <f>IF(O42="","",IFERROR(INDEX(SK_B,MATCH(O42,SK_A,0))&amp;"",""))</f>
        <v/>
      </c>
      <c r="B42" s="45">
        <f>IF(O42="","",IFERROR(INDEX(SK_C,MATCH(O42,SK_A,0)),""))</f>
        <v/>
      </c>
      <c r="C42" s="46">
        <f>IF(Q42="","",IF(Q42=0,"D",IF(Q42&lt;0,"D"&amp;Q42,"D+"&amp;Q42)))</f>
        <v/>
      </c>
      <c r="D42" s="14" t="inlineStr">
        <is>
          <t>3. Tuyển sinh</t>
        </is>
      </c>
      <c r="E42" s="12" t="inlineStr">
        <is>
          <t>Checkpoint D-14: đăng ký &lt; 60% target ⇒ báo Giám đốc phương án</t>
        </is>
      </c>
      <c r="F42" s="46" t="inlineStr">
        <is>
          <t>MKT Leader</t>
        </is>
      </c>
      <c r="G42" s="47" t="inlineStr">
        <is>
          <t>Leader MKT (ví dụ)</t>
        </is>
      </c>
      <c r="H42" s="14" t="inlineStr">
        <is>
          <t>Giám đốc</t>
        </is>
      </c>
      <c r="I42" s="13">
        <f>IF(OR(B42="",Q42=""),"",IF(Q42&gt;0,IF(R42="Làm việc",WORKDAY(IFERROR(IF(INDEX(SK_D,MATCH(O42,SK_A,0))="",B42,INDEX(SK_D,MATCH(O42,SK_A,0))),B42),Q42,HOLI),IFERROR(IF(INDEX(SK_D,MATCH(O42,SK_A,0))="",B42,INDEX(SK_D,MATCH(O42,SK_A,0))),B42)+Q42),B42+Q42))</f>
        <v/>
      </c>
      <c r="J42" s="14" t="inlineStr">
        <is>
          <t>Xong</t>
        </is>
      </c>
      <c r="K42" s="13" t="n">
        <v>46321</v>
      </c>
      <c r="L42" s="12" t="n"/>
      <c r="M42" s="48">
        <f>IF(E42="","",IF(J42="Bỏ qua","—",IF(J42="Xong",IF(AND(ISNUMBER(K42),ISNUMBER(I42),K42&gt;I42),"Xong trễ","Xong"),MID(IF(G42=""," · CHƯA GIAO","")&amp;IF(NOT(ISNUMBER(I42)),"",IF(TODAY()&gt;I42," · QUÁ HẠN "&amp;(TODAY()-I42)&amp;" ngày",IF(I42-TODAY()&lt;=3," · Đến hạn "&amp;IF(I42=TODAY(),"hôm nay","trong "&amp;(I42-TODAY())&amp;" ngày"),"")))&amp;IF(J42="Chờ đối tác"," · Chờ đối tác"&amp;IF(ISNUMBER(N42)," "&amp;(TODAY()-INT(N42))&amp;" ngày",""),""),4,200))))</f>
        <v/>
      </c>
      <c r="N42" s="49" t="n">
        <v>46321.6875</v>
      </c>
      <c r="O42" t="inlineStr">
        <is>
          <t>VD-2</t>
        </is>
      </c>
      <c r="P42" t="inlineStr">
        <is>
          <t>K06</t>
        </is>
      </c>
      <c r="Q42" t="n">
        <v>-14</v>
      </c>
      <c r="R42" t="inlineStr">
        <is>
          <t>Lịch</t>
        </is>
      </c>
      <c r="S42">
        <f>IF(AND(E42&lt;&gt;"",T42="Có",J42&lt;&gt;"Xong",J42&lt;&gt;"Bỏ qua",ISNUMBER(I42)),I42+ROW()/100000,"")</f>
        <v/>
      </c>
      <c r="T42">
        <f>IF(O42="","",IFERROR(INDEX(SK_TD,MATCH(O42,SK_A,0)),""))</f>
        <v/>
      </c>
      <c r="U42" t="inlineStr">
        <is>
          <t>Leader MKT (ví dụ)</t>
        </is>
      </c>
      <c r="V42">
        <f>IF(AND(O42&lt;&gt;"",O42=SEL_K,J42&lt;&gt;"Xong",J42&lt;&gt;"Bỏ qua"),IF(ISNUMBER(I42),I42,99999)+ROW()/100000,"")</f>
        <v/>
      </c>
    </row>
    <row r="43">
      <c r="A43" s="12">
        <f>IF(O43="","",IFERROR(INDEX(SK_B,MATCH(O43,SK_A,0))&amp;"",""))</f>
        <v/>
      </c>
      <c r="B43" s="45">
        <f>IF(O43="","",IFERROR(INDEX(SK_C,MATCH(O43,SK_A,0)),""))</f>
        <v/>
      </c>
      <c r="C43" s="46">
        <f>IF(Q43="","",IF(Q43=0,"D",IF(Q43&lt;0,"D"&amp;Q43,"D+"&amp;Q43)))</f>
        <v/>
      </c>
      <c r="D43" s="14" t="inlineStr">
        <is>
          <t>3. Tuyển sinh</t>
        </is>
      </c>
      <c r="E43" s="12" t="inlineStr">
        <is>
          <t>Sales / NPP gửi đủ thông tin khách đăng ký hộ (Họ tên · SĐT · Nơi công tác)</t>
        </is>
      </c>
      <c r="F43" s="46" t="inlineStr">
        <is>
          <t>Sales</t>
        </is>
      </c>
      <c r="G43" s="47" t="inlineStr">
        <is>
          <t>Sales Dental (ví dụ)</t>
        </is>
      </c>
      <c r="H43" s="14" t="inlineStr">
        <is>
          <t>NPP</t>
        </is>
      </c>
      <c r="I43" s="13">
        <f>IF(OR(B43="",Q43=""),"",IF(Q43&gt;0,IF(R43="Làm việc",WORKDAY(IFERROR(IF(INDEX(SK_D,MATCH(O43,SK_A,0))="",B43,INDEX(SK_D,MATCH(O43,SK_A,0))),B43),Q43,HOLI),IFERROR(IF(INDEX(SK_D,MATCH(O43,SK_A,0))="",B43,INDEX(SK_D,MATCH(O43,SK_A,0))),B43)+Q43),B43+Q43))</f>
        <v/>
      </c>
      <c r="J43" s="14" t="inlineStr">
        <is>
          <t>Chờ đối tác</t>
        </is>
      </c>
      <c r="K43" s="13" t="n"/>
      <c r="L43" s="12" t="n"/>
      <c r="M43" s="48">
        <f>IF(E43="","",IF(J43="Bỏ qua","—",IF(J43="Xong",IF(AND(ISNUMBER(K43),ISNUMBER(I43),K43&gt;I43),"Xong trễ","Xong"),MID(IF(G43=""," · CHƯA GIAO","")&amp;IF(NOT(ISNUMBER(I43)),"",IF(TODAY()&gt;I43," · QUÁ HẠN "&amp;(TODAY()-I43)&amp;" ngày",IF(I43-TODAY()&lt;=3," · Đến hạn "&amp;IF(I43=TODAY(),"hôm nay","trong "&amp;(I43-TODAY())&amp;" ngày"),"")))&amp;IF(J43="Chờ đối tác"," · Chờ đối tác"&amp;IF(ISNUMBER(N43)," "&amp;(TODAY()-INT(N43))&amp;" ngày",""),""),4,200))))</f>
        <v/>
      </c>
      <c r="N43" s="49" t="n">
        <v>46321.42708333334</v>
      </c>
      <c r="O43" t="inlineStr">
        <is>
          <t>VD-2</t>
        </is>
      </c>
      <c r="P43" t="inlineStr">
        <is>
          <t>K07</t>
        </is>
      </c>
      <c r="Q43" t="n">
        <v>-5</v>
      </c>
      <c r="R43" t="inlineStr">
        <is>
          <t>Lịch</t>
        </is>
      </c>
      <c r="S43">
        <f>IF(AND(E43&lt;&gt;"",T43="Có",J43&lt;&gt;"Xong",J43&lt;&gt;"Bỏ qua",ISNUMBER(I43)),I43+ROW()/100000,"")</f>
        <v/>
      </c>
      <c r="T43">
        <f>IF(O43="","",IFERROR(INDEX(SK_TD,MATCH(O43,SK_A,0)),""))</f>
        <v/>
      </c>
      <c r="U43" t="inlineStr">
        <is>
          <t>Sales Dental (ví dụ)</t>
        </is>
      </c>
      <c r="V43">
        <f>IF(AND(O43&lt;&gt;"",O43=SEL_K,J43&lt;&gt;"Xong",J43&lt;&gt;"Bỏ qua"),IF(ISNUMBER(I43),I43,99999)+ROW()/100000,"")</f>
        <v/>
      </c>
    </row>
    <row r="44">
      <c r="A44" s="12">
        <f>IF(O44="","",IFERROR(INDEX(SK_B,MATCH(O44,SK_A,0))&amp;"",""))</f>
        <v/>
      </c>
      <c r="B44" s="45">
        <f>IF(O44="","",IFERROR(INDEX(SK_C,MATCH(O44,SK_A,0)),""))</f>
        <v/>
      </c>
      <c r="C44" s="46">
        <f>IF(Q44="","",IF(Q44=0,"D",IF(Q44&lt;0,"D"&amp;Q44,"D+"&amp;Q44)))</f>
        <v/>
      </c>
      <c r="D44" s="14" t="inlineStr">
        <is>
          <t>4. Truyền thông</t>
        </is>
      </c>
      <c r="E44" s="12" t="inlineStr">
        <is>
          <t>Đăng chuỗi bài truyền thông sự kiện</t>
        </is>
      </c>
      <c r="F44" s="46" t="inlineStr">
        <is>
          <t>Digital MKT</t>
        </is>
      </c>
      <c r="G44" s="47" t="inlineStr">
        <is>
          <t>Digital (ví dụ)</t>
        </is>
      </c>
      <c r="H44" s="14" t="inlineStr">
        <is>
          <t>Sales, NPP chia sẻ</t>
        </is>
      </c>
      <c r="I44" s="13">
        <f>IF(OR(B44="",Q44=""),"",IF(Q44&gt;0,IF(R44="Làm việc",WORKDAY(IFERROR(IF(INDEX(SK_D,MATCH(O44,SK_A,0))="",B44,INDEX(SK_D,MATCH(O44,SK_A,0))),B44),Q44,HOLI),IFERROR(IF(INDEX(SK_D,MATCH(O44,SK_A,0))="",B44,INDEX(SK_D,MATCH(O44,SK_A,0))),B44)+Q44),B44+Q44))</f>
        <v/>
      </c>
      <c r="J44" s="14" t="inlineStr">
        <is>
          <t>Xong</t>
        </is>
      </c>
      <c r="K44" s="13" t="n">
        <v>46321</v>
      </c>
      <c r="L44" s="12" t="n"/>
      <c r="M44" s="48">
        <f>IF(E44="","",IF(J44="Bỏ qua","—",IF(J44="Xong",IF(AND(ISNUMBER(K44),ISNUMBER(I44),K44&gt;I44),"Xong trễ","Xong"),MID(IF(G44=""," · CHƯA GIAO","")&amp;IF(NOT(ISNUMBER(I44)),"",IF(TODAY()&gt;I44," · QUÁ HẠN "&amp;(TODAY()-I44)&amp;" ngày",IF(I44-TODAY()&lt;=3," · Đến hạn "&amp;IF(I44=TODAY(),"hôm nay","trong "&amp;(I44-TODAY())&amp;" ngày"),"")))&amp;IF(J44="Chờ đối tác"," · Chờ đối tác"&amp;IF(ISNUMBER(N44)," "&amp;(TODAY()-INT(N44))&amp;" ngày",""),""),4,200))))</f>
        <v/>
      </c>
      <c r="N44" s="49" t="n">
        <v>46321.6875</v>
      </c>
      <c r="O44" t="inlineStr">
        <is>
          <t>VD-2</t>
        </is>
      </c>
      <c r="P44" t="inlineStr">
        <is>
          <t>K08</t>
        </is>
      </c>
      <c r="Q44" t="n">
        <v>-14</v>
      </c>
      <c r="R44" t="inlineStr">
        <is>
          <t>Lịch</t>
        </is>
      </c>
      <c r="S44">
        <f>IF(AND(E44&lt;&gt;"",T44="Có",J44&lt;&gt;"Xong",J44&lt;&gt;"Bỏ qua",ISNUMBER(I44)),I44+ROW()/100000,"")</f>
        <v/>
      </c>
      <c r="T44">
        <f>IF(O44="","",IFERROR(INDEX(SK_TD,MATCH(O44,SK_A,0)),""))</f>
        <v/>
      </c>
      <c r="U44" t="inlineStr">
        <is>
          <t>Digital (ví dụ)</t>
        </is>
      </c>
      <c r="V44">
        <f>IF(AND(O44&lt;&gt;"",O44=SEL_K,J44&lt;&gt;"Xong",J44&lt;&gt;"Bỏ qua"),IF(ISNUMBER(I44),I44,99999)+ROW()/100000,"")</f>
        <v/>
      </c>
    </row>
    <row r="45">
      <c r="A45" s="12">
        <f>IF(O45="","",IFERROR(INDEX(SK_B,MATCH(O45,SK_A,0))&amp;"",""))</f>
        <v/>
      </c>
      <c r="B45" s="45">
        <f>IF(O45="","",IFERROR(INDEX(SK_C,MATCH(O45,SK_A,0)),""))</f>
        <v/>
      </c>
      <c r="C45" s="46">
        <f>IF(Q45="","",IF(Q45=0,"D",IF(Q45&lt;0,"D"&amp;Q45,"D+"&amp;Q45)))</f>
        <v/>
      </c>
      <c r="D45" s="14" t="inlineStr">
        <is>
          <t>5. Địa điểm &amp; hậu cần</t>
        </is>
      </c>
      <c r="E45" s="12" t="inlineStr">
        <is>
          <t>Đặt địa điểm (ngày, phòng, sức chứa, báo giá)</t>
        </is>
      </c>
      <c r="F45" s="46" t="inlineStr">
        <is>
          <t>Trade MKT</t>
        </is>
      </c>
      <c r="G45" s="47" t="inlineStr">
        <is>
          <t>Trade (ví dụ)</t>
        </is>
      </c>
      <c r="H45" s="14" t="inlineStr">
        <is>
          <t>Địa điểm</t>
        </is>
      </c>
      <c r="I45" s="13">
        <f>IF(OR(B45="",Q45=""),"",IF(Q45&gt;0,IF(R45="Làm việc",WORKDAY(IFERROR(IF(INDEX(SK_D,MATCH(O45,SK_A,0))="",B45,INDEX(SK_D,MATCH(O45,SK_A,0))),B45),Q45,HOLI),IFERROR(IF(INDEX(SK_D,MATCH(O45,SK_A,0))="",B45,INDEX(SK_D,MATCH(O45,SK_A,0))),B45)+Q45),B45+Q45))</f>
        <v/>
      </c>
      <c r="J45" s="14" t="inlineStr">
        <is>
          <t>Xong</t>
        </is>
      </c>
      <c r="K45" s="13" t="n">
        <v>46304</v>
      </c>
      <c r="L45" s="12" t="n"/>
      <c r="M45" s="48">
        <f>IF(E45="","",IF(J45="Bỏ qua","—",IF(J45="Xong",IF(AND(ISNUMBER(K45),ISNUMBER(I45),K45&gt;I45),"Xong trễ","Xong"),MID(IF(G45=""," · CHƯA GIAO","")&amp;IF(NOT(ISNUMBER(I45)),"",IF(TODAY()&gt;I45," · QUÁ HẠN "&amp;(TODAY()-I45)&amp;" ngày",IF(I45-TODAY()&lt;=3," · Đến hạn "&amp;IF(I45=TODAY(),"hôm nay","trong "&amp;(I45-TODAY())&amp;" ngày"),"")))&amp;IF(J45="Chờ đối tác"," · Chờ đối tác"&amp;IF(ISNUMBER(N45)," "&amp;(TODAY()-INT(N45))&amp;" ngày",""),""),4,200))))</f>
        <v/>
      </c>
      <c r="N45" s="49" t="n">
        <v>46304.6875</v>
      </c>
      <c r="O45" t="inlineStr">
        <is>
          <t>VD-2</t>
        </is>
      </c>
      <c r="P45" t="inlineStr">
        <is>
          <t>K09</t>
        </is>
      </c>
      <c r="Q45" t="n">
        <v>-30</v>
      </c>
      <c r="R45" t="inlineStr">
        <is>
          <t>Lịch</t>
        </is>
      </c>
      <c r="S45">
        <f>IF(AND(E45&lt;&gt;"",T45="Có",J45&lt;&gt;"Xong",J45&lt;&gt;"Bỏ qua",ISNUMBER(I45)),I45+ROW()/100000,"")</f>
        <v/>
      </c>
      <c r="T45">
        <f>IF(O45="","",IFERROR(INDEX(SK_TD,MATCH(O45,SK_A,0)),""))</f>
        <v/>
      </c>
      <c r="U45" t="inlineStr">
        <is>
          <t>Trade (ví dụ)</t>
        </is>
      </c>
      <c r="V45">
        <f>IF(AND(O45&lt;&gt;"",O45=SEL_K,J45&lt;&gt;"Xong",J45&lt;&gt;"Bỏ qua"),IF(ISNUMBER(I45),I45,99999)+ROW()/100000,"")</f>
        <v/>
      </c>
    </row>
    <row r="46">
      <c r="A46" s="12">
        <f>IF(O46="","",IFERROR(INDEX(SK_B,MATCH(O46,SK_A,0))&amp;"",""))</f>
        <v/>
      </c>
      <c r="B46" s="45">
        <f>IF(O46="","",IFERROR(INDEX(SK_C,MATCH(O46,SK_A,0)),""))</f>
        <v/>
      </c>
      <c r="C46" s="46">
        <f>IF(Q46="","",IF(Q46=0,"D",IF(Q46&lt;0,"D"&amp;Q46,"D+"&amp;Q46)))</f>
        <v/>
      </c>
      <c r="D46" s="14" t="inlineStr">
        <is>
          <t>5. Địa điểm &amp; hậu cần</t>
        </is>
      </c>
      <c r="E46" s="12" t="inlineStr">
        <is>
          <t>Chốt setup với địa điểm: sơ đồ, tea break / ăn trưa, kỹ thuật, sự kiện khác cùng giờ</t>
        </is>
      </c>
      <c r="F46" s="46" t="inlineStr">
        <is>
          <t>Trade MKT</t>
        </is>
      </c>
      <c r="G46" s="47" t="inlineStr">
        <is>
          <t>Trade (ví dụ)</t>
        </is>
      </c>
      <c r="H46" s="14" t="inlineStr">
        <is>
          <t>Địa điểm</t>
        </is>
      </c>
      <c r="I46" s="13">
        <f>IF(OR(B46="",Q46=""),"",IF(Q46&gt;0,IF(R46="Làm việc",WORKDAY(IFERROR(IF(INDEX(SK_D,MATCH(O46,SK_A,0))="",B46,INDEX(SK_D,MATCH(O46,SK_A,0))),B46),Q46,HOLI),IFERROR(IF(INDEX(SK_D,MATCH(O46,SK_A,0))="",B46,INDEX(SK_D,MATCH(O46,SK_A,0))),B46)+Q46),B46+Q46))</f>
        <v/>
      </c>
      <c r="J46" s="14" t="inlineStr">
        <is>
          <t>Chờ đối tác</t>
        </is>
      </c>
      <c r="K46" s="13" t="n">
        <v>46320</v>
      </c>
      <c r="L46" s="12" t="n"/>
      <c r="M46" s="48">
        <f>IF(E46="","",IF(J46="Bỏ qua","—",IF(J46="Xong",IF(AND(ISNUMBER(K46),ISNUMBER(I46),K46&gt;I46),"Xong trễ","Xong"),MID(IF(G46=""," · CHƯA GIAO","")&amp;IF(NOT(ISNUMBER(I46)),"",IF(TODAY()&gt;I46," · QUÁ HẠN "&amp;(TODAY()-I46)&amp;" ngày",IF(I46-TODAY()&lt;=3," · Đến hạn "&amp;IF(I46=TODAY(),"hôm nay","trong "&amp;(I46-TODAY())&amp;" ngày"),"")))&amp;IF(J46="Chờ đối tác"," · Chờ đối tác"&amp;IF(ISNUMBER(N46)," "&amp;(TODAY()-INT(N46))&amp;" ngày",""),""),4,200))))</f>
        <v/>
      </c>
      <c r="N46" s="49" t="n">
        <v>46319.375</v>
      </c>
      <c r="O46" t="inlineStr">
        <is>
          <t>VD-2</t>
        </is>
      </c>
      <c r="P46" t="inlineStr">
        <is>
          <t>K10</t>
        </is>
      </c>
      <c r="Q46" t="n">
        <v>-14</v>
      </c>
      <c r="R46" t="inlineStr">
        <is>
          <t>Lịch</t>
        </is>
      </c>
      <c r="S46">
        <f>IF(AND(E46&lt;&gt;"",T46="Có",J46&lt;&gt;"Xong",J46&lt;&gt;"Bỏ qua",ISNUMBER(I46)),I46+ROW()/100000,"")</f>
        <v/>
      </c>
      <c r="T46">
        <f>IF(O46="","",IFERROR(INDEX(SK_TD,MATCH(O46,SK_A,0)),""))</f>
        <v/>
      </c>
      <c r="U46" t="inlineStr">
        <is>
          <t>Trade (ví dụ)</t>
        </is>
      </c>
      <c r="V46">
        <f>IF(AND(O46&lt;&gt;"",O46=SEL_K,J46&lt;&gt;"Xong",J46&lt;&gt;"Bỏ qua"),IF(ISNUMBER(I46),I46,99999)+ROW()/100000,"")</f>
        <v/>
      </c>
    </row>
    <row r="47">
      <c r="A47" s="12">
        <f>IF(O47="","",IFERROR(INDEX(SK_B,MATCH(O47,SK_A,0))&amp;"",""))</f>
        <v/>
      </c>
      <c r="B47" s="45">
        <f>IF(O47="","",IFERROR(INDEX(SK_C,MATCH(O47,SK_A,0)),""))</f>
        <v/>
      </c>
      <c r="C47" s="46">
        <f>IF(Q47="","",IF(Q47=0,"D",IF(Q47&lt;0,"D"&amp;Q47,"D+"&amp;Q47)))</f>
        <v/>
      </c>
      <c r="D47" s="14" t="inlineStr">
        <is>
          <t>6. Nội dung</t>
        </is>
      </c>
      <c r="E47" s="12" t="inlineStr">
        <is>
          <t>Timeline chi tiết ngày D</t>
        </is>
      </c>
      <c r="F47" s="46" t="inlineStr">
        <is>
          <t>MKT Leader</t>
        </is>
      </c>
      <c r="G47" s="47" t="inlineStr">
        <is>
          <t>Leader MKT (ví dụ)</t>
        </is>
      </c>
      <c r="H47" s="14" t="inlineStr">
        <is>
          <t>KOL, Viện</t>
        </is>
      </c>
      <c r="I47" s="13">
        <f>IF(OR(B47="",Q47=""),"",IF(Q47&gt;0,IF(R47="Làm việc",WORKDAY(IFERROR(IF(INDEX(SK_D,MATCH(O47,SK_A,0))="",B47,INDEX(SK_D,MATCH(O47,SK_A,0))),B47),Q47,HOLI),IFERROR(IF(INDEX(SK_D,MATCH(O47,SK_A,0))="",B47,INDEX(SK_D,MATCH(O47,SK_A,0))),B47)+Q47),B47+Q47))</f>
        <v/>
      </c>
      <c r="J47" s="14" t="inlineStr">
        <is>
          <t>Đang làm</t>
        </is>
      </c>
      <c r="K47" s="13" t="n"/>
      <c r="L47" s="12" t="n"/>
      <c r="M47" s="48">
        <f>IF(E47="","",IF(J47="Bỏ qua","—",IF(J47="Xong",IF(AND(ISNUMBER(K47),ISNUMBER(I47),K47&gt;I47),"Xong trễ","Xong"),MID(IF(G47=""," · CHƯA GIAO","")&amp;IF(NOT(ISNUMBER(I47)),"",IF(TODAY()&gt;I47," · QUÁ HẠN "&amp;(TODAY()-I47)&amp;" ngày",IF(I47-TODAY()&lt;=3," · Đến hạn "&amp;IF(I47=TODAY(),"hôm nay","trong "&amp;(I47-TODAY())&amp;" ngày"),"")))&amp;IF(J47="Chờ đối tác"," · Chờ đối tác"&amp;IF(ISNUMBER(N47)," "&amp;(TODAY()-INT(N47))&amp;" ngày",""),""),4,200))))</f>
        <v/>
      </c>
      <c r="N47" s="49" t="n">
        <v>46324.42708333334</v>
      </c>
      <c r="O47" t="inlineStr">
        <is>
          <t>VD-2</t>
        </is>
      </c>
      <c r="P47" t="inlineStr">
        <is>
          <t>K12</t>
        </is>
      </c>
      <c r="Q47" t="n">
        <v>-7</v>
      </c>
      <c r="R47" t="inlineStr">
        <is>
          <t>Lịch</t>
        </is>
      </c>
      <c r="S47">
        <f>IF(AND(E47&lt;&gt;"",T47="Có",J47&lt;&gt;"Xong",J47&lt;&gt;"Bỏ qua",ISNUMBER(I47)),I47+ROW()/100000,"")</f>
        <v/>
      </c>
      <c r="T47">
        <f>IF(O47="","",IFERROR(INDEX(SK_TD,MATCH(O47,SK_A,0)),""))</f>
        <v/>
      </c>
      <c r="U47" t="inlineStr">
        <is>
          <t>Leader MKT (ví dụ)</t>
        </is>
      </c>
      <c r="V47">
        <f>IF(AND(O47&lt;&gt;"",O47=SEL_K,J47&lt;&gt;"Xong",J47&lt;&gt;"Bỏ qua"),IF(ISNUMBER(I47),I47,99999)+ROW()/100000,"")</f>
        <v/>
      </c>
    </row>
    <row r="48">
      <c r="A48" s="12">
        <f>IF(O48="","",IFERROR(INDEX(SK_B,MATCH(O48,SK_A,0))&amp;"",""))</f>
        <v/>
      </c>
      <c r="B48" s="45">
        <f>IF(O48="","",IFERROR(INDEX(SK_C,MATCH(O48,SK_A,0)),""))</f>
        <v/>
      </c>
      <c r="C48" s="46">
        <f>IF(Q48="","",IF(Q48=0,"D",IF(Q48&lt;0,"D"&amp;Q48,"D+"&amp;Q48)))</f>
        <v/>
      </c>
      <c r="D48" s="14" t="inlineStr">
        <is>
          <t>6. Nội dung</t>
        </is>
      </c>
      <c r="E48" s="12" t="inlineStr">
        <is>
          <t>Kịch bản MC, kịch bản phát biểu, video trình chiếu</t>
        </is>
      </c>
      <c r="F48" s="46" t="inlineStr">
        <is>
          <t>Digital MKT</t>
        </is>
      </c>
      <c r="G48" s="47" t="inlineStr">
        <is>
          <t>Digital (ví dụ)</t>
        </is>
      </c>
      <c r="H48" s="14" t="inlineStr">
        <is>
          <t>KOL, Viện</t>
        </is>
      </c>
      <c r="I48" s="13">
        <f>IF(OR(B48="",Q48=""),"",IF(Q48&gt;0,IF(R48="Làm việc",WORKDAY(IFERROR(IF(INDEX(SK_D,MATCH(O48,SK_A,0))="",B48,INDEX(SK_D,MATCH(O48,SK_A,0))),B48),Q48,HOLI),IFERROR(IF(INDEX(SK_D,MATCH(O48,SK_A,0))="",B48,INDEX(SK_D,MATCH(O48,SK_A,0))),B48)+Q48),B48+Q48))</f>
        <v/>
      </c>
      <c r="J48" s="14" t="inlineStr">
        <is>
          <t>Chờ đối tác</t>
        </is>
      </c>
      <c r="K48" s="13" t="n"/>
      <c r="L48" s="12" t="n"/>
      <c r="M48" s="48">
        <f>IF(E48="","",IF(J48="Bỏ qua","—",IF(J48="Xong",IF(AND(ISNUMBER(K48),ISNUMBER(I48),K48&gt;I48),"Xong trễ","Xong"),MID(IF(G48=""," · CHƯA GIAO","")&amp;IF(NOT(ISNUMBER(I48)),"",IF(TODAY()&gt;I48," · QUÁ HẠN "&amp;(TODAY()-I48)&amp;" ngày",IF(I48-TODAY()&lt;=3," · Đến hạn "&amp;IF(I48=TODAY(),"hôm nay","trong "&amp;(I48-TODAY())&amp;" ngày"),"")))&amp;IF(J48="Chờ đối tác"," · Chờ đối tác"&amp;IF(ISNUMBER(N48)," "&amp;(TODAY()-INT(N48))&amp;" ngày",""),""),4,200))))</f>
        <v/>
      </c>
      <c r="N48" s="49" t="n">
        <v>46323.42708333334</v>
      </c>
      <c r="O48" t="inlineStr">
        <is>
          <t>VD-2</t>
        </is>
      </c>
      <c r="P48" t="inlineStr">
        <is>
          <t>K13</t>
        </is>
      </c>
      <c r="Q48" t="n">
        <v>-7</v>
      </c>
      <c r="R48" t="inlineStr">
        <is>
          <t>Lịch</t>
        </is>
      </c>
      <c r="S48">
        <f>IF(AND(E48&lt;&gt;"",T48="Có",J48&lt;&gt;"Xong",J48&lt;&gt;"Bỏ qua",ISNUMBER(I48)),I48+ROW()/100000,"")</f>
        <v/>
      </c>
      <c r="T48">
        <f>IF(O48="","",IFERROR(INDEX(SK_TD,MATCH(O48,SK_A,0)),""))</f>
        <v/>
      </c>
      <c r="U48" t="inlineStr">
        <is>
          <t>Digital (ví dụ)</t>
        </is>
      </c>
      <c r="V48">
        <f>IF(AND(O48&lt;&gt;"",O48=SEL_K,J48&lt;&gt;"Xong",J48&lt;&gt;"Bỏ qua"),IF(ISNUMBER(I48),I48,99999)+ROW()/100000,"")</f>
        <v/>
      </c>
    </row>
    <row r="49">
      <c r="A49" s="12">
        <f>IF(O49="","",IFERROR(INDEX(SK_B,MATCH(O49,SK_A,0))&amp;"",""))</f>
        <v/>
      </c>
      <c r="B49" s="45">
        <f>IF(O49="","",IFERROR(INDEX(SK_C,MATCH(O49,SK_A,0)),""))</f>
        <v/>
      </c>
      <c r="C49" s="46">
        <f>IF(Q49="","",IF(Q49=0,"D",IF(Q49&lt;0,"D"&amp;Q49,"D+"&amp;Q49)))</f>
        <v/>
      </c>
      <c r="D49" s="14" t="inlineStr">
        <is>
          <t>7. Ấn phẩm &amp; đồ</t>
        </is>
      </c>
      <c r="E49" s="12" t="inlineStr">
        <is>
          <t>Thiết kế &amp; in: backdrop, standee, thẻ đeo, bảng tên, folder, QR khảo sát, biểu mẫu check-in ký tay</t>
        </is>
      </c>
      <c r="F49" s="46" t="inlineStr">
        <is>
          <t>Digital MKT</t>
        </is>
      </c>
      <c r="G49" s="47" t="inlineStr">
        <is>
          <t>Digital (ví dụ)</t>
        </is>
      </c>
      <c r="H49" s="14" t="inlineStr">
        <is>
          <t>Trade MKT</t>
        </is>
      </c>
      <c r="I49" s="13">
        <f>IF(OR(B49="",Q49=""),"",IF(Q49&gt;0,IF(R49="Làm việc",WORKDAY(IFERROR(IF(INDEX(SK_D,MATCH(O49,SK_A,0))="",B49,INDEX(SK_D,MATCH(O49,SK_A,0))),B49),Q49,HOLI),IFERROR(IF(INDEX(SK_D,MATCH(O49,SK_A,0))="",B49,INDEX(SK_D,MATCH(O49,SK_A,0))),B49)+Q49),B49+Q49))</f>
        <v/>
      </c>
      <c r="J49" s="14" t="inlineStr">
        <is>
          <t>Chưa làm</t>
        </is>
      </c>
      <c r="K49" s="13" t="n"/>
      <c r="L49" s="12" t="n"/>
      <c r="M49" s="48">
        <f>IF(E49="","",IF(J49="Bỏ qua","—",IF(J49="Xong",IF(AND(ISNUMBER(K49),ISNUMBER(I49),K49&gt;I49),"Xong trễ","Xong"),MID(IF(G49=""," · CHƯA GIAO","")&amp;IF(NOT(ISNUMBER(I49)),"",IF(TODAY()&gt;I49," · QUÁ HẠN "&amp;(TODAY()-I49)&amp;" ngày",IF(I49-TODAY()&lt;=3," · Đến hạn "&amp;IF(I49=TODAY(),"hôm nay","trong "&amp;(I49-TODAY())&amp;" ngày"),"")))&amp;IF(J49="Chờ đối tác"," · Chờ đối tác"&amp;IF(ISNUMBER(N49)," "&amp;(TODAY()-INT(N49))&amp;" ngày",""),""),4,200))))</f>
        <v/>
      </c>
      <c r="N49" s="49" t="n">
        <v>46321.42708333334</v>
      </c>
      <c r="O49" t="inlineStr">
        <is>
          <t>VD-2</t>
        </is>
      </c>
      <c r="P49" t="inlineStr">
        <is>
          <t>K14</t>
        </is>
      </c>
      <c r="Q49" t="n">
        <v>-7</v>
      </c>
      <c r="R49" t="inlineStr">
        <is>
          <t>Lịch</t>
        </is>
      </c>
      <c r="S49">
        <f>IF(AND(E49&lt;&gt;"",T49="Có",J49&lt;&gt;"Xong",J49&lt;&gt;"Bỏ qua",ISNUMBER(I49)),I49+ROW()/100000,"")</f>
        <v/>
      </c>
      <c r="T49">
        <f>IF(O49="","",IFERROR(INDEX(SK_TD,MATCH(O49,SK_A,0)),""))</f>
        <v/>
      </c>
      <c r="U49" t="inlineStr">
        <is>
          <t>Digital (ví dụ)</t>
        </is>
      </c>
      <c r="V49">
        <f>IF(AND(O49&lt;&gt;"",O49=SEL_K,J49&lt;&gt;"Xong",J49&lt;&gt;"Bỏ qua"),IF(ISNUMBER(I49),I49,99999)+ROW()/100000,"")</f>
        <v/>
      </c>
    </row>
    <row r="50">
      <c r="A50" s="12">
        <f>IF(O50="","",IFERROR(INDEX(SK_B,MATCH(O50,SK_A,0))&amp;"",""))</f>
        <v/>
      </c>
      <c r="B50" s="45">
        <f>IF(O50="","",IFERROR(INDEX(SK_C,MATCH(O50,SK_A,0)),""))</f>
        <v/>
      </c>
      <c r="C50" s="46">
        <f>IF(Q50="","",IF(Q50=0,"D",IF(Q50&lt;0,"D"&amp;Q50,"D+"&amp;Q50)))</f>
        <v/>
      </c>
      <c r="D50" s="14" t="inlineStr">
        <is>
          <t>7. Ấn phẩm &amp; đồ</t>
        </is>
      </c>
      <c r="E50" s="12" t="inlineStr">
        <is>
          <t>Đồ marketing + đồ thực hành theo phiên (nguồn, báo giá, đồ mượn)</t>
        </is>
      </c>
      <c r="F50" s="46" t="inlineStr">
        <is>
          <t>Trade MKT</t>
        </is>
      </c>
      <c r="G50" s="47" t="inlineStr">
        <is>
          <t>NPP (ví dụ)</t>
        </is>
      </c>
      <c r="H50" s="14" t="inlineStr">
        <is>
          <t>KOL, NPP</t>
        </is>
      </c>
      <c r="I50" s="13">
        <f>IF(OR(B50="",Q50=""),"",IF(Q50&gt;0,IF(R50="Làm việc",WORKDAY(IFERROR(IF(INDEX(SK_D,MATCH(O50,SK_A,0))="",B50,INDEX(SK_D,MATCH(O50,SK_A,0))),B50),Q50,HOLI),IFERROR(IF(INDEX(SK_D,MATCH(O50,SK_A,0))="",B50,INDEX(SK_D,MATCH(O50,SK_A,0))),B50)+Q50),B50+Q50))</f>
        <v/>
      </c>
      <c r="J50" s="14" t="inlineStr">
        <is>
          <t>Xong</t>
        </is>
      </c>
      <c r="K50" s="13" t="n">
        <v>46323</v>
      </c>
      <c r="L50" s="12" t="n"/>
      <c r="M50" s="48">
        <f>IF(E50="","",IF(J50="Bỏ qua","—",IF(J50="Xong",IF(AND(ISNUMBER(K50),ISNUMBER(I50),K50&gt;I50),"Xong trễ","Xong"),MID(IF(G50=""," · CHƯA GIAO","")&amp;IF(NOT(ISNUMBER(I50)),"",IF(TODAY()&gt;I50," · QUÁ HẠN "&amp;(TODAY()-I50)&amp;" ngày",IF(I50-TODAY()&lt;=3," · Đến hạn "&amp;IF(I50=TODAY(),"hôm nay","trong "&amp;(I50-TODAY())&amp;" ngày"),"")))&amp;IF(J50="Chờ đối tác"," · Chờ đối tác"&amp;IF(ISNUMBER(N50)," "&amp;(TODAY()-INT(N50))&amp;" ngày",""),""),4,200))))</f>
        <v/>
      </c>
      <c r="N50" s="49" t="n">
        <v>46323.6875</v>
      </c>
      <c r="O50" t="inlineStr">
        <is>
          <t>VD-2</t>
        </is>
      </c>
      <c r="P50" t="inlineStr">
        <is>
          <t>K15</t>
        </is>
      </c>
      <c r="Q50" t="n">
        <v>-10</v>
      </c>
      <c r="R50" t="inlineStr">
        <is>
          <t>Lịch</t>
        </is>
      </c>
      <c r="S50">
        <f>IF(AND(E50&lt;&gt;"",T50="Có",J50&lt;&gt;"Xong",J50&lt;&gt;"Bỏ qua",ISNUMBER(I50)),I50+ROW()/100000,"")</f>
        <v/>
      </c>
      <c r="T50">
        <f>IF(O50="","",IFERROR(INDEX(SK_TD,MATCH(O50,SK_A,0)),""))</f>
        <v/>
      </c>
      <c r="U50" t="inlineStr">
        <is>
          <t>Trade (ví dụ)</t>
        </is>
      </c>
      <c r="V50">
        <f>IF(AND(O50&lt;&gt;"",O50=SEL_K,J50&lt;&gt;"Xong",J50&lt;&gt;"Bỏ qua"),IF(ISNUMBER(I50),I50,99999)+ROW()/100000,"")</f>
        <v/>
      </c>
    </row>
    <row r="51">
      <c r="A51" s="12">
        <f>IF(O51="","",IFERROR(INDEX(SK_B,MATCH(O51,SK_A,0))&amp;"",""))</f>
        <v/>
      </c>
      <c r="B51" s="45">
        <f>IF(O51="","",IFERROR(INDEX(SK_C,MATCH(O51,SK_A,0)),""))</f>
        <v/>
      </c>
      <c r="C51" s="46">
        <f>IF(Q51="","",IF(Q51=0,"D",IF(Q51&lt;0,"D"&amp;Q51,"D+"&amp;Q51)))</f>
        <v/>
      </c>
      <c r="D51" s="14" t="inlineStr">
        <is>
          <t>7. Ấn phẩm &amp; đồ</t>
        </is>
      </c>
      <c r="E51" s="12" t="inlineStr">
        <is>
          <t>VIP / đại biểu (nếu có Viện): danh sách, hoa, bảng tên mica, quà, lời giới thiệu</t>
        </is>
      </c>
      <c r="F51" s="46" t="inlineStr">
        <is>
          <t>Trade MKT</t>
        </is>
      </c>
      <c r="G51" s="47" t="inlineStr">
        <is>
          <t>Trade (ví dụ)</t>
        </is>
      </c>
      <c r="H51" s="14" t="inlineStr">
        <is>
          <t>Viện</t>
        </is>
      </c>
      <c r="I51" s="13">
        <f>IF(OR(B51="",Q51=""),"",IF(Q51&gt;0,IF(R51="Làm việc",WORKDAY(IFERROR(IF(INDEX(SK_D,MATCH(O51,SK_A,0))="",B51,INDEX(SK_D,MATCH(O51,SK_A,0))),B51),Q51,HOLI),IFERROR(IF(INDEX(SK_D,MATCH(O51,SK_A,0))="",B51,INDEX(SK_D,MATCH(O51,SK_A,0))),B51)+Q51),B51+Q51))</f>
        <v/>
      </c>
      <c r="J51" s="14" t="inlineStr">
        <is>
          <t>Chưa làm</t>
        </is>
      </c>
      <c r="K51" s="13" t="n"/>
      <c r="L51" s="12" t="n"/>
      <c r="M51" s="48">
        <f>IF(E51="","",IF(J51="Bỏ qua","—",IF(J51="Xong",IF(AND(ISNUMBER(K51),ISNUMBER(I51),K51&gt;I51),"Xong trễ","Xong"),MID(IF(G51=""," · CHƯA GIAO","")&amp;IF(NOT(ISNUMBER(I51)),"",IF(TODAY()&gt;I51," · QUÁ HẠN "&amp;(TODAY()-I51)&amp;" ngày",IF(I51-TODAY()&lt;=3," · Đến hạn "&amp;IF(I51=TODAY(),"hôm nay","trong "&amp;(I51-TODAY())&amp;" ngày"),"")))&amp;IF(J51="Chờ đối tác"," · Chờ đối tác"&amp;IF(ISNUMBER(N51)," "&amp;(TODAY()-INT(N51))&amp;" ngày",""),""),4,200))))</f>
        <v/>
      </c>
      <c r="N51" s="49" t="n">
        <v>46323.42708333334</v>
      </c>
      <c r="O51" t="inlineStr">
        <is>
          <t>VD-2</t>
        </is>
      </c>
      <c r="P51" t="inlineStr">
        <is>
          <t>K16</t>
        </is>
      </c>
      <c r="Q51" t="n">
        <v>-7</v>
      </c>
      <c r="R51" t="inlineStr">
        <is>
          <t>Lịch</t>
        </is>
      </c>
      <c r="S51">
        <f>IF(AND(E51&lt;&gt;"",T51="Có",J51&lt;&gt;"Xong",J51&lt;&gt;"Bỏ qua",ISNUMBER(I51)),I51+ROW()/100000,"")</f>
        <v/>
      </c>
      <c r="T51">
        <f>IF(O51="","",IFERROR(INDEX(SK_TD,MATCH(O51,SK_A,0)),""))</f>
        <v/>
      </c>
      <c r="U51" t="inlineStr">
        <is>
          <t>Trade (ví dụ)</t>
        </is>
      </c>
      <c r="V51">
        <f>IF(AND(O51&lt;&gt;"",O51=SEL_K,J51&lt;&gt;"Xong",J51&lt;&gt;"Bỏ qua"),IF(ISNUMBER(I51),I51,99999)+ROW()/100000,"")</f>
        <v/>
      </c>
    </row>
    <row r="52">
      <c r="A52" s="12">
        <f>IF(O52="","",IFERROR(INDEX(SK_B,MATCH(O52,SK_A,0))&amp;"",""))</f>
        <v/>
      </c>
      <c r="B52" s="45">
        <f>IF(O52="","",IFERROR(INDEX(SK_C,MATCH(O52,SK_A,0)),""))</f>
        <v/>
      </c>
      <c r="C52" s="46">
        <f>IF(Q52="","",IF(Q52=0,"D",IF(Q52&lt;0,"D"&amp;Q52,"D+"&amp;Q52)))</f>
        <v/>
      </c>
      <c r="D52" s="14" t="inlineStr">
        <is>
          <t>8. Chốt trước D</t>
        </is>
      </c>
      <c r="E52" s="12" t="inlineStr">
        <is>
          <t>Họp với NPP: agenda, nhân sự, bán hàng, sản phẩm</t>
        </is>
      </c>
      <c r="F52" s="46" t="inlineStr">
        <is>
          <t>MKT Leader</t>
        </is>
      </c>
      <c r="G52" s="47" t="inlineStr">
        <is>
          <t>Leader MKT (ví dụ)</t>
        </is>
      </c>
      <c r="H52" s="14" t="inlineStr">
        <is>
          <t>NPP, Sales</t>
        </is>
      </c>
      <c r="I52" s="13">
        <f>IF(OR(B52="",Q52=""),"",IF(Q52&gt;0,IF(R52="Làm việc",WORKDAY(IFERROR(IF(INDEX(SK_D,MATCH(O52,SK_A,0))="",B52,INDEX(SK_D,MATCH(O52,SK_A,0))),B52),Q52,HOLI),IFERROR(IF(INDEX(SK_D,MATCH(O52,SK_A,0))="",B52,INDEX(SK_D,MATCH(O52,SK_A,0))),B52)+Q52),B52+Q52))</f>
        <v/>
      </c>
      <c r="J52" s="14" t="inlineStr">
        <is>
          <t>Đang làm</t>
        </is>
      </c>
      <c r="K52" s="13" t="n"/>
      <c r="L52" s="12" t="n"/>
      <c r="M52" s="48">
        <f>IF(E52="","",IF(J52="Bỏ qua","—",IF(J52="Xong",IF(AND(ISNUMBER(K52),ISNUMBER(I52),K52&gt;I52),"Xong trễ","Xong"),MID(IF(G52=""," · CHƯA GIAO","")&amp;IF(NOT(ISNUMBER(I52)),"",IF(TODAY()&gt;I52," · QUÁ HẠN "&amp;(TODAY()-I52)&amp;" ngày",IF(I52-TODAY()&lt;=3," · Đến hạn "&amp;IF(I52=TODAY(),"hôm nay","trong "&amp;(I52-TODAY())&amp;" ngày"),"")))&amp;IF(J52="Chờ đối tác"," · Chờ đối tác"&amp;IF(ISNUMBER(N52)," "&amp;(TODAY()-INT(N52))&amp;" ngày",""),""),4,200))))</f>
        <v/>
      </c>
      <c r="N52" s="49" t="n">
        <v>46319.42708333334</v>
      </c>
      <c r="O52" t="inlineStr">
        <is>
          <t>VD-2</t>
        </is>
      </c>
      <c r="P52" t="inlineStr">
        <is>
          <t>K18</t>
        </is>
      </c>
      <c r="Q52" t="n">
        <v>-3</v>
      </c>
      <c r="R52" t="inlineStr">
        <is>
          <t>Lịch</t>
        </is>
      </c>
      <c r="S52">
        <f>IF(AND(E52&lt;&gt;"",T52="Có",J52&lt;&gt;"Xong",J52&lt;&gt;"Bỏ qua",ISNUMBER(I52)),I52+ROW()/100000,"")</f>
        <v/>
      </c>
      <c r="T52">
        <f>IF(O52="","",IFERROR(INDEX(SK_TD,MATCH(O52,SK_A,0)),""))</f>
        <v/>
      </c>
      <c r="U52" t="inlineStr">
        <is>
          <t>Leader MKT (ví dụ)</t>
        </is>
      </c>
      <c r="V52">
        <f>IF(AND(O52&lt;&gt;"",O52=SEL_K,J52&lt;&gt;"Xong",J52&lt;&gt;"Bỏ qua"),IF(ISNUMBER(I52),I52,99999)+ROW()/100000,"")</f>
        <v/>
      </c>
    </row>
    <row r="53">
      <c r="A53" s="12">
        <f>IF(O53="","",IFERROR(INDEX(SK_B,MATCH(O53,SK_A,0))&amp;"",""))</f>
        <v/>
      </c>
      <c r="B53" s="45">
        <f>IF(O53="","",IFERROR(INDEX(SK_C,MATCH(O53,SK_A,0)),""))</f>
        <v/>
      </c>
      <c r="C53" s="46">
        <f>IF(Q53="","",IF(Q53=0,"D",IF(Q53&lt;0,"D"&amp;Q53,"D+"&amp;Q53)))</f>
        <v/>
      </c>
      <c r="D53" s="14" t="inlineStr">
        <is>
          <t>8. Chốt trước D</t>
        </is>
      </c>
      <c r="E53" s="12" t="inlineStr">
        <is>
          <t>Rà soát dữ liệu khách (thiếu thông tin / chưa đồng ý dữ liệu)</t>
        </is>
      </c>
      <c r="F53" s="46" t="inlineStr">
        <is>
          <t>Digital MKT</t>
        </is>
      </c>
      <c r="G53" s="47" t="inlineStr">
        <is>
          <t>Digital (ví dụ)</t>
        </is>
      </c>
      <c r="H53" s="14" t="inlineStr">
        <is>
          <t>Sales, NPP</t>
        </is>
      </c>
      <c r="I53" s="13">
        <f>IF(OR(B53="",Q53=""),"",IF(Q53&gt;0,IF(R53="Làm việc",WORKDAY(IFERROR(IF(INDEX(SK_D,MATCH(O53,SK_A,0))="",B53,INDEX(SK_D,MATCH(O53,SK_A,0))),B53),Q53,HOLI),IFERROR(IF(INDEX(SK_D,MATCH(O53,SK_A,0))="",B53,INDEX(SK_D,MATCH(O53,SK_A,0))),B53)+Q53),B53+Q53))</f>
        <v/>
      </c>
      <c r="J53" s="14" t="inlineStr">
        <is>
          <t>Chờ đối tác</t>
        </is>
      </c>
      <c r="K53" s="13" t="n"/>
      <c r="L53" s="12" t="n"/>
      <c r="M53" s="48">
        <f>IF(E53="","",IF(J53="Bỏ qua","—",IF(J53="Xong",IF(AND(ISNUMBER(K53),ISNUMBER(I53),K53&gt;I53),"Xong trễ","Xong"),MID(IF(G53=""," · CHƯA GIAO","")&amp;IF(NOT(ISNUMBER(I53)),"",IF(TODAY()&gt;I53," · QUÁ HẠN "&amp;(TODAY()-I53)&amp;" ngày",IF(I53-TODAY()&lt;=3," · Đến hạn "&amp;IF(I53=TODAY(),"hôm nay","trong "&amp;(I53-TODAY())&amp;" ngày"),"")))&amp;IF(J53="Chờ đối tác"," · Chờ đối tác"&amp;IF(ISNUMBER(N53)," "&amp;(TODAY()-INT(N53))&amp;" ngày",""),""),4,200))))</f>
        <v/>
      </c>
      <c r="N53" s="49" t="n">
        <v>46319.42708333334</v>
      </c>
      <c r="O53" t="inlineStr">
        <is>
          <t>VD-2</t>
        </is>
      </c>
      <c r="P53" t="inlineStr">
        <is>
          <t>K19</t>
        </is>
      </c>
      <c r="Q53" t="n">
        <v>-3</v>
      </c>
      <c r="R53" t="inlineStr">
        <is>
          <t>Lịch</t>
        </is>
      </c>
      <c r="S53">
        <f>IF(AND(E53&lt;&gt;"",T53="Có",J53&lt;&gt;"Xong",J53&lt;&gt;"Bỏ qua",ISNUMBER(I53)),I53+ROW()/100000,"")</f>
        <v/>
      </c>
      <c r="T53">
        <f>IF(O53="","",IFERROR(INDEX(SK_TD,MATCH(O53,SK_A,0)),""))</f>
        <v/>
      </c>
      <c r="U53" t="inlineStr">
        <is>
          <t>Digital (ví dụ)</t>
        </is>
      </c>
      <c r="V53">
        <f>IF(AND(O53&lt;&gt;"",O53=SEL_K,J53&lt;&gt;"Xong",J53&lt;&gt;"Bỏ qua"),IF(ISNUMBER(I53),I53,99999)+ROW()/100000,"")</f>
        <v/>
      </c>
    </row>
    <row r="54">
      <c r="A54" s="12">
        <f>IF(O54="","",IFERROR(INDEX(SK_B,MATCH(O54,SK_A,0))&amp;"",""))</f>
        <v/>
      </c>
      <c r="B54" s="45">
        <f>IF(O54="","",IFERROR(INDEX(SK_C,MATCH(O54,SK_A,0)),""))</f>
        <v/>
      </c>
      <c r="C54" s="46">
        <f>IF(Q54="","",IF(Q54=0,"D",IF(Q54&lt;0,"D"&amp;Q54,"D+"&amp;Q54)))</f>
        <v/>
      </c>
      <c r="D54" s="14" t="inlineStr">
        <is>
          <t>8. Chốt trước D</t>
        </is>
      </c>
      <c r="E54" s="12" t="inlineStr">
        <is>
          <t>Phân công nhân sự trước / trong / sau, giờ có mặt</t>
        </is>
      </c>
      <c r="F54" s="46" t="inlineStr">
        <is>
          <t>MKT Leader</t>
        </is>
      </c>
      <c r="G54" s="47" t="inlineStr">
        <is>
          <t>Leader MKT (ví dụ)</t>
        </is>
      </c>
      <c r="H54" s="14" t="inlineStr">
        <is>
          <t>Sales, NPP</t>
        </is>
      </c>
      <c r="I54" s="13">
        <f>IF(OR(B54="",Q54=""),"",IF(Q54&gt;0,IF(R54="Làm việc",WORKDAY(IFERROR(IF(INDEX(SK_D,MATCH(O54,SK_A,0))="",B54,INDEX(SK_D,MATCH(O54,SK_A,0))),B54),Q54,HOLI),IFERROR(IF(INDEX(SK_D,MATCH(O54,SK_A,0))="",B54,INDEX(SK_D,MATCH(O54,SK_A,0))),B54)+Q54),B54+Q54))</f>
        <v/>
      </c>
      <c r="J54" s="14" t="inlineStr">
        <is>
          <t>Chờ đối tác</t>
        </is>
      </c>
      <c r="K54" s="13" t="n"/>
      <c r="L54" s="12" t="n"/>
      <c r="M54" s="48">
        <f>IF(E54="","",IF(J54="Bỏ qua","—",IF(J54="Xong",IF(AND(ISNUMBER(K54),ISNUMBER(I54),K54&gt;I54),"Xong trễ","Xong"),MID(IF(G54=""," · CHƯA GIAO","")&amp;IF(NOT(ISNUMBER(I54)),"",IF(TODAY()&gt;I54," · QUÁ HẠN "&amp;(TODAY()-I54)&amp;" ngày",IF(I54-TODAY()&lt;=3," · Đến hạn "&amp;IF(I54=TODAY(),"hôm nay","trong "&amp;(I54-TODAY())&amp;" ngày"),"")))&amp;IF(J54="Chờ đối tác"," · Chờ đối tác"&amp;IF(ISNUMBER(N54)," "&amp;(TODAY()-INT(N54))&amp;" ngày",""),""),4,200))))</f>
        <v/>
      </c>
      <c r="N54" s="49" t="n">
        <v>46319.42708333334</v>
      </c>
      <c r="O54" t="inlineStr">
        <is>
          <t>VD-2</t>
        </is>
      </c>
      <c r="P54" t="inlineStr">
        <is>
          <t>K20</t>
        </is>
      </c>
      <c r="Q54" t="n">
        <v>-3</v>
      </c>
      <c r="R54" t="inlineStr">
        <is>
          <t>Lịch</t>
        </is>
      </c>
      <c r="S54">
        <f>IF(AND(E54&lt;&gt;"",T54="Có",J54&lt;&gt;"Xong",J54&lt;&gt;"Bỏ qua",ISNUMBER(I54)),I54+ROW()/100000,"")</f>
        <v/>
      </c>
      <c r="T54">
        <f>IF(O54="","",IFERROR(INDEX(SK_TD,MATCH(O54,SK_A,0)),""))</f>
        <v/>
      </c>
      <c r="U54" t="inlineStr">
        <is>
          <t>Leader MKT (ví dụ)</t>
        </is>
      </c>
      <c r="V54">
        <f>IF(AND(O54&lt;&gt;"",O54=SEL_K,J54&lt;&gt;"Xong",J54&lt;&gt;"Bỏ qua"),IF(ISNUMBER(I54),I54,99999)+ROW()/100000,"")</f>
        <v/>
      </c>
    </row>
    <row r="55">
      <c r="A55" s="12">
        <f>IF(O55="","",IFERROR(INDEX(SK_B,MATCH(O55,SK_A,0))&amp;"",""))</f>
        <v/>
      </c>
      <c r="B55" s="45">
        <f>IF(O55="","",IFERROR(INDEX(SK_C,MATCH(O55,SK_A,0)),""))</f>
        <v/>
      </c>
      <c r="C55" s="46">
        <f>IF(Q55="","",IF(Q55=0,"D",IF(Q55&lt;0,"D"&amp;Q55,"D+"&amp;Q55)))</f>
        <v/>
      </c>
      <c r="D55" s="14" t="inlineStr">
        <is>
          <t>8. Chốt trước D</t>
        </is>
      </c>
      <c r="E55" s="12" t="inlineStr">
        <is>
          <t>Họp review D-1 + gọi nhắc khách + set up địa điểm / chạy thử Zoom</t>
        </is>
      </c>
      <c r="F55" s="46" t="inlineStr">
        <is>
          <t>MKT Leader</t>
        </is>
      </c>
      <c r="G55" s="47" t="inlineStr">
        <is>
          <t>Leader MKT (ví dụ)</t>
        </is>
      </c>
      <c r="H55" s="14" t="inlineStr">
        <is>
          <t>Toàn team</t>
        </is>
      </c>
      <c r="I55" s="13">
        <f>IF(OR(B55="",Q55=""),"",IF(Q55&gt;0,IF(R55="Làm việc",WORKDAY(IFERROR(IF(INDEX(SK_D,MATCH(O55,SK_A,0))="",B55,INDEX(SK_D,MATCH(O55,SK_A,0))),B55),Q55,HOLI),IFERROR(IF(INDEX(SK_D,MATCH(O55,SK_A,0))="",B55,INDEX(SK_D,MATCH(O55,SK_A,0))),B55)+Q55),B55+Q55))</f>
        <v/>
      </c>
      <c r="J55" s="14" t="inlineStr">
        <is>
          <t>Chưa làm</t>
        </is>
      </c>
      <c r="K55" s="13" t="n"/>
      <c r="L55" s="12" t="n"/>
      <c r="M55" s="48">
        <f>IF(E55="","",IF(J55="Bỏ qua","—",IF(J55="Xong",IF(AND(ISNUMBER(K55),ISNUMBER(I55),K55&gt;I55),"Xong trễ","Xong"),MID(IF(G55=""," · CHƯA GIAO","")&amp;IF(NOT(ISNUMBER(I55)),"",IF(TODAY()&gt;I55," · QUÁ HẠN "&amp;(TODAY()-I55)&amp;" ngày",IF(I55-TODAY()&lt;=3," · Đến hạn "&amp;IF(I55=TODAY(),"hôm nay","trong "&amp;(I55-TODAY())&amp;" ngày"),"")))&amp;IF(J55="Chờ đối tác"," · Chờ đối tác"&amp;IF(ISNUMBER(N55)," "&amp;(TODAY()-INT(N55))&amp;" ngày",""),""),4,200))))</f>
        <v/>
      </c>
      <c r="N55" s="49" t="n"/>
      <c r="O55" t="inlineStr">
        <is>
          <t>VD-2</t>
        </is>
      </c>
      <c r="P55" t="inlineStr">
        <is>
          <t>K21</t>
        </is>
      </c>
      <c r="Q55" t="n">
        <v>-1</v>
      </c>
      <c r="R55" t="inlineStr">
        <is>
          <t>Lịch</t>
        </is>
      </c>
      <c r="S55">
        <f>IF(AND(E55&lt;&gt;"",T55="Có",J55&lt;&gt;"Xong",J55&lt;&gt;"Bỏ qua",ISNUMBER(I55)),I55+ROW()/100000,"")</f>
        <v/>
      </c>
      <c r="T55">
        <f>IF(O55="","",IFERROR(INDEX(SK_TD,MATCH(O55,SK_A,0)),""))</f>
        <v/>
      </c>
      <c r="U55" t="inlineStr">
        <is>
          <t>Leader MKT (ví dụ)</t>
        </is>
      </c>
      <c r="V55">
        <f>IF(AND(O55&lt;&gt;"",O55=SEL_K,J55&lt;&gt;"Xong",J55&lt;&gt;"Bỏ qua"),IF(ISNUMBER(I55),I55,99999)+ROW()/100000,"")</f>
        <v/>
      </c>
    </row>
    <row r="56">
      <c r="A56" s="12">
        <f>IF(O56="","",IFERROR(INDEX(SK_B,MATCH(O56,SK_A,0))&amp;"",""))</f>
        <v/>
      </c>
      <c r="B56" s="45">
        <f>IF(O56="","",IFERROR(INDEX(SK_C,MATCH(O56,SK_A,0)),""))</f>
        <v/>
      </c>
      <c r="C56" s="46">
        <f>IF(Q56="","",IF(Q56=0,"D",IF(Q56&lt;0,"D"&amp;Q56,"D+"&amp;Q56)))</f>
        <v/>
      </c>
      <c r="D56" s="14" t="inlineStr">
        <is>
          <t>9. Ngày D</t>
        </is>
      </c>
      <c r="E56" s="12" t="inlineStr">
        <is>
          <t>Check-in có chữ ký + đồng ý dữ liệu (webinar: xuất báo cáo Zoom ngay sau buổi)</t>
        </is>
      </c>
      <c r="F56" s="46" t="inlineStr">
        <is>
          <t>Digital MKT</t>
        </is>
      </c>
      <c r="G56" s="47" t="inlineStr">
        <is>
          <t>Digital (ví dụ)</t>
        </is>
      </c>
      <c r="H56" s="14" t="inlineStr">
        <is>
          <t>Trade, NPP</t>
        </is>
      </c>
      <c r="I56" s="13">
        <f>IF(OR(B56="",Q56=""),"",IF(Q56&gt;0,IF(R56="Làm việc",WORKDAY(IFERROR(IF(INDEX(SK_D,MATCH(O56,SK_A,0))="",B56,INDEX(SK_D,MATCH(O56,SK_A,0))),B56),Q56,HOLI),IFERROR(IF(INDEX(SK_D,MATCH(O56,SK_A,0))="",B56,INDEX(SK_D,MATCH(O56,SK_A,0))),B56)+Q56),B56+Q56))</f>
        <v/>
      </c>
      <c r="J56" s="14" t="inlineStr">
        <is>
          <t>Chưa làm</t>
        </is>
      </c>
      <c r="K56" s="13" t="n"/>
      <c r="L56" s="12" t="n"/>
      <c r="M56" s="48">
        <f>IF(E56="","",IF(J56="Bỏ qua","—",IF(J56="Xong",IF(AND(ISNUMBER(K56),ISNUMBER(I56),K56&gt;I56),"Xong trễ","Xong"),MID(IF(G56=""," · CHƯA GIAO","")&amp;IF(NOT(ISNUMBER(I56)),"",IF(TODAY()&gt;I56," · QUÁ HẠN "&amp;(TODAY()-I56)&amp;" ngày",IF(I56-TODAY()&lt;=3," · Đến hạn "&amp;IF(I56=TODAY(),"hôm nay","trong "&amp;(I56-TODAY())&amp;" ngày"),"")))&amp;IF(J56="Chờ đối tác"," · Chờ đối tác"&amp;IF(ISNUMBER(N56)," "&amp;(TODAY()-INT(N56))&amp;" ngày",""),""),4,200))))</f>
        <v/>
      </c>
      <c r="N56" s="49" t="n"/>
      <c r="O56" t="inlineStr">
        <is>
          <t>VD-2</t>
        </is>
      </c>
      <c r="P56" t="inlineStr">
        <is>
          <t>K22</t>
        </is>
      </c>
      <c r="Q56" t="n">
        <v>0</v>
      </c>
      <c r="R56" t="inlineStr">
        <is>
          <t>Lịch</t>
        </is>
      </c>
      <c r="S56">
        <f>IF(AND(E56&lt;&gt;"",T56="Có",J56&lt;&gt;"Xong",J56&lt;&gt;"Bỏ qua",ISNUMBER(I56)),I56+ROW()/100000,"")</f>
        <v/>
      </c>
      <c r="T56">
        <f>IF(O56="","",IFERROR(INDEX(SK_TD,MATCH(O56,SK_A,0)),""))</f>
        <v/>
      </c>
      <c r="U56" t="inlineStr">
        <is>
          <t>Digital (ví dụ)</t>
        </is>
      </c>
      <c r="V56">
        <f>IF(AND(O56&lt;&gt;"",O56=SEL_K,J56&lt;&gt;"Xong",J56&lt;&gt;"Bỏ qua"),IF(ISNUMBER(I56),I56,99999)+ROW()/100000,"")</f>
        <v/>
      </c>
    </row>
    <row r="57">
      <c r="A57" s="12">
        <f>IF(O57="","",IFERROR(INDEX(SK_B,MATCH(O57,SK_A,0))&amp;"",""))</f>
        <v/>
      </c>
      <c r="B57" s="45">
        <f>IF(O57="","",IFERROR(INDEX(SK_C,MATCH(O57,SK_A,0)),""))</f>
        <v/>
      </c>
      <c r="C57" s="46">
        <f>IF(Q57="","",IF(Q57=0,"D",IF(Q57&lt;0,"D"&amp;Q57,"D+"&amp;Q57)))</f>
        <v/>
      </c>
      <c r="D57" s="14" t="inlineStr">
        <is>
          <t>9. Ngày D</t>
        </is>
      </c>
      <c r="E57" s="12" t="inlineStr">
        <is>
          <t>Điều phối chương trình, khảo sát QR trước bế mạc, ảnh / video</t>
        </is>
      </c>
      <c r="F57" s="46" t="inlineStr">
        <is>
          <t>MKT Leader</t>
        </is>
      </c>
      <c r="G57" s="47" t="inlineStr">
        <is>
          <t>Leader MKT (ví dụ)</t>
        </is>
      </c>
      <c r="H57" s="14" t="inlineStr">
        <is>
          <t>Digital MKT</t>
        </is>
      </c>
      <c r="I57" s="13">
        <f>IF(OR(B57="",Q57=""),"",IF(Q57&gt;0,IF(R57="Làm việc",WORKDAY(IFERROR(IF(INDEX(SK_D,MATCH(O57,SK_A,0))="",B57,INDEX(SK_D,MATCH(O57,SK_A,0))),B57),Q57,HOLI),IFERROR(IF(INDEX(SK_D,MATCH(O57,SK_A,0))="",B57,INDEX(SK_D,MATCH(O57,SK_A,0))),B57)+Q57),B57+Q57))</f>
        <v/>
      </c>
      <c r="J57" s="14" t="inlineStr">
        <is>
          <t>Chưa làm</t>
        </is>
      </c>
      <c r="K57" s="13" t="n"/>
      <c r="L57" s="12" t="n"/>
      <c r="M57" s="48">
        <f>IF(E57="","",IF(J57="Bỏ qua","—",IF(J57="Xong",IF(AND(ISNUMBER(K57),ISNUMBER(I57),K57&gt;I57),"Xong trễ","Xong"),MID(IF(G57=""," · CHƯA GIAO","")&amp;IF(NOT(ISNUMBER(I57)),"",IF(TODAY()&gt;I57," · QUÁ HẠN "&amp;(TODAY()-I57)&amp;" ngày",IF(I57-TODAY()&lt;=3," · Đến hạn "&amp;IF(I57=TODAY(),"hôm nay","trong "&amp;(I57-TODAY())&amp;" ngày"),"")))&amp;IF(J57="Chờ đối tác"," · Chờ đối tác"&amp;IF(ISNUMBER(N57)," "&amp;(TODAY()-INT(N57))&amp;" ngày",""),""),4,200))))</f>
        <v/>
      </c>
      <c r="N57" s="49" t="n"/>
      <c r="O57" t="inlineStr">
        <is>
          <t>VD-2</t>
        </is>
      </c>
      <c r="P57" t="inlineStr">
        <is>
          <t>K23</t>
        </is>
      </c>
      <c r="Q57" t="n">
        <v>0</v>
      </c>
      <c r="R57" t="inlineStr">
        <is>
          <t>Lịch</t>
        </is>
      </c>
      <c r="S57">
        <f>IF(AND(E57&lt;&gt;"",T57="Có",J57&lt;&gt;"Xong",J57&lt;&gt;"Bỏ qua",ISNUMBER(I57)),I57+ROW()/100000,"")</f>
        <v/>
      </c>
      <c r="T57">
        <f>IF(O57="","",IFERROR(INDEX(SK_TD,MATCH(O57,SK_A,0)),""))</f>
        <v/>
      </c>
      <c r="U57" t="inlineStr">
        <is>
          <t>Leader MKT (ví dụ)</t>
        </is>
      </c>
      <c r="V57">
        <f>IF(AND(O57&lt;&gt;"",O57=SEL_K,J57&lt;&gt;"Xong",J57&lt;&gt;"Bỏ qua"),IF(ISNUMBER(I57),I57,99999)+ROW()/100000,"")</f>
        <v/>
      </c>
    </row>
    <row r="58">
      <c r="A58" s="12">
        <f>IF(O58="","",IFERROR(INDEX(SK_B,MATCH(O58,SK_A,0))&amp;"",""))</f>
        <v/>
      </c>
      <c r="B58" s="45">
        <f>IF(O58="","",IFERROR(INDEX(SK_C,MATCH(O58,SK_A,0)),""))</f>
        <v/>
      </c>
      <c r="C58" s="46">
        <f>IF(Q58="","",IF(Q58=0,"D",IF(Q58&lt;0,"D"&amp;Q58,"D+"&amp;Q58)))</f>
        <v/>
      </c>
      <c r="D58" s="14" t="inlineStr">
        <is>
          <t>9. Ngày D</t>
        </is>
      </c>
      <c r="E58" s="12" t="inlineStr">
        <is>
          <t>Bán hàng tại bàn trưng bày + ghi khách quan tâm</t>
        </is>
      </c>
      <c r="F58" s="46" t="inlineStr">
        <is>
          <t>Sales</t>
        </is>
      </c>
      <c r="G58" s="47" t="inlineStr">
        <is>
          <t>Sales Dental (ví dụ)</t>
        </is>
      </c>
      <c r="H58" s="14" t="inlineStr">
        <is>
          <t>NPP</t>
        </is>
      </c>
      <c r="I58" s="13">
        <f>IF(OR(B58="",Q58=""),"",IF(Q58&gt;0,IF(R58="Làm việc",WORKDAY(IFERROR(IF(INDEX(SK_D,MATCH(O58,SK_A,0))="",B58,INDEX(SK_D,MATCH(O58,SK_A,0))),B58),Q58,HOLI),IFERROR(IF(INDEX(SK_D,MATCH(O58,SK_A,0))="",B58,INDEX(SK_D,MATCH(O58,SK_A,0))),B58)+Q58),B58+Q58))</f>
        <v/>
      </c>
      <c r="J58" s="14" t="inlineStr">
        <is>
          <t>Chưa làm</t>
        </is>
      </c>
      <c r="K58" s="13" t="n"/>
      <c r="L58" s="12" t="n"/>
      <c r="M58" s="48">
        <f>IF(E58="","",IF(J58="Bỏ qua","—",IF(J58="Xong",IF(AND(ISNUMBER(K58),ISNUMBER(I58),K58&gt;I58),"Xong trễ","Xong"),MID(IF(G58=""," · CHƯA GIAO","")&amp;IF(NOT(ISNUMBER(I58)),"",IF(TODAY()&gt;I58," · QUÁ HẠN "&amp;(TODAY()-I58)&amp;" ngày",IF(I58-TODAY()&lt;=3," · Đến hạn "&amp;IF(I58=TODAY(),"hôm nay","trong "&amp;(I58-TODAY())&amp;" ngày"),"")))&amp;IF(J58="Chờ đối tác"," · Chờ đối tác"&amp;IF(ISNUMBER(N58)," "&amp;(TODAY()-INT(N58))&amp;" ngày",""),""),4,200))))</f>
        <v/>
      </c>
      <c r="N58" s="49" t="n"/>
      <c r="O58" t="inlineStr">
        <is>
          <t>VD-2</t>
        </is>
      </c>
      <c r="P58" t="inlineStr">
        <is>
          <t>K24</t>
        </is>
      </c>
      <c r="Q58" t="n">
        <v>0</v>
      </c>
      <c r="R58" t="inlineStr">
        <is>
          <t>Lịch</t>
        </is>
      </c>
      <c r="S58">
        <f>IF(AND(E58&lt;&gt;"",T58="Có",J58&lt;&gt;"Xong",J58&lt;&gt;"Bỏ qua",ISNUMBER(I58)),I58+ROW()/100000,"")</f>
        <v/>
      </c>
      <c r="T58">
        <f>IF(O58="","",IFERROR(INDEX(SK_TD,MATCH(O58,SK_A,0)),""))</f>
        <v/>
      </c>
      <c r="U58" t="inlineStr">
        <is>
          <t>Sales Dental (ví dụ)</t>
        </is>
      </c>
      <c r="V58">
        <f>IF(AND(O58&lt;&gt;"",O58=SEL_K,J58&lt;&gt;"Xong",J58&lt;&gt;"Bỏ qua"),IF(ISNUMBER(I58),I58,99999)+ROW()/100000,"")</f>
        <v/>
      </c>
    </row>
    <row r="59">
      <c r="A59" s="12">
        <f>IF(O59="","",IFERROR(INDEX(SK_B,MATCH(O59,SK_A,0))&amp;"",""))</f>
        <v/>
      </c>
      <c r="B59" s="45">
        <f>IF(O59="","",IFERROR(INDEX(SK_C,MATCH(O59,SK_A,0)),""))</f>
        <v/>
      </c>
      <c r="C59" s="46">
        <f>IF(Q59="","",IF(Q59=0,"D",IF(Q59&lt;0,"D"&amp;Q59,"D+"&amp;Q59)))</f>
        <v/>
      </c>
      <c r="D59" s="14" t="inlineStr">
        <is>
          <t>9. Ngày D</t>
        </is>
      </c>
      <c r="E59" s="12" t="inlineStr">
        <is>
          <t>Thu dọn, kiểm đếm, ghi POSM hỏng</t>
        </is>
      </c>
      <c r="F59" s="46" t="inlineStr">
        <is>
          <t>Trade MKT</t>
        </is>
      </c>
      <c r="G59" s="47" t="inlineStr">
        <is>
          <t>Trade (ví dụ)</t>
        </is>
      </c>
      <c r="H59" s="14" t="inlineStr">
        <is>
          <t>NPP</t>
        </is>
      </c>
      <c r="I59" s="13">
        <f>IF(OR(B59="",Q59=""),"",IF(Q59&gt;0,IF(R59="Làm việc",WORKDAY(IFERROR(IF(INDEX(SK_D,MATCH(O59,SK_A,0))="",B59,INDEX(SK_D,MATCH(O59,SK_A,0))),B59),Q59,HOLI),IFERROR(IF(INDEX(SK_D,MATCH(O59,SK_A,0))="",B59,INDEX(SK_D,MATCH(O59,SK_A,0))),B59)+Q59),B59+Q59))</f>
        <v/>
      </c>
      <c r="J59" s="14" t="inlineStr">
        <is>
          <t>Chưa làm</t>
        </is>
      </c>
      <c r="K59" s="13" t="n"/>
      <c r="L59" s="12" t="n"/>
      <c r="M59" s="48">
        <f>IF(E59="","",IF(J59="Bỏ qua","—",IF(J59="Xong",IF(AND(ISNUMBER(K59),ISNUMBER(I59),K59&gt;I59),"Xong trễ","Xong"),MID(IF(G59=""," · CHƯA GIAO","")&amp;IF(NOT(ISNUMBER(I59)),"",IF(TODAY()&gt;I59," · QUÁ HẠN "&amp;(TODAY()-I59)&amp;" ngày",IF(I59-TODAY()&lt;=3," · Đến hạn "&amp;IF(I59=TODAY(),"hôm nay","trong "&amp;(I59-TODAY())&amp;" ngày"),"")))&amp;IF(J59="Chờ đối tác"," · Chờ đối tác"&amp;IF(ISNUMBER(N59)," "&amp;(TODAY()-INT(N59))&amp;" ngày",""),""),4,200))))</f>
        <v/>
      </c>
      <c r="N59" s="49" t="n"/>
      <c r="O59" t="inlineStr">
        <is>
          <t>VD-2</t>
        </is>
      </c>
      <c r="P59" t="inlineStr">
        <is>
          <t>K25</t>
        </is>
      </c>
      <c r="Q59" t="n">
        <v>0</v>
      </c>
      <c r="R59" t="inlineStr">
        <is>
          <t>Lịch</t>
        </is>
      </c>
      <c r="S59">
        <f>IF(AND(E59&lt;&gt;"",T59="Có",J59&lt;&gt;"Xong",J59&lt;&gt;"Bỏ qua",ISNUMBER(I59)),I59+ROW()/100000,"")</f>
        <v/>
      </c>
      <c r="T59">
        <f>IF(O59="","",IFERROR(INDEX(SK_TD,MATCH(O59,SK_A,0)),""))</f>
        <v/>
      </c>
      <c r="U59" t="inlineStr">
        <is>
          <t>Trade (ví dụ)</t>
        </is>
      </c>
      <c r="V59">
        <f>IF(AND(O59&lt;&gt;"",O59=SEL_K,J59&lt;&gt;"Xong",J59&lt;&gt;"Bỏ qua"),IF(ISNUMBER(I59),I59,99999)+ROW()/100000,"")</f>
        <v/>
      </c>
    </row>
    <row r="60">
      <c r="A60" s="12">
        <f>IF(O60="","",IFERROR(INDEX(SK_B,MATCH(O60,SK_A,0))&amp;"",""))</f>
        <v/>
      </c>
      <c r="B60" s="45">
        <f>IF(O60="","",IFERROR(INDEX(SK_C,MATCH(O60,SK_A,0)),""))</f>
        <v/>
      </c>
      <c r="C60" s="46">
        <f>IF(Q60="","",IF(Q60=0,"D",IF(Q60&lt;0,"D"&amp;Q60,"D+"&amp;Q60)))</f>
        <v/>
      </c>
      <c r="D60" s="14" t="inlineStr">
        <is>
          <t>10. Sau sự kiện</t>
        </is>
      </c>
      <c r="E60" s="12" t="inlineStr">
        <is>
          <t>Bài cảm ơn + ảnh recap; video recap (nếu có)</t>
        </is>
      </c>
      <c r="F60" s="46" t="inlineStr">
        <is>
          <t>Digital MKT</t>
        </is>
      </c>
      <c r="G60" s="47" t="inlineStr">
        <is>
          <t>Digital (ví dụ)</t>
        </is>
      </c>
      <c r="H60" s="14" t="inlineStr"/>
      <c r="I60" s="13">
        <f>IF(OR(B60="",Q60=""),"",IF(Q60&gt;0,IF(R60="Làm việc",WORKDAY(IFERROR(IF(INDEX(SK_D,MATCH(O60,SK_A,0))="",B60,INDEX(SK_D,MATCH(O60,SK_A,0))),B60),Q60,HOLI),IFERROR(IF(INDEX(SK_D,MATCH(O60,SK_A,0))="",B60,INDEX(SK_D,MATCH(O60,SK_A,0))),B60)+Q60),B60+Q60))</f>
        <v/>
      </c>
      <c r="J60" s="14" t="inlineStr">
        <is>
          <t>Chưa làm</t>
        </is>
      </c>
      <c r="K60" s="13" t="n"/>
      <c r="L60" s="12" t="n"/>
      <c r="M60" s="48">
        <f>IF(E60="","",IF(J60="Bỏ qua","—",IF(J60="Xong",IF(AND(ISNUMBER(K60),ISNUMBER(I60),K60&gt;I60),"Xong trễ","Xong"),MID(IF(G60=""," · CHƯA GIAO","")&amp;IF(NOT(ISNUMBER(I60)),"",IF(TODAY()&gt;I60," · QUÁ HẠN "&amp;(TODAY()-I60)&amp;" ngày",IF(I60-TODAY()&lt;=3," · Đến hạn "&amp;IF(I60=TODAY(),"hôm nay","trong "&amp;(I60-TODAY())&amp;" ngày"),"")))&amp;IF(J60="Chờ đối tác"," · Chờ đối tác"&amp;IF(ISNUMBER(N60)," "&amp;(TODAY()-INT(N60))&amp;" ngày",""),""),4,200))))</f>
        <v/>
      </c>
      <c r="N60" s="49" t="n"/>
      <c r="O60" t="inlineStr">
        <is>
          <t>VD-2</t>
        </is>
      </c>
      <c r="P60" t="inlineStr">
        <is>
          <t>K26</t>
        </is>
      </c>
      <c r="Q60" t="n">
        <v>2</v>
      </c>
      <c r="R60" t="inlineStr">
        <is>
          <t>Làm việc</t>
        </is>
      </c>
      <c r="S60">
        <f>IF(AND(E60&lt;&gt;"",T60="Có",J60&lt;&gt;"Xong",J60&lt;&gt;"Bỏ qua",ISNUMBER(I60)),I60+ROW()/100000,"")</f>
        <v/>
      </c>
      <c r="T60">
        <f>IF(O60="","",IFERROR(INDEX(SK_TD,MATCH(O60,SK_A,0)),""))</f>
        <v/>
      </c>
      <c r="U60" t="inlineStr">
        <is>
          <t>Digital (ví dụ)</t>
        </is>
      </c>
      <c r="V60">
        <f>IF(AND(O60&lt;&gt;"",O60=SEL_K,J60&lt;&gt;"Xong",J60&lt;&gt;"Bỏ qua"),IF(ISNUMBER(I60),I60,99999)+ROW()/100000,"")</f>
        <v/>
      </c>
    </row>
    <row r="61">
      <c r="A61" s="12">
        <f>IF(O61="","",IFERROR(INDEX(SK_B,MATCH(O61,SK_A,0))&amp;"",""))</f>
        <v/>
      </c>
      <c r="B61" s="45">
        <f>IF(O61="","",IFERROR(INDEX(SK_C,MATCH(O61,SK_A,0)),""))</f>
        <v/>
      </c>
      <c r="C61" s="46">
        <f>IF(Q61="","",IF(Q61=0,"D",IF(Q61&lt;0,"D"&amp;Q61,"D+"&amp;Q61)))</f>
        <v/>
      </c>
      <c r="D61" s="14" t="inlineStr">
        <is>
          <t>10. Sau sự kiện</t>
        </is>
      </c>
      <c r="E61" s="12" t="inlineStr">
        <is>
          <t>Scan biểu mẫu ký tay + upload ảnh / video lên folder sự kiện</t>
        </is>
      </c>
      <c r="F61" s="46" t="inlineStr">
        <is>
          <t>Trade MKT</t>
        </is>
      </c>
      <c r="G61" s="47" t="inlineStr">
        <is>
          <t>Trade (ví dụ)</t>
        </is>
      </c>
      <c r="H61" s="14" t="inlineStr">
        <is>
          <t>Digital MKT</t>
        </is>
      </c>
      <c r="I61" s="13">
        <f>IF(OR(B61="",Q61=""),"",IF(Q61&gt;0,IF(R61="Làm việc",WORKDAY(IFERROR(IF(INDEX(SK_D,MATCH(O61,SK_A,0))="",B61,INDEX(SK_D,MATCH(O61,SK_A,0))),B61),Q61,HOLI),IFERROR(IF(INDEX(SK_D,MATCH(O61,SK_A,0))="",B61,INDEX(SK_D,MATCH(O61,SK_A,0))),B61)+Q61),B61+Q61))</f>
        <v/>
      </c>
      <c r="J61" s="14" t="inlineStr">
        <is>
          <t>Chưa làm</t>
        </is>
      </c>
      <c r="K61" s="13" t="n"/>
      <c r="L61" s="12" t="n"/>
      <c r="M61" s="48">
        <f>IF(E61="","",IF(J61="Bỏ qua","—",IF(J61="Xong",IF(AND(ISNUMBER(K61),ISNUMBER(I61),K61&gt;I61),"Xong trễ","Xong"),MID(IF(G61=""," · CHƯA GIAO","")&amp;IF(NOT(ISNUMBER(I61)),"",IF(TODAY()&gt;I61," · QUÁ HẠN "&amp;(TODAY()-I61)&amp;" ngày",IF(I61-TODAY()&lt;=3," · Đến hạn "&amp;IF(I61=TODAY(),"hôm nay","trong "&amp;(I61-TODAY())&amp;" ngày"),"")))&amp;IF(J61="Chờ đối tác"," · Chờ đối tác"&amp;IF(ISNUMBER(N61)," "&amp;(TODAY()-INT(N61))&amp;" ngày",""),""),4,200))))</f>
        <v/>
      </c>
      <c r="N61" s="49" t="n"/>
      <c r="O61" t="inlineStr">
        <is>
          <t>VD-2</t>
        </is>
      </c>
      <c r="P61" t="inlineStr">
        <is>
          <t>K27</t>
        </is>
      </c>
      <c r="Q61" t="n">
        <v>2</v>
      </c>
      <c r="R61" t="inlineStr">
        <is>
          <t>Làm việc</t>
        </is>
      </c>
      <c r="S61">
        <f>IF(AND(E61&lt;&gt;"",T61="Có",J61&lt;&gt;"Xong",J61&lt;&gt;"Bỏ qua",ISNUMBER(I61)),I61+ROW()/100000,"")</f>
        <v/>
      </c>
      <c r="T61">
        <f>IF(O61="","",IFERROR(INDEX(SK_TD,MATCH(O61,SK_A,0)),""))</f>
        <v/>
      </c>
      <c r="U61" t="inlineStr">
        <is>
          <t>Trade (ví dụ)</t>
        </is>
      </c>
      <c r="V61">
        <f>IF(AND(O61&lt;&gt;"",O61=SEL_K,J61&lt;&gt;"Xong",J61&lt;&gt;"Bỏ qua"),IF(ISNUMBER(I61),I61,99999)+ROW()/100000,"")</f>
        <v/>
      </c>
    </row>
    <row r="62">
      <c r="A62" s="12">
        <f>IF(O62="","",IFERROR(INDEX(SK_B,MATCH(O62,SK_A,0))&amp;"",""))</f>
        <v/>
      </c>
      <c r="B62" s="45">
        <f>IF(O62="","",IFERROR(INDEX(SK_C,MATCH(O62,SK_A,0)),""))</f>
        <v/>
      </c>
      <c r="C62" s="46">
        <f>IF(Q62="","",IF(Q62=0,"D",IF(Q62&lt;0,"D"&amp;Q62,"D+"&amp;Q62)))</f>
        <v/>
      </c>
      <c r="D62" s="14" t="inlineStr">
        <is>
          <t>10. Sau sự kiện</t>
        </is>
      </c>
      <c r="E62" s="12" t="inlineStr">
        <is>
          <t>Đối chiếu dữ liệu khách (loại trùng, đủ trường) ⇒ CUSTOMER LIST; tổng hợp khảo sát</t>
        </is>
      </c>
      <c r="F62" s="46" t="inlineStr">
        <is>
          <t>Digital MKT</t>
        </is>
      </c>
      <c r="G62" s="47" t="inlineStr">
        <is>
          <t>Digital (ví dụ)</t>
        </is>
      </c>
      <c r="H62" s="14" t="inlineStr">
        <is>
          <t>Sales, NPP</t>
        </is>
      </c>
      <c r="I62" s="13">
        <f>IF(OR(B62="",Q62=""),"",IF(Q62&gt;0,IF(R62="Làm việc",WORKDAY(IFERROR(IF(INDEX(SK_D,MATCH(O62,SK_A,0))="",B62,INDEX(SK_D,MATCH(O62,SK_A,0))),B62),Q62,HOLI),IFERROR(IF(INDEX(SK_D,MATCH(O62,SK_A,0))="",B62,INDEX(SK_D,MATCH(O62,SK_A,0))),B62)+Q62),B62+Q62))</f>
        <v/>
      </c>
      <c r="J62" s="14" t="inlineStr">
        <is>
          <t>Chưa làm</t>
        </is>
      </c>
      <c r="K62" s="13" t="n"/>
      <c r="L62" s="12" t="n"/>
      <c r="M62" s="48">
        <f>IF(E62="","",IF(J62="Bỏ qua","—",IF(J62="Xong",IF(AND(ISNUMBER(K62),ISNUMBER(I62),K62&gt;I62),"Xong trễ","Xong"),MID(IF(G62=""," · CHƯA GIAO","")&amp;IF(NOT(ISNUMBER(I62)),"",IF(TODAY()&gt;I62," · QUÁ HẠN "&amp;(TODAY()-I62)&amp;" ngày",IF(I62-TODAY()&lt;=3," · Đến hạn "&amp;IF(I62=TODAY(),"hôm nay","trong "&amp;(I62-TODAY())&amp;" ngày"),"")))&amp;IF(J62="Chờ đối tác"," · Chờ đối tác"&amp;IF(ISNUMBER(N62)," "&amp;(TODAY()-INT(N62))&amp;" ngày",""),""),4,200))))</f>
        <v/>
      </c>
      <c r="N62" s="49" t="n"/>
      <c r="O62" t="inlineStr">
        <is>
          <t>VD-2</t>
        </is>
      </c>
      <c r="P62" t="inlineStr">
        <is>
          <t>K28</t>
        </is>
      </c>
      <c r="Q62" t="n">
        <v>3</v>
      </c>
      <c r="R62" t="inlineStr">
        <is>
          <t>Làm việc</t>
        </is>
      </c>
      <c r="S62">
        <f>IF(AND(E62&lt;&gt;"",T62="Có",J62&lt;&gt;"Xong",J62&lt;&gt;"Bỏ qua",ISNUMBER(I62)),I62+ROW()/100000,"")</f>
        <v/>
      </c>
      <c r="T62">
        <f>IF(O62="","",IFERROR(INDEX(SK_TD,MATCH(O62,SK_A,0)),""))</f>
        <v/>
      </c>
      <c r="U62" t="inlineStr">
        <is>
          <t>Digital (ví dụ)</t>
        </is>
      </c>
      <c r="V62">
        <f>IF(AND(O62&lt;&gt;"",O62=SEL_K,J62&lt;&gt;"Xong",J62&lt;&gt;"Bỏ qua"),IF(ISNUMBER(I62),I62,99999)+ROW()/100000,"")</f>
        <v/>
      </c>
    </row>
    <row r="63">
      <c r="A63" s="12">
        <f>IF(O63="","",IFERROR(INDEX(SK_B,MATCH(O63,SK_A,0))&amp;"",""))</f>
        <v/>
      </c>
      <c r="B63" s="45">
        <f>IF(O63="","",IFERROR(INDEX(SK_C,MATCH(O63,SK_A,0)),""))</f>
        <v/>
      </c>
      <c r="C63" s="46">
        <f>IF(Q63="","",IF(Q63=0,"D",IF(Q63&lt;0,"D"&amp;Q63,"D+"&amp;Q63)))</f>
        <v/>
      </c>
      <c r="D63" s="14" t="inlineStr">
        <is>
          <t>10. Sau sự kiện</t>
        </is>
      </c>
      <c r="E63" s="12" t="inlineStr">
        <is>
          <t>Sales + NPP gửi số liệu bán hàng tại sự kiện</t>
        </is>
      </c>
      <c r="F63" s="46" t="inlineStr">
        <is>
          <t>Sales</t>
        </is>
      </c>
      <c r="G63" s="47" t="inlineStr">
        <is>
          <t>Sales Dental (ví dụ)</t>
        </is>
      </c>
      <c r="H63" s="14" t="inlineStr">
        <is>
          <t>NPP</t>
        </is>
      </c>
      <c r="I63" s="13">
        <f>IF(OR(B63="",Q63=""),"",IF(Q63&gt;0,IF(R63="Làm việc",WORKDAY(IFERROR(IF(INDEX(SK_D,MATCH(O63,SK_A,0))="",B63,INDEX(SK_D,MATCH(O63,SK_A,0))),B63),Q63,HOLI),IFERROR(IF(INDEX(SK_D,MATCH(O63,SK_A,0))="",B63,INDEX(SK_D,MATCH(O63,SK_A,0))),B63)+Q63),B63+Q63))</f>
        <v/>
      </c>
      <c r="J63" s="14" t="inlineStr">
        <is>
          <t>Chưa làm</t>
        </is>
      </c>
      <c r="K63" s="13" t="n"/>
      <c r="L63" s="12" t="n"/>
      <c r="M63" s="48">
        <f>IF(E63="","",IF(J63="Bỏ qua","—",IF(J63="Xong",IF(AND(ISNUMBER(K63),ISNUMBER(I63),K63&gt;I63),"Xong trễ","Xong"),MID(IF(G63=""," · CHƯA GIAO","")&amp;IF(NOT(ISNUMBER(I63)),"",IF(TODAY()&gt;I63," · QUÁ HẠN "&amp;(TODAY()-I63)&amp;" ngày",IF(I63-TODAY()&lt;=3," · Đến hạn "&amp;IF(I63=TODAY(),"hôm nay","trong "&amp;(I63-TODAY())&amp;" ngày"),"")))&amp;IF(J63="Chờ đối tác"," · Chờ đối tác"&amp;IF(ISNUMBER(N63)," "&amp;(TODAY()-INT(N63))&amp;" ngày",""),""),4,200))))</f>
        <v/>
      </c>
      <c r="N63" s="49" t="n"/>
      <c r="O63" t="inlineStr">
        <is>
          <t>VD-2</t>
        </is>
      </c>
      <c r="P63" t="inlineStr">
        <is>
          <t>K29</t>
        </is>
      </c>
      <c r="Q63" t="n">
        <v>3</v>
      </c>
      <c r="R63" t="inlineStr">
        <is>
          <t>Làm việc</t>
        </is>
      </c>
      <c r="S63">
        <f>IF(AND(E63&lt;&gt;"",T63="Có",J63&lt;&gt;"Xong",J63&lt;&gt;"Bỏ qua",ISNUMBER(I63)),I63+ROW()/100000,"")</f>
        <v/>
      </c>
      <c r="T63">
        <f>IF(O63="","",IFERROR(INDEX(SK_TD,MATCH(O63,SK_A,0)),""))</f>
        <v/>
      </c>
      <c r="U63" t="inlineStr">
        <is>
          <t>Sales Dental (ví dụ)</t>
        </is>
      </c>
      <c r="V63">
        <f>IF(AND(O63&lt;&gt;"",O63=SEL_K,J63&lt;&gt;"Xong",J63&lt;&gt;"Bỏ qua"),IF(ISNUMBER(I63),I63,99999)+ROW()/100000,"")</f>
        <v/>
      </c>
    </row>
    <row r="64">
      <c r="A64" s="12">
        <f>IF(O64="","",IFERROR(INDEX(SK_B,MATCH(O64,SK_A,0))&amp;"",""))</f>
        <v/>
      </c>
      <c r="B64" s="45">
        <f>IF(O64="","",IFERROR(INDEX(SK_C,MATCH(O64,SK_A,0)),""))</f>
        <v/>
      </c>
      <c r="C64" s="46">
        <f>IF(Q64="","",IF(Q64=0,"D",IF(Q64&lt;0,"D"&amp;Q64,"D+"&amp;Q64)))</f>
        <v/>
      </c>
      <c r="D64" s="14" t="inlineStr">
        <is>
          <t>10. Sau sự kiện</t>
        </is>
      </c>
      <c r="E64" s="12" t="inlineStr">
        <is>
          <t>Bàn giao danh sách khách cần follow-up cho Sales</t>
        </is>
      </c>
      <c r="F64" s="46" t="inlineStr">
        <is>
          <t>Digital MKT</t>
        </is>
      </c>
      <c r="G64" s="47" t="inlineStr">
        <is>
          <t>Digital (ví dụ)</t>
        </is>
      </c>
      <c r="H64" s="14" t="inlineStr">
        <is>
          <t>Sales</t>
        </is>
      </c>
      <c r="I64" s="13">
        <f>IF(OR(B64="",Q64=""),"",IF(Q64&gt;0,IF(R64="Làm việc",WORKDAY(IFERROR(IF(INDEX(SK_D,MATCH(O64,SK_A,0))="",B64,INDEX(SK_D,MATCH(O64,SK_A,0))),B64),Q64,HOLI),IFERROR(IF(INDEX(SK_D,MATCH(O64,SK_A,0))="",B64,INDEX(SK_D,MATCH(O64,SK_A,0))),B64)+Q64),B64+Q64))</f>
        <v/>
      </c>
      <c r="J64" s="14" t="inlineStr">
        <is>
          <t>Chưa làm</t>
        </is>
      </c>
      <c r="K64" s="13" t="n"/>
      <c r="L64" s="12" t="n"/>
      <c r="M64" s="48">
        <f>IF(E64="","",IF(J64="Bỏ qua","—",IF(J64="Xong",IF(AND(ISNUMBER(K64),ISNUMBER(I64),K64&gt;I64),"Xong trễ","Xong"),MID(IF(G64=""," · CHƯA GIAO","")&amp;IF(NOT(ISNUMBER(I64)),"",IF(TODAY()&gt;I64," · QUÁ HẠN "&amp;(TODAY()-I64)&amp;" ngày",IF(I64-TODAY()&lt;=3," · Đến hạn "&amp;IF(I64=TODAY(),"hôm nay","trong "&amp;(I64-TODAY())&amp;" ngày"),"")))&amp;IF(J64="Chờ đối tác"," · Chờ đối tác"&amp;IF(ISNUMBER(N64)," "&amp;(TODAY()-INT(N64))&amp;" ngày",""),""),4,200))))</f>
        <v/>
      </c>
      <c r="N64" s="49" t="n"/>
      <c r="O64" t="inlineStr">
        <is>
          <t>VD-2</t>
        </is>
      </c>
      <c r="P64" t="inlineStr">
        <is>
          <t>K30</t>
        </is>
      </c>
      <c r="Q64" t="n">
        <v>3</v>
      </c>
      <c r="R64" t="inlineStr">
        <is>
          <t>Làm việc</t>
        </is>
      </c>
      <c r="S64">
        <f>IF(AND(E64&lt;&gt;"",T64="Có",J64&lt;&gt;"Xong",J64&lt;&gt;"Bỏ qua",ISNUMBER(I64)),I64+ROW()/100000,"")</f>
        <v/>
      </c>
      <c r="T64">
        <f>IF(O64="","",IFERROR(INDEX(SK_TD,MATCH(O64,SK_A,0)),""))</f>
        <v/>
      </c>
      <c r="U64" t="inlineStr">
        <is>
          <t>Digital (ví dụ)</t>
        </is>
      </c>
      <c r="V64">
        <f>IF(AND(O64&lt;&gt;"",O64=SEL_K,J64&lt;&gt;"Xong",J64&lt;&gt;"Bỏ qua"),IF(ISNUMBER(I64),I64,99999)+ROW()/100000,"")</f>
        <v/>
      </c>
    </row>
    <row r="65">
      <c r="A65" s="12">
        <f>IF(O65="","",IFERROR(INDEX(SK_B,MATCH(O65,SK_A,0))&amp;"",""))</f>
        <v/>
      </c>
      <c r="B65" s="45">
        <f>IF(O65="","",IFERROR(INDEX(SK_C,MATCH(O65,SK_A,0)),""))</f>
        <v/>
      </c>
      <c r="C65" s="46">
        <f>IF(Q65="","",IF(Q65=0,"D",IF(Q65&lt;0,"D"&amp;Q65,"D+"&amp;Q65)))</f>
        <v/>
      </c>
      <c r="D65" s="14" t="inlineStr">
        <is>
          <t>10. Sau sự kiện</t>
        </is>
      </c>
      <c r="E65" s="12" t="inlineStr">
        <is>
          <t>Báo cáo sự kiện + chứng từ KOL, hoá đơn địa điểm</t>
        </is>
      </c>
      <c r="F65" s="46" t="inlineStr">
        <is>
          <t>MKT Leader</t>
        </is>
      </c>
      <c r="G65" s="47" t="inlineStr">
        <is>
          <t>Leader MKT (ví dụ)</t>
        </is>
      </c>
      <c r="H65" s="14" t="inlineStr">
        <is>
          <t>Trade MKT</t>
        </is>
      </c>
      <c r="I65" s="13">
        <f>IF(OR(B65="",Q65=""),"",IF(Q65&gt;0,IF(R65="Làm việc",WORKDAY(IFERROR(IF(INDEX(SK_D,MATCH(O65,SK_A,0))="",B65,INDEX(SK_D,MATCH(O65,SK_A,0))),B65),Q65,HOLI),IFERROR(IF(INDEX(SK_D,MATCH(O65,SK_A,0))="",B65,INDEX(SK_D,MATCH(O65,SK_A,0))),B65)+Q65),B65+Q65))</f>
        <v/>
      </c>
      <c r="J65" s="14" t="inlineStr">
        <is>
          <t>Chưa làm</t>
        </is>
      </c>
      <c r="K65" s="13" t="n"/>
      <c r="L65" s="12" t="n"/>
      <c r="M65" s="48">
        <f>IF(E65="","",IF(J65="Bỏ qua","—",IF(J65="Xong",IF(AND(ISNUMBER(K65),ISNUMBER(I65),K65&gt;I65),"Xong trễ","Xong"),MID(IF(G65=""," · CHƯA GIAO","")&amp;IF(NOT(ISNUMBER(I65)),"",IF(TODAY()&gt;I65," · QUÁ HẠN "&amp;(TODAY()-I65)&amp;" ngày",IF(I65-TODAY()&lt;=3," · Đến hạn "&amp;IF(I65=TODAY(),"hôm nay","trong "&amp;(I65-TODAY())&amp;" ngày"),"")))&amp;IF(J65="Chờ đối tác"," · Chờ đối tác"&amp;IF(ISNUMBER(N65)," "&amp;(TODAY()-INT(N65))&amp;" ngày",""),""),4,200))))</f>
        <v/>
      </c>
      <c r="N65" s="49" t="n"/>
      <c r="O65" t="inlineStr">
        <is>
          <t>VD-2</t>
        </is>
      </c>
      <c r="P65" t="inlineStr">
        <is>
          <t>K31</t>
        </is>
      </c>
      <c r="Q65" t="n">
        <v>5</v>
      </c>
      <c r="R65" t="inlineStr">
        <is>
          <t>Làm việc</t>
        </is>
      </c>
      <c r="S65">
        <f>IF(AND(E65&lt;&gt;"",T65="Có",J65&lt;&gt;"Xong",J65&lt;&gt;"Bỏ qua",ISNUMBER(I65)),I65+ROW()/100000,"")</f>
        <v/>
      </c>
      <c r="T65">
        <f>IF(O65="","",IFERROR(INDEX(SK_TD,MATCH(O65,SK_A,0)),""))</f>
        <v/>
      </c>
      <c r="U65" t="inlineStr">
        <is>
          <t>Leader MKT (ví dụ)</t>
        </is>
      </c>
      <c r="V65">
        <f>IF(AND(O65&lt;&gt;"",O65=SEL_K,J65&lt;&gt;"Xong",J65&lt;&gt;"Bỏ qua"),IF(ISNUMBER(I65),I65,99999)+ROW()/100000,"")</f>
        <v/>
      </c>
    </row>
    <row r="66">
      <c r="A66" s="12">
        <f>IF(O66="","",IFERROR(INDEX(SK_B,MATCH(O66,SK_A,0))&amp;"",""))</f>
        <v/>
      </c>
      <c r="B66" s="45">
        <f>IF(O66="","",IFERROR(INDEX(SK_C,MATCH(O66,SK_A,0)),""))</f>
        <v/>
      </c>
      <c r="C66" s="46">
        <f>IF(Q66="","",IF(Q66=0,"D",IF(Q66&lt;0,"D"&amp;Q66,"D+"&amp;Q66)))</f>
        <v/>
      </c>
      <c r="D66" s="14" t="inlineStr">
        <is>
          <t>10. Sau sự kiện</t>
        </is>
      </c>
      <c r="E66" s="12" t="inlineStr">
        <is>
          <t>Email báo cáo toàn MMH (4 file đính kèm) + hoàn tất lưu hồ sơ</t>
        </is>
      </c>
      <c r="F66" s="46" t="inlineStr">
        <is>
          <t>MKT Leader</t>
        </is>
      </c>
      <c r="G66" s="47" t="inlineStr">
        <is>
          <t>Leader MKT (ví dụ)</t>
        </is>
      </c>
      <c r="H66" s="14" t="inlineStr"/>
      <c r="I66" s="13">
        <f>IF(OR(B66="",Q66=""),"",IF(Q66&gt;0,IF(R66="Làm việc",WORKDAY(IFERROR(IF(INDEX(SK_D,MATCH(O66,SK_A,0))="",B66,INDEX(SK_D,MATCH(O66,SK_A,0))),B66),Q66,HOLI),IFERROR(IF(INDEX(SK_D,MATCH(O66,SK_A,0))="",B66,INDEX(SK_D,MATCH(O66,SK_A,0))),B66)+Q66),B66+Q66))</f>
        <v/>
      </c>
      <c r="J66" s="14" t="inlineStr">
        <is>
          <t>Chưa làm</t>
        </is>
      </c>
      <c r="K66" s="13" t="n"/>
      <c r="L66" s="12" t="n"/>
      <c r="M66" s="48">
        <f>IF(E66="","",IF(J66="Bỏ qua","—",IF(J66="Xong",IF(AND(ISNUMBER(K66),ISNUMBER(I66),K66&gt;I66),"Xong trễ","Xong"),MID(IF(G66=""," · CHƯA GIAO","")&amp;IF(NOT(ISNUMBER(I66)),"",IF(TODAY()&gt;I66," · QUÁ HẠN "&amp;(TODAY()-I66)&amp;" ngày",IF(I66-TODAY()&lt;=3," · Đến hạn "&amp;IF(I66=TODAY(),"hôm nay","trong "&amp;(I66-TODAY())&amp;" ngày"),"")))&amp;IF(J66="Chờ đối tác"," · Chờ đối tác"&amp;IF(ISNUMBER(N66)," "&amp;(TODAY()-INT(N66))&amp;" ngày",""),""),4,200))))</f>
        <v/>
      </c>
      <c r="N66" s="49" t="n"/>
      <c r="O66" t="inlineStr">
        <is>
          <t>VD-2</t>
        </is>
      </c>
      <c r="P66" t="inlineStr">
        <is>
          <t>K32</t>
        </is>
      </c>
      <c r="Q66" t="n">
        <v>7</v>
      </c>
      <c r="R66" t="inlineStr">
        <is>
          <t>Làm việc</t>
        </is>
      </c>
      <c r="S66">
        <f>IF(AND(E66&lt;&gt;"",T66="Có",J66&lt;&gt;"Xong",J66&lt;&gt;"Bỏ qua",ISNUMBER(I66)),I66+ROW()/100000,"")</f>
        <v/>
      </c>
      <c r="T66">
        <f>IF(O66="","",IFERROR(INDEX(SK_TD,MATCH(O66,SK_A,0)),""))</f>
        <v/>
      </c>
      <c r="U66" t="inlineStr">
        <is>
          <t>Leader MKT (ví dụ)</t>
        </is>
      </c>
      <c r="V66">
        <f>IF(AND(O66&lt;&gt;"",O66=SEL_K,J66&lt;&gt;"Xong",J66&lt;&gt;"Bỏ qua"),IF(ISNUMBER(I66),I66,99999)+ROW()/100000,"")</f>
        <v/>
      </c>
    </row>
    <row r="67">
      <c r="A67" s="12">
        <f>IF(O67="","",IFERROR(INDEX(SK_B,MATCH(O67,SK_A,0))&amp;"",""))</f>
        <v/>
      </c>
      <c r="B67" s="45">
        <f>IF(O67="","",IFERROR(INDEX(SK_C,MATCH(O67,SK_A,0)),""))</f>
        <v/>
      </c>
      <c r="C67" s="46">
        <f>IF(Q67="","",IF(Q67=0,"D",IF(Q67&lt;0,"D"&amp;Q67,"D+"&amp;Q67)))</f>
        <v/>
      </c>
      <c r="D67" s="14" t="inlineStr">
        <is>
          <t>11. Follow-up</t>
        </is>
      </c>
      <c r="E67" s="12" t="inlineStr">
        <is>
          <t>Sales liên hệ lần đầu khách cần follow-up</t>
        </is>
      </c>
      <c r="F67" s="46" t="inlineStr">
        <is>
          <t>Sales</t>
        </is>
      </c>
      <c r="G67" s="47" t="inlineStr">
        <is>
          <t>Sales Dental (ví dụ)</t>
        </is>
      </c>
      <c r="H67" s="14" t="inlineStr">
        <is>
          <t>NPP</t>
        </is>
      </c>
      <c r="I67" s="13">
        <f>IF(OR(B67="",Q67=""),"",IF(Q67&gt;0,IF(R67="Làm việc",WORKDAY(IFERROR(IF(INDEX(SK_D,MATCH(O67,SK_A,0))="",B67,INDEX(SK_D,MATCH(O67,SK_A,0))),B67),Q67,HOLI),IFERROR(IF(INDEX(SK_D,MATCH(O67,SK_A,0))="",B67,INDEX(SK_D,MATCH(O67,SK_A,0))),B67)+Q67),B67+Q67))</f>
        <v/>
      </c>
      <c r="J67" s="14" t="inlineStr">
        <is>
          <t>Chưa làm</t>
        </is>
      </c>
      <c r="K67" s="13" t="n"/>
      <c r="L67" s="12" t="n"/>
      <c r="M67" s="48">
        <f>IF(E67="","",IF(J67="Bỏ qua","—",IF(J67="Xong",IF(AND(ISNUMBER(K67),ISNUMBER(I67),K67&gt;I67),"Xong trễ","Xong"),MID(IF(G67=""," · CHƯA GIAO","")&amp;IF(NOT(ISNUMBER(I67)),"",IF(TODAY()&gt;I67," · QUÁ HẠN "&amp;(TODAY()-I67)&amp;" ngày",IF(I67-TODAY()&lt;=3," · Đến hạn "&amp;IF(I67=TODAY(),"hôm nay","trong "&amp;(I67-TODAY())&amp;" ngày"),"")))&amp;IF(J67="Chờ đối tác"," · Chờ đối tác"&amp;IF(ISNUMBER(N67)," "&amp;(TODAY()-INT(N67))&amp;" ngày",""),""),4,200))))</f>
        <v/>
      </c>
      <c r="N67" s="49" t="n"/>
      <c r="O67" t="inlineStr">
        <is>
          <t>VD-2</t>
        </is>
      </c>
      <c r="P67" t="inlineStr">
        <is>
          <t>K33</t>
        </is>
      </c>
      <c r="Q67" t="n">
        <v>5</v>
      </c>
      <c r="R67" t="inlineStr">
        <is>
          <t>Làm việc</t>
        </is>
      </c>
      <c r="S67">
        <f>IF(AND(E67&lt;&gt;"",T67="Có",J67&lt;&gt;"Xong",J67&lt;&gt;"Bỏ qua",ISNUMBER(I67)),I67+ROW()/100000,"")</f>
        <v/>
      </c>
      <c r="T67">
        <f>IF(O67="","",IFERROR(INDEX(SK_TD,MATCH(O67,SK_A,0)),""))</f>
        <v/>
      </c>
      <c r="U67" t="inlineStr">
        <is>
          <t>Sales Dental (ví dụ)</t>
        </is>
      </c>
      <c r="V67">
        <f>IF(AND(O67&lt;&gt;"",O67=SEL_K,J67&lt;&gt;"Xong",J67&lt;&gt;"Bỏ qua"),IF(ISNUMBER(I67),I67,99999)+ROW()/100000,"")</f>
        <v/>
      </c>
    </row>
    <row r="68">
      <c r="A68" s="12">
        <f>IF(O68="","",IFERROR(INDEX(SK_B,MATCH(O68,SK_A,0))&amp;"",""))</f>
        <v/>
      </c>
      <c r="B68" s="45">
        <f>IF(O68="","",IFERROR(INDEX(SK_C,MATCH(O68,SK_A,0)),""))</f>
        <v/>
      </c>
      <c r="C68" s="46">
        <f>IF(Q68="","",IF(Q68=0,"D",IF(Q68&lt;0,"D"&amp;Q68,"D+"&amp;Q68)))</f>
        <v/>
      </c>
      <c r="D68" s="14" t="inlineStr">
        <is>
          <t>11. Follow-up</t>
        </is>
      </c>
      <c r="E68" s="12" t="inlineStr">
        <is>
          <t>Sales báo kết quả chuyển đổi đơn hàng</t>
        </is>
      </c>
      <c r="F68" s="46" t="inlineStr">
        <is>
          <t>Sales</t>
        </is>
      </c>
      <c r="G68" s="47" t="inlineStr">
        <is>
          <t>Sales Dental (ví dụ)</t>
        </is>
      </c>
      <c r="H68" s="14" t="inlineStr">
        <is>
          <t>NPP</t>
        </is>
      </c>
      <c r="I68" s="13">
        <f>IF(OR(B68="",Q68=""),"",IF(Q68&gt;0,IF(R68="Làm việc",WORKDAY(IFERROR(IF(INDEX(SK_D,MATCH(O68,SK_A,0))="",B68,INDEX(SK_D,MATCH(O68,SK_A,0))),B68),Q68,HOLI),IFERROR(IF(INDEX(SK_D,MATCH(O68,SK_A,0))="",B68,INDEX(SK_D,MATCH(O68,SK_A,0))),B68)+Q68),B68+Q68))</f>
        <v/>
      </c>
      <c r="J68" s="14" t="inlineStr">
        <is>
          <t>Chưa làm</t>
        </is>
      </c>
      <c r="K68" s="13" t="n"/>
      <c r="L68" s="12" t="n"/>
      <c r="M68" s="48">
        <f>IF(E68="","",IF(J68="Bỏ qua","—",IF(J68="Xong",IF(AND(ISNUMBER(K68),ISNUMBER(I68),K68&gt;I68),"Xong trễ","Xong"),MID(IF(G68=""," · CHƯA GIAO","")&amp;IF(NOT(ISNUMBER(I68)),"",IF(TODAY()&gt;I68," · QUÁ HẠN "&amp;(TODAY()-I68)&amp;" ngày",IF(I68-TODAY()&lt;=3," · Đến hạn "&amp;IF(I68=TODAY(),"hôm nay","trong "&amp;(I68-TODAY())&amp;" ngày"),"")))&amp;IF(J68="Chờ đối tác"," · Chờ đối tác"&amp;IF(ISNUMBER(N68)," "&amp;(TODAY()-INT(N68))&amp;" ngày",""),""),4,200))))</f>
        <v/>
      </c>
      <c r="N68" s="49" t="n"/>
      <c r="O68" t="inlineStr">
        <is>
          <t>VD-2</t>
        </is>
      </c>
      <c r="P68" t="inlineStr">
        <is>
          <t>K34</t>
        </is>
      </c>
      <c r="Q68" t="n">
        <v>20</v>
      </c>
      <c r="R68" t="inlineStr">
        <is>
          <t>Làm việc</t>
        </is>
      </c>
      <c r="S68">
        <f>IF(AND(E68&lt;&gt;"",T68="Có",J68&lt;&gt;"Xong",J68&lt;&gt;"Bỏ qua",ISNUMBER(I68)),I68+ROW()/100000,"")</f>
        <v/>
      </c>
      <c r="T68">
        <f>IF(O68="","",IFERROR(INDEX(SK_TD,MATCH(O68,SK_A,0)),""))</f>
        <v/>
      </c>
      <c r="U68" t="inlineStr">
        <is>
          <t>Sales Dental (ví dụ)</t>
        </is>
      </c>
      <c r="V68">
        <f>IF(AND(O68&lt;&gt;"",O68=SEL_K,J68&lt;&gt;"Xong",J68&lt;&gt;"Bỏ qua"),IF(ISNUMBER(I68),I68,99999)+ROW()/100000,"")</f>
        <v/>
      </c>
    </row>
    <row r="69">
      <c r="A69" s="12">
        <f>IF(O69="","",IFERROR(INDEX(SK_B,MATCH(O69,SK_A,0))&amp;"",""))</f>
        <v/>
      </c>
      <c r="B69" s="45">
        <f>IF(O69="","",IFERROR(INDEX(SK_C,MATCH(O69,SK_A,0)),""))</f>
        <v/>
      </c>
      <c r="C69" s="46">
        <f>IF(Q69="","",IF(Q69=0,"D",IF(Q69&lt;0,"D"&amp;Q69,"D+"&amp;Q69)))</f>
        <v/>
      </c>
      <c r="D69" s="14" t="inlineStr">
        <is>
          <t>1. Kế hoạch</t>
        </is>
      </c>
      <c r="E69" s="12" t="inlineStr">
        <is>
          <t>Lập kế hoạch tổng quan (KOL, số khách, mục đích, KPI bán hàng, khuyến mại, khảo sát) + xin Giám đốc duyệt ngân sách</t>
        </is>
      </c>
      <c r="F69" s="46" t="inlineStr">
        <is>
          <t>MKT Leader</t>
        </is>
      </c>
      <c r="G69" s="47" t="inlineStr">
        <is>
          <t>Leader MKT (ví dụ)</t>
        </is>
      </c>
      <c r="H69" s="14" t="inlineStr">
        <is>
          <t>Sales, NPP</t>
        </is>
      </c>
      <c r="I69" s="13">
        <f>IF(OR(B69="",Q69=""),"",IF(Q69&gt;0,IF(R69="Làm việc",WORKDAY(IFERROR(IF(INDEX(SK_D,MATCH(O69,SK_A,0))="",B69,INDEX(SK_D,MATCH(O69,SK_A,0))),B69),Q69,HOLI),IFERROR(IF(INDEX(SK_D,MATCH(O69,SK_A,0))="",B69,INDEX(SK_D,MATCH(O69,SK_A,0))),B69)+Q69),B69+Q69))</f>
        <v/>
      </c>
      <c r="J69" s="14" t="inlineStr">
        <is>
          <t>Xong</t>
        </is>
      </c>
      <c r="K69" s="13" t="n">
        <v>46316</v>
      </c>
      <c r="L69" s="12" t="n"/>
      <c r="M69" s="48">
        <f>IF(E69="","",IF(J69="Bỏ qua","—",IF(J69="Xong",IF(AND(ISNUMBER(K69),ISNUMBER(I69),K69&gt;I69),"Xong trễ","Xong"),MID(IF(G69=""," · CHƯA GIAO","")&amp;IF(NOT(ISNUMBER(I69)),"",IF(TODAY()&gt;I69," · QUÁ HẠN "&amp;(TODAY()-I69)&amp;" ngày",IF(I69-TODAY()&lt;=3," · Đến hạn "&amp;IF(I69=TODAY(),"hôm nay","trong "&amp;(I69-TODAY())&amp;" ngày"),"")))&amp;IF(J69="Chờ đối tác"," · Chờ đối tác"&amp;IF(ISNUMBER(N69)," "&amp;(TODAY()-INT(N69))&amp;" ngày",""),""),4,200))))</f>
        <v/>
      </c>
      <c r="N69" s="49" t="n">
        <v>46316.6875</v>
      </c>
      <c r="O69" t="inlineStr">
        <is>
          <t>VD-3</t>
        </is>
      </c>
      <c r="P69" t="inlineStr">
        <is>
          <t>K01</t>
        </is>
      </c>
      <c r="Q69" t="n">
        <v>-30</v>
      </c>
      <c r="R69" t="inlineStr">
        <is>
          <t>Lịch</t>
        </is>
      </c>
      <c r="S69">
        <f>IF(AND(E69&lt;&gt;"",T69="Có",J69&lt;&gt;"Xong",J69&lt;&gt;"Bỏ qua",ISNUMBER(I69)),I69+ROW()/100000,"")</f>
        <v/>
      </c>
      <c r="T69">
        <f>IF(O69="","",IFERROR(INDEX(SK_TD,MATCH(O69,SK_A,0)),""))</f>
        <v/>
      </c>
      <c r="U69" t="inlineStr">
        <is>
          <t>Leader MKT (ví dụ)</t>
        </is>
      </c>
      <c r="V69">
        <f>IF(AND(O69&lt;&gt;"",O69=SEL_K,J69&lt;&gt;"Xong",J69&lt;&gt;"Bỏ qua"),IF(ISNUMBER(I69),I69,99999)+ROW()/100000,"")</f>
        <v/>
      </c>
    </row>
    <row r="70">
      <c r="A70" s="12">
        <f>IF(O70="","",IFERROR(INDEX(SK_B,MATCH(O70,SK_A,0))&amp;"",""))</f>
        <v/>
      </c>
      <c r="B70" s="45">
        <f>IF(O70="","",IFERROR(INDEX(SK_C,MATCH(O70,SK_A,0)),""))</f>
        <v/>
      </c>
      <c r="C70" s="46">
        <f>IF(Q70="","",IF(Q70=0,"D",IF(Q70&lt;0,"D"&amp;Q70,"D+"&amp;Q70)))</f>
        <v/>
      </c>
      <c r="D70" s="14" t="inlineStr">
        <is>
          <t>1. Kế hoạch</t>
        </is>
      </c>
      <c r="E70" s="12" t="inlineStr">
        <is>
          <t>Chia việc với NPP, Trường / Viện (tuyển sinh, đồ thực hành, MC, số bàn trưng bày)</t>
        </is>
      </c>
      <c r="F70" s="46" t="inlineStr">
        <is>
          <t>MKT Leader</t>
        </is>
      </c>
      <c r="G70" s="47" t="inlineStr">
        <is>
          <t>Leader MKT (ví dụ)</t>
        </is>
      </c>
      <c r="H70" s="14" t="inlineStr">
        <is>
          <t>NPP, Viện</t>
        </is>
      </c>
      <c r="I70" s="13">
        <f>IF(OR(B70="",Q70=""),"",IF(Q70&gt;0,IF(R70="Làm việc",WORKDAY(IFERROR(IF(INDEX(SK_D,MATCH(O70,SK_A,0))="",B70,INDEX(SK_D,MATCH(O70,SK_A,0))),B70),Q70,HOLI),IFERROR(IF(INDEX(SK_D,MATCH(O70,SK_A,0))="",B70,INDEX(SK_D,MATCH(O70,SK_A,0))),B70)+Q70),B70+Q70))</f>
        <v/>
      </c>
      <c r="J70" s="14" t="inlineStr">
        <is>
          <t>Xong</t>
        </is>
      </c>
      <c r="K70" s="13" t="n">
        <v>46317</v>
      </c>
      <c r="L70" s="12" t="n"/>
      <c r="M70" s="48">
        <f>IF(E70="","",IF(J70="Bỏ qua","—",IF(J70="Xong",IF(AND(ISNUMBER(K70),ISNUMBER(I70),K70&gt;I70),"Xong trễ","Xong"),MID(IF(G70=""," · CHƯA GIAO","")&amp;IF(NOT(ISNUMBER(I70)),"",IF(TODAY()&gt;I70," · QUÁ HẠN "&amp;(TODAY()-I70)&amp;" ngày",IF(I70-TODAY()&lt;=3," · Đến hạn "&amp;IF(I70=TODAY(),"hôm nay","trong "&amp;(I70-TODAY())&amp;" ngày"),"")))&amp;IF(J70="Chờ đối tác"," · Chờ đối tác"&amp;IF(ISNUMBER(N70)," "&amp;(TODAY()-INT(N70))&amp;" ngày",""),""),4,200))))</f>
        <v/>
      </c>
      <c r="N70" s="49" t="n">
        <v>46317.6875</v>
      </c>
      <c r="O70" t="inlineStr">
        <is>
          <t>VD-3</t>
        </is>
      </c>
      <c r="P70" t="inlineStr">
        <is>
          <t>K02</t>
        </is>
      </c>
      <c r="Q70" t="n">
        <v>-30</v>
      </c>
      <c r="R70" t="inlineStr">
        <is>
          <t>Lịch</t>
        </is>
      </c>
      <c r="S70">
        <f>IF(AND(E70&lt;&gt;"",T70="Có",J70&lt;&gt;"Xong",J70&lt;&gt;"Bỏ qua",ISNUMBER(I70)),I70+ROW()/100000,"")</f>
        <v/>
      </c>
      <c r="T70">
        <f>IF(O70="","",IFERROR(INDEX(SK_TD,MATCH(O70,SK_A,0)),""))</f>
        <v/>
      </c>
      <c r="U70" t="inlineStr">
        <is>
          <t>Leader MKT (ví dụ)</t>
        </is>
      </c>
      <c r="V70">
        <f>IF(AND(O70&lt;&gt;"",O70=SEL_K,J70&lt;&gt;"Xong",J70&lt;&gt;"Bỏ qua"),IF(ISNUMBER(I70),I70,99999)+ROW()/100000,"")</f>
        <v/>
      </c>
    </row>
    <row r="71">
      <c r="A71" s="12">
        <f>IF(O71="","",IFERROR(INDEX(SK_B,MATCH(O71,SK_A,0))&amp;"",""))</f>
        <v/>
      </c>
      <c r="B71" s="45">
        <f>IF(O71="","",IFERROR(INDEX(SK_C,MATCH(O71,SK_A,0)),""))</f>
        <v/>
      </c>
      <c r="C71" s="46">
        <f>IF(Q71="","",IF(Q71=0,"D",IF(Q71&lt;0,"D"&amp;Q71,"D+"&amp;Q71)))</f>
        <v/>
      </c>
      <c r="D71" s="14" t="inlineStr">
        <is>
          <t>2. KOL &amp; đối tác</t>
        </is>
      </c>
      <c r="E71" s="12" t="inlineStr">
        <is>
          <t>Chốt KOL: hợp đồng, lịch di chuyển, xem trước bài giảng, người chăm sóc KOL</t>
        </is>
      </c>
      <c r="F71" s="46" t="inlineStr">
        <is>
          <t>MKT Leader</t>
        </is>
      </c>
      <c r="G71" s="47" t="inlineStr">
        <is>
          <t>Leader MKT (ví dụ)</t>
        </is>
      </c>
      <c r="H71" s="14" t="inlineStr">
        <is>
          <t>KOL</t>
        </is>
      </c>
      <c r="I71" s="13">
        <f>IF(OR(B71="",Q71=""),"",IF(Q71&gt;0,IF(R71="Làm việc",WORKDAY(IFERROR(IF(INDEX(SK_D,MATCH(O71,SK_A,0))="",B71,INDEX(SK_D,MATCH(O71,SK_A,0))),B71),Q71,HOLI),IFERROR(IF(INDEX(SK_D,MATCH(O71,SK_A,0))="",B71,INDEX(SK_D,MATCH(O71,SK_A,0))),B71)+Q71),B71+Q71))</f>
        <v/>
      </c>
      <c r="J71" s="14" t="inlineStr">
        <is>
          <t>Xong</t>
        </is>
      </c>
      <c r="K71" s="13" t="n">
        <v>46316</v>
      </c>
      <c r="L71" s="12" t="n"/>
      <c r="M71" s="48">
        <f>IF(E71="","",IF(J71="Bỏ qua","—",IF(J71="Xong",IF(AND(ISNUMBER(K71),ISNUMBER(I71),K71&gt;I71),"Xong trễ","Xong"),MID(IF(G71=""," · CHƯA GIAO","")&amp;IF(NOT(ISNUMBER(I71)),"",IF(TODAY()&gt;I71," · QUÁ HẠN "&amp;(TODAY()-I71)&amp;" ngày",IF(I71-TODAY()&lt;=3," · Đến hạn "&amp;IF(I71=TODAY(),"hôm nay","trong "&amp;(I71-TODAY())&amp;" ngày"),"")))&amp;IF(J71="Chờ đối tác"," · Chờ đối tác"&amp;IF(ISNUMBER(N71)," "&amp;(TODAY()-INT(N71))&amp;" ngày",""),""),4,200))))</f>
        <v/>
      </c>
      <c r="N71" s="49" t="n">
        <v>46316.6875</v>
      </c>
      <c r="O71" t="inlineStr">
        <is>
          <t>VD-3</t>
        </is>
      </c>
      <c r="P71" t="inlineStr">
        <is>
          <t>K03</t>
        </is>
      </c>
      <c r="Q71" t="n">
        <v>-30</v>
      </c>
      <c r="R71" t="inlineStr">
        <is>
          <t>Lịch</t>
        </is>
      </c>
      <c r="S71">
        <f>IF(AND(E71&lt;&gt;"",T71="Có",J71&lt;&gt;"Xong",J71&lt;&gt;"Bỏ qua",ISNUMBER(I71)),I71+ROW()/100000,"")</f>
        <v/>
      </c>
      <c r="T71">
        <f>IF(O71="","",IFERROR(INDEX(SK_TD,MATCH(O71,SK_A,0)),""))</f>
        <v/>
      </c>
      <c r="U71" t="inlineStr">
        <is>
          <t>Leader MKT (ví dụ)</t>
        </is>
      </c>
      <c r="V71">
        <f>IF(AND(O71&lt;&gt;"",O71=SEL_K,J71&lt;&gt;"Xong",J71&lt;&gt;"Bỏ qua"),IF(ISNUMBER(I71),I71,99999)+ROW()/100000,"")</f>
        <v/>
      </c>
    </row>
    <row r="72">
      <c r="A72" s="12">
        <f>IF(O72="","",IFERROR(INDEX(SK_B,MATCH(O72,SK_A,0))&amp;"",""))</f>
        <v/>
      </c>
      <c r="B72" s="45">
        <f>IF(O72="","",IFERROR(INDEX(SK_C,MATCH(O72,SK_A,0)),""))</f>
        <v/>
      </c>
      <c r="C72" s="46">
        <f>IF(Q72="","",IF(Q72=0,"D",IF(Q72&lt;0,"D"&amp;Q72,"D+"&amp;Q72)))</f>
        <v/>
      </c>
      <c r="D72" s="14" t="inlineStr">
        <is>
          <t>3. Tuyển sinh</t>
        </is>
      </c>
      <c r="E72" s="12" t="inlineStr">
        <is>
          <t>Mở tuyển sinh: form đăng ký (khảo sát trước, đồng ý dữ liệu, nguồn đăng ký) + nhóm Zalo khách</t>
        </is>
      </c>
      <c r="F72" s="46" t="inlineStr">
        <is>
          <t>Digital MKT</t>
        </is>
      </c>
      <c r="G72" s="47" t="inlineStr">
        <is>
          <t>Digital (ví dụ)</t>
        </is>
      </c>
      <c r="H72" s="14" t="inlineStr">
        <is>
          <t>Sales, NPP</t>
        </is>
      </c>
      <c r="I72" s="13">
        <f>IF(OR(B72="",Q72=""),"",IF(Q72&gt;0,IF(R72="Làm việc",WORKDAY(IFERROR(IF(INDEX(SK_D,MATCH(O72,SK_A,0))="",B72,INDEX(SK_D,MATCH(O72,SK_A,0))),B72),Q72,HOLI),IFERROR(IF(INDEX(SK_D,MATCH(O72,SK_A,0))="",B72,INDEX(SK_D,MATCH(O72,SK_A,0))),B72)+Q72),B72+Q72))</f>
        <v/>
      </c>
      <c r="J72" s="14" t="inlineStr">
        <is>
          <t>Xong</t>
        </is>
      </c>
      <c r="K72" s="13" t="n">
        <v>46316</v>
      </c>
      <c r="L72" s="12" t="n"/>
      <c r="M72" s="48">
        <f>IF(E72="","",IF(J72="Bỏ qua","—",IF(J72="Xong",IF(AND(ISNUMBER(K72),ISNUMBER(I72),K72&gt;I72),"Xong trễ","Xong"),MID(IF(G72=""," · CHƯA GIAO","")&amp;IF(NOT(ISNUMBER(I72)),"",IF(TODAY()&gt;I72," · QUÁ HẠN "&amp;(TODAY()-I72)&amp;" ngày",IF(I72-TODAY()&lt;=3," · Đến hạn "&amp;IF(I72=TODAY(),"hôm nay","trong "&amp;(I72-TODAY())&amp;" ngày"),"")))&amp;IF(J72="Chờ đối tác"," · Chờ đối tác"&amp;IF(ISNUMBER(N72)," "&amp;(TODAY()-INT(N72))&amp;" ngày",""),""),4,200))))</f>
        <v/>
      </c>
      <c r="N72" s="49" t="n">
        <v>46316.6875</v>
      </c>
      <c r="O72" t="inlineStr">
        <is>
          <t>VD-3</t>
        </is>
      </c>
      <c r="P72" t="inlineStr">
        <is>
          <t>K04</t>
        </is>
      </c>
      <c r="Q72" t="n">
        <v>-30</v>
      </c>
      <c r="R72" t="inlineStr">
        <is>
          <t>Lịch</t>
        </is>
      </c>
      <c r="S72">
        <f>IF(AND(E72&lt;&gt;"",T72="Có",J72&lt;&gt;"Xong",J72&lt;&gt;"Bỏ qua",ISNUMBER(I72)),I72+ROW()/100000,"")</f>
        <v/>
      </c>
      <c r="T72">
        <f>IF(O72="","",IFERROR(INDEX(SK_TD,MATCH(O72,SK_A,0)),""))</f>
        <v/>
      </c>
      <c r="U72" t="inlineStr">
        <is>
          <t>Digital (ví dụ)</t>
        </is>
      </c>
      <c r="V72">
        <f>IF(AND(O72&lt;&gt;"",O72=SEL_K,J72&lt;&gt;"Xong",J72&lt;&gt;"Bỏ qua"),IF(ISNUMBER(I72),I72,99999)+ROW()/100000,"")</f>
        <v/>
      </c>
    </row>
    <row r="73">
      <c r="A73" s="12">
        <f>IF(O73="","",IFERROR(INDEX(SK_B,MATCH(O73,SK_A,0))&amp;"",""))</f>
        <v/>
      </c>
      <c r="B73" s="45">
        <f>IF(O73="","",IFERROR(INDEX(SK_C,MATCH(O73,SK_A,0)),""))</f>
        <v/>
      </c>
      <c r="C73" s="46">
        <f>IF(Q73="","",IF(Q73=0,"D",IF(Q73&lt;0,"D"&amp;Q73,"D+"&amp;Q73)))</f>
        <v/>
      </c>
      <c r="D73" s="14" t="inlineStr">
        <is>
          <t>3. Tuyển sinh</t>
        </is>
      </c>
      <c r="E73" s="12" t="inlineStr">
        <is>
          <t>Báo cáo số đăng ký theo nguồn cho team (thứ Hai hằng tuần, đến D-1)</t>
        </is>
      </c>
      <c r="F73" s="46" t="inlineStr">
        <is>
          <t>MKT Leader</t>
        </is>
      </c>
      <c r="G73" s="47" t="inlineStr">
        <is>
          <t>Leader MKT (ví dụ)</t>
        </is>
      </c>
      <c r="H73" s="14" t="inlineStr">
        <is>
          <t>Sales, NPP</t>
        </is>
      </c>
      <c r="I73" s="13">
        <f>IF(OR(B73="",Q73=""),"",IF(Q73&gt;0,IF(R73="Làm việc",WORKDAY(IFERROR(IF(INDEX(SK_D,MATCH(O73,SK_A,0))="",B73,INDEX(SK_D,MATCH(O73,SK_A,0))),B73),Q73,HOLI),IFERROR(IF(INDEX(SK_D,MATCH(O73,SK_A,0))="",B73,INDEX(SK_D,MATCH(O73,SK_A,0))),B73)+Q73),B73+Q73))</f>
        <v/>
      </c>
      <c r="J73" s="14" t="inlineStr">
        <is>
          <t>Chưa làm</t>
        </is>
      </c>
      <c r="K73" s="13" t="n"/>
      <c r="L73" s="12" t="n"/>
      <c r="M73" s="48">
        <f>IF(E73="","",IF(J73="Bỏ qua","—",IF(J73="Xong",IF(AND(ISNUMBER(K73),ISNUMBER(I73),K73&gt;I73),"Xong trễ","Xong"),MID(IF(G73=""," · CHƯA GIAO","")&amp;IF(NOT(ISNUMBER(I73)),"",IF(TODAY()&gt;I73," · QUÁ HẠN "&amp;(TODAY()-I73)&amp;" ngày",IF(I73-TODAY()&lt;=3," · Đến hạn "&amp;IF(I73=TODAY(),"hôm nay","trong "&amp;(I73-TODAY())&amp;" ngày"),"")))&amp;IF(J73="Chờ đối tác"," · Chờ đối tác"&amp;IF(ISNUMBER(N73)," "&amp;(TODAY()-INT(N73))&amp;" ngày",""),""),4,200))))</f>
        <v/>
      </c>
      <c r="N73" s="49" t="n"/>
      <c r="O73" t="inlineStr">
        <is>
          <t>VD-3</t>
        </is>
      </c>
      <c r="P73" t="inlineStr">
        <is>
          <t>K05</t>
        </is>
      </c>
      <c r="Q73" t="n">
        <v>-1</v>
      </c>
      <c r="R73" t="inlineStr">
        <is>
          <t>Lịch</t>
        </is>
      </c>
      <c r="S73">
        <f>IF(AND(E73&lt;&gt;"",T73="Có",J73&lt;&gt;"Xong",J73&lt;&gt;"Bỏ qua",ISNUMBER(I73)),I73+ROW()/100000,"")</f>
        <v/>
      </c>
      <c r="T73">
        <f>IF(O73="","",IFERROR(INDEX(SK_TD,MATCH(O73,SK_A,0)),""))</f>
        <v/>
      </c>
      <c r="U73" t="inlineStr">
        <is>
          <t>Leader MKT (ví dụ)</t>
        </is>
      </c>
      <c r="V73">
        <f>IF(AND(O73&lt;&gt;"",O73=SEL_K,J73&lt;&gt;"Xong",J73&lt;&gt;"Bỏ qua"),IF(ISNUMBER(I73),I73,99999)+ROW()/100000,"")</f>
        <v/>
      </c>
    </row>
    <row r="74">
      <c r="A74" s="12">
        <f>IF(O74="","",IFERROR(INDEX(SK_B,MATCH(O74,SK_A,0))&amp;"",""))</f>
        <v/>
      </c>
      <c r="B74" s="45">
        <f>IF(O74="","",IFERROR(INDEX(SK_C,MATCH(O74,SK_A,0)),""))</f>
        <v/>
      </c>
      <c r="C74" s="46">
        <f>IF(Q74="","",IF(Q74=0,"D",IF(Q74&lt;0,"D"&amp;Q74,"D+"&amp;Q74)))</f>
        <v/>
      </c>
      <c r="D74" s="14" t="inlineStr">
        <is>
          <t>3. Tuyển sinh</t>
        </is>
      </c>
      <c r="E74" s="12" t="inlineStr">
        <is>
          <t>Checkpoint D-14: đăng ký &lt; 60% target ⇒ báo Giám đốc phương án</t>
        </is>
      </c>
      <c r="F74" s="46" t="inlineStr">
        <is>
          <t>MKT Leader</t>
        </is>
      </c>
      <c r="G74" s="47" t="inlineStr">
        <is>
          <t>Leader MKT (ví dụ)</t>
        </is>
      </c>
      <c r="H74" s="14" t="inlineStr">
        <is>
          <t>Giám đốc</t>
        </is>
      </c>
      <c r="I74" s="13">
        <f>IF(OR(B74="",Q74=""),"",IF(Q74&gt;0,IF(R74="Làm việc",WORKDAY(IFERROR(IF(INDEX(SK_D,MATCH(O74,SK_A,0))="",B74,INDEX(SK_D,MATCH(O74,SK_A,0))),B74),Q74,HOLI),IFERROR(IF(INDEX(SK_D,MATCH(O74,SK_A,0))="",B74,INDEX(SK_D,MATCH(O74,SK_A,0))),B74)+Q74),B74+Q74))</f>
        <v/>
      </c>
      <c r="J74" s="14" t="inlineStr">
        <is>
          <t>Chưa làm</t>
        </is>
      </c>
      <c r="K74" s="13" t="n"/>
      <c r="L74" s="12" t="n"/>
      <c r="M74" s="48">
        <f>IF(E74="","",IF(J74="Bỏ qua","—",IF(J74="Xong",IF(AND(ISNUMBER(K74),ISNUMBER(I74),K74&gt;I74),"Xong trễ","Xong"),MID(IF(G74=""," · CHƯA GIAO","")&amp;IF(NOT(ISNUMBER(I74)),"",IF(TODAY()&gt;I74," · QUÁ HẠN "&amp;(TODAY()-I74)&amp;" ngày",IF(I74-TODAY()&lt;=3," · Đến hạn "&amp;IF(I74=TODAY(),"hôm nay","trong "&amp;(I74-TODAY())&amp;" ngày"),"")))&amp;IF(J74="Chờ đối tác"," · Chờ đối tác"&amp;IF(ISNUMBER(N74)," "&amp;(TODAY()-INT(N74))&amp;" ngày",""),""),4,200))))</f>
        <v/>
      </c>
      <c r="N74" s="49" t="n">
        <v>46324.42708333334</v>
      </c>
      <c r="O74" t="inlineStr">
        <is>
          <t>VD-3</t>
        </is>
      </c>
      <c r="P74" t="inlineStr">
        <is>
          <t>K06</t>
        </is>
      </c>
      <c r="Q74" t="n">
        <v>-14</v>
      </c>
      <c r="R74" t="inlineStr">
        <is>
          <t>Lịch</t>
        </is>
      </c>
      <c r="S74">
        <f>IF(AND(E74&lt;&gt;"",T74="Có",J74&lt;&gt;"Xong",J74&lt;&gt;"Bỏ qua",ISNUMBER(I74)),I74+ROW()/100000,"")</f>
        <v/>
      </c>
      <c r="T74">
        <f>IF(O74="","",IFERROR(INDEX(SK_TD,MATCH(O74,SK_A,0)),""))</f>
        <v/>
      </c>
      <c r="U74" t="inlineStr">
        <is>
          <t>Leader MKT (ví dụ)</t>
        </is>
      </c>
      <c r="V74">
        <f>IF(AND(O74&lt;&gt;"",O74=SEL_K,J74&lt;&gt;"Xong",J74&lt;&gt;"Bỏ qua"),IF(ISNUMBER(I74),I74,99999)+ROW()/100000,"")</f>
        <v/>
      </c>
    </row>
    <row r="75">
      <c r="A75" s="12">
        <f>IF(O75="","",IFERROR(INDEX(SK_B,MATCH(O75,SK_A,0))&amp;"",""))</f>
        <v/>
      </c>
      <c r="B75" s="45">
        <f>IF(O75="","",IFERROR(INDEX(SK_C,MATCH(O75,SK_A,0)),""))</f>
        <v/>
      </c>
      <c r="C75" s="46">
        <f>IF(Q75="","",IF(Q75=0,"D",IF(Q75&lt;0,"D"&amp;Q75,"D+"&amp;Q75)))</f>
        <v/>
      </c>
      <c r="D75" s="14" t="inlineStr">
        <is>
          <t>3. Tuyển sinh</t>
        </is>
      </c>
      <c r="E75" s="12" t="inlineStr">
        <is>
          <t>Sales / NPP gửi đủ thông tin khách đăng ký hộ (Họ tên · SĐT · Nơi công tác)</t>
        </is>
      </c>
      <c r="F75" s="46" t="inlineStr">
        <is>
          <t>Sales</t>
        </is>
      </c>
      <c r="G75" s="47" t="inlineStr">
        <is>
          <t>Sales Dental (ví dụ)</t>
        </is>
      </c>
      <c r="H75" s="14" t="inlineStr">
        <is>
          <t>NPP</t>
        </is>
      </c>
      <c r="I75" s="13">
        <f>IF(OR(B75="",Q75=""),"",IF(Q75&gt;0,IF(R75="Làm việc",WORKDAY(IFERROR(IF(INDEX(SK_D,MATCH(O75,SK_A,0))="",B75,INDEX(SK_D,MATCH(O75,SK_A,0))),B75),Q75,HOLI),IFERROR(IF(INDEX(SK_D,MATCH(O75,SK_A,0))="",B75,INDEX(SK_D,MATCH(O75,SK_A,0))),B75)+Q75),B75+Q75))</f>
        <v/>
      </c>
      <c r="J75" s="14" t="inlineStr">
        <is>
          <t>Chưa làm</t>
        </is>
      </c>
      <c r="K75" s="13" t="n"/>
      <c r="L75" s="12" t="n"/>
      <c r="M75" s="48">
        <f>IF(E75="","",IF(J75="Bỏ qua","—",IF(J75="Xong",IF(AND(ISNUMBER(K75),ISNUMBER(I75),K75&gt;I75),"Xong trễ","Xong"),MID(IF(G75=""," · CHƯA GIAO","")&amp;IF(NOT(ISNUMBER(I75)),"",IF(TODAY()&gt;I75," · QUÁ HẠN "&amp;(TODAY()-I75)&amp;" ngày",IF(I75-TODAY()&lt;=3," · Đến hạn "&amp;IF(I75=TODAY(),"hôm nay","trong "&amp;(I75-TODAY())&amp;" ngày"),"")))&amp;IF(J75="Chờ đối tác"," · Chờ đối tác"&amp;IF(ISNUMBER(N75)," "&amp;(TODAY()-INT(N75))&amp;" ngày",""),""),4,200))))</f>
        <v/>
      </c>
      <c r="N75" s="49" t="n"/>
      <c r="O75" t="inlineStr">
        <is>
          <t>VD-3</t>
        </is>
      </c>
      <c r="P75" t="inlineStr">
        <is>
          <t>K07</t>
        </is>
      </c>
      <c r="Q75" t="n">
        <v>-5</v>
      </c>
      <c r="R75" t="inlineStr">
        <is>
          <t>Lịch</t>
        </is>
      </c>
      <c r="S75">
        <f>IF(AND(E75&lt;&gt;"",T75="Có",J75&lt;&gt;"Xong",J75&lt;&gt;"Bỏ qua",ISNUMBER(I75)),I75+ROW()/100000,"")</f>
        <v/>
      </c>
      <c r="T75">
        <f>IF(O75="","",IFERROR(INDEX(SK_TD,MATCH(O75,SK_A,0)),""))</f>
        <v/>
      </c>
      <c r="U75" t="inlineStr">
        <is>
          <t>Sales Dental (ví dụ)</t>
        </is>
      </c>
      <c r="V75">
        <f>IF(AND(O75&lt;&gt;"",O75=SEL_K,J75&lt;&gt;"Xong",J75&lt;&gt;"Bỏ qua"),IF(ISNUMBER(I75),I75,99999)+ROW()/100000,"")</f>
        <v/>
      </c>
    </row>
    <row r="76">
      <c r="A76" s="12">
        <f>IF(O76="","",IFERROR(INDEX(SK_B,MATCH(O76,SK_A,0))&amp;"",""))</f>
        <v/>
      </c>
      <c r="B76" s="45">
        <f>IF(O76="","",IFERROR(INDEX(SK_C,MATCH(O76,SK_A,0)),""))</f>
        <v/>
      </c>
      <c r="C76" s="46">
        <f>IF(Q76="","",IF(Q76=0,"D",IF(Q76&lt;0,"D"&amp;Q76,"D+"&amp;Q76)))</f>
        <v/>
      </c>
      <c r="D76" s="14" t="inlineStr">
        <is>
          <t>4. Truyền thông</t>
        </is>
      </c>
      <c r="E76" s="12" t="inlineStr">
        <is>
          <t>Đăng chuỗi bài truyền thông sự kiện</t>
        </is>
      </c>
      <c r="F76" s="46" t="inlineStr">
        <is>
          <t>Digital MKT</t>
        </is>
      </c>
      <c r="G76" s="47" t="inlineStr">
        <is>
          <t>Digital (ví dụ)</t>
        </is>
      </c>
      <c r="H76" s="14" t="inlineStr">
        <is>
          <t>Sales, NPP chia sẻ</t>
        </is>
      </c>
      <c r="I76" s="13">
        <f>IF(OR(B76="",Q76=""),"",IF(Q76&gt;0,IF(R76="Làm việc",WORKDAY(IFERROR(IF(INDEX(SK_D,MATCH(O76,SK_A,0))="",B76,INDEX(SK_D,MATCH(O76,SK_A,0))),B76),Q76,HOLI),IFERROR(IF(INDEX(SK_D,MATCH(O76,SK_A,0))="",B76,INDEX(SK_D,MATCH(O76,SK_A,0))),B76)+Q76),B76+Q76))</f>
        <v/>
      </c>
      <c r="J76" s="14" t="inlineStr">
        <is>
          <t>Đang làm</t>
        </is>
      </c>
      <c r="K76" s="13" t="n"/>
      <c r="L76" s="12" t="n"/>
      <c r="M76" s="48">
        <f>IF(E76="","",IF(J76="Bỏ qua","—",IF(J76="Xong",IF(AND(ISNUMBER(K76),ISNUMBER(I76),K76&gt;I76),"Xong trễ","Xong"),MID(IF(G76=""," · CHƯA GIAO","")&amp;IF(NOT(ISNUMBER(I76)),"",IF(TODAY()&gt;I76," · QUÁ HẠN "&amp;(TODAY()-I76)&amp;" ngày",IF(I76-TODAY()&lt;=3," · Đến hạn "&amp;IF(I76=TODAY(),"hôm nay","trong "&amp;(I76-TODAY())&amp;" ngày"),"")))&amp;IF(J76="Chờ đối tác"," · Chờ đối tác"&amp;IF(ISNUMBER(N76)," "&amp;(TODAY()-INT(N76))&amp;" ngày",""),""),4,200))))</f>
        <v/>
      </c>
      <c r="N76" s="49" t="n">
        <v>46323.42708333334</v>
      </c>
      <c r="O76" t="inlineStr">
        <is>
          <t>VD-3</t>
        </is>
      </c>
      <c r="P76" t="inlineStr">
        <is>
          <t>K08</t>
        </is>
      </c>
      <c r="Q76" t="n">
        <v>-14</v>
      </c>
      <c r="R76" t="inlineStr">
        <is>
          <t>Lịch</t>
        </is>
      </c>
      <c r="S76">
        <f>IF(AND(E76&lt;&gt;"",T76="Có",J76&lt;&gt;"Xong",J76&lt;&gt;"Bỏ qua",ISNUMBER(I76)),I76+ROW()/100000,"")</f>
        <v/>
      </c>
      <c r="T76">
        <f>IF(O76="","",IFERROR(INDEX(SK_TD,MATCH(O76,SK_A,0)),""))</f>
        <v/>
      </c>
      <c r="U76" t="inlineStr">
        <is>
          <t>Digital (ví dụ)</t>
        </is>
      </c>
      <c r="V76">
        <f>IF(AND(O76&lt;&gt;"",O76=SEL_K,J76&lt;&gt;"Xong",J76&lt;&gt;"Bỏ qua"),IF(ISNUMBER(I76),I76,99999)+ROW()/100000,"")</f>
        <v/>
      </c>
    </row>
    <row r="77">
      <c r="A77" s="12">
        <f>IF(O77="","",IFERROR(INDEX(SK_B,MATCH(O77,SK_A,0))&amp;"",""))</f>
        <v/>
      </c>
      <c r="B77" s="45">
        <f>IF(O77="","",IFERROR(INDEX(SK_C,MATCH(O77,SK_A,0)),""))</f>
        <v/>
      </c>
      <c r="C77" s="46">
        <f>IF(Q77="","",IF(Q77=0,"D",IF(Q77&lt;0,"D"&amp;Q77,"D+"&amp;Q77)))</f>
        <v/>
      </c>
      <c r="D77" s="14" t="inlineStr">
        <is>
          <t>5. Địa điểm &amp; hậu cần</t>
        </is>
      </c>
      <c r="E77" s="12" t="inlineStr">
        <is>
          <t>Webinar: tạo phòng Zoom (đăng ký, ghi hình, báo cáo người tham dự)</t>
        </is>
      </c>
      <c r="F77" s="46" t="inlineStr">
        <is>
          <t>Digital MKT</t>
        </is>
      </c>
      <c r="G77" s="47" t="inlineStr">
        <is>
          <t>Digital (ví dụ)</t>
        </is>
      </c>
      <c r="H77" s="14" t="inlineStr">
        <is>
          <t>KOL</t>
        </is>
      </c>
      <c r="I77" s="13">
        <f>IF(OR(B77="",Q77=""),"",IF(Q77&gt;0,IF(R77="Làm việc",WORKDAY(IFERROR(IF(INDEX(SK_D,MATCH(O77,SK_A,0))="",B77,INDEX(SK_D,MATCH(O77,SK_A,0))),B77),Q77,HOLI),IFERROR(IF(INDEX(SK_D,MATCH(O77,SK_A,0))="",B77,INDEX(SK_D,MATCH(O77,SK_A,0))),B77)+Q77),B77+Q77))</f>
        <v/>
      </c>
      <c r="J77" s="14" t="inlineStr">
        <is>
          <t>Xong</t>
        </is>
      </c>
      <c r="K77" s="13" t="n">
        <v>46315</v>
      </c>
      <c r="L77" s="12" t="n"/>
      <c r="M77" s="48">
        <f>IF(E77="","",IF(J77="Bỏ qua","—",IF(J77="Xong",IF(AND(ISNUMBER(K77),ISNUMBER(I77),K77&gt;I77),"Xong trễ","Xong"),MID(IF(G77=""," · CHƯA GIAO","")&amp;IF(NOT(ISNUMBER(I77)),"",IF(TODAY()&gt;I77," · QUÁ HẠN "&amp;(TODAY()-I77)&amp;" ngày",IF(I77-TODAY()&lt;=3," · Đến hạn "&amp;IF(I77=TODAY(),"hôm nay","trong "&amp;(I77-TODAY())&amp;" ngày"),"")))&amp;IF(J77="Chờ đối tác"," · Chờ đối tác"&amp;IF(ISNUMBER(N77)," "&amp;(TODAY()-INT(N77))&amp;" ngày",""),""),4,200))))</f>
        <v/>
      </c>
      <c r="N77" s="49" t="n">
        <v>46315.6875</v>
      </c>
      <c r="O77" t="inlineStr">
        <is>
          <t>VD-3</t>
        </is>
      </c>
      <c r="P77" t="inlineStr">
        <is>
          <t>K11</t>
        </is>
      </c>
      <c r="Q77" t="n">
        <v>-30</v>
      </c>
      <c r="R77" t="inlineStr">
        <is>
          <t>Lịch</t>
        </is>
      </c>
      <c r="S77">
        <f>IF(AND(E77&lt;&gt;"",T77="Có",J77&lt;&gt;"Xong",J77&lt;&gt;"Bỏ qua",ISNUMBER(I77)),I77+ROW()/100000,"")</f>
        <v/>
      </c>
      <c r="T77">
        <f>IF(O77="","",IFERROR(INDEX(SK_TD,MATCH(O77,SK_A,0)),""))</f>
        <v/>
      </c>
      <c r="U77" t="inlineStr">
        <is>
          <t>Digital (ví dụ)</t>
        </is>
      </c>
      <c r="V77">
        <f>IF(AND(O77&lt;&gt;"",O77=SEL_K,J77&lt;&gt;"Xong",J77&lt;&gt;"Bỏ qua"),IF(ISNUMBER(I77),I77,99999)+ROW()/100000,"")</f>
        <v/>
      </c>
    </row>
    <row r="78">
      <c r="A78" s="12">
        <f>IF(O78="","",IFERROR(INDEX(SK_B,MATCH(O78,SK_A,0))&amp;"",""))</f>
        <v/>
      </c>
      <c r="B78" s="45">
        <f>IF(O78="","",IFERROR(INDEX(SK_C,MATCH(O78,SK_A,0)),""))</f>
        <v/>
      </c>
      <c r="C78" s="46">
        <f>IF(Q78="","",IF(Q78=0,"D",IF(Q78&lt;0,"D"&amp;Q78,"D+"&amp;Q78)))</f>
        <v/>
      </c>
      <c r="D78" s="14" t="inlineStr">
        <is>
          <t>6. Nội dung</t>
        </is>
      </c>
      <c r="E78" s="12" t="inlineStr">
        <is>
          <t>Timeline chi tiết ngày D</t>
        </is>
      </c>
      <c r="F78" s="46" t="inlineStr">
        <is>
          <t>MKT Leader</t>
        </is>
      </c>
      <c r="G78" s="47" t="inlineStr">
        <is>
          <t>Leader MKT (ví dụ)</t>
        </is>
      </c>
      <c r="H78" s="14" t="inlineStr">
        <is>
          <t>KOL, Viện</t>
        </is>
      </c>
      <c r="I78" s="13">
        <f>IF(OR(B78="",Q78=""),"",IF(Q78&gt;0,IF(R78="Làm việc",WORKDAY(IFERROR(IF(INDEX(SK_D,MATCH(O78,SK_A,0))="",B78,INDEX(SK_D,MATCH(O78,SK_A,0))),B78),Q78,HOLI),IFERROR(IF(INDEX(SK_D,MATCH(O78,SK_A,0))="",B78,INDEX(SK_D,MATCH(O78,SK_A,0))),B78)+Q78),B78+Q78))</f>
        <v/>
      </c>
      <c r="J78" s="14" t="inlineStr">
        <is>
          <t>Chưa làm</t>
        </is>
      </c>
      <c r="K78" s="13" t="n"/>
      <c r="L78" s="12" t="n"/>
      <c r="M78" s="48">
        <f>IF(E78="","",IF(J78="Bỏ qua","—",IF(J78="Xong",IF(AND(ISNUMBER(K78),ISNUMBER(I78),K78&gt;I78),"Xong trễ","Xong"),MID(IF(G78=""," · CHƯA GIAO","")&amp;IF(NOT(ISNUMBER(I78)),"",IF(TODAY()&gt;I78," · QUÁ HẠN "&amp;(TODAY()-I78)&amp;" ngày",IF(I78-TODAY()&lt;=3," · Đến hạn "&amp;IF(I78=TODAY(),"hôm nay","trong "&amp;(I78-TODAY())&amp;" ngày"),"")))&amp;IF(J78="Chờ đối tác"," · Chờ đối tác"&amp;IF(ISNUMBER(N78)," "&amp;(TODAY()-INT(N78))&amp;" ngày",""),""),4,200))))</f>
        <v/>
      </c>
      <c r="N78" s="49" t="n"/>
      <c r="O78" t="inlineStr">
        <is>
          <t>VD-3</t>
        </is>
      </c>
      <c r="P78" t="inlineStr">
        <is>
          <t>K12</t>
        </is>
      </c>
      <c r="Q78" t="n">
        <v>-7</v>
      </c>
      <c r="R78" t="inlineStr">
        <is>
          <t>Lịch</t>
        </is>
      </c>
      <c r="S78">
        <f>IF(AND(E78&lt;&gt;"",T78="Có",J78&lt;&gt;"Xong",J78&lt;&gt;"Bỏ qua",ISNUMBER(I78)),I78+ROW()/100000,"")</f>
        <v/>
      </c>
      <c r="T78">
        <f>IF(O78="","",IFERROR(INDEX(SK_TD,MATCH(O78,SK_A,0)),""))</f>
        <v/>
      </c>
      <c r="U78" t="inlineStr">
        <is>
          <t>Leader MKT (ví dụ)</t>
        </is>
      </c>
      <c r="V78">
        <f>IF(AND(O78&lt;&gt;"",O78=SEL_K,J78&lt;&gt;"Xong",J78&lt;&gt;"Bỏ qua"),IF(ISNUMBER(I78),I78,99999)+ROW()/100000,"")</f>
        <v/>
      </c>
    </row>
    <row r="79">
      <c r="A79" s="12">
        <f>IF(O79="","",IFERROR(INDEX(SK_B,MATCH(O79,SK_A,0))&amp;"",""))</f>
        <v/>
      </c>
      <c r="B79" s="45">
        <f>IF(O79="","",IFERROR(INDEX(SK_C,MATCH(O79,SK_A,0)),""))</f>
        <v/>
      </c>
      <c r="C79" s="46">
        <f>IF(Q79="","",IF(Q79=0,"D",IF(Q79&lt;0,"D"&amp;Q79,"D+"&amp;Q79)))</f>
        <v/>
      </c>
      <c r="D79" s="14" t="inlineStr">
        <is>
          <t>6. Nội dung</t>
        </is>
      </c>
      <c r="E79" s="12" t="inlineStr">
        <is>
          <t>Kịch bản MC, kịch bản phát biểu, video trình chiếu</t>
        </is>
      </c>
      <c r="F79" s="46" t="inlineStr">
        <is>
          <t>Digital MKT</t>
        </is>
      </c>
      <c r="G79" s="47" t="inlineStr">
        <is>
          <t>Digital (ví dụ)</t>
        </is>
      </c>
      <c r="H79" s="14" t="inlineStr">
        <is>
          <t>KOL, Viện</t>
        </is>
      </c>
      <c r="I79" s="13">
        <f>IF(OR(B79="",Q79=""),"",IF(Q79&gt;0,IF(R79="Làm việc",WORKDAY(IFERROR(IF(INDEX(SK_D,MATCH(O79,SK_A,0))="",B79,INDEX(SK_D,MATCH(O79,SK_A,0))),B79),Q79,HOLI),IFERROR(IF(INDEX(SK_D,MATCH(O79,SK_A,0))="",B79,INDEX(SK_D,MATCH(O79,SK_A,0))),B79)+Q79),B79+Q79))</f>
        <v/>
      </c>
      <c r="J79" s="14" t="inlineStr">
        <is>
          <t>Chưa làm</t>
        </is>
      </c>
      <c r="K79" s="13" t="n"/>
      <c r="L79" s="12" t="n"/>
      <c r="M79" s="48">
        <f>IF(E79="","",IF(J79="Bỏ qua","—",IF(J79="Xong",IF(AND(ISNUMBER(K79),ISNUMBER(I79),K79&gt;I79),"Xong trễ","Xong"),MID(IF(G79=""," · CHƯA GIAO","")&amp;IF(NOT(ISNUMBER(I79)),"",IF(TODAY()&gt;I79," · QUÁ HẠN "&amp;(TODAY()-I79)&amp;" ngày",IF(I79-TODAY()&lt;=3," · Đến hạn "&amp;IF(I79=TODAY(),"hôm nay","trong "&amp;(I79-TODAY())&amp;" ngày"),"")))&amp;IF(J79="Chờ đối tác"," · Chờ đối tác"&amp;IF(ISNUMBER(N79)," "&amp;(TODAY()-INT(N79))&amp;" ngày",""),""),4,200))))</f>
        <v/>
      </c>
      <c r="N79" s="49" t="n"/>
      <c r="O79" t="inlineStr">
        <is>
          <t>VD-3</t>
        </is>
      </c>
      <c r="P79" t="inlineStr">
        <is>
          <t>K13</t>
        </is>
      </c>
      <c r="Q79" t="n">
        <v>-7</v>
      </c>
      <c r="R79" t="inlineStr">
        <is>
          <t>Lịch</t>
        </is>
      </c>
      <c r="S79">
        <f>IF(AND(E79&lt;&gt;"",T79="Có",J79&lt;&gt;"Xong",J79&lt;&gt;"Bỏ qua",ISNUMBER(I79)),I79+ROW()/100000,"")</f>
        <v/>
      </c>
      <c r="T79">
        <f>IF(O79="","",IFERROR(INDEX(SK_TD,MATCH(O79,SK_A,0)),""))</f>
        <v/>
      </c>
      <c r="U79" t="inlineStr">
        <is>
          <t>Digital (ví dụ)</t>
        </is>
      </c>
      <c r="V79">
        <f>IF(AND(O79&lt;&gt;"",O79=SEL_K,J79&lt;&gt;"Xong",J79&lt;&gt;"Bỏ qua"),IF(ISNUMBER(I79),I79,99999)+ROW()/100000,"")</f>
        <v/>
      </c>
    </row>
    <row r="80">
      <c r="A80" s="12">
        <f>IF(O80="","",IFERROR(INDEX(SK_B,MATCH(O80,SK_A,0))&amp;"",""))</f>
        <v/>
      </c>
      <c r="B80" s="45">
        <f>IF(O80="","",IFERROR(INDEX(SK_C,MATCH(O80,SK_A,0)),""))</f>
        <v/>
      </c>
      <c r="C80" s="46">
        <f>IF(Q80="","",IF(Q80=0,"D",IF(Q80&lt;0,"D"&amp;Q80,"D+"&amp;Q80)))</f>
        <v/>
      </c>
      <c r="D80" s="14" t="inlineStr">
        <is>
          <t>8. Chốt trước D</t>
        </is>
      </c>
      <c r="E80" s="12" t="inlineStr">
        <is>
          <t>Họp với NPP: agenda, nhân sự, bán hàng, sản phẩm</t>
        </is>
      </c>
      <c r="F80" s="46" t="inlineStr">
        <is>
          <t>MKT Leader</t>
        </is>
      </c>
      <c r="G80" s="47" t="inlineStr">
        <is>
          <t>Leader MKT (ví dụ)</t>
        </is>
      </c>
      <c r="H80" s="14" t="inlineStr">
        <is>
          <t>NPP, Sales</t>
        </is>
      </c>
      <c r="I80" s="13">
        <f>IF(OR(B80="",Q80=""),"",IF(Q80&gt;0,IF(R80="Làm việc",WORKDAY(IFERROR(IF(INDEX(SK_D,MATCH(O80,SK_A,0))="",B80,INDEX(SK_D,MATCH(O80,SK_A,0))),B80),Q80,HOLI),IFERROR(IF(INDEX(SK_D,MATCH(O80,SK_A,0))="",B80,INDEX(SK_D,MATCH(O80,SK_A,0))),B80)+Q80),B80+Q80))</f>
        <v/>
      </c>
      <c r="J80" s="14" t="inlineStr">
        <is>
          <t>Chưa làm</t>
        </is>
      </c>
      <c r="K80" s="13" t="n"/>
      <c r="L80" s="12" t="n"/>
      <c r="M80" s="48">
        <f>IF(E80="","",IF(J80="Bỏ qua","—",IF(J80="Xong",IF(AND(ISNUMBER(K80),ISNUMBER(I80),K80&gt;I80),"Xong trễ","Xong"),MID(IF(G80=""," · CHƯA GIAO","")&amp;IF(NOT(ISNUMBER(I80)),"",IF(TODAY()&gt;I80," · QUÁ HẠN "&amp;(TODAY()-I80)&amp;" ngày",IF(I80-TODAY()&lt;=3," · Đến hạn "&amp;IF(I80=TODAY(),"hôm nay","trong "&amp;(I80-TODAY())&amp;" ngày"),"")))&amp;IF(J80="Chờ đối tác"," · Chờ đối tác"&amp;IF(ISNUMBER(N80)," "&amp;(TODAY()-INT(N80))&amp;" ngày",""),""),4,200))))</f>
        <v/>
      </c>
      <c r="N80" s="49" t="n"/>
      <c r="O80" t="inlineStr">
        <is>
          <t>VD-3</t>
        </is>
      </c>
      <c r="P80" t="inlineStr">
        <is>
          <t>K18</t>
        </is>
      </c>
      <c r="Q80" t="n">
        <v>-3</v>
      </c>
      <c r="R80" t="inlineStr">
        <is>
          <t>Lịch</t>
        </is>
      </c>
      <c r="S80">
        <f>IF(AND(E80&lt;&gt;"",T80="Có",J80&lt;&gt;"Xong",J80&lt;&gt;"Bỏ qua",ISNUMBER(I80)),I80+ROW()/100000,"")</f>
        <v/>
      </c>
      <c r="T80">
        <f>IF(O80="","",IFERROR(INDEX(SK_TD,MATCH(O80,SK_A,0)),""))</f>
        <v/>
      </c>
      <c r="U80" t="inlineStr">
        <is>
          <t>Leader MKT (ví dụ)</t>
        </is>
      </c>
      <c r="V80">
        <f>IF(AND(O80&lt;&gt;"",O80=SEL_K,J80&lt;&gt;"Xong",J80&lt;&gt;"Bỏ qua"),IF(ISNUMBER(I80),I80,99999)+ROW()/100000,"")</f>
        <v/>
      </c>
    </row>
    <row r="81">
      <c r="A81" s="12">
        <f>IF(O81="","",IFERROR(INDEX(SK_B,MATCH(O81,SK_A,0))&amp;"",""))</f>
        <v/>
      </c>
      <c r="B81" s="45">
        <f>IF(O81="","",IFERROR(INDEX(SK_C,MATCH(O81,SK_A,0)),""))</f>
        <v/>
      </c>
      <c r="C81" s="46">
        <f>IF(Q81="","",IF(Q81=0,"D",IF(Q81&lt;0,"D"&amp;Q81,"D+"&amp;Q81)))</f>
        <v/>
      </c>
      <c r="D81" s="14" t="inlineStr">
        <is>
          <t>8. Chốt trước D</t>
        </is>
      </c>
      <c r="E81" s="12" t="inlineStr">
        <is>
          <t>Rà soát dữ liệu khách (thiếu thông tin / chưa đồng ý dữ liệu)</t>
        </is>
      </c>
      <c r="F81" s="46" t="inlineStr">
        <is>
          <t>Digital MKT</t>
        </is>
      </c>
      <c r="G81" s="47" t="inlineStr">
        <is>
          <t>Digital (ví dụ)</t>
        </is>
      </c>
      <c r="H81" s="14" t="inlineStr">
        <is>
          <t>Sales, NPP</t>
        </is>
      </c>
      <c r="I81" s="13">
        <f>IF(OR(B81="",Q81=""),"",IF(Q81&gt;0,IF(R81="Làm việc",WORKDAY(IFERROR(IF(INDEX(SK_D,MATCH(O81,SK_A,0))="",B81,INDEX(SK_D,MATCH(O81,SK_A,0))),B81),Q81,HOLI),IFERROR(IF(INDEX(SK_D,MATCH(O81,SK_A,0))="",B81,INDEX(SK_D,MATCH(O81,SK_A,0))),B81)+Q81),B81+Q81))</f>
        <v/>
      </c>
      <c r="J81" s="14" t="inlineStr">
        <is>
          <t>Chưa làm</t>
        </is>
      </c>
      <c r="K81" s="13" t="n"/>
      <c r="L81" s="12" t="n"/>
      <c r="M81" s="48">
        <f>IF(E81="","",IF(J81="Bỏ qua","—",IF(J81="Xong",IF(AND(ISNUMBER(K81),ISNUMBER(I81),K81&gt;I81),"Xong trễ","Xong"),MID(IF(G81=""," · CHƯA GIAO","")&amp;IF(NOT(ISNUMBER(I81)),"",IF(TODAY()&gt;I81," · QUÁ HẠN "&amp;(TODAY()-I81)&amp;" ngày",IF(I81-TODAY()&lt;=3," · Đến hạn "&amp;IF(I81=TODAY(),"hôm nay","trong "&amp;(I81-TODAY())&amp;" ngày"),"")))&amp;IF(J81="Chờ đối tác"," · Chờ đối tác"&amp;IF(ISNUMBER(N81)," "&amp;(TODAY()-INT(N81))&amp;" ngày",""),""),4,200))))</f>
        <v/>
      </c>
      <c r="N81" s="49" t="n"/>
      <c r="O81" t="inlineStr">
        <is>
          <t>VD-3</t>
        </is>
      </c>
      <c r="P81" t="inlineStr">
        <is>
          <t>K19</t>
        </is>
      </c>
      <c r="Q81" t="n">
        <v>-3</v>
      </c>
      <c r="R81" t="inlineStr">
        <is>
          <t>Lịch</t>
        </is>
      </c>
      <c r="S81">
        <f>IF(AND(E81&lt;&gt;"",T81="Có",J81&lt;&gt;"Xong",J81&lt;&gt;"Bỏ qua",ISNUMBER(I81)),I81+ROW()/100000,"")</f>
        <v/>
      </c>
      <c r="T81">
        <f>IF(O81="","",IFERROR(INDEX(SK_TD,MATCH(O81,SK_A,0)),""))</f>
        <v/>
      </c>
      <c r="U81" t="inlineStr">
        <is>
          <t>Digital (ví dụ)</t>
        </is>
      </c>
      <c r="V81">
        <f>IF(AND(O81&lt;&gt;"",O81=SEL_K,J81&lt;&gt;"Xong",J81&lt;&gt;"Bỏ qua"),IF(ISNUMBER(I81),I81,99999)+ROW()/100000,"")</f>
        <v/>
      </c>
    </row>
    <row r="82">
      <c r="A82" s="12">
        <f>IF(O82="","",IFERROR(INDEX(SK_B,MATCH(O82,SK_A,0))&amp;"",""))</f>
        <v/>
      </c>
      <c r="B82" s="45">
        <f>IF(O82="","",IFERROR(INDEX(SK_C,MATCH(O82,SK_A,0)),""))</f>
        <v/>
      </c>
      <c r="C82" s="46">
        <f>IF(Q82="","",IF(Q82=0,"D",IF(Q82&lt;0,"D"&amp;Q82,"D+"&amp;Q82)))</f>
        <v/>
      </c>
      <c r="D82" s="14" t="inlineStr">
        <is>
          <t>8. Chốt trước D</t>
        </is>
      </c>
      <c r="E82" s="12" t="inlineStr">
        <is>
          <t>Phân công nhân sự trước / trong / sau, giờ có mặt</t>
        </is>
      </c>
      <c r="F82" s="46" t="inlineStr">
        <is>
          <t>MKT Leader</t>
        </is>
      </c>
      <c r="G82" s="47" t="inlineStr">
        <is>
          <t>Leader MKT (ví dụ)</t>
        </is>
      </c>
      <c r="H82" s="14" t="inlineStr">
        <is>
          <t>Sales, NPP</t>
        </is>
      </c>
      <c r="I82" s="13">
        <f>IF(OR(B82="",Q82=""),"",IF(Q82&gt;0,IF(R82="Làm việc",WORKDAY(IFERROR(IF(INDEX(SK_D,MATCH(O82,SK_A,0))="",B82,INDEX(SK_D,MATCH(O82,SK_A,0))),B82),Q82,HOLI),IFERROR(IF(INDEX(SK_D,MATCH(O82,SK_A,0))="",B82,INDEX(SK_D,MATCH(O82,SK_A,0))),B82)+Q82),B82+Q82))</f>
        <v/>
      </c>
      <c r="J82" s="14" t="inlineStr">
        <is>
          <t>Chưa làm</t>
        </is>
      </c>
      <c r="K82" s="13" t="n"/>
      <c r="L82" s="12" t="n"/>
      <c r="M82" s="48">
        <f>IF(E82="","",IF(J82="Bỏ qua","—",IF(J82="Xong",IF(AND(ISNUMBER(K82),ISNUMBER(I82),K82&gt;I82),"Xong trễ","Xong"),MID(IF(G82=""," · CHƯA GIAO","")&amp;IF(NOT(ISNUMBER(I82)),"",IF(TODAY()&gt;I82," · QUÁ HẠN "&amp;(TODAY()-I82)&amp;" ngày",IF(I82-TODAY()&lt;=3," · Đến hạn "&amp;IF(I82=TODAY(),"hôm nay","trong "&amp;(I82-TODAY())&amp;" ngày"),"")))&amp;IF(J82="Chờ đối tác"," · Chờ đối tác"&amp;IF(ISNUMBER(N82)," "&amp;(TODAY()-INT(N82))&amp;" ngày",""),""),4,200))))</f>
        <v/>
      </c>
      <c r="N82" s="49" t="n"/>
      <c r="O82" t="inlineStr">
        <is>
          <t>VD-3</t>
        </is>
      </c>
      <c r="P82" t="inlineStr">
        <is>
          <t>K20</t>
        </is>
      </c>
      <c r="Q82" t="n">
        <v>-3</v>
      </c>
      <c r="R82" t="inlineStr">
        <is>
          <t>Lịch</t>
        </is>
      </c>
      <c r="S82">
        <f>IF(AND(E82&lt;&gt;"",T82="Có",J82&lt;&gt;"Xong",J82&lt;&gt;"Bỏ qua",ISNUMBER(I82)),I82+ROW()/100000,"")</f>
        <v/>
      </c>
      <c r="T82">
        <f>IF(O82="","",IFERROR(INDEX(SK_TD,MATCH(O82,SK_A,0)),""))</f>
        <v/>
      </c>
      <c r="U82" t="inlineStr">
        <is>
          <t>Leader MKT (ví dụ)</t>
        </is>
      </c>
      <c r="V82">
        <f>IF(AND(O82&lt;&gt;"",O82=SEL_K,J82&lt;&gt;"Xong",J82&lt;&gt;"Bỏ qua"),IF(ISNUMBER(I82),I82,99999)+ROW()/100000,"")</f>
        <v/>
      </c>
    </row>
    <row r="83">
      <c r="A83" s="12">
        <f>IF(O83="","",IFERROR(INDEX(SK_B,MATCH(O83,SK_A,0))&amp;"",""))</f>
        <v/>
      </c>
      <c r="B83" s="45">
        <f>IF(O83="","",IFERROR(INDEX(SK_C,MATCH(O83,SK_A,0)),""))</f>
        <v/>
      </c>
      <c r="C83" s="46">
        <f>IF(Q83="","",IF(Q83=0,"D",IF(Q83&lt;0,"D"&amp;Q83,"D+"&amp;Q83)))</f>
        <v/>
      </c>
      <c r="D83" s="14" t="inlineStr">
        <is>
          <t>8. Chốt trước D</t>
        </is>
      </c>
      <c r="E83" s="12" t="inlineStr">
        <is>
          <t>Họp review D-1 + gọi nhắc khách + set up địa điểm / chạy thử Zoom</t>
        </is>
      </c>
      <c r="F83" s="46" t="inlineStr">
        <is>
          <t>MKT Leader</t>
        </is>
      </c>
      <c r="G83" s="47" t="inlineStr">
        <is>
          <t>Leader MKT (ví dụ)</t>
        </is>
      </c>
      <c r="H83" s="14" t="inlineStr">
        <is>
          <t>Toàn team</t>
        </is>
      </c>
      <c r="I83" s="13">
        <f>IF(OR(B83="",Q83=""),"",IF(Q83&gt;0,IF(R83="Làm việc",WORKDAY(IFERROR(IF(INDEX(SK_D,MATCH(O83,SK_A,0))="",B83,INDEX(SK_D,MATCH(O83,SK_A,0))),B83),Q83,HOLI),IFERROR(IF(INDEX(SK_D,MATCH(O83,SK_A,0))="",B83,INDEX(SK_D,MATCH(O83,SK_A,0))),B83)+Q83),B83+Q83))</f>
        <v/>
      </c>
      <c r="J83" s="14" t="inlineStr">
        <is>
          <t>Chưa làm</t>
        </is>
      </c>
      <c r="K83" s="13" t="n"/>
      <c r="L83" s="12" t="n"/>
      <c r="M83" s="48">
        <f>IF(E83="","",IF(J83="Bỏ qua","—",IF(J83="Xong",IF(AND(ISNUMBER(K83),ISNUMBER(I83),K83&gt;I83),"Xong trễ","Xong"),MID(IF(G83=""," · CHƯA GIAO","")&amp;IF(NOT(ISNUMBER(I83)),"",IF(TODAY()&gt;I83," · QUÁ HẠN "&amp;(TODAY()-I83)&amp;" ngày",IF(I83-TODAY()&lt;=3," · Đến hạn "&amp;IF(I83=TODAY(),"hôm nay","trong "&amp;(I83-TODAY())&amp;" ngày"),"")))&amp;IF(J83="Chờ đối tác"," · Chờ đối tác"&amp;IF(ISNUMBER(N83)," "&amp;(TODAY()-INT(N83))&amp;" ngày",""),""),4,200))))</f>
        <v/>
      </c>
      <c r="N83" s="49" t="n"/>
      <c r="O83" t="inlineStr">
        <is>
          <t>VD-3</t>
        </is>
      </c>
      <c r="P83" t="inlineStr">
        <is>
          <t>K21</t>
        </is>
      </c>
      <c r="Q83" t="n">
        <v>-1</v>
      </c>
      <c r="R83" t="inlineStr">
        <is>
          <t>Lịch</t>
        </is>
      </c>
      <c r="S83">
        <f>IF(AND(E83&lt;&gt;"",T83="Có",J83&lt;&gt;"Xong",J83&lt;&gt;"Bỏ qua",ISNUMBER(I83)),I83+ROW()/100000,"")</f>
        <v/>
      </c>
      <c r="T83">
        <f>IF(O83="","",IFERROR(INDEX(SK_TD,MATCH(O83,SK_A,0)),""))</f>
        <v/>
      </c>
      <c r="U83" t="inlineStr">
        <is>
          <t>Leader MKT (ví dụ)</t>
        </is>
      </c>
      <c r="V83">
        <f>IF(AND(O83&lt;&gt;"",O83=SEL_K,J83&lt;&gt;"Xong",J83&lt;&gt;"Bỏ qua"),IF(ISNUMBER(I83),I83,99999)+ROW()/100000,"")</f>
        <v/>
      </c>
    </row>
    <row r="84">
      <c r="A84" s="12">
        <f>IF(O84="","",IFERROR(INDEX(SK_B,MATCH(O84,SK_A,0))&amp;"",""))</f>
        <v/>
      </c>
      <c r="B84" s="45">
        <f>IF(O84="","",IFERROR(INDEX(SK_C,MATCH(O84,SK_A,0)),""))</f>
        <v/>
      </c>
      <c r="C84" s="46">
        <f>IF(Q84="","",IF(Q84=0,"D",IF(Q84&lt;0,"D"&amp;Q84,"D+"&amp;Q84)))</f>
        <v/>
      </c>
      <c r="D84" s="14" t="inlineStr">
        <is>
          <t>9. Ngày D</t>
        </is>
      </c>
      <c r="E84" s="12" t="inlineStr">
        <is>
          <t>Check-in có chữ ký + đồng ý dữ liệu (webinar: xuất báo cáo Zoom ngay sau buổi)</t>
        </is>
      </c>
      <c r="F84" s="46" t="inlineStr">
        <is>
          <t>Digital MKT</t>
        </is>
      </c>
      <c r="G84" s="47" t="inlineStr">
        <is>
          <t>Digital (ví dụ)</t>
        </is>
      </c>
      <c r="H84" s="14" t="inlineStr">
        <is>
          <t>Trade, NPP</t>
        </is>
      </c>
      <c r="I84" s="13">
        <f>IF(OR(B84="",Q84=""),"",IF(Q84&gt;0,IF(R84="Làm việc",WORKDAY(IFERROR(IF(INDEX(SK_D,MATCH(O84,SK_A,0))="",B84,INDEX(SK_D,MATCH(O84,SK_A,0))),B84),Q84,HOLI),IFERROR(IF(INDEX(SK_D,MATCH(O84,SK_A,0))="",B84,INDEX(SK_D,MATCH(O84,SK_A,0))),B84)+Q84),B84+Q84))</f>
        <v/>
      </c>
      <c r="J84" s="14" t="inlineStr">
        <is>
          <t>Chưa làm</t>
        </is>
      </c>
      <c r="K84" s="13" t="n"/>
      <c r="L84" s="12" t="n"/>
      <c r="M84" s="48">
        <f>IF(E84="","",IF(J84="Bỏ qua","—",IF(J84="Xong",IF(AND(ISNUMBER(K84),ISNUMBER(I84),K84&gt;I84),"Xong trễ","Xong"),MID(IF(G84=""," · CHƯA GIAO","")&amp;IF(NOT(ISNUMBER(I84)),"",IF(TODAY()&gt;I84," · QUÁ HẠN "&amp;(TODAY()-I84)&amp;" ngày",IF(I84-TODAY()&lt;=3," · Đến hạn "&amp;IF(I84=TODAY(),"hôm nay","trong "&amp;(I84-TODAY())&amp;" ngày"),"")))&amp;IF(J84="Chờ đối tác"," · Chờ đối tác"&amp;IF(ISNUMBER(N84)," "&amp;(TODAY()-INT(N84))&amp;" ngày",""),""),4,200))))</f>
        <v/>
      </c>
      <c r="N84" s="49" t="n"/>
      <c r="O84" t="inlineStr">
        <is>
          <t>VD-3</t>
        </is>
      </c>
      <c r="P84" t="inlineStr">
        <is>
          <t>K22</t>
        </is>
      </c>
      <c r="Q84" t="n">
        <v>0</v>
      </c>
      <c r="R84" t="inlineStr">
        <is>
          <t>Lịch</t>
        </is>
      </c>
      <c r="S84">
        <f>IF(AND(E84&lt;&gt;"",T84="Có",J84&lt;&gt;"Xong",J84&lt;&gt;"Bỏ qua",ISNUMBER(I84)),I84+ROW()/100000,"")</f>
        <v/>
      </c>
      <c r="T84">
        <f>IF(O84="","",IFERROR(INDEX(SK_TD,MATCH(O84,SK_A,0)),""))</f>
        <v/>
      </c>
      <c r="U84" t="inlineStr">
        <is>
          <t>Digital (ví dụ)</t>
        </is>
      </c>
      <c r="V84">
        <f>IF(AND(O84&lt;&gt;"",O84=SEL_K,J84&lt;&gt;"Xong",J84&lt;&gt;"Bỏ qua"),IF(ISNUMBER(I84),I84,99999)+ROW()/100000,"")</f>
        <v/>
      </c>
    </row>
    <row r="85">
      <c r="A85" s="12">
        <f>IF(O85="","",IFERROR(INDEX(SK_B,MATCH(O85,SK_A,0))&amp;"",""))</f>
        <v/>
      </c>
      <c r="B85" s="45">
        <f>IF(O85="","",IFERROR(INDEX(SK_C,MATCH(O85,SK_A,0)),""))</f>
        <v/>
      </c>
      <c r="C85" s="46">
        <f>IF(Q85="","",IF(Q85=0,"D",IF(Q85&lt;0,"D"&amp;Q85,"D+"&amp;Q85)))</f>
        <v/>
      </c>
      <c r="D85" s="14" t="inlineStr">
        <is>
          <t>9. Ngày D</t>
        </is>
      </c>
      <c r="E85" s="12" t="inlineStr">
        <is>
          <t>Điều phối chương trình, khảo sát QR trước bế mạc, ảnh / video</t>
        </is>
      </c>
      <c r="F85" s="46" t="inlineStr">
        <is>
          <t>MKT Leader</t>
        </is>
      </c>
      <c r="G85" s="47" t="inlineStr">
        <is>
          <t>Leader MKT (ví dụ)</t>
        </is>
      </c>
      <c r="H85" s="14" t="inlineStr">
        <is>
          <t>Digital MKT</t>
        </is>
      </c>
      <c r="I85" s="13">
        <f>IF(OR(B85="",Q85=""),"",IF(Q85&gt;0,IF(R85="Làm việc",WORKDAY(IFERROR(IF(INDEX(SK_D,MATCH(O85,SK_A,0))="",B85,INDEX(SK_D,MATCH(O85,SK_A,0))),B85),Q85,HOLI),IFERROR(IF(INDEX(SK_D,MATCH(O85,SK_A,0))="",B85,INDEX(SK_D,MATCH(O85,SK_A,0))),B85)+Q85),B85+Q85))</f>
        <v/>
      </c>
      <c r="J85" s="14" t="inlineStr">
        <is>
          <t>Chưa làm</t>
        </is>
      </c>
      <c r="K85" s="13" t="n"/>
      <c r="L85" s="12" t="n"/>
      <c r="M85" s="48">
        <f>IF(E85="","",IF(J85="Bỏ qua","—",IF(J85="Xong",IF(AND(ISNUMBER(K85),ISNUMBER(I85),K85&gt;I85),"Xong trễ","Xong"),MID(IF(G85=""," · CHƯA GIAO","")&amp;IF(NOT(ISNUMBER(I85)),"",IF(TODAY()&gt;I85," · QUÁ HẠN "&amp;(TODAY()-I85)&amp;" ngày",IF(I85-TODAY()&lt;=3," · Đến hạn "&amp;IF(I85=TODAY(),"hôm nay","trong "&amp;(I85-TODAY())&amp;" ngày"),"")))&amp;IF(J85="Chờ đối tác"," · Chờ đối tác"&amp;IF(ISNUMBER(N85)," "&amp;(TODAY()-INT(N85))&amp;" ngày",""),""),4,200))))</f>
        <v/>
      </c>
      <c r="N85" s="49" t="n"/>
      <c r="O85" t="inlineStr">
        <is>
          <t>VD-3</t>
        </is>
      </c>
      <c r="P85" t="inlineStr">
        <is>
          <t>K23</t>
        </is>
      </c>
      <c r="Q85" t="n">
        <v>0</v>
      </c>
      <c r="R85" t="inlineStr">
        <is>
          <t>Lịch</t>
        </is>
      </c>
      <c r="S85">
        <f>IF(AND(E85&lt;&gt;"",T85="Có",J85&lt;&gt;"Xong",J85&lt;&gt;"Bỏ qua",ISNUMBER(I85)),I85+ROW()/100000,"")</f>
        <v/>
      </c>
      <c r="T85">
        <f>IF(O85="","",IFERROR(INDEX(SK_TD,MATCH(O85,SK_A,0)),""))</f>
        <v/>
      </c>
      <c r="U85" t="inlineStr">
        <is>
          <t>Leader MKT (ví dụ)</t>
        </is>
      </c>
      <c r="V85">
        <f>IF(AND(O85&lt;&gt;"",O85=SEL_K,J85&lt;&gt;"Xong",J85&lt;&gt;"Bỏ qua"),IF(ISNUMBER(I85),I85,99999)+ROW()/100000,"")</f>
        <v/>
      </c>
    </row>
    <row r="86">
      <c r="A86" s="12">
        <f>IF(O86="","",IFERROR(INDEX(SK_B,MATCH(O86,SK_A,0))&amp;"",""))</f>
        <v/>
      </c>
      <c r="B86" s="45">
        <f>IF(O86="","",IFERROR(INDEX(SK_C,MATCH(O86,SK_A,0)),""))</f>
        <v/>
      </c>
      <c r="C86" s="46">
        <f>IF(Q86="","",IF(Q86=0,"D",IF(Q86&lt;0,"D"&amp;Q86,"D+"&amp;Q86)))</f>
        <v/>
      </c>
      <c r="D86" s="14" t="inlineStr">
        <is>
          <t>10. Sau sự kiện</t>
        </is>
      </c>
      <c r="E86" s="12" t="inlineStr">
        <is>
          <t>Bài cảm ơn + ảnh recap; video recap (nếu có)</t>
        </is>
      </c>
      <c r="F86" s="46" t="inlineStr">
        <is>
          <t>Digital MKT</t>
        </is>
      </c>
      <c r="G86" s="47" t="inlineStr">
        <is>
          <t>Digital (ví dụ)</t>
        </is>
      </c>
      <c r="H86" s="14" t="inlineStr"/>
      <c r="I86" s="13">
        <f>IF(OR(B86="",Q86=""),"",IF(Q86&gt;0,IF(R86="Làm việc",WORKDAY(IFERROR(IF(INDEX(SK_D,MATCH(O86,SK_A,0))="",B86,INDEX(SK_D,MATCH(O86,SK_A,0))),B86),Q86,HOLI),IFERROR(IF(INDEX(SK_D,MATCH(O86,SK_A,0))="",B86,INDEX(SK_D,MATCH(O86,SK_A,0))),B86)+Q86),B86+Q86))</f>
        <v/>
      </c>
      <c r="J86" s="14" t="inlineStr">
        <is>
          <t>Chưa làm</t>
        </is>
      </c>
      <c r="K86" s="13" t="n"/>
      <c r="L86" s="12" t="n"/>
      <c r="M86" s="48">
        <f>IF(E86="","",IF(J86="Bỏ qua","—",IF(J86="Xong",IF(AND(ISNUMBER(K86),ISNUMBER(I86),K86&gt;I86),"Xong trễ","Xong"),MID(IF(G86=""," · CHƯA GIAO","")&amp;IF(NOT(ISNUMBER(I86)),"",IF(TODAY()&gt;I86," · QUÁ HẠN "&amp;(TODAY()-I86)&amp;" ngày",IF(I86-TODAY()&lt;=3," · Đến hạn "&amp;IF(I86=TODAY(),"hôm nay","trong "&amp;(I86-TODAY())&amp;" ngày"),"")))&amp;IF(J86="Chờ đối tác"," · Chờ đối tác"&amp;IF(ISNUMBER(N86)," "&amp;(TODAY()-INT(N86))&amp;" ngày",""),""),4,200))))</f>
        <v/>
      </c>
      <c r="N86" s="49" t="n"/>
      <c r="O86" t="inlineStr">
        <is>
          <t>VD-3</t>
        </is>
      </c>
      <c r="P86" t="inlineStr">
        <is>
          <t>K26</t>
        </is>
      </c>
      <c r="Q86" t="n">
        <v>2</v>
      </c>
      <c r="R86" t="inlineStr">
        <is>
          <t>Làm việc</t>
        </is>
      </c>
      <c r="S86">
        <f>IF(AND(E86&lt;&gt;"",T86="Có",J86&lt;&gt;"Xong",J86&lt;&gt;"Bỏ qua",ISNUMBER(I86)),I86+ROW()/100000,"")</f>
        <v/>
      </c>
      <c r="T86">
        <f>IF(O86="","",IFERROR(INDEX(SK_TD,MATCH(O86,SK_A,0)),""))</f>
        <v/>
      </c>
      <c r="U86" t="inlineStr">
        <is>
          <t>Digital (ví dụ)</t>
        </is>
      </c>
      <c r="V86">
        <f>IF(AND(O86&lt;&gt;"",O86=SEL_K,J86&lt;&gt;"Xong",J86&lt;&gt;"Bỏ qua"),IF(ISNUMBER(I86),I86,99999)+ROW()/100000,"")</f>
        <v/>
      </c>
    </row>
    <row r="87">
      <c r="A87" s="12">
        <f>IF(O87="","",IFERROR(INDEX(SK_B,MATCH(O87,SK_A,0))&amp;"",""))</f>
        <v/>
      </c>
      <c r="B87" s="45">
        <f>IF(O87="","",IFERROR(INDEX(SK_C,MATCH(O87,SK_A,0)),""))</f>
        <v/>
      </c>
      <c r="C87" s="46">
        <f>IF(Q87="","",IF(Q87=0,"D",IF(Q87&lt;0,"D"&amp;Q87,"D+"&amp;Q87)))</f>
        <v/>
      </c>
      <c r="D87" s="14" t="inlineStr">
        <is>
          <t>10. Sau sự kiện</t>
        </is>
      </c>
      <c r="E87" s="12" t="inlineStr">
        <is>
          <t>Đối chiếu dữ liệu khách (loại trùng, đủ trường) ⇒ CUSTOMER LIST; tổng hợp khảo sát</t>
        </is>
      </c>
      <c r="F87" s="46" t="inlineStr">
        <is>
          <t>Digital MKT</t>
        </is>
      </c>
      <c r="G87" s="47" t="inlineStr">
        <is>
          <t>Digital (ví dụ)</t>
        </is>
      </c>
      <c r="H87" s="14" t="inlineStr">
        <is>
          <t>Sales, NPP</t>
        </is>
      </c>
      <c r="I87" s="13">
        <f>IF(OR(B87="",Q87=""),"",IF(Q87&gt;0,IF(R87="Làm việc",WORKDAY(IFERROR(IF(INDEX(SK_D,MATCH(O87,SK_A,0))="",B87,INDEX(SK_D,MATCH(O87,SK_A,0))),B87),Q87,HOLI),IFERROR(IF(INDEX(SK_D,MATCH(O87,SK_A,0))="",B87,INDEX(SK_D,MATCH(O87,SK_A,0))),B87)+Q87),B87+Q87))</f>
        <v/>
      </c>
      <c r="J87" s="14" t="inlineStr">
        <is>
          <t>Chưa làm</t>
        </is>
      </c>
      <c r="K87" s="13" t="n"/>
      <c r="L87" s="12" t="n"/>
      <c r="M87" s="48">
        <f>IF(E87="","",IF(J87="Bỏ qua","—",IF(J87="Xong",IF(AND(ISNUMBER(K87),ISNUMBER(I87),K87&gt;I87),"Xong trễ","Xong"),MID(IF(G87=""," · CHƯA GIAO","")&amp;IF(NOT(ISNUMBER(I87)),"",IF(TODAY()&gt;I87," · QUÁ HẠN "&amp;(TODAY()-I87)&amp;" ngày",IF(I87-TODAY()&lt;=3," · Đến hạn "&amp;IF(I87=TODAY(),"hôm nay","trong "&amp;(I87-TODAY())&amp;" ngày"),"")))&amp;IF(J87="Chờ đối tác"," · Chờ đối tác"&amp;IF(ISNUMBER(N87)," "&amp;(TODAY()-INT(N87))&amp;" ngày",""),""),4,200))))</f>
        <v/>
      </c>
      <c r="N87" s="49" t="n"/>
      <c r="O87" t="inlineStr">
        <is>
          <t>VD-3</t>
        </is>
      </c>
      <c r="P87" t="inlineStr">
        <is>
          <t>K28</t>
        </is>
      </c>
      <c r="Q87" t="n">
        <v>3</v>
      </c>
      <c r="R87" t="inlineStr">
        <is>
          <t>Làm việc</t>
        </is>
      </c>
      <c r="S87">
        <f>IF(AND(E87&lt;&gt;"",T87="Có",J87&lt;&gt;"Xong",J87&lt;&gt;"Bỏ qua",ISNUMBER(I87)),I87+ROW()/100000,"")</f>
        <v/>
      </c>
      <c r="T87">
        <f>IF(O87="","",IFERROR(INDEX(SK_TD,MATCH(O87,SK_A,0)),""))</f>
        <v/>
      </c>
      <c r="U87" t="inlineStr">
        <is>
          <t>Digital (ví dụ)</t>
        </is>
      </c>
      <c r="V87">
        <f>IF(AND(O87&lt;&gt;"",O87=SEL_K,J87&lt;&gt;"Xong",J87&lt;&gt;"Bỏ qua"),IF(ISNUMBER(I87),I87,99999)+ROW()/100000,"")</f>
        <v/>
      </c>
    </row>
    <row r="88">
      <c r="A88" s="12">
        <f>IF(O88="","",IFERROR(INDEX(SK_B,MATCH(O88,SK_A,0))&amp;"",""))</f>
        <v/>
      </c>
      <c r="B88" s="45">
        <f>IF(O88="","",IFERROR(INDEX(SK_C,MATCH(O88,SK_A,0)),""))</f>
        <v/>
      </c>
      <c r="C88" s="46">
        <f>IF(Q88="","",IF(Q88=0,"D",IF(Q88&lt;0,"D"&amp;Q88,"D+"&amp;Q88)))</f>
        <v/>
      </c>
      <c r="D88" s="14" t="inlineStr">
        <is>
          <t>10. Sau sự kiện</t>
        </is>
      </c>
      <c r="E88" s="12" t="inlineStr">
        <is>
          <t>Sales + NPP gửi số liệu bán hàng tại sự kiện</t>
        </is>
      </c>
      <c r="F88" s="46" t="inlineStr">
        <is>
          <t>Sales</t>
        </is>
      </c>
      <c r="G88" s="47" t="inlineStr">
        <is>
          <t>Sales Dental (ví dụ)</t>
        </is>
      </c>
      <c r="H88" s="14" t="inlineStr">
        <is>
          <t>NPP</t>
        </is>
      </c>
      <c r="I88" s="13">
        <f>IF(OR(B88="",Q88=""),"",IF(Q88&gt;0,IF(R88="Làm việc",WORKDAY(IFERROR(IF(INDEX(SK_D,MATCH(O88,SK_A,0))="",B88,INDEX(SK_D,MATCH(O88,SK_A,0))),B88),Q88,HOLI),IFERROR(IF(INDEX(SK_D,MATCH(O88,SK_A,0))="",B88,INDEX(SK_D,MATCH(O88,SK_A,0))),B88)+Q88),B88+Q88))</f>
        <v/>
      </c>
      <c r="J88" s="14" t="inlineStr">
        <is>
          <t>Chưa làm</t>
        </is>
      </c>
      <c r="K88" s="13" t="n"/>
      <c r="L88" s="12" t="n"/>
      <c r="M88" s="48">
        <f>IF(E88="","",IF(J88="Bỏ qua","—",IF(J88="Xong",IF(AND(ISNUMBER(K88),ISNUMBER(I88),K88&gt;I88),"Xong trễ","Xong"),MID(IF(G88=""," · CHƯA GIAO","")&amp;IF(NOT(ISNUMBER(I88)),"",IF(TODAY()&gt;I88," · QUÁ HẠN "&amp;(TODAY()-I88)&amp;" ngày",IF(I88-TODAY()&lt;=3," · Đến hạn "&amp;IF(I88=TODAY(),"hôm nay","trong "&amp;(I88-TODAY())&amp;" ngày"),"")))&amp;IF(J88="Chờ đối tác"," · Chờ đối tác"&amp;IF(ISNUMBER(N88)," "&amp;(TODAY()-INT(N88))&amp;" ngày",""),""),4,200))))</f>
        <v/>
      </c>
      <c r="N88" s="49" t="n"/>
      <c r="O88" t="inlineStr">
        <is>
          <t>VD-3</t>
        </is>
      </c>
      <c r="P88" t="inlineStr">
        <is>
          <t>K29</t>
        </is>
      </c>
      <c r="Q88" t="n">
        <v>3</v>
      </c>
      <c r="R88" t="inlineStr">
        <is>
          <t>Làm việc</t>
        </is>
      </c>
      <c r="S88">
        <f>IF(AND(E88&lt;&gt;"",T88="Có",J88&lt;&gt;"Xong",J88&lt;&gt;"Bỏ qua",ISNUMBER(I88)),I88+ROW()/100000,"")</f>
        <v/>
      </c>
      <c r="T88">
        <f>IF(O88="","",IFERROR(INDEX(SK_TD,MATCH(O88,SK_A,0)),""))</f>
        <v/>
      </c>
      <c r="U88" t="inlineStr">
        <is>
          <t>Sales Dental (ví dụ)</t>
        </is>
      </c>
      <c r="V88">
        <f>IF(AND(O88&lt;&gt;"",O88=SEL_K,J88&lt;&gt;"Xong",J88&lt;&gt;"Bỏ qua"),IF(ISNUMBER(I88),I88,99999)+ROW()/100000,"")</f>
        <v/>
      </c>
    </row>
    <row r="89">
      <c r="A89" s="12">
        <f>IF(O89="","",IFERROR(INDEX(SK_B,MATCH(O89,SK_A,0))&amp;"",""))</f>
        <v/>
      </c>
      <c r="B89" s="45">
        <f>IF(O89="","",IFERROR(INDEX(SK_C,MATCH(O89,SK_A,0)),""))</f>
        <v/>
      </c>
      <c r="C89" s="46">
        <f>IF(Q89="","",IF(Q89=0,"D",IF(Q89&lt;0,"D"&amp;Q89,"D+"&amp;Q89)))</f>
        <v/>
      </c>
      <c r="D89" s="14" t="inlineStr">
        <is>
          <t>10. Sau sự kiện</t>
        </is>
      </c>
      <c r="E89" s="12" t="inlineStr">
        <is>
          <t>Bàn giao danh sách khách cần follow-up cho Sales</t>
        </is>
      </c>
      <c r="F89" s="46" t="inlineStr">
        <is>
          <t>Digital MKT</t>
        </is>
      </c>
      <c r="G89" s="47" t="inlineStr">
        <is>
          <t>Digital (ví dụ)</t>
        </is>
      </c>
      <c r="H89" s="14" t="inlineStr">
        <is>
          <t>Sales</t>
        </is>
      </c>
      <c r="I89" s="13">
        <f>IF(OR(B89="",Q89=""),"",IF(Q89&gt;0,IF(R89="Làm việc",WORKDAY(IFERROR(IF(INDEX(SK_D,MATCH(O89,SK_A,0))="",B89,INDEX(SK_D,MATCH(O89,SK_A,0))),B89),Q89,HOLI),IFERROR(IF(INDEX(SK_D,MATCH(O89,SK_A,0))="",B89,INDEX(SK_D,MATCH(O89,SK_A,0))),B89)+Q89),B89+Q89))</f>
        <v/>
      </c>
      <c r="J89" s="14" t="inlineStr">
        <is>
          <t>Chưa làm</t>
        </is>
      </c>
      <c r="K89" s="13" t="n"/>
      <c r="L89" s="12" t="n"/>
      <c r="M89" s="48">
        <f>IF(E89="","",IF(J89="Bỏ qua","—",IF(J89="Xong",IF(AND(ISNUMBER(K89),ISNUMBER(I89),K89&gt;I89),"Xong trễ","Xong"),MID(IF(G89=""," · CHƯA GIAO","")&amp;IF(NOT(ISNUMBER(I89)),"",IF(TODAY()&gt;I89," · QUÁ HẠN "&amp;(TODAY()-I89)&amp;" ngày",IF(I89-TODAY()&lt;=3," · Đến hạn "&amp;IF(I89=TODAY(),"hôm nay","trong "&amp;(I89-TODAY())&amp;" ngày"),"")))&amp;IF(J89="Chờ đối tác"," · Chờ đối tác"&amp;IF(ISNUMBER(N89)," "&amp;(TODAY()-INT(N89))&amp;" ngày",""),""),4,200))))</f>
        <v/>
      </c>
      <c r="N89" s="49" t="n"/>
      <c r="O89" t="inlineStr">
        <is>
          <t>VD-3</t>
        </is>
      </c>
      <c r="P89" t="inlineStr">
        <is>
          <t>K30</t>
        </is>
      </c>
      <c r="Q89" t="n">
        <v>3</v>
      </c>
      <c r="R89" t="inlineStr">
        <is>
          <t>Làm việc</t>
        </is>
      </c>
      <c r="S89">
        <f>IF(AND(E89&lt;&gt;"",T89="Có",J89&lt;&gt;"Xong",J89&lt;&gt;"Bỏ qua",ISNUMBER(I89)),I89+ROW()/100000,"")</f>
        <v/>
      </c>
      <c r="T89">
        <f>IF(O89="","",IFERROR(INDEX(SK_TD,MATCH(O89,SK_A,0)),""))</f>
        <v/>
      </c>
      <c r="U89" t="inlineStr">
        <is>
          <t>Digital (ví dụ)</t>
        </is>
      </c>
      <c r="V89">
        <f>IF(AND(O89&lt;&gt;"",O89=SEL_K,J89&lt;&gt;"Xong",J89&lt;&gt;"Bỏ qua"),IF(ISNUMBER(I89),I89,99999)+ROW()/100000,"")</f>
        <v/>
      </c>
    </row>
    <row r="90">
      <c r="A90" s="12">
        <f>IF(O90="","",IFERROR(INDEX(SK_B,MATCH(O90,SK_A,0))&amp;"",""))</f>
        <v/>
      </c>
      <c r="B90" s="45">
        <f>IF(O90="","",IFERROR(INDEX(SK_C,MATCH(O90,SK_A,0)),""))</f>
        <v/>
      </c>
      <c r="C90" s="46">
        <f>IF(Q90="","",IF(Q90=0,"D",IF(Q90&lt;0,"D"&amp;Q90,"D+"&amp;Q90)))</f>
        <v/>
      </c>
      <c r="D90" s="14" t="inlineStr">
        <is>
          <t>10. Sau sự kiện</t>
        </is>
      </c>
      <c r="E90" s="12" t="inlineStr">
        <is>
          <t>Báo cáo sự kiện + chứng từ KOL, hoá đơn địa điểm</t>
        </is>
      </c>
      <c r="F90" s="46" t="inlineStr">
        <is>
          <t>MKT Leader</t>
        </is>
      </c>
      <c r="G90" s="47" t="inlineStr">
        <is>
          <t>Leader MKT (ví dụ)</t>
        </is>
      </c>
      <c r="H90" s="14" t="inlineStr">
        <is>
          <t>Trade MKT</t>
        </is>
      </c>
      <c r="I90" s="13">
        <f>IF(OR(B90="",Q90=""),"",IF(Q90&gt;0,IF(R90="Làm việc",WORKDAY(IFERROR(IF(INDEX(SK_D,MATCH(O90,SK_A,0))="",B90,INDEX(SK_D,MATCH(O90,SK_A,0))),B90),Q90,HOLI),IFERROR(IF(INDEX(SK_D,MATCH(O90,SK_A,0))="",B90,INDEX(SK_D,MATCH(O90,SK_A,0))),B90)+Q90),B90+Q90))</f>
        <v/>
      </c>
      <c r="J90" s="14" t="inlineStr">
        <is>
          <t>Chưa làm</t>
        </is>
      </c>
      <c r="K90" s="13" t="n"/>
      <c r="L90" s="12" t="n"/>
      <c r="M90" s="48">
        <f>IF(E90="","",IF(J90="Bỏ qua","—",IF(J90="Xong",IF(AND(ISNUMBER(K90),ISNUMBER(I90),K90&gt;I90),"Xong trễ","Xong"),MID(IF(G90=""," · CHƯA GIAO","")&amp;IF(NOT(ISNUMBER(I90)),"",IF(TODAY()&gt;I90," · QUÁ HẠN "&amp;(TODAY()-I90)&amp;" ngày",IF(I90-TODAY()&lt;=3," · Đến hạn "&amp;IF(I90=TODAY(),"hôm nay","trong "&amp;(I90-TODAY())&amp;" ngày"),"")))&amp;IF(J90="Chờ đối tác"," · Chờ đối tác"&amp;IF(ISNUMBER(N90)," "&amp;(TODAY()-INT(N90))&amp;" ngày",""),""),4,200))))</f>
        <v/>
      </c>
      <c r="N90" s="49" t="n"/>
      <c r="O90" t="inlineStr">
        <is>
          <t>VD-3</t>
        </is>
      </c>
      <c r="P90" t="inlineStr">
        <is>
          <t>K31</t>
        </is>
      </c>
      <c r="Q90" t="n">
        <v>5</v>
      </c>
      <c r="R90" t="inlineStr">
        <is>
          <t>Làm việc</t>
        </is>
      </c>
      <c r="S90">
        <f>IF(AND(E90&lt;&gt;"",T90="Có",J90&lt;&gt;"Xong",J90&lt;&gt;"Bỏ qua",ISNUMBER(I90)),I90+ROW()/100000,"")</f>
        <v/>
      </c>
      <c r="T90">
        <f>IF(O90="","",IFERROR(INDEX(SK_TD,MATCH(O90,SK_A,0)),""))</f>
        <v/>
      </c>
      <c r="U90" t="inlineStr">
        <is>
          <t>Leader MKT (ví dụ)</t>
        </is>
      </c>
      <c r="V90">
        <f>IF(AND(O90&lt;&gt;"",O90=SEL_K,J90&lt;&gt;"Xong",J90&lt;&gt;"Bỏ qua"),IF(ISNUMBER(I90),I90,99999)+ROW()/100000,"")</f>
        <v/>
      </c>
    </row>
    <row r="91">
      <c r="A91" s="12">
        <f>IF(O91="","",IFERROR(INDEX(SK_B,MATCH(O91,SK_A,0))&amp;"",""))</f>
        <v/>
      </c>
      <c r="B91" s="45">
        <f>IF(O91="","",IFERROR(INDEX(SK_C,MATCH(O91,SK_A,0)),""))</f>
        <v/>
      </c>
      <c r="C91" s="46">
        <f>IF(Q91="","",IF(Q91=0,"D",IF(Q91&lt;0,"D"&amp;Q91,"D+"&amp;Q91)))</f>
        <v/>
      </c>
      <c r="D91" s="14" t="inlineStr">
        <is>
          <t>10. Sau sự kiện</t>
        </is>
      </c>
      <c r="E91" s="12" t="inlineStr">
        <is>
          <t>Email báo cáo toàn MMH (4 file đính kèm) + hoàn tất lưu hồ sơ</t>
        </is>
      </c>
      <c r="F91" s="46" t="inlineStr">
        <is>
          <t>MKT Leader</t>
        </is>
      </c>
      <c r="G91" s="47" t="inlineStr">
        <is>
          <t>Leader MKT (ví dụ)</t>
        </is>
      </c>
      <c r="H91" s="14" t="inlineStr"/>
      <c r="I91" s="13">
        <f>IF(OR(B91="",Q91=""),"",IF(Q91&gt;0,IF(R91="Làm việc",WORKDAY(IFERROR(IF(INDEX(SK_D,MATCH(O91,SK_A,0))="",B91,INDEX(SK_D,MATCH(O91,SK_A,0))),B91),Q91,HOLI),IFERROR(IF(INDEX(SK_D,MATCH(O91,SK_A,0))="",B91,INDEX(SK_D,MATCH(O91,SK_A,0))),B91)+Q91),B91+Q91))</f>
        <v/>
      </c>
      <c r="J91" s="14" t="inlineStr">
        <is>
          <t>Chưa làm</t>
        </is>
      </c>
      <c r="K91" s="13" t="n"/>
      <c r="L91" s="12" t="n"/>
      <c r="M91" s="48">
        <f>IF(E91="","",IF(J91="Bỏ qua","—",IF(J91="Xong",IF(AND(ISNUMBER(K91),ISNUMBER(I91),K91&gt;I91),"Xong trễ","Xong"),MID(IF(G91=""," · CHƯA GIAO","")&amp;IF(NOT(ISNUMBER(I91)),"",IF(TODAY()&gt;I91," · QUÁ HẠN "&amp;(TODAY()-I91)&amp;" ngày",IF(I91-TODAY()&lt;=3," · Đến hạn "&amp;IF(I91=TODAY(),"hôm nay","trong "&amp;(I91-TODAY())&amp;" ngày"),"")))&amp;IF(J91="Chờ đối tác"," · Chờ đối tác"&amp;IF(ISNUMBER(N91)," "&amp;(TODAY()-INT(N91))&amp;" ngày",""),""),4,200))))</f>
        <v/>
      </c>
      <c r="N91" s="49" t="n"/>
      <c r="O91" t="inlineStr">
        <is>
          <t>VD-3</t>
        </is>
      </c>
      <c r="P91" t="inlineStr">
        <is>
          <t>K32</t>
        </is>
      </c>
      <c r="Q91" t="n">
        <v>7</v>
      </c>
      <c r="R91" t="inlineStr">
        <is>
          <t>Làm việc</t>
        </is>
      </c>
      <c r="S91">
        <f>IF(AND(E91&lt;&gt;"",T91="Có",J91&lt;&gt;"Xong",J91&lt;&gt;"Bỏ qua",ISNUMBER(I91)),I91+ROW()/100000,"")</f>
        <v/>
      </c>
      <c r="T91">
        <f>IF(O91="","",IFERROR(INDEX(SK_TD,MATCH(O91,SK_A,0)),""))</f>
        <v/>
      </c>
      <c r="U91" t="inlineStr">
        <is>
          <t>Leader MKT (ví dụ)</t>
        </is>
      </c>
      <c r="V91">
        <f>IF(AND(O91&lt;&gt;"",O91=SEL_K,J91&lt;&gt;"Xong",J91&lt;&gt;"Bỏ qua"),IF(ISNUMBER(I91),I91,99999)+ROW()/100000,"")</f>
        <v/>
      </c>
    </row>
    <row r="92">
      <c r="A92" s="12">
        <f>IF(O92="","",IFERROR(INDEX(SK_B,MATCH(O92,SK_A,0))&amp;"",""))</f>
        <v/>
      </c>
      <c r="B92" s="45">
        <f>IF(O92="","",IFERROR(INDEX(SK_C,MATCH(O92,SK_A,0)),""))</f>
        <v/>
      </c>
      <c r="C92" s="46">
        <f>IF(Q92="","",IF(Q92=0,"D",IF(Q92&lt;0,"D"&amp;Q92,"D+"&amp;Q92)))</f>
        <v/>
      </c>
      <c r="D92" s="14" t="inlineStr">
        <is>
          <t>11. Follow-up</t>
        </is>
      </c>
      <c r="E92" s="12" t="inlineStr">
        <is>
          <t>Sales liên hệ lần đầu khách cần follow-up</t>
        </is>
      </c>
      <c r="F92" s="46" t="inlineStr">
        <is>
          <t>Sales</t>
        </is>
      </c>
      <c r="G92" s="47" t="inlineStr">
        <is>
          <t>Sales Dental (ví dụ)</t>
        </is>
      </c>
      <c r="H92" s="14" t="inlineStr">
        <is>
          <t>NPP</t>
        </is>
      </c>
      <c r="I92" s="13">
        <f>IF(OR(B92="",Q92=""),"",IF(Q92&gt;0,IF(R92="Làm việc",WORKDAY(IFERROR(IF(INDEX(SK_D,MATCH(O92,SK_A,0))="",B92,INDEX(SK_D,MATCH(O92,SK_A,0))),B92),Q92,HOLI),IFERROR(IF(INDEX(SK_D,MATCH(O92,SK_A,0))="",B92,INDEX(SK_D,MATCH(O92,SK_A,0))),B92)+Q92),B92+Q92))</f>
        <v/>
      </c>
      <c r="J92" s="14" t="inlineStr">
        <is>
          <t>Chưa làm</t>
        </is>
      </c>
      <c r="K92" s="13" t="n"/>
      <c r="L92" s="12" t="n"/>
      <c r="M92" s="48">
        <f>IF(E92="","",IF(J92="Bỏ qua","—",IF(J92="Xong",IF(AND(ISNUMBER(K92),ISNUMBER(I92),K92&gt;I92),"Xong trễ","Xong"),MID(IF(G92=""," · CHƯA GIAO","")&amp;IF(NOT(ISNUMBER(I92)),"",IF(TODAY()&gt;I92," · QUÁ HẠN "&amp;(TODAY()-I92)&amp;" ngày",IF(I92-TODAY()&lt;=3," · Đến hạn "&amp;IF(I92=TODAY(),"hôm nay","trong "&amp;(I92-TODAY())&amp;" ngày"),"")))&amp;IF(J92="Chờ đối tác"," · Chờ đối tác"&amp;IF(ISNUMBER(N92)," "&amp;(TODAY()-INT(N92))&amp;" ngày",""),""),4,200))))</f>
        <v/>
      </c>
      <c r="N92" s="49" t="n"/>
      <c r="O92" t="inlineStr">
        <is>
          <t>VD-3</t>
        </is>
      </c>
      <c r="P92" t="inlineStr">
        <is>
          <t>K33</t>
        </is>
      </c>
      <c r="Q92" t="n">
        <v>5</v>
      </c>
      <c r="R92" t="inlineStr">
        <is>
          <t>Làm việc</t>
        </is>
      </c>
      <c r="S92">
        <f>IF(AND(E92&lt;&gt;"",T92="Có",J92&lt;&gt;"Xong",J92&lt;&gt;"Bỏ qua",ISNUMBER(I92)),I92+ROW()/100000,"")</f>
        <v/>
      </c>
      <c r="T92">
        <f>IF(O92="","",IFERROR(INDEX(SK_TD,MATCH(O92,SK_A,0)),""))</f>
        <v/>
      </c>
      <c r="U92" t="inlineStr">
        <is>
          <t>Sales Dental (ví dụ)</t>
        </is>
      </c>
      <c r="V92">
        <f>IF(AND(O92&lt;&gt;"",O92=SEL_K,J92&lt;&gt;"Xong",J92&lt;&gt;"Bỏ qua"),IF(ISNUMBER(I92),I92,99999)+ROW()/100000,"")</f>
        <v/>
      </c>
    </row>
    <row r="93">
      <c r="A93" s="12">
        <f>IF(O93="","",IFERROR(INDEX(SK_B,MATCH(O93,SK_A,0))&amp;"",""))</f>
        <v/>
      </c>
      <c r="B93" s="45">
        <f>IF(O93="","",IFERROR(INDEX(SK_C,MATCH(O93,SK_A,0)),""))</f>
        <v/>
      </c>
      <c r="C93" s="46">
        <f>IF(Q93="","",IF(Q93=0,"D",IF(Q93&lt;0,"D"&amp;Q93,"D+"&amp;Q93)))</f>
        <v/>
      </c>
      <c r="D93" s="14" t="inlineStr">
        <is>
          <t>11. Follow-up</t>
        </is>
      </c>
      <c r="E93" s="12" t="inlineStr">
        <is>
          <t>Sales báo kết quả chuyển đổi đơn hàng</t>
        </is>
      </c>
      <c r="F93" s="46" t="inlineStr">
        <is>
          <t>Sales</t>
        </is>
      </c>
      <c r="G93" s="47" t="inlineStr">
        <is>
          <t>Sales Dental (ví dụ)</t>
        </is>
      </c>
      <c r="H93" s="14" t="inlineStr">
        <is>
          <t>NPP</t>
        </is>
      </c>
      <c r="I93" s="13">
        <f>IF(OR(B93="",Q93=""),"",IF(Q93&gt;0,IF(R93="Làm việc",WORKDAY(IFERROR(IF(INDEX(SK_D,MATCH(O93,SK_A,0))="",B93,INDEX(SK_D,MATCH(O93,SK_A,0))),B93),Q93,HOLI),IFERROR(IF(INDEX(SK_D,MATCH(O93,SK_A,0))="",B93,INDEX(SK_D,MATCH(O93,SK_A,0))),B93)+Q93),B93+Q93))</f>
        <v/>
      </c>
      <c r="J93" s="14" t="inlineStr">
        <is>
          <t>Chưa làm</t>
        </is>
      </c>
      <c r="K93" s="13" t="n"/>
      <c r="L93" s="12" t="n"/>
      <c r="M93" s="48">
        <f>IF(E93="","",IF(J93="Bỏ qua","—",IF(J93="Xong",IF(AND(ISNUMBER(K93),ISNUMBER(I93),K93&gt;I93),"Xong trễ","Xong"),MID(IF(G93=""," · CHƯA GIAO","")&amp;IF(NOT(ISNUMBER(I93)),"",IF(TODAY()&gt;I93," · QUÁ HẠN "&amp;(TODAY()-I93)&amp;" ngày",IF(I93-TODAY()&lt;=3," · Đến hạn "&amp;IF(I93=TODAY(),"hôm nay","trong "&amp;(I93-TODAY())&amp;" ngày"),"")))&amp;IF(J93="Chờ đối tác"," · Chờ đối tác"&amp;IF(ISNUMBER(N93)," "&amp;(TODAY()-INT(N93))&amp;" ngày",""),""),4,200))))</f>
        <v/>
      </c>
      <c r="N93" s="49" t="n"/>
      <c r="O93" t="inlineStr">
        <is>
          <t>VD-3</t>
        </is>
      </c>
      <c r="P93" t="inlineStr">
        <is>
          <t>K34</t>
        </is>
      </c>
      <c r="Q93" t="n">
        <v>20</v>
      </c>
      <c r="R93" t="inlineStr">
        <is>
          <t>Làm việc</t>
        </is>
      </c>
      <c r="S93">
        <f>IF(AND(E93&lt;&gt;"",T93="Có",J93&lt;&gt;"Xong",J93&lt;&gt;"Bỏ qua",ISNUMBER(I93)),I93+ROW()/100000,"")</f>
        <v/>
      </c>
      <c r="T93">
        <f>IF(O93="","",IFERROR(INDEX(SK_TD,MATCH(O93,SK_A,0)),""))</f>
        <v/>
      </c>
      <c r="U93" t="inlineStr">
        <is>
          <t>Sales Dental (ví dụ)</t>
        </is>
      </c>
      <c r="V93">
        <f>IF(AND(O93&lt;&gt;"",O93=SEL_K,J93&lt;&gt;"Xong",J93&lt;&gt;"Bỏ qua"),IF(ISNUMBER(I93),I93,99999)+ROW()/100000,"")</f>
        <v/>
      </c>
    </row>
    <row r="94">
      <c r="A94" s="12">
        <f>IF(O94="","",IFERROR(INDEX(SK_B,MATCH(O94,SK_A,0))&amp;"",""))</f>
        <v/>
      </c>
      <c r="B94" s="45">
        <f>IF(O94="","",IFERROR(INDEX(SK_C,MATCH(O94,SK_A,0)),""))</f>
        <v/>
      </c>
      <c r="C94" s="46">
        <f>IF(Q94="","",IF(Q94=0,"D",IF(Q94&lt;0,"D"&amp;Q94,"D+"&amp;Q94)))</f>
        <v/>
      </c>
      <c r="D94" s="14" t="inlineStr">
        <is>
          <t>1. Kế hoạch</t>
        </is>
      </c>
      <c r="E94" s="12" t="inlineStr">
        <is>
          <t>Lập kế hoạch tổng quan (KOL, số khách, mục đích, KPI bán hàng, khuyến mại, khảo sát) + xin Giám đốc duyệt ngân sách</t>
        </is>
      </c>
      <c r="F94" s="46" t="inlineStr">
        <is>
          <t>MKT Leader</t>
        </is>
      </c>
      <c r="G94" s="47" t="inlineStr">
        <is>
          <t>Leader MKT (ví dụ)</t>
        </is>
      </c>
      <c r="H94" s="14" t="inlineStr">
        <is>
          <t>Sales, NPP</t>
        </is>
      </c>
      <c r="I94" s="13">
        <f>IF(OR(B94="",Q94=""),"",IF(Q94&gt;0,IF(R94="Làm việc",WORKDAY(IFERROR(IF(INDEX(SK_D,MATCH(O94,SK_A,0))="",B94,INDEX(SK_D,MATCH(O94,SK_A,0))),B94),Q94,HOLI),IFERROR(IF(INDEX(SK_D,MATCH(O94,SK_A,0))="",B94,INDEX(SK_D,MATCH(O94,SK_A,0))),B94)+Q94),B94+Q94))</f>
        <v/>
      </c>
      <c r="J94" s="14" t="inlineStr">
        <is>
          <t>Chưa làm</t>
        </is>
      </c>
      <c r="K94" s="13" t="n"/>
      <c r="L94" s="12" t="n"/>
      <c r="M94" s="48">
        <f>IF(E94="","",IF(J94="Bỏ qua","—",IF(J94="Xong",IF(AND(ISNUMBER(K94),ISNUMBER(I94),K94&gt;I94),"Xong trễ","Xong"),MID(IF(G94=""," · CHƯA GIAO","")&amp;IF(NOT(ISNUMBER(I94)),"",IF(TODAY()&gt;I94," · QUÁ HẠN "&amp;(TODAY()-I94)&amp;" ngày",IF(I94-TODAY()&lt;=3," · Đến hạn "&amp;IF(I94=TODAY(),"hôm nay","trong "&amp;(I94-TODAY())&amp;" ngày"),"")))&amp;IF(J94="Chờ đối tác"," · Chờ đối tác"&amp;IF(ISNUMBER(N94)," "&amp;(TODAY()-INT(N94))&amp;" ngày",""),""),4,200))))</f>
        <v/>
      </c>
      <c r="N94" s="49" t="n"/>
      <c r="O94" t="inlineStr">
        <is>
          <t>VD-4</t>
        </is>
      </c>
      <c r="P94" t="inlineStr">
        <is>
          <t>K01</t>
        </is>
      </c>
      <c r="Q94" t="n">
        <v>-30</v>
      </c>
      <c r="R94" t="inlineStr">
        <is>
          <t>Lịch</t>
        </is>
      </c>
      <c r="S94">
        <f>IF(AND(E94&lt;&gt;"",T94="Có",J94&lt;&gt;"Xong",J94&lt;&gt;"Bỏ qua",ISNUMBER(I94)),I94+ROW()/100000,"")</f>
        <v/>
      </c>
      <c r="T94">
        <f>IF(O94="","",IFERROR(INDEX(SK_TD,MATCH(O94,SK_A,0)),""))</f>
        <v/>
      </c>
      <c r="U94" t="inlineStr">
        <is>
          <t>Leader MKT (ví dụ)</t>
        </is>
      </c>
      <c r="V94">
        <f>IF(AND(O94&lt;&gt;"",O94=SEL_K,J94&lt;&gt;"Xong",J94&lt;&gt;"Bỏ qua"),IF(ISNUMBER(I94),I94,99999)+ROW()/100000,"")</f>
        <v/>
      </c>
    </row>
    <row r="95">
      <c r="A95" s="12">
        <f>IF(O95="","",IFERROR(INDEX(SK_B,MATCH(O95,SK_A,0))&amp;"",""))</f>
        <v/>
      </c>
      <c r="B95" s="45">
        <f>IF(O95="","",IFERROR(INDEX(SK_C,MATCH(O95,SK_A,0)),""))</f>
        <v/>
      </c>
      <c r="C95" s="46">
        <f>IF(Q95="","",IF(Q95=0,"D",IF(Q95&lt;0,"D"&amp;Q95,"D+"&amp;Q95)))</f>
        <v/>
      </c>
      <c r="D95" s="14" t="inlineStr">
        <is>
          <t>1. Kế hoạch</t>
        </is>
      </c>
      <c r="E95" s="12" t="inlineStr">
        <is>
          <t>Chia việc với NPP, Trường / Viện (tuyển sinh, đồ thực hành, MC, số bàn trưng bày)</t>
        </is>
      </c>
      <c r="F95" s="46" t="inlineStr">
        <is>
          <t>MKT Leader</t>
        </is>
      </c>
      <c r="G95" s="47" t="inlineStr">
        <is>
          <t>Leader MKT (ví dụ)</t>
        </is>
      </c>
      <c r="H95" s="14" t="inlineStr">
        <is>
          <t>NPP, Viện</t>
        </is>
      </c>
      <c r="I95" s="13">
        <f>IF(OR(B95="",Q95=""),"",IF(Q95&gt;0,IF(R95="Làm việc",WORKDAY(IFERROR(IF(INDEX(SK_D,MATCH(O95,SK_A,0))="",B95,INDEX(SK_D,MATCH(O95,SK_A,0))),B95),Q95,HOLI),IFERROR(IF(INDEX(SK_D,MATCH(O95,SK_A,0))="",B95,INDEX(SK_D,MATCH(O95,SK_A,0))),B95)+Q95),B95+Q95))</f>
        <v/>
      </c>
      <c r="J95" s="14" t="inlineStr">
        <is>
          <t>Chưa làm</t>
        </is>
      </c>
      <c r="K95" s="13" t="n"/>
      <c r="L95" s="12" t="n"/>
      <c r="M95" s="48">
        <f>IF(E95="","",IF(J95="Bỏ qua","—",IF(J95="Xong",IF(AND(ISNUMBER(K95),ISNUMBER(I95),K95&gt;I95),"Xong trễ","Xong"),MID(IF(G95=""," · CHƯA GIAO","")&amp;IF(NOT(ISNUMBER(I95)),"",IF(TODAY()&gt;I95," · QUÁ HẠN "&amp;(TODAY()-I95)&amp;" ngày",IF(I95-TODAY()&lt;=3," · Đến hạn "&amp;IF(I95=TODAY(),"hôm nay","trong "&amp;(I95-TODAY())&amp;" ngày"),"")))&amp;IF(J95="Chờ đối tác"," · Chờ đối tác"&amp;IF(ISNUMBER(N95)," "&amp;(TODAY()-INT(N95))&amp;" ngày",""),""),4,200))))</f>
        <v/>
      </c>
      <c r="N95" s="49" t="n"/>
      <c r="O95" t="inlineStr">
        <is>
          <t>VD-4</t>
        </is>
      </c>
      <c r="P95" t="inlineStr">
        <is>
          <t>K02</t>
        </is>
      </c>
      <c r="Q95" t="n">
        <v>-30</v>
      </c>
      <c r="R95" t="inlineStr">
        <is>
          <t>Lịch</t>
        </is>
      </c>
      <c r="S95">
        <f>IF(AND(E95&lt;&gt;"",T95="Có",J95&lt;&gt;"Xong",J95&lt;&gt;"Bỏ qua",ISNUMBER(I95)),I95+ROW()/100000,"")</f>
        <v/>
      </c>
      <c r="T95">
        <f>IF(O95="","",IFERROR(INDEX(SK_TD,MATCH(O95,SK_A,0)),""))</f>
        <v/>
      </c>
      <c r="U95" t="inlineStr">
        <is>
          <t>Leader MKT (ví dụ)</t>
        </is>
      </c>
      <c r="V95">
        <f>IF(AND(O95&lt;&gt;"",O95=SEL_K,J95&lt;&gt;"Xong",J95&lt;&gt;"Bỏ qua"),IF(ISNUMBER(I95),I95,99999)+ROW()/100000,"")</f>
        <v/>
      </c>
    </row>
    <row r="96">
      <c r="A96" s="12">
        <f>IF(O96="","",IFERROR(INDEX(SK_B,MATCH(O96,SK_A,0))&amp;"",""))</f>
        <v/>
      </c>
      <c r="B96" s="45">
        <f>IF(O96="","",IFERROR(INDEX(SK_C,MATCH(O96,SK_A,0)),""))</f>
        <v/>
      </c>
      <c r="C96" s="46">
        <f>IF(Q96="","",IF(Q96=0,"D",IF(Q96&lt;0,"D"&amp;Q96,"D+"&amp;Q96)))</f>
        <v/>
      </c>
      <c r="D96" s="14" t="inlineStr">
        <is>
          <t>2. KOL &amp; đối tác</t>
        </is>
      </c>
      <c r="E96" s="12" t="inlineStr">
        <is>
          <t>Chốt KOL: hợp đồng, lịch di chuyển, xem trước bài giảng, người chăm sóc KOL</t>
        </is>
      </c>
      <c r="F96" s="46" t="inlineStr">
        <is>
          <t>MKT Leader</t>
        </is>
      </c>
      <c r="G96" s="47" t="inlineStr">
        <is>
          <t>Leader MKT (ví dụ)</t>
        </is>
      </c>
      <c r="H96" s="14" t="inlineStr">
        <is>
          <t>KOL</t>
        </is>
      </c>
      <c r="I96" s="13">
        <f>IF(OR(B96="",Q96=""),"",IF(Q96&gt;0,IF(R96="Làm việc",WORKDAY(IFERROR(IF(INDEX(SK_D,MATCH(O96,SK_A,0))="",B96,INDEX(SK_D,MATCH(O96,SK_A,0))),B96),Q96,HOLI),IFERROR(IF(INDEX(SK_D,MATCH(O96,SK_A,0))="",B96,INDEX(SK_D,MATCH(O96,SK_A,0))),B96)+Q96),B96+Q96))</f>
        <v/>
      </c>
      <c r="J96" s="14" t="inlineStr">
        <is>
          <t>Chưa làm</t>
        </is>
      </c>
      <c r="K96" s="13" t="n"/>
      <c r="L96" s="12" t="n"/>
      <c r="M96" s="48">
        <f>IF(E96="","",IF(J96="Bỏ qua","—",IF(J96="Xong",IF(AND(ISNUMBER(K96),ISNUMBER(I96),K96&gt;I96),"Xong trễ","Xong"),MID(IF(G96=""," · CHƯA GIAO","")&amp;IF(NOT(ISNUMBER(I96)),"",IF(TODAY()&gt;I96," · QUÁ HẠN "&amp;(TODAY()-I96)&amp;" ngày",IF(I96-TODAY()&lt;=3," · Đến hạn "&amp;IF(I96=TODAY(),"hôm nay","trong "&amp;(I96-TODAY())&amp;" ngày"),"")))&amp;IF(J96="Chờ đối tác"," · Chờ đối tác"&amp;IF(ISNUMBER(N96)," "&amp;(TODAY()-INT(N96))&amp;" ngày",""),""),4,200))))</f>
        <v/>
      </c>
      <c r="N96" s="49" t="n"/>
      <c r="O96" t="inlineStr">
        <is>
          <t>VD-4</t>
        </is>
      </c>
      <c r="P96" t="inlineStr">
        <is>
          <t>K03</t>
        </is>
      </c>
      <c r="Q96" t="n">
        <v>-30</v>
      </c>
      <c r="R96" t="inlineStr">
        <is>
          <t>Lịch</t>
        </is>
      </c>
      <c r="S96">
        <f>IF(AND(E96&lt;&gt;"",T96="Có",J96&lt;&gt;"Xong",J96&lt;&gt;"Bỏ qua",ISNUMBER(I96)),I96+ROW()/100000,"")</f>
        <v/>
      </c>
      <c r="T96">
        <f>IF(O96="","",IFERROR(INDEX(SK_TD,MATCH(O96,SK_A,0)),""))</f>
        <v/>
      </c>
      <c r="U96" t="inlineStr">
        <is>
          <t>Leader MKT (ví dụ)</t>
        </is>
      </c>
      <c r="V96">
        <f>IF(AND(O96&lt;&gt;"",O96=SEL_K,J96&lt;&gt;"Xong",J96&lt;&gt;"Bỏ qua"),IF(ISNUMBER(I96),I96,99999)+ROW()/100000,"")</f>
        <v/>
      </c>
    </row>
    <row r="97">
      <c r="A97" s="12">
        <f>IF(O97="","",IFERROR(INDEX(SK_B,MATCH(O97,SK_A,0))&amp;"",""))</f>
        <v/>
      </c>
      <c r="B97" s="45">
        <f>IF(O97="","",IFERROR(INDEX(SK_C,MATCH(O97,SK_A,0)),""))</f>
        <v/>
      </c>
      <c r="C97" s="46">
        <f>IF(Q97="","",IF(Q97=0,"D",IF(Q97&lt;0,"D"&amp;Q97,"D+"&amp;Q97)))</f>
        <v/>
      </c>
      <c r="D97" s="14" t="inlineStr">
        <is>
          <t>3. Tuyển sinh</t>
        </is>
      </c>
      <c r="E97" s="12" t="inlineStr">
        <is>
          <t>Mở tuyển sinh: form đăng ký (khảo sát trước, đồng ý dữ liệu, nguồn đăng ký) + nhóm Zalo khách</t>
        </is>
      </c>
      <c r="F97" s="46" t="inlineStr">
        <is>
          <t>Digital MKT</t>
        </is>
      </c>
      <c r="G97" s="47" t="inlineStr">
        <is>
          <t>Digital (ví dụ)</t>
        </is>
      </c>
      <c r="H97" s="14" t="inlineStr">
        <is>
          <t>Sales, NPP</t>
        </is>
      </c>
      <c r="I97" s="13">
        <f>IF(OR(B97="",Q97=""),"",IF(Q97&gt;0,IF(R97="Làm việc",WORKDAY(IFERROR(IF(INDEX(SK_D,MATCH(O97,SK_A,0))="",B97,INDEX(SK_D,MATCH(O97,SK_A,0))),B97),Q97,HOLI),IFERROR(IF(INDEX(SK_D,MATCH(O97,SK_A,0))="",B97,INDEX(SK_D,MATCH(O97,SK_A,0))),B97)+Q97),B97+Q97))</f>
        <v/>
      </c>
      <c r="J97" s="14" t="inlineStr">
        <is>
          <t>Chưa làm</t>
        </is>
      </c>
      <c r="K97" s="13" t="n"/>
      <c r="L97" s="12" t="n"/>
      <c r="M97" s="48">
        <f>IF(E97="","",IF(J97="Bỏ qua","—",IF(J97="Xong",IF(AND(ISNUMBER(K97),ISNUMBER(I97),K97&gt;I97),"Xong trễ","Xong"),MID(IF(G97=""," · CHƯA GIAO","")&amp;IF(NOT(ISNUMBER(I97)),"",IF(TODAY()&gt;I97," · QUÁ HẠN "&amp;(TODAY()-I97)&amp;" ngày",IF(I97-TODAY()&lt;=3," · Đến hạn "&amp;IF(I97=TODAY(),"hôm nay","trong "&amp;(I97-TODAY())&amp;" ngày"),"")))&amp;IF(J97="Chờ đối tác"," · Chờ đối tác"&amp;IF(ISNUMBER(N97)," "&amp;(TODAY()-INT(N97))&amp;" ngày",""),""),4,200))))</f>
        <v/>
      </c>
      <c r="N97" s="49" t="n"/>
      <c r="O97" t="inlineStr">
        <is>
          <t>VD-4</t>
        </is>
      </c>
      <c r="P97" t="inlineStr">
        <is>
          <t>K04</t>
        </is>
      </c>
      <c r="Q97" t="n">
        <v>-30</v>
      </c>
      <c r="R97" t="inlineStr">
        <is>
          <t>Lịch</t>
        </is>
      </c>
      <c r="S97">
        <f>IF(AND(E97&lt;&gt;"",T97="Có",J97&lt;&gt;"Xong",J97&lt;&gt;"Bỏ qua",ISNUMBER(I97)),I97+ROW()/100000,"")</f>
        <v/>
      </c>
      <c r="T97">
        <f>IF(O97="","",IFERROR(INDEX(SK_TD,MATCH(O97,SK_A,0)),""))</f>
        <v/>
      </c>
      <c r="U97" t="inlineStr">
        <is>
          <t>Digital (ví dụ)</t>
        </is>
      </c>
      <c r="V97">
        <f>IF(AND(O97&lt;&gt;"",O97=SEL_K,J97&lt;&gt;"Xong",J97&lt;&gt;"Bỏ qua"),IF(ISNUMBER(I97),I97,99999)+ROW()/100000,"")</f>
        <v/>
      </c>
    </row>
    <row r="98">
      <c r="A98" s="12">
        <f>IF(O98="","",IFERROR(INDEX(SK_B,MATCH(O98,SK_A,0))&amp;"",""))</f>
        <v/>
      </c>
      <c r="B98" s="45">
        <f>IF(O98="","",IFERROR(INDEX(SK_C,MATCH(O98,SK_A,0)),""))</f>
        <v/>
      </c>
      <c r="C98" s="46">
        <f>IF(Q98="","",IF(Q98=0,"D",IF(Q98&lt;0,"D"&amp;Q98,"D+"&amp;Q98)))</f>
        <v/>
      </c>
      <c r="D98" s="14" t="inlineStr">
        <is>
          <t>3. Tuyển sinh</t>
        </is>
      </c>
      <c r="E98" s="12" t="inlineStr">
        <is>
          <t>Báo cáo số đăng ký theo nguồn cho team (thứ Hai hằng tuần, đến D-1)</t>
        </is>
      </c>
      <c r="F98" s="46" t="inlineStr">
        <is>
          <t>MKT Leader</t>
        </is>
      </c>
      <c r="G98" s="47" t="inlineStr">
        <is>
          <t>Leader MKT (ví dụ)</t>
        </is>
      </c>
      <c r="H98" s="14" t="inlineStr">
        <is>
          <t>Sales, NPP</t>
        </is>
      </c>
      <c r="I98" s="13">
        <f>IF(OR(B98="",Q98=""),"",IF(Q98&gt;0,IF(R98="Làm việc",WORKDAY(IFERROR(IF(INDEX(SK_D,MATCH(O98,SK_A,0))="",B98,INDEX(SK_D,MATCH(O98,SK_A,0))),B98),Q98,HOLI),IFERROR(IF(INDEX(SK_D,MATCH(O98,SK_A,0))="",B98,INDEX(SK_D,MATCH(O98,SK_A,0))),B98)+Q98),B98+Q98))</f>
        <v/>
      </c>
      <c r="J98" s="14" t="inlineStr">
        <is>
          <t>Chưa làm</t>
        </is>
      </c>
      <c r="K98" s="13" t="n"/>
      <c r="L98" s="12" t="n"/>
      <c r="M98" s="48">
        <f>IF(E98="","",IF(J98="Bỏ qua","—",IF(J98="Xong",IF(AND(ISNUMBER(K98),ISNUMBER(I98),K98&gt;I98),"Xong trễ","Xong"),MID(IF(G98=""," · CHƯA GIAO","")&amp;IF(NOT(ISNUMBER(I98)),"",IF(TODAY()&gt;I98," · QUÁ HẠN "&amp;(TODAY()-I98)&amp;" ngày",IF(I98-TODAY()&lt;=3," · Đến hạn "&amp;IF(I98=TODAY(),"hôm nay","trong "&amp;(I98-TODAY())&amp;" ngày"),"")))&amp;IF(J98="Chờ đối tác"," · Chờ đối tác"&amp;IF(ISNUMBER(N98)," "&amp;(TODAY()-INT(N98))&amp;" ngày",""),""),4,200))))</f>
        <v/>
      </c>
      <c r="N98" s="49" t="n"/>
      <c r="O98" t="inlineStr">
        <is>
          <t>VD-4</t>
        </is>
      </c>
      <c r="P98" t="inlineStr">
        <is>
          <t>K05</t>
        </is>
      </c>
      <c r="Q98" t="n">
        <v>-1</v>
      </c>
      <c r="R98" t="inlineStr">
        <is>
          <t>Lịch</t>
        </is>
      </c>
      <c r="S98">
        <f>IF(AND(E98&lt;&gt;"",T98="Có",J98&lt;&gt;"Xong",J98&lt;&gt;"Bỏ qua",ISNUMBER(I98)),I98+ROW()/100000,"")</f>
        <v/>
      </c>
      <c r="T98">
        <f>IF(O98="","",IFERROR(INDEX(SK_TD,MATCH(O98,SK_A,0)),""))</f>
        <v/>
      </c>
      <c r="U98" t="inlineStr">
        <is>
          <t>Leader MKT (ví dụ)</t>
        </is>
      </c>
      <c r="V98">
        <f>IF(AND(O98&lt;&gt;"",O98=SEL_K,J98&lt;&gt;"Xong",J98&lt;&gt;"Bỏ qua"),IF(ISNUMBER(I98),I98,99999)+ROW()/100000,"")</f>
        <v/>
      </c>
    </row>
    <row r="99">
      <c r="A99" s="12">
        <f>IF(O99="","",IFERROR(INDEX(SK_B,MATCH(O99,SK_A,0))&amp;"",""))</f>
        <v/>
      </c>
      <c r="B99" s="45">
        <f>IF(O99="","",IFERROR(INDEX(SK_C,MATCH(O99,SK_A,0)),""))</f>
        <v/>
      </c>
      <c r="C99" s="46">
        <f>IF(Q99="","",IF(Q99=0,"D",IF(Q99&lt;0,"D"&amp;Q99,"D+"&amp;Q99)))</f>
        <v/>
      </c>
      <c r="D99" s="14" t="inlineStr">
        <is>
          <t>3. Tuyển sinh</t>
        </is>
      </c>
      <c r="E99" s="12" t="inlineStr">
        <is>
          <t>Checkpoint D-14: đăng ký &lt; 60% target ⇒ báo Giám đốc phương án</t>
        </is>
      </c>
      <c r="F99" s="46" t="inlineStr">
        <is>
          <t>MKT Leader</t>
        </is>
      </c>
      <c r="G99" s="47" t="inlineStr">
        <is>
          <t>Leader MKT (ví dụ)</t>
        </is>
      </c>
      <c r="H99" s="14" t="inlineStr">
        <is>
          <t>Giám đốc</t>
        </is>
      </c>
      <c r="I99" s="13">
        <f>IF(OR(B99="",Q99=""),"",IF(Q99&gt;0,IF(R99="Làm việc",WORKDAY(IFERROR(IF(INDEX(SK_D,MATCH(O99,SK_A,0))="",B99,INDEX(SK_D,MATCH(O99,SK_A,0))),B99),Q99,HOLI),IFERROR(IF(INDEX(SK_D,MATCH(O99,SK_A,0))="",B99,INDEX(SK_D,MATCH(O99,SK_A,0))),B99)+Q99),B99+Q99))</f>
        <v/>
      </c>
      <c r="J99" s="14" t="inlineStr">
        <is>
          <t>Chưa làm</t>
        </is>
      </c>
      <c r="K99" s="13" t="n"/>
      <c r="L99" s="12" t="n"/>
      <c r="M99" s="48">
        <f>IF(E99="","",IF(J99="Bỏ qua","—",IF(J99="Xong",IF(AND(ISNUMBER(K99),ISNUMBER(I99),K99&gt;I99),"Xong trễ","Xong"),MID(IF(G99=""," · CHƯA GIAO","")&amp;IF(NOT(ISNUMBER(I99)),"",IF(TODAY()&gt;I99," · QUÁ HẠN "&amp;(TODAY()-I99)&amp;" ngày",IF(I99-TODAY()&lt;=3," · Đến hạn "&amp;IF(I99=TODAY(),"hôm nay","trong "&amp;(I99-TODAY())&amp;" ngày"),"")))&amp;IF(J99="Chờ đối tác"," · Chờ đối tác"&amp;IF(ISNUMBER(N99)," "&amp;(TODAY()-INT(N99))&amp;" ngày",""),""),4,200))))</f>
        <v/>
      </c>
      <c r="N99" s="49" t="n"/>
      <c r="O99" t="inlineStr">
        <is>
          <t>VD-4</t>
        </is>
      </c>
      <c r="P99" t="inlineStr">
        <is>
          <t>K06</t>
        </is>
      </c>
      <c r="Q99" t="n">
        <v>-14</v>
      </c>
      <c r="R99" t="inlineStr">
        <is>
          <t>Lịch</t>
        </is>
      </c>
      <c r="S99">
        <f>IF(AND(E99&lt;&gt;"",T99="Có",J99&lt;&gt;"Xong",J99&lt;&gt;"Bỏ qua",ISNUMBER(I99)),I99+ROW()/100000,"")</f>
        <v/>
      </c>
      <c r="T99">
        <f>IF(O99="","",IFERROR(INDEX(SK_TD,MATCH(O99,SK_A,0)),""))</f>
        <v/>
      </c>
      <c r="U99" t="inlineStr">
        <is>
          <t>Leader MKT (ví dụ)</t>
        </is>
      </c>
      <c r="V99">
        <f>IF(AND(O99&lt;&gt;"",O99=SEL_K,J99&lt;&gt;"Xong",J99&lt;&gt;"Bỏ qua"),IF(ISNUMBER(I99),I99,99999)+ROW()/100000,"")</f>
        <v/>
      </c>
    </row>
    <row r="100">
      <c r="A100" s="12">
        <f>IF(O100="","",IFERROR(INDEX(SK_B,MATCH(O100,SK_A,0))&amp;"",""))</f>
        <v/>
      </c>
      <c r="B100" s="45">
        <f>IF(O100="","",IFERROR(INDEX(SK_C,MATCH(O100,SK_A,0)),""))</f>
        <v/>
      </c>
      <c r="C100" s="46">
        <f>IF(Q100="","",IF(Q100=0,"D",IF(Q100&lt;0,"D"&amp;Q100,"D+"&amp;Q100)))</f>
        <v/>
      </c>
      <c r="D100" s="14" t="inlineStr">
        <is>
          <t>3. Tuyển sinh</t>
        </is>
      </c>
      <c r="E100" s="12" t="inlineStr">
        <is>
          <t>Sales / NPP gửi đủ thông tin khách đăng ký hộ (Họ tên · SĐT · Nơi công tác)</t>
        </is>
      </c>
      <c r="F100" s="46" t="inlineStr">
        <is>
          <t>Sales</t>
        </is>
      </c>
      <c r="G100" s="47" t="inlineStr">
        <is>
          <t>Sales Surgical (ví dụ)</t>
        </is>
      </c>
      <c r="H100" s="14" t="inlineStr">
        <is>
          <t>NPP</t>
        </is>
      </c>
      <c r="I100" s="13">
        <f>IF(OR(B100="",Q100=""),"",IF(Q100&gt;0,IF(R100="Làm việc",WORKDAY(IFERROR(IF(INDEX(SK_D,MATCH(O100,SK_A,0))="",B100,INDEX(SK_D,MATCH(O100,SK_A,0))),B100),Q100,HOLI),IFERROR(IF(INDEX(SK_D,MATCH(O100,SK_A,0))="",B100,INDEX(SK_D,MATCH(O100,SK_A,0))),B100)+Q100),B100+Q100))</f>
        <v/>
      </c>
      <c r="J100" s="14" t="inlineStr">
        <is>
          <t>Chưa làm</t>
        </is>
      </c>
      <c r="K100" s="13" t="n"/>
      <c r="L100" s="12" t="n"/>
      <c r="M100" s="48">
        <f>IF(E100="","",IF(J100="Bỏ qua","—",IF(J100="Xong",IF(AND(ISNUMBER(K100),ISNUMBER(I100),K100&gt;I100),"Xong trễ","Xong"),MID(IF(G100=""," · CHƯA GIAO","")&amp;IF(NOT(ISNUMBER(I100)),"",IF(TODAY()&gt;I100," · QUÁ HẠN "&amp;(TODAY()-I100)&amp;" ngày",IF(I100-TODAY()&lt;=3," · Đến hạn "&amp;IF(I100=TODAY(),"hôm nay","trong "&amp;(I100-TODAY())&amp;" ngày"),"")))&amp;IF(J100="Chờ đối tác"," · Chờ đối tác"&amp;IF(ISNUMBER(N100)," "&amp;(TODAY()-INT(N100))&amp;" ngày",""),""),4,200))))</f>
        <v/>
      </c>
      <c r="N100" s="49" t="n"/>
      <c r="O100" t="inlineStr">
        <is>
          <t>VD-4</t>
        </is>
      </c>
      <c r="P100" t="inlineStr">
        <is>
          <t>K07</t>
        </is>
      </c>
      <c r="Q100" t="n">
        <v>-5</v>
      </c>
      <c r="R100" t="inlineStr">
        <is>
          <t>Lịch</t>
        </is>
      </c>
      <c r="S100">
        <f>IF(AND(E100&lt;&gt;"",T100="Có",J100&lt;&gt;"Xong",J100&lt;&gt;"Bỏ qua",ISNUMBER(I100)),I100+ROW()/100000,"")</f>
        <v/>
      </c>
      <c r="T100">
        <f>IF(O100="","",IFERROR(INDEX(SK_TD,MATCH(O100,SK_A,0)),""))</f>
        <v/>
      </c>
      <c r="U100" t="inlineStr">
        <is>
          <t>Sales Surgical (ví dụ)</t>
        </is>
      </c>
      <c r="V100">
        <f>IF(AND(O100&lt;&gt;"",O100=SEL_K,J100&lt;&gt;"Xong",J100&lt;&gt;"Bỏ qua"),IF(ISNUMBER(I100),I100,99999)+ROW()/100000,"")</f>
        <v/>
      </c>
    </row>
    <row r="101">
      <c r="A101" s="12">
        <f>IF(O101="","",IFERROR(INDEX(SK_B,MATCH(O101,SK_A,0))&amp;"",""))</f>
        <v/>
      </c>
      <c r="B101" s="45">
        <f>IF(O101="","",IFERROR(INDEX(SK_C,MATCH(O101,SK_A,0)),""))</f>
        <v/>
      </c>
      <c r="C101" s="46">
        <f>IF(Q101="","",IF(Q101=0,"D",IF(Q101&lt;0,"D"&amp;Q101,"D+"&amp;Q101)))</f>
        <v/>
      </c>
      <c r="D101" s="14" t="inlineStr">
        <is>
          <t>4. Truyền thông</t>
        </is>
      </c>
      <c r="E101" s="12" t="inlineStr">
        <is>
          <t>Đăng chuỗi bài truyền thông sự kiện</t>
        </is>
      </c>
      <c r="F101" s="46" t="inlineStr">
        <is>
          <t>Digital MKT</t>
        </is>
      </c>
      <c r="G101" s="47" t="inlineStr">
        <is>
          <t>Digital (ví dụ)</t>
        </is>
      </c>
      <c r="H101" s="14" t="inlineStr">
        <is>
          <t>Sales, NPP chia sẻ</t>
        </is>
      </c>
      <c r="I101" s="13">
        <f>IF(OR(B101="",Q101=""),"",IF(Q101&gt;0,IF(R101="Làm việc",WORKDAY(IFERROR(IF(INDEX(SK_D,MATCH(O101,SK_A,0))="",B101,INDEX(SK_D,MATCH(O101,SK_A,0))),B101),Q101,HOLI),IFERROR(IF(INDEX(SK_D,MATCH(O101,SK_A,0))="",B101,INDEX(SK_D,MATCH(O101,SK_A,0))),B101)+Q101),B101+Q101))</f>
        <v/>
      </c>
      <c r="J101" s="14" t="inlineStr">
        <is>
          <t>Chưa làm</t>
        </is>
      </c>
      <c r="K101" s="13" t="n"/>
      <c r="L101" s="12" t="n"/>
      <c r="M101" s="48">
        <f>IF(E101="","",IF(J101="Bỏ qua","—",IF(J101="Xong",IF(AND(ISNUMBER(K101),ISNUMBER(I101),K101&gt;I101),"Xong trễ","Xong"),MID(IF(G101=""," · CHƯA GIAO","")&amp;IF(NOT(ISNUMBER(I101)),"",IF(TODAY()&gt;I101," · QUÁ HẠN "&amp;(TODAY()-I101)&amp;" ngày",IF(I101-TODAY()&lt;=3," · Đến hạn "&amp;IF(I101=TODAY(),"hôm nay","trong "&amp;(I101-TODAY())&amp;" ngày"),"")))&amp;IF(J101="Chờ đối tác"," · Chờ đối tác"&amp;IF(ISNUMBER(N101)," "&amp;(TODAY()-INT(N101))&amp;" ngày",""),""),4,200))))</f>
        <v/>
      </c>
      <c r="N101" s="49" t="n"/>
      <c r="O101" t="inlineStr">
        <is>
          <t>VD-4</t>
        </is>
      </c>
      <c r="P101" t="inlineStr">
        <is>
          <t>K08</t>
        </is>
      </c>
      <c r="Q101" t="n">
        <v>-14</v>
      </c>
      <c r="R101" t="inlineStr">
        <is>
          <t>Lịch</t>
        </is>
      </c>
      <c r="S101">
        <f>IF(AND(E101&lt;&gt;"",T101="Có",J101&lt;&gt;"Xong",J101&lt;&gt;"Bỏ qua",ISNUMBER(I101)),I101+ROW()/100000,"")</f>
        <v/>
      </c>
      <c r="T101">
        <f>IF(O101="","",IFERROR(INDEX(SK_TD,MATCH(O101,SK_A,0)),""))</f>
        <v/>
      </c>
      <c r="U101" t="inlineStr">
        <is>
          <t>Digital (ví dụ)</t>
        </is>
      </c>
      <c r="V101">
        <f>IF(AND(O101&lt;&gt;"",O101=SEL_K,J101&lt;&gt;"Xong",J101&lt;&gt;"Bỏ qua"),IF(ISNUMBER(I101),I101,99999)+ROW()/100000,"")</f>
        <v/>
      </c>
    </row>
    <row r="102">
      <c r="A102" s="12">
        <f>IF(O102="","",IFERROR(INDEX(SK_B,MATCH(O102,SK_A,0))&amp;"",""))</f>
        <v/>
      </c>
      <c r="B102" s="45">
        <f>IF(O102="","",IFERROR(INDEX(SK_C,MATCH(O102,SK_A,0)),""))</f>
        <v/>
      </c>
      <c r="C102" s="46">
        <f>IF(Q102="","",IF(Q102=0,"D",IF(Q102&lt;0,"D"&amp;Q102,"D+"&amp;Q102)))</f>
        <v/>
      </c>
      <c r="D102" s="14" t="inlineStr">
        <is>
          <t>5. Địa điểm &amp; hậu cần</t>
        </is>
      </c>
      <c r="E102" s="12" t="inlineStr">
        <is>
          <t>Đặt địa điểm (ngày, phòng, sức chứa, báo giá)</t>
        </is>
      </c>
      <c r="F102" s="46" t="inlineStr">
        <is>
          <t>Trade MKT</t>
        </is>
      </c>
      <c r="G102" s="47" t="inlineStr">
        <is>
          <t>Trade (ví dụ)</t>
        </is>
      </c>
      <c r="H102" s="14" t="inlineStr">
        <is>
          <t>Địa điểm</t>
        </is>
      </c>
      <c r="I102" s="13">
        <f>IF(OR(B102="",Q102=""),"",IF(Q102&gt;0,IF(R102="Làm việc",WORKDAY(IFERROR(IF(INDEX(SK_D,MATCH(O102,SK_A,0))="",B102,INDEX(SK_D,MATCH(O102,SK_A,0))),B102),Q102,HOLI),IFERROR(IF(INDEX(SK_D,MATCH(O102,SK_A,0))="",B102,INDEX(SK_D,MATCH(O102,SK_A,0))),B102)+Q102),B102+Q102))</f>
        <v/>
      </c>
      <c r="J102" s="14" t="inlineStr">
        <is>
          <t>Chưa làm</t>
        </is>
      </c>
      <c r="K102" s="13" t="n"/>
      <c r="L102" s="12" t="n"/>
      <c r="M102" s="48">
        <f>IF(E102="","",IF(J102="Bỏ qua","—",IF(J102="Xong",IF(AND(ISNUMBER(K102),ISNUMBER(I102),K102&gt;I102),"Xong trễ","Xong"),MID(IF(G102=""," · CHƯA GIAO","")&amp;IF(NOT(ISNUMBER(I102)),"",IF(TODAY()&gt;I102," · QUÁ HẠN "&amp;(TODAY()-I102)&amp;" ngày",IF(I102-TODAY()&lt;=3," · Đến hạn "&amp;IF(I102=TODAY(),"hôm nay","trong "&amp;(I102-TODAY())&amp;" ngày"),"")))&amp;IF(J102="Chờ đối tác"," · Chờ đối tác"&amp;IF(ISNUMBER(N102)," "&amp;(TODAY()-INT(N102))&amp;" ngày",""),""),4,200))))</f>
        <v/>
      </c>
      <c r="N102" s="49" t="n"/>
      <c r="O102" t="inlineStr">
        <is>
          <t>VD-4</t>
        </is>
      </c>
      <c r="P102" t="inlineStr">
        <is>
          <t>K09</t>
        </is>
      </c>
      <c r="Q102" t="n">
        <v>-30</v>
      </c>
      <c r="R102" t="inlineStr">
        <is>
          <t>Lịch</t>
        </is>
      </c>
      <c r="S102">
        <f>IF(AND(E102&lt;&gt;"",T102="Có",J102&lt;&gt;"Xong",J102&lt;&gt;"Bỏ qua",ISNUMBER(I102)),I102+ROW()/100000,"")</f>
        <v/>
      </c>
      <c r="T102">
        <f>IF(O102="","",IFERROR(INDEX(SK_TD,MATCH(O102,SK_A,0)),""))</f>
        <v/>
      </c>
      <c r="U102" t="inlineStr">
        <is>
          <t>Trade (ví dụ)</t>
        </is>
      </c>
      <c r="V102">
        <f>IF(AND(O102&lt;&gt;"",O102=SEL_K,J102&lt;&gt;"Xong",J102&lt;&gt;"Bỏ qua"),IF(ISNUMBER(I102),I102,99999)+ROW()/100000,"")</f>
        <v/>
      </c>
    </row>
    <row r="103">
      <c r="A103" s="12">
        <f>IF(O103="","",IFERROR(INDEX(SK_B,MATCH(O103,SK_A,0))&amp;"",""))</f>
        <v/>
      </c>
      <c r="B103" s="45">
        <f>IF(O103="","",IFERROR(INDEX(SK_C,MATCH(O103,SK_A,0)),""))</f>
        <v/>
      </c>
      <c r="C103" s="46">
        <f>IF(Q103="","",IF(Q103=0,"D",IF(Q103&lt;0,"D"&amp;Q103,"D+"&amp;Q103)))</f>
        <v/>
      </c>
      <c r="D103" s="14" t="inlineStr">
        <is>
          <t>5. Địa điểm &amp; hậu cần</t>
        </is>
      </c>
      <c r="E103" s="12" t="inlineStr">
        <is>
          <t>Chốt setup với địa điểm: sơ đồ, tea break / ăn trưa, kỹ thuật, sự kiện khác cùng giờ</t>
        </is>
      </c>
      <c r="F103" s="46" t="inlineStr">
        <is>
          <t>Trade MKT</t>
        </is>
      </c>
      <c r="G103" s="47" t="inlineStr">
        <is>
          <t>Trade (ví dụ)</t>
        </is>
      </c>
      <c r="H103" s="14" t="inlineStr">
        <is>
          <t>Địa điểm</t>
        </is>
      </c>
      <c r="I103" s="13">
        <f>IF(OR(B103="",Q103=""),"",IF(Q103&gt;0,IF(R103="Làm việc",WORKDAY(IFERROR(IF(INDEX(SK_D,MATCH(O103,SK_A,0))="",B103,INDEX(SK_D,MATCH(O103,SK_A,0))),B103),Q103,HOLI),IFERROR(IF(INDEX(SK_D,MATCH(O103,SK_A,0))="",B103,INDEX(SK_D,MATCH(O103,SK_A,0))),B103)+Q103),B103+Q103))</f>
        <v/>
      </c>
      <c r="J103" s="14" t="inlineStr">
        <is>
          <t>Chưa làm</t>
        </is>
      </c>
      <c r="K103" s="13" t="n"/>
      <c r="L103" s="12" t="n"/>
      <c r="M103" s="48">
        <f>IF(E103="","",IF(J103="Bỏ qua","—",IF(J103="Xong",IF(AND(ISNUMBER(K103),ISNUMBER(I103),K103&gt;I103),"Xong trễ","Xong"),MID(IF(G103=""," · CHƯA GIAO","")&amp;IF(NOT(ISNUMBER(I103)),"",IF(TODAY()&gt;I103," · QUÁ HẠN "&amp;(TODAY()-I103)&amp;" ngày",IF(I103-TODAY()&lt;=3," · Đến hạn "&amp;IF(I103=TODAY(),"hôm nay","trong "&amp;(I103-TODAY())&amp;" ngày"),"")))&amp;IF(J103="Chờ đối tác"," · Chờ đối tác"&amp;IF(ISNUMBER(N103)," "&amp;(TODAY()-INT(N103))&amp;" ngày",""),""),4,200))))</f>
        <v/>
      </c>
      <c r="N103" s="49" t="n"/>
      <c r="O103" t="inlineStr">
        <is>
          <t>VD-4</t>
        </is>
      </c>
      <c r="P103" t="inlineStr">
        <is>
          <t>K10</t>
        </is>
      </c>
      <c r="Q103" t="n">
        <v>-14</v>
      </c>
      <c r="R103" t="inlineStr">
        <is>
          <t>Lịch</t>
        </is>
      </c>
      <c r="S103">
        <f>IF(AND(E103&lt;&gt;"",T103="Có",J103&lt;&gt;"Xong",J103&lt;&gt;"Bỏ qua",ISNUMBER(I103)),I103+ROW()/100000,"")</f>
        <v/>
      </c>
      <c r="T103">
        <f>IF(O103="","",IFERROR(INDEX(SK_TD,MATCH(O103,SK_A,0)),""))</f>
        <v/>
      </c>
      <c r="U103" t="inlineStr">
        <is>
          <t>Trade (ví dụ)</t>
        </is>
      </c>
      <c r="V103">
        <f>IF(AND(O103&lt;&gt;"",O103=SEL_K,J103&lt;&gt;"Xong",J103&lt;&gt;"Bỏ qua"),IF(ISNUMBER(I103),I103,99999)+ROW()/100000,"")</f>
        <v/>
      </c>
    </row>
    <row r="104">
      <c r="A104" s="12">
        <f>IF(O104="","",IFERROR(INDEX(SK_B,MATCH(O104,SK_A,0))&amp;"",""))</f>
        <v/>
      </c>
      <c r="B104" s="45">
        <f>IF(O104="","",IFERROR(INDEX(SK_C,MATCH(O104,SK_A,0)),""))</f>
        <v/>
      </c>
      <c r="C104" s="46">
        <f>IF(Q104="","",IF(Q104=0,"D",IF(Q104&lt;0,"D"&amp;Q104,"D+"&amp;Q104)))</f>
        <v/>
      </c>
      <c r="D104" s="14" t="inlineStr">
        <is>
          <t>6. Nội dung</t>
        </is>
      </c>
      <c r="E104" s="12" t="inlineStr">
        <is>
          <t>Timeline chi tiết ngày D</t>
        </is>
      </c>
      <c r="F104" s="46" t="inlineStr">
        <is>
          <t>MKT Leader</t>
        </is>
      </c>
      <c r="G104" s="47" t="inlineStr">
        <is>
          <t>Leader MKT (ví dụ)</t>
        </is>
      </c>
      <c r="H104" s="14" t="inlineStr">
        <is>
          <t>KOL, Viện</t>
        </is>
      </c>
      <c r="I104" s="13">
        <f>IF(OR(B104="",Q104=""),"",IF(Q104&gt;0,IF(R104="Làm việc",WORKDAY(IFERROR(IF(INDEX(SK_D,MATCH(O104,SK_A,0))="",B104,INDEX(SK_D,MATCH(O104,SK_A,0))),B104),Q104,HOLI),IFERROR(IF(INDEX(SK_D,MATCH(O104,SK_A,0))="",B104,INDEX(SK_D,MATCH(O104,SK_A,0))),B104)+Q104),B104+Q104))</f>
        <v/>
      </c>
      <c r="J104" s="14" t="inlineStr">
        <is>
          <t>Chưa làm</t>
        </is>
      </c>
      <c r="K104" s="13" t="n"/>
      <c r="L104" s="12" t="n"/>
      <c r="M104" s="48">
        <f>IF(E104="","",IF(J104="Bỏ qua","—",IF(J104="Xong",IF(AND(ISNUMBER(K104),ISNUMBER(I104),K104&gt;I104),"Xong trễ","Xong"),MID(IF(G104=""," · CHƯA GIAO","")&amp;IF(NOT(ISNUMBER(I104)),"",IF(TODAY()&gt;I104," · QUÁ HẠN "&amp;(TODAY()-I104)&amp;" ngày",IF(I104-TODAY()&lt;=3," · Đến hạn "&amp;IF(I104=TODAY(),"hôm nay","trong "&amp;(I104-TODAY())&amp;" ngày"),"")))&amp;IF(J104="Chờ đối tác"," · Chờ đối tác"&amp;IF(ISNUMBER(N104)," "&amp;(TODAY()-INT(N104))&amp;" ngày",""),""),4,200))))</f>
        <v/>
      </c>
      <c r="N104" s="49" t="n"/>
      <c r="O104" t="inlineStr">
        <is>
          <t>VD-4</t>
        </is>
      </c>
      <c r="P104" t="inlineStr">
        <is>
          <t>K12</t>
        </is>
      </c>
      <c r="Q104" t="n">
        <v>-7</v>
      </c>
      <c r="R104" t="inlineStr">
        <is>
          <t>Lịch</t>
        </is>
      </c>
      <c r="S104">
        <f>IF(AND(E104&lt;&gt;"",T104="Có",J104&lt;&gt;"Xong",J104&lt;&gt;"Bỏ qua",ISNUMBER(I104)),I104+ROW()/100000,"")</f>
        <v/>
      </c>
      <c r="T104">
        <f>IF(O104="","",IFERROR(INDEX(SK_TD,MATCH(O104,SK_A,0)),""))</f>
        <v/>
      </c>
      <c r="U104" t="inlineStr">
        <is>
          <t>Leader MKT (ví dụ)</t>
        </is>
      </c>
      <c r="V104">
        <f>IF(AND(O104&lt;&gt;"",O104=SEL_K,J104&lt;&gt;"Xong",J104&lt;&gt;"Bỏ qua"),IF(ISNUMBER(I104),I104,99999)+ROW()/100000,"")</f>
        <v/>
      </c>
    </row>
    <row r="105">
      <c r="A105" s="12">
        <f>IF(O105="","",IFERROR(INDEX(SK_B,MATCH(O105,SK_A,0))&amp;"",""))</f>
        <v/>
      </c>
      <c r="B105" s="45">
        <f>IF(O105="","",IFERROR(INDEX(SK_C,MATCH(O105,SK_A,0)),""))</f>
        <v/>
      </c>
      <c r="C105" s="46">
        <f>IF(Q105="","",IF(Q105=0,"D",IF(Q105&lt;0,"D"&amp;Q105,"D+"&amp;Q105)))</f>
        <v/>
      </c>
      <c r="D105" s="14" t="inlineStr">
        <is>
          <t>6. Nội dung</t>
        </is>
      </c>
      <c r="E105" s="12" t="inlineStr">
        <is>
          <t>Kịch bản MC, kịch bản phát biểu, video trình chiếu</t>
        </is>
      </c>
      <c r="F105" s="46" t="inlineStr">
        <is>
          <t>Digital MKT</t>
        </is>
      </c>
      <c r="G105" s="47" t="inlineStr">
        <is>
          <t>Digital (ví dụ)</t>
        </is>
      </c>
      <c r="H105" s="14" t="inlineStr">
        <is>
          <t>KOL, Viện</t>
        </is>
      </c>
      <c r="I105" s="13">
        <f>IF(OR(B105="",Q105=""),"",IF(Q105&gt;0,IF(R105="Làm việc",WORKDAY(IFERROR(IF(INDEX(SK_D,MATCH(O105,SK_A,0))="",B105,INDEX(SK_D,MATCH(O105,SK_A,0))),B105),Q105,HOLI),IFERROR(IF(INDEX(SK_D,MATCH(O105,SK_A,0))="",B105,INDEX(SK_D,MATCH(O105,SK_A,0))),B105)+Q105),B105+Q105))</f>
        <v/>
      </c>
      <c r="J105" s="14" t="inlineStr">
        <is>
          <t>Chưa làm</t>
        </is>
      </c>
      <c r="K105" s="13" t="n"/>
      <c r="L105" s="12" t="n"/>
      <c r="M105" s="48">
        <f>IF(E105="","",IF(J105="Bỏ qua","—",IF(J105="Xong",IF(AND(ISNUMBER(K105),ISNUMBER(I105),K105&gt;I105),"Xong trễ","Xong"),MID(IF(G105=""," · CHƯA GIAO","")&amp;IF(NOT(ISNUMBER(I105)),"",IF(TODAY()&gt;I105," · QUÁ HẠN "&amp;(TODAY()-I105)&amp;" ngày",IF(I105-TODAY()&lt;=3," · Đến hạn "&amp;IF(I105=TODAY(),"hôm nay","trong "&amp;(I105-TODAY())&amp;" ngày"),"")))&amp;IF(J105="Chờ đối tác"," · Chờ đối tác"&amp;IF(ISNUMBER(N105)," "&amp;(TODAY()-INT(N105))&amp;" ngày",""),""),4,200))))</f>
        <v/>
      </c>
      <c r="N105" s="49" t="n"/>
      <c r="O105" t="inlineStr">
        <is>
          <t>VD-4</t>
        </is>
      </c>
      <c r="P105" t="inlineStr">
        <is>
          <t>K13</t>
        </is>
      </c>
      <c r="Q105" t="n">
        <v>-7</v>
      </c>
      <c r="R105" t="inlineStr">
        <is>
          <t>Lịch</t>
        </is>
      </c>
      <c r="S105">
        <f>IF(AND(E105&lt;&gt;"",T105="Có",J105&lt;&gt;"Xong",J105&lt;&gt;"Bỏ qua",ISNUMBER(I105)),I105+ROW()/100000,"")</f>
        <v/>
      </c>
      <c r="T105">
        <f>IF(O105="","",IFERROR(INDEX(SK_TD,MATCH(O105,SK_A,0)),""))</f>
        <v/>
      </c>
      <c r="U105" t="inlineStr">
        <is>
          <t>Digital (ví dụ)</t>
        </is>
      </c>
      <c r="V105">
        <f>IF(AND(O105&lt;&gt;"",O105=SEL_K,J105&lt;&gt;"Xong",J105&lt;&gt;"Bỏ qua"),IF(ISNUMBER(I105),I105,99999)+ROW()/100000,"")</f>
        <v/>
      </c>
    </row>
    <row r="106">
      <c r="A106" s="12">
        <f>IF(O106="","",IFERROR(INDEX(SK_B,MATCH(O106,SK_A,0))&amp;"",""))</f>
        <v/>
      </c>
      <c r="B106" s="45">
        <f>IF(O106="","",IFERROR(INDEX(SK_C,MATCH(O106,SK_A,0)),""))</f>
        <v/>
      </c>
      <c r="C106" s="46">
        <f>IF(Q106="","",IF(Q106=0,"D",IF(Q106&lt;0,"D"&amp;Q106,"D+"&amp;Q106)))</f>
        <v/>
      </c>
      <c r="D106" s="14" t="inlineStr">
        <is>
          <t>7. Ấn phẩm &amp; đồ</t>
        </is>
      </c>
      <c r="E106" s="12" t="inlineStr">
        <is>
          <t>Thiết kế &amp; in: backdrop, standee, thẻ đeo, bảng tên, folder, QR khảo sát, biểu mẫu check-in ký tay</t>
        </is>
      </c>
      <c r="F106" s="46" t="inlineStr">
        <is>
          <t>Digital MKT</t>
        </is>
      </c>
      <c r="G106" s="47" t="inlineStr">
        <is>
          <t>Digital (ví dụ)</t>
        </is>
      </c>
      <c r="H106" s="14" t="inlineStr">
        <is>
          <t>Trade MKT</t>
        </is>
      </c>
      <c r="I106" s="13">
        <f>IF(OR(B106="",Q106=""),"",IF(Q106&gt;0,IF(R106="Làm việc",WORKDAY(IFERROR(IF(INDEX(SK_D,MATCH(O106,SK_A,0))="",B106,INDEX(SK_D,MATCH(O106,SK_A,0))),B106),Q106,HOLI),IFERROR(IF(INDEX(SK_D,MATCH(O106,SK_A,0))="",B106,INDEX(SK_D,MATCH(O106,SK_A,0))),B106)+Q106),B106+Q106))</f>
        <v/>
      </c>
      <c r="J106" s="14" t="inlineStr">
        <is>
          <t>Chưa làm</t>
        </is>
      </c>
      <c r="K106" s="13" t="n"/>
      <c r="L106" s="12" t="n"/>
      <c r="M106" s="48">
        <f>IF(E106="","",IF(J106="Bỏ qua","—",IF(J106="Xong",IF(AND(ISNUMBER(K106),ISNUMBER(I106),K106&gt;I106),"Xong trễ","Xong"),MID(IF(G106=""," · CHƯA GIAO","")&amp;IF(NOT(ISNUMBER(I106)),"",IF(TODAY()&gt;I106," · QUÁ HẠN "&amp;(TODAY()-I106)&amp;" ngày",IF(I106-TODAY()&lt;=3," · Đến hạn "&amp;IF(I106=TODAY(),"hôm nay","trong "&amp;(I106-TODAY())&amp;" ngày"),"")))&amp;IF(J106="Chờ đối tác"," · Chờ đối tác"&amp;IF(ISNUMBER(N106)," "&amp;(TODAY()-INT(N106))&amp;" ngày",""),""),4,200))))</f>
        <v/>
      </c>
      <c r="N106" s="49" t="n"/>
      <c r="O106" t="inlineStr">
        <is>
          <t>VD-4</t>
        </is>
      </c>
      <c r="P106" t="inlineStr">
        <is>
          <t>K14</t>
        </is>
      </c>
      <c r="Q106" t="n">
        <v>-7</v>
      </c>
      <c r="R106" t="inlineStr">
        <is>
          <t>Lịch</t>
        </is>
      </c>
      <c r="S106">
        <f>IF(AND(E106&lt;&gt;"",T106="Có",J106&lt;&gt;"Xong",J106&lt;&gt;"Bỏ qua",ISNUMBER(I106)),I106+ROW()/100000,"")</f>
        <v/>
      </c>
      <c r="T106">
        <f>IF(O106="","",IFERROR(INDEX(SK_TD,MATCH(O106,SK_A,0)),""))</f>
        <v/>
      </c>
      <c r="U106" t="inlineStr">
        <is>
          <t>Digital (ví dụ)</t>
        </is>
      </c>
      <c r="V106">
        <f>IF(AND(O106&lt;&gt;"",O106=SEL_K,J106&lt;&gt;"Xong",J106&lt;&gt;"Bỏ qua"),IF(ISNUMBER(I106),I106,99999)+ROW()/100000,"")</f>
        <v/>
      </c>
    </row>
    <row r="107">
      <c r="A107" s="12">
        <f>IF(O107="","",IFERROR(INDEX(SK_B,MATCH(O107,SK_A,0))&amp;"",""))</f>
        <v/>
      </c>
      <c r="B107" s="45">
        <f>IF(O107="","",IFERROR(INDEX(SK_C,MATCH(O107,SK_A,0)),""))</f>
        <v/>
      </c>
      <c r="C107" s="46">
        <f>IF(Q107="","",IF(Q107=0,"D",IF(Q107&lt;0,"D"&amp;Q107,"D+"&amp;Q107)))</f>
        <v/>
      </c>
      <c r="D107" s="14" t="inlineStr">
        <is>
          <t>7. Ấn phẩm &amp; đồ</t>
        </is>
      </c>
      <c r="E107" s="12" t="inlineStr">
        <is>
          <t>Đồ marketing + đồ thực hành theo phiên (nguồn, báo giá, đồ mượn)</t>
        </is>
      </c>
      <c r="F107" s="46" t="inlineStr">
        <is>
          <t>Trade MKT</t>
        </is>
      </c>
      <c r="G107" s="47" t="inlineStr">
        <is>
          <t>Trade (ví dụ)</t>
        </is>
      </c>
      <c r="H107" s="14" t="inlineStr">
        <is>
          <t>KOL, NPP</t>
        </is>
      </c>
      <c r="I107" s="13">
        <f>IF(OR(B107="",Q107=""),"",IF(Q107&gt;0,IF(R107="Làm việc",WORKDAY(IFERROR(IF(INDEX(SK_D,MATCH(O107,SK_A,0))="",B107,INDEX(SK_D,MATCH(O107,SK_A,0))),B107),Q107,HOLI),IFERROR(IF(INDEX(SK_D,MATCH(O107,SK_A,0))="",B107,INDEX(SK_D,MATCH(O107,SK_A,0))),B107)+Q107),B107+Q107))</f>
        <v/>
      </c>
      <c r="J107" s="14" t="inlineStr">
        <is>
          <t>Chưa làm</t>
        </is>
      </c>
      <c r="K107" s="13" t="n"/>
      <c r="L107" s="12" t="n"/>
      <c r="M107" s="48">
        <f>IF(E107="","",IF(J107="Bỏ qua","—",IF(J107="Xong",IF(AND(ISNUMBER(K107),ISNUMBER(I107),K107&gt;I107),"Xong trễ","Xong"),MID(IF(G107=""," · CHƯA GIAO","")&amp;IF(NOT(ISNUMBER(I107)),"",IF(TODAY()&gt;I107," · QUÁ HẠN "&amp;(TODAY()-I107)&amp;" ngày",IF(I107-TODAY()&lt;=3," · Đến hạn "&amp;IF(I107=TODAY(),"hôm nay","trong "&amp;(I107-TODAY())&amp;" ngày"),"")))&amp;IF(J107="Chờ đối tác"," · Chờ đối tác"&amp;IF(ISNUMBER(N107)," "&amp;(TODAY()-INT(N107))&amp;" ngày",""),""),4,200))))</f>
        <v/>
      </c>
      <c r="N107" s="49" t="n"/>
      <c r="O107" t="inlineStr">
        <is>
          <t>VD-4</t>
        </is>
      </c>
      <c r="P107" t="inlineStr">
        <is>
          <t>K15</t>
        </is>
      </c>
      <c r="Q107" t="n">
        <v>-10</v>
      </c>
      <c r="R107" t="inlineStr">
        <is>
          <t>Lịch</t>
        </is>
      </c>
      <c r="S107">
        <f>IF(AND(E107&lt;&gt;"",T107="Có",J107&lt;&gt;"Xong",J107&lt;&gt;"Bỏ qua",ISNUMBER(I107)),I107+ROW()/100000,"")</f>
        <v/>
      </c>
      <c r="T107">
        <f>IF(O107="","",IFERROR(INDEX(SK_TD,MATCH(O107,SK_A,0)),""))</f>
        <v/>
      </c>
      <c r="U107" t="inlineStr">
        <is>
          <t>Trade (ví dụ)</t>
        </is>
      </c>
      <c r="V107">
        <f>IF(AND(O107&lt;&gt;"",O107=SEL_K,J107&lt;&gt;"Xong",J107&lt;&gt;"Bỏ qua"),IF(ISNUMBER(I107),I107,99999)+ROW()/100000,"")</f>
        <v/>
      </c>
    </row>
    <row r="108">
      <c r="A108" s="12">
        <f>IF(O108="","",IFERROR(INDEX(SK_B,MATCH(O108,SK_A,0))&amp;"",""))</f>
        <v/>
      </c>
      <c r="B108" s="45">
        <f>IF(O108="","",IFERROR(INDEX(SK_C,MATCH(O108,SK_A,0)),""))</f>
        <v/>
      </c>
      <c r="C108" s="46">
        <f>IF(Q108="","",IF(Q108=0,"D",IF(Q108&lt;0,"D"&amp;Q108,"D+"&amp;Q108)))</f>
        <v/>
      </c>
      <c r="D108" s="14" t="inlineStr">
        <is>
          <t>7. Ấn phẩm &amp; đồ</t>
        </is>
      </c>
      <c r="E108" s="12" t="inlineStr">
        <is>
          <t>VIP / đại biểu (nếu có Viện): danh sách, hoa, bảng tên mica, quà, lời giới thiệu</t>
        </is>
      </c>
      <c r="F108" s="46" t="inlineStr">
        <is>
          <t>Trade MKT</t>
        </is>
      </c>
      <c r="G108" s="47" t="inlineStr">
        <is>
          <t>Trade (ví dụ)</t>
        </is>
      </c>
      <c r="H108" s="14" t="inlineStr">
        <is>
          <t>Viện</t>
        </is>
      </c>
      <c r="I108" s="13">
        <f>IF(OR(B108="",Q108=""),"",IF(Q108&gt;0,IF(R108="Làm việc",WORKDAY(IFERROR(IF(INDEX(SK_D,MATCH(O108,SK_A,0))="",B108,INDEX(SK_D,MATCH(O108,SK_A,0))),B108),Q108,HOLI),IFERROR(IF(INDEX(SK_D,MATCH(O108,SK_A,0))="",B108,INDEX(SK_D,MATCH(O108,SK_A,0))),B108)+Q108),B108+Q108))</f>
        <v/>
      </c>
      <c r="J108" s="14" t="inlineStr">
        <is>
          <t>Chưa làm</t>
        </is>
      </c>
      <c r="K108" s="13" t="n"/>
      <c r="L108" s="12" t="n"/>
      <c r="M108" s="48">
        <f>IF(E108="","",IF(J108="Bỏ qua","—",IF(J108="Xong",IF(AND(ISNUMBER(K108),ISNUMBER(I108),K108&gt;I108),"Xong trễ","Xong"),MID(IF(G108=""," · CHƯA GIAO","")&amp;IF(NOT(ISNUMBER(I108)),"",IF(TODAY()&gt;I108," · QUÁ HẠN "&amp;(TODAY()-I108)&amp;" ngày",IF(I108-TODAY()&lt;=3," · Đến hạn "&amp;IF(I108=TODAY(),"hôm nay","trong "&amp;(I108-TODAY())&amp;" ngày"),"")))&amp;IF(J108="Chờ đối tác"," · Chờ đối tác"&amp;IF(ISNUMBER(N108)," "&amp;(TODAY()-INT(N108))&amp;" ngày",""),""),4,200))))</f>
        <v/>
      </c>
      <c r="N108" s="49" t="n"/>
      <c r="O108" t="inlineStr">
        <is>
          <t>VD-4</t>
        </is>
      </c>
      <c r="P108" t="inlineStr">
        <is>
          <t>K16</t>
        </is>
      </c>
      <c r="Q108" t="n">
        <v>-7</v>
      </c>
      <c r="R108" t="inlineStr">
        <is>
          <t>Lịch</t>
        </is>
      </c>
      <c r="S108">
        <f>IF(AND(E108&lt;&gt;"",T108="Có",J108&lt;&gt;"Xong",J108&lt;&gt;"Bỏ qua",ISNUMBER(I108)),I108+ROW()/100000,"")</f>
        <v/>
      </c>
      <c r="T108">
        <f>IF(O108="","",IFERROR(INDEX(SK_TD,MATCH(O108,SK_A,0)),""))</f>
        <v/>
      </c>
      <c r="U108" t="inlineStr">
        <is>
          <t>Trade (ví dụ)</t>
        </is>
      </c>
      <c r="V108">
        <f>IF(AND(O108&lt;&gt;"",O108=SEL_K,J108&lt;&gt;"Xong",J108&lt;&gt;"Bỏ qua"),IF(ISNUMBER(I108),I108,99999)+ROW()/100000,"")</f>
        <v/>
      </c>
    </row>
    <row r="109">
      <c r="A109" s="12">
        <f>IF(O109="","",IFERROR(INDEX(SK_B,MATCH(O109,SK_A,0))&amp;"",""))</f>
        <v/>
      </c>
      <c r="B109" s="45">
        <f>IF(O109="","",IFERROR(INDEX(SK_C,MATCH(O109,SK_A,0)),""))</f>
        <v/>
      </c>
      <c r="C109" s="46">
        <f>IF(Q109="","",IF(Q109=0,"D",IF(Q109&lt;0,"D"&amp;Q109,"D+"&amp;Q109)))</f>
        <v/>
      </c>
      <c r="D109" s="14" t="inlineStr">
        <is>
          <t>7. Ấn phẩm &amp; đồ</t>
        </is>
      </c>
      <c r="E109" s="12" t="inlineStr">
        <is>
          <t>Gửi đồ đi tỉnh + xác nhận địa điểm nhận đủ</t>
        </is>
      </c>
      <c r="F109" s="46" t="inlineStr">
        <is>
          <t>Trade MKT</t>
        </is>
      </c>
      <c r="G109" s="47" t="inlineStr">
        <is>
          <t>Trade (ví dụ)</t>
        </is>
      </c>
      <c r="H109" s="14" t="inlineStr">
        <is>
          <t>Địa điểm</t>
        </is>
      </c>
      <c r="I109" s="13">
        <f>IF(OR(B109="",Q109=""),"",IF(Q109&gt;0,IF(R109="Làm việc",WORKDAY(IFERROR(IF(INDEX(SK_D,MATCH(O109,SK_A,0))="",B109,INDEX(SK_D,MATCH(O109,SK_A,0))),B109),Q109,HOLI),IFERROR(IF(INDEX(SK_D,MATCH(O109,SK_A,0))="",B109,INDEX(SK_D,MATCH(O109,SK_A,0))),B109)+Q109),B109+Q109))</f>
        <v/>
      </c>
      <c r="J109" s="14" t="inlineStr">
        <is>
          <t>Chưa làm</t>
        </is>
      </c>
      <c r="K109" s="13" t="n"/>
      <c r="L109" s="12" t="n"/>
      <c r="M109" s="48">
        <f>IF(E109="","",IF(J109="Bỏ qua","—",IF(J109="Xong",IF(AND(ISNUMBER(K109),ISNUMBER(I109),K109&gt;I109),"Xong trễ","Xong"),MID(IF(G109=""," · CHƯA GIAO","")&amp;IF(NOT(ISNUMBER(I109)),"",IF(TODAY()&gt;I109," · QUÁ HẠN "&amp;(TODAY()-I109)&amp;" ngày",IF(I109-TODAY()&lt;=3," · Đến hạn "&amp;IF(I109=TODAY(),"hôm nay","trong "&amp;(I109-TODAY())&amp;" ngày"),"")))&amp;IF(J109="Chờ đối tác"," · Chờ đối tác"&amp;IF(ISNUMBER(N109)," "&amp;(TODAY()-INT(N109))&amp;" ngày",""),""),4,200))))</f>
        <v/>
      </c>
      <c r="N109" s="49" t="n"/>
      <c r="O109" t="inlineStr">
        <is>
          <t>VD-4</t>
        </is>
      </c>
      <c r="P109" t="inlineStr">
        <is>
          <t>K17</t>
        </is>
      </c>
      <c r="Q109" t="n">
        <v>-7</v>
      </c>
      <c r="R109" t="inlineStr">
        <is>
          <t>Lịch</t>
        </is>
      </c>
      <c r="S109">
        <f>IF(AND(E109&lt;&gt;"",T109="Có",J109&lt;&gt;"Xong",J109&lt;&gt;"Bỏ qua",ISNUMBER(I109)),I109+ROW()/100000,"")</f>
        <v/>
      </c>
      <c r="T109">
        <f>IF(O109="","",IFERROR(INDEX(SK_TD,MATCH(O109,SK_A,0)),""))</f>
        <v/>
      </c>
      <c r="U109" t="inlineStr">
        <is>
          <t>Trade (ví dụ)</t>
        </is>
      </c>
      <c r="V109">
        <f>IF(AND(O109&lt;&gt;"",O109=SEL_K,J109&lt;&gt;"Xong",J109&lt;&gt;"Bỏ qua"),IF(ISNUMBER(I109),I109,99999)+ROW()/100000,"")</f>
        <v/>
      </c>
    </row>
    <row r="110">
      <c r="A110" s="12">
        <f>IF(O110="","",IFERROR(INDEX(SK_B,MATCH(O110,SK_A,0))&amp;"",""))</f>
        <v/>
      </c>
      <c r="B110" s="45">
        <f>IF(O110="","",IFERROR(INDEX(SK_C,MATCH(O110,SK_A,0)),""))</f>
        <v/>
      </c>
      <c r="C110" s="46">
        <f>IF(Q110="","",IF(Q110=0,"D",IF(Q110&lt;0,"D"&amp;Q110,"D+"&amp;Q110)))</f>
        <v/>
      </c>
      <c r="D110" s="14" t="inlineStr">
        <is>
          <t>8. Chốt trước D</t>
        </is>
      </c>
      <c r="E110" s="12" t="inlineStr">
        <is>
          <t>Họp với NPP: agenda, nhân sự, bán hàng, sản phẩm</t>
        </is>
      </c>
      <c r="F110" s="46" t="inlineStr">
        <is>
          <t>MKT Leader</t>
        </is>
      </c>
      <c r="G110" s="47" t="inlineStr">
        <is>
          <t>Leader MKT (ví dụ)</t>
        </is>
      </c>
      <c r="H110" s="14" t="inlineStr">
        <is>
          <t>NPP, Sales</t>
        </is>
      </c>
      <c r="I110" s="13">
        <f>IF(OR(B110="",Q110=""),"",IF(Q110&gt;0,IF(R110="Làm việc",WORKDAY(IFERROR(IF(INDEX(SK_D,MATCH(O110,SK_A,0))="",B110,INDEX(SK_D,MATCH(O110,SK_A,0))),B110),Q110,HOLI),IFERROR(IF(INDEX(SK_D,MATCH(O110,SK_A,0))="",B110,INDEX(SK_D,MATCH(O110,SK_A,0))),B110)+Q110),B110+Q110))</f>
        <v/>
      </c>
      <c r="J110" s="14" t="inlineStr">
        <is>
          <t>Chưa làm</t>
        </is>
      </c>
      <c r="K110" s="13" t="n"/>
      <c r="L110" s="12" t="n"/>
      <c r="M110" s="48">
        <f>IF(E110="","",IF(J110="Bỏ qua","—",IF(J110="Xong",IF(AND(ISNUMBER(K110),ISNUMBER(I110),K110&gt;I110),"Xong trễ","Xong"),MID(IF(G110=""," · CHƯA GIAO","")&amp;IF(NOT(ISNUMBER(I110)),"",IF(TODAY()&gt;I110," · QUÁ HẠN "&amp;(TODAY()-I110)&amp;" ngày",IF(I110-TODAY()&lt;=3," · Đến hạn "&amp;IF(I110=TODAY(),"hôm nay","trong "&amp;(I110-TODAY())&amp;" ngày"),"")))&amp;IF(J110="Chờ đối tác"," · Chờ đối tác"&amp;IF(ISNUMBER(N110)," "&amp;(TODAY()-INT(N110))&amp;" ngày",""),""),4,200))))</f>
        <v/>
      </c>
      <c r="N110" s="49" t="n"/>
      <c r="O110" t="inlineStr">
        <is>
          <t>VD-4</t>
        </is>
      </c>
      <c r="P110" t="inlineStr">
        <is>
          <t>K18</t>
        </is>
      </c>
      <c r="Q110" t="n">
        <v>-3</v>
      </c>
      <c r="R110" t="inlineStr">
        <is>
          <t>Lịch</t>
        </is>
      </c>
      <c r="S110">
        <f>IF(AND(E110&lt;&gt;"",T110="Có",J110&lt;&gt;"Xong",J110&lt;&gt;"Bỏ qua",ISNUMBER(I110)),I110+ROW()/100000,"")</f>
        <v/>
      </c>
      <c r="T110">
        <f>IF(O110="","",IFERROR(INDEX(SK_TD,MATCH(O110,SK_A,0)),""))</f>
        <v/>
      </c>
      <c r="U110" t="inlineStr">
        <is>
          <t>Leader MKT (ví dụ)</t>
        </is>
      </c>
      <c r="V110">
        <f>IF(AND(O110&lt;&gt;"",O110=SEL_K,J110&lt;&gt;"Xong",J110&lt;&gt;"Bỏ qua"),IF(ISNUMBER(I110),I110,99999)+ROW()/100000,"")</f>
        <v/>
      </c>
    </row>
    <row r="111">
      <c r="A111" s="12">
        <f>IF(O111="","",IFERROR(INDEX(SK_B,MATCH(O111,SK_A,0))&amp;"",""))</f>
        <v/>
      </c>
      <c r="B111" s="45">
        <f>IF(O111="","",IFERROR(INDEX(SK_C,MATCH(O111,SK_A,0)),""))</f>
        <v/>
      </c>
      <c r="C111" s="46">
        <f>IF(Q111="","",IF(Q111=0,"D",IF(Q111&lt;0,"D"&amp;Q111,"D+"&amp;Q111)))</f>
        <v/>
      </c>
      <c r="D111" s="14" t="inlineStr">
        <is>
          <t>8. Chốt trước D</t>
        </is>
      </c>
      <c r="E111" s="12" t="inlineStr">
        <is>
          <t>Rà soát dữ liệu khách (thiếu thông tin / chưa đồng ý dữ liệu)</t>
        </is>
      </c>
      <c r="F111" s="46" t="inlineStr">
        <is>
          <t>Digital MKT</t>
        </is>
      </c>
      <c r="G111" s="47" t="inlineStr">
        <is>
          <t>Digital (ví dụ)</t>
        </is>
      </c>
      <c r="H111" s="14" t="inlineStr">
        <is>
          <t>Sales, NPP</t>
        </is>
      </c>
      <c r="I111" s="13">
        <f>IF(OR(B111="",Q111=""),"",IF(Q111&gt;0,IF(R111="Làm việc",WORKDAY(IFERROR(IF(INDEX(SK_D,MATCH(O111,SK_A,0))="",B111,INDEX(SK_D,MATCH(O111,SK_A,0))),B111),Q111,HOLI),IFERROR(IF(INDEX(SK_D,MATCH(O111,SK_A,0))="",B111,INDEX(SK_D,MATCH(O111,SK_A,0))),B111)+Q111),B111+Q111))</f>
        <v/>
      </c>
      <c r="J111" s="14" t="inlineStr">
        <is>
          <t>Chưa làm</t>
        </is>
      </c>
      <c r="K111" s="13" t="n"/>
      <c r="L111" s="12" t="n"/>
      <c r="M111" s="48">
        <f>IF(E111="","",IF(J111="Bỏ qua","—",IF(J111="Xong",IF(AND(ISNUMBER(K111),ISNUMBER(I111),K111&gt;I111),"Xong trễ","Xong"),MID(IF(G111=""," · CHƯA GIAO","")&amp;IF(NOT(ISNUMBER(I111)),"",IF(TODAY()&gt;I111," · QUÁ HẠN "&amp;(TODAY()-I111)&amp;" ngày",IF(I111-TODAY()&lt;=3," · Đến hạn "&amp;IF(I111=TODAY(),"hôm nay","trong "&amp;(I111-TODAY())&amp;" ngày"),"")))&amp;IF(J111="Chờ đối tác"," · Chờ đối tác"&amp;IF(ISNUMBER(N111)," "&amp;(TODAY()-INT(N111))&amp;" ngày",""),""),4,200))))</f>
        <v/>
      </c>
      <c r="N111" s="49" t="n"/>
      <c r="O111" t="inlineStr">
        <is>
          <t>VD-4</t>
        </is>
      </c>
      <c r="P111" t="inlineStr">
        <is>
          <t>K19</t>
        </is>
      </c>
      <c r="Q111" t="n">
        <v>-3</v>
      </c>
      <c r="R111" t="inlineStr">
        <is>
          <t>Lịch</t>
        </is>
      </c>
      <c r="S111">
        <f>IF(AND(E111&lt;&gt;"",T111="Có",J111&lt;&gt;"Xong",J111&lt;&gt;"Bỏ qua",ISNUMBER(I111)),I111+ROW()/100000,"")</f>
        <v/>
      </c>
      <c r="T111">
        <f>IF(O111="","",IFERROR(INDEX(SK_TD,MATCH(O111,SK_A,0)),""))</f>
        <v/>
      </c>
      <c r="U111" t="inlineStr">
        <is>
          <t>Digital (ví dụ)</t>
        </is>
      </c>
      <c r="V111">
        <f>IF(AND(O111&lt;&gt;"",O111=SEL_K,J111&lt;&gt;"Xong",J111&lt;&gt;"Bỏ qua"),IF(ISNUMBER(I111),I111,99999)+ROW()/100000,"")</f>
        <v/>
      </c>
    </row>
    <row r="112">
      <c r="A112" s="12">
        <f>IF(O112="","",IFERROR(INDEX(SK_B,MATCH(O112,SK_A,0))&amp;"",""))</f>
        <v/>
      </c>
      <c r="B112" s="45">
        <f>IF(O112="","",IFERROR(INDEX(SK_C,MATCH(O112,SK_A,0)),""))</f>
        <v/>
      </c>
      <c r="C112" s="46">
        <f>IF(Q112="","",IF(Q112=0,"D",IF(Q112&lt;0,"D"&amp;Q112,"D+"&amp;Q112)))</f>
        <v/>
      </c>
      <c r="D112" s="14" t="inlineStr">
        <is>
          <t>8. Chốt trước D</t>
        </is>
      </c>
      <c r="E112" s="12" t="inlineStr">
        <is>
          <t>Phân công nhân sự trước / trong / sau, giờ có mặt</t>
        </is>
      </c>
      <c r="F112" s="46" t="inlineStr">
        <is>
          <t>MKT Leader</t>
        </is>
      </c>
      <c r="G112" s="47" t="inlineStr">
        <is>
          <t>Leader MKT (ví dụ)</t>
        </is>
      </c>
      <c r="H112" s="14" t="inlineStr">
        <is>
          <t>Sales, NPP</t>
        </is>
      </c>
      <c r="I112" s="13">
        <f>IF(OR(B112="",Q112=""),"",IF(Q112&gt;0,IF(R112="Làm việc",WORKDAY(IFERROR(IF(INDEX(SK_D,MATCH(O112,SK_A,0))="",B112,INDEX(SK_D,MATCH(O112,SK_A,0))),B112),Q112,HOLI),IFERROR(IF(INDEX(SK_D,MATCH(O112,SK_A,0))="",B112,INDEX(SK_D,MATCH(O112,SK_A,0))),B112)+Q112),B112+Q112))</f>
        <v/>
      </c>
      <c r="J112" s="14" t="inlineStr">
        <is>
          <t>Chưa làm</t>
        </is>
      </c>
      <c r="K112" s="13" t="n"/>
      <c r="L112" s="12" t="n"/>
      <c r="M112" s="48">
        <f>IF(E112="","",IF(J112="Bỏ qua","—",IF(J112="Xong",IF(AND(ISNUMBER(K112),ISNUMBER(I112),K112&gt;I112),"Xong trễ","Xong"),MID(IF(G112=""," · CHƯA GIAO","")&amp;IF(NOT(ISNUMBER(I112)),"",IF(TODAY()&gt;I112," · QUÁ HẠN "&amp;(TODAY()-I112)&amp;" ngày",IF(I112-TODAY()&lt;=3," · Đến hạn "&amp;IF(I112=TODAY(),"hôm nay","trong "&amp;(I112-TODAY())&amp;" ngày"),"")))&amp;IF(J112="Chờ đối tác"," · Chờ đối tác"&amp;IF(ISNUMBER(N112)," "&amp;(TODAY()-INT(N112))&amp;" ngày",""),""),4,200))))</f>
        <v/>
      </c>
      <c r="N112" s="49" t="n"/>
      <c r="O112" t="inlineStr">
        <is>
          <t>VD-4</t>
        </is>
      </c>
      <c r="P112" t="inlineStr">
        <is>
          <t>K20</t>
        </is>
      </c>
      <c r="Q112" t="n">
        <v>-3</v>
      </c>
      <c r="R112" t="inlineStr">
        <is>
          <t>Lịch</t>
        </is>
      </c>
      <c r="S112">
        <f>IF(AND(E112&lt;&gt;"",T112="Có",J112&lt;&gt;"Xong",J112&lt;&gt;"Bỏ qua",ISNUMBER(I112)),I112+ROW()/100000,"")</f>
        <v/>
      </c>
      <c r="T112">
        <f>IF(O112="","",IFERROR(INDEX(SK_TD,MATCH(O112,SK_A,0)),""))</f>
        <v/>
      </c>
      <c r="U112" t="inlineStr">
        <is>
          <t>Leader MKT (ví dụ)</t>
        </is>
      </c>
      <c r="V112">
        <f>IF(AND(O112&lt;&gt;"",O112=SEL_K,J112&lt;&gt;"Xong",J112&lt;&gt;"Bỏ qua"),IF(ISNUMBER(I112),I112,99999)+ROW()/100000,"")</f>
        <v/>
      </c>
    </row>
    <row r="113">
      <c r="A113" s="12">
        <f>IF(O113="","",IFERROR(INDEX(SK_B,MATCH(O113,SK_A,0))&amp;"",""))</f>
        <v/>
      </c>
      <c r="B113" s="45">
        <f>IF(O113="","",IFERROR(INDEX(SK_C,MATCH(O113,SK_A,0)),""))</f>
        <v/>
      </c>
      <c r="C113" s="46">
        <f>IF(Q113="","",IF(Q113=0,"D",IF(Q113&lt;0,"D"&amp;Q113,"D+"&amp;Q113)))</f>
        <v/>
      </c>
      <c r="D113" s="14" t="inlineStr">
        <is>
          <t>8. Chốt trước D</t>
        </is>
      </c>
      <c r="E113" s="12" t="inlineStr">
        <is>
          <t>Họp review D-1 + gọi nhắc khách + set up địa điểm / chạy thử Zoom</t>
        </is>
      </c>
      <c r="F113" s="46" t="inlineStr">
        <is>
          <t>MKT Leader</t>
        </is>
      </c>
      <c r="G113" s="47" t="inlineStr">
        <is>
          <t>Leader MKT (ví dụ)</t>
        </is>
      </c>
      <c r="H113" s="14" t="inlineStr">
        <is>
          <t>Toàn team</t>
        </is>
      </c>
      <c r="I113" s="13">
        <f>IF(OR(B113="",Q113=""),"",IF(Q113&gt;0,IF(R113="Làm việc",WORKDAY(IFERROR(IF(INDEX(SK_D,MATCH(O113,SK_A,0))="",B113,INDEX(SK_D,MATCH(O113,SK_A,0))),B113),Q113,HOLI),IFERROR(IF(INDEX(SK_D,MATCH(O113,SK_A,0))="",B113,INDEX(SK_D,MATCH(O113,SK_A,0))),B113)+Q113),B113+Q113))</f>
        <v/>
      </c>
      <c r="J113" s="14" t="inlineStr">
        <is>
          <t>Chưa làm</t>
        </is>
      </c>
      <c r="K113" s="13" t="n"/>
      <c r="L113" s="12" t="n"/>
      <c r="M113" s="48">
        <f>IF(E113="","",IF(J113="Bỏ qua","—",IF(J113="Xong",IF(AND(ISNUMBER(K113),ISNUMBER(I113),K113&gt;I113),"Xong trễ","Xong"),MID(IF(G113=""," · CHƯA GIAO","")&amp;IF(NOT(ISNUMBER(I113)),"",IF(TODAY()&gt;I113," · QUÁ HẠN "&amp;(TODAY()-I113)&amp;" ngày",IF(I113-TODAY()&lt;=3," · Đến hạn "&amp;IF(I113=TODAY(),"hôm nay","trong "&amp;(I113-TODAY())&amp;" ngày"),"")))&amp;IF(J113="Chờ đối tác"," · Chờ đối tác"&amp;IF(ISNUMBER(N113)," "&amp;(TODAY()-INT(N113))&amp;" ngày",""),""),4,200))))</f>
        <v/>
      </c>
      <c r="N113" s="49" t="n"/>
      <c r="O113" t="inlineStr">
        <is>
          <t>VD-4</t>
        </is>
      </c>
      <c r="P113" t="inlineStr">
        <is>
          <t>K21</t>
        </is>
      </c>
      <c r="Q113" t="n">
        <v>-1</v>
      </c>
      <c r="R113" t="inlineStr">
        <is>
          <t>Lịch</t>
        </is>
      </c>
      <c r="S113">
        <f>IF(AND(E113&lt;&gt;"",T113="Có",J113&lt;&gt;"Xong",J113&lt;&gt;"Bỏ qua",ISNUMBER(I113)),I113+ROW()/100000,"")</f>
        <v/>
      </c>
      <c r="T113">
        <f>IF(O113="","",IFERROR(INDEX(SK_TD,MATCH(O113,SK_A,0)),""))</f>
        <v/>
      </c>
      <c r="U113" t="inlineStr">
        <is>
          <t>Leader MKT (ví dụ)</t>
        </is>
      </c>
      <c r="V113">
        <f>IF(AND(O113&lt;&gt;"",O113=SEL_K,J113&lt;&gt;"Xong",J113&lt;&gt;"Bỏ qua"),IF(ISNUMBER(I113),I113,99999)+ROW()/100000,"")</f>
        <v/>
      </c>
    </row>
    <row r="114">
      <c r="A114" s="12">
        <f>IF(O114="","",IFERROR(INDEX(SK_B,MATCH(O114,SK_A,0))&amp;"",""))</f>
        <v/>
      </c>
      <c r="B114" s="45">
        <f>IF(O114="","",IFERROR(INDEX(SK_C,MATCH(O114,SK_A,0)),""))</f>
        <v/>
      </c>
      <c r="C114" s="46">
        <f>IF(Q114="","",IF(Q114=0,"D",IF(Q114&lt;0,"D"&amp;Q114,"D+"&amp;Q114)))</f>
        <v/>
      </c>
      <c r="D114" s="14" t="inlineStr">
        <is>
          <t>9. Ngày D</t>
        </is>
      </c>
      <c r="E114" s="12" t="inlineStr">
        <is>
          <t>Check-in có chữ ký + đồng ý dữ liệu (webinar: xuất báo cáo Zoom ngay sau buổi)</t>
        </is>
      </c>
      <c r="F114" s="46" t="inlineStr">
        <is>
          <t>Digital MKT</t>
        </is>
      </c>
      <c r="G114" s="47" t="inlineStr">
        <is>
          <t>Digital (ví dụ)</t>
        </is>
      </c>
      <c r="H114" s="14" t="inlineStr">
        <is>
          <t>Trade, NPP</t>
        </is>
      </c>
      <c r="I114" s="13">
        <f>IF(OR(B114="",Q114=""),"",IF(Q114&gt;0,IF(R114="Làm việc",WORKDAY(IFERROR(IF(INDEX(SK_D,MATCH(O114,SK_A,0))="",B114,INDEX(SK_D,MATCH(O114,SK_A,0))),B114),Q114,HOLI),IFERROR(IF(INDEX(SK_D,MATCH(O114,SK_A,0))="",B114,INDEX(SK_D,MATCH(O114,SK_A,0))),B114)+Q114),B114+Q114))</f>
        <v/>
      </c>
      <c r="J114" s="14" t="inlineStr">
        <is>
          <t>Chưa làm</t>
        </is>
      </c>
      <c r="K114" s="13" t="n"/>
      <c r="L114" s="12" t="n"/>
      <c r="M114" s="48">
        <f>IF(E114="","",IF(J114="Bỏ qua","—",IF(J114="Xong",IF(AND(ISNUMBER(K114),ISNUMBER(I114),K114&gt;I114),"Xong trễ","Xong"),MID(IF(G114=""," · CHƯA GIAO","")&amp;IF(NOT(ISNUMBER(I114)),"",IF(TODAY()&gt;I114," · QUÁ HẠN "&amp;(TODAY()-I114)&amp;" ngày",IF(I114-TODAY()&lt;=3," · Đến hạn "&amp;IF(I114=TODAY(),"hôm nay","trong "&amp;(I114-TODAY())&amp;" ngày"),"")))&amp;IF(J114="Chờ đối tác"," · Chờ đối tác"&amp;IF(ISNUMBER(N114)," "&amp;(TODAY()-INT(N114))&amp;" ngày",""),""),4,200))))</f>
        <v/>
      </c>
      <c r="N114" s="49" t="n"/>
      <c r="O114" t="inlineStr">
        <is>
          <t>VD-4</t>
        </is>
      </c>
      <c r="P114" t="inlineStr">
        <is>
          <t>K22</t>
        </is>
      </c>
      <c r="Q114" t="n">
        <v>0</v>
      </c>
      <c r="R114" t="inlineStr">
        <is>
          <t>Lịch</t>
        </is>
      </c>
      <c r="S114">
        <f>IF(AND(E114&lt;&gt;"",T114="Có",J114&lt;&gt;"Xong",J114&lt;&gt;"Bỏ qua",ISNUMBER(I114)),I114+ROW()/100000,"")</f>
        <v/>
      </c>
      <c r="T114">
        <f>IF(O114="","",IFERROR(INDEX(SK_TD,MATCH(O114,SK_A,0)),""))</f>
        <v/>
      </c>
      <c r="U114" t="inlineStr">
        <is>
          <t>Digital (ví dụ)</t>
        </is>
      </c>
      <c r="V114">
        <f>IF(AND(O114&lt;&gt;"",O114=SEL_K,J114&lt;&gt;"Xong",J114&lt;&gt;"Bỏ qua"),IF(ISNUMBER(I114),I114,99999)+ROW()/100000,"")</f>
        <v/>
      </c>
    </row>
    <row r="115">
      <c r="A115" s="12">
        <f>IF(O115="","",IFERROR(INDEX(SK_B,MATCH(O115,SK_A,0))&amp;"",""))</f>
        <v/>
      </c>
      <c r="B115" s="45">
        <f>IF(O115="","",IFERROR(INDEX(SK_C,MATCH(O115,SK_A,0)),""))</f>
        <v/>
      </c>
      <c r="C115" s="46">
        <f>IF(Q115="","",IF(Q115=0,"D",IF(Q115&lt;0,"D"&amp;Q115,"D+"&amp;Q115)))</f>
        <v/>
      </c>
      <c r="D115" s="14" t="inlineStr">
        <is>
          <t>9. Ngày D</t>
        </is>
      </c>
      <c r="E115" s="12" t="inlineStr">
        <is>
          <t>Điều phối chương trình, khảo sát QR trước bế mạc, ảnh / video</t>
        </is>
      </c>
      <c r="F115" s="46" t="inlineStr">
        <is>
          <t>MKT Leader</t>
        </is>
      </c>
      <c r="G115" s="47" t="inlineStr">
        <is>
          <t>Leader MKT (ví dụ)</t>
        </is>
      </c>
      <c r="H115" s="14" t="inlineStr">
        <is>
          <t>Digital MKT</t>
        </is>
      </c>
      <c r="I115" s="13">
        <f>IF(OR(B115="",Q115=""),"",IF(Q115&gt;0,IF(R115="Làm việc",WORKDAY(IFERROR(IF(INDEX(SK_D,MATCH(O115,SK_A,0))="",B115,INDEX(SK_D,MATCH(O115,SK_A,0))),B115),Q115,HOLI),IFERROR(IF(INDEX(SK_D,MATCH(O115,SK_A,0))="",B115,INDEX(SK_D,MATCH(O115,SK_A,0))),B115)+Q115),B115+Q115))</f>
        <v/>
      </c>
      <c r="J115" s="14" t="inlineStr">
        <is>
          <t>Chưa làm</t>
        </is>
      </c>
      <c r="K115" s="13" t="n"/>
      <c r="L115" s="12" t="n"/>
      <c r="M115" s="48">
        <f>IF(E115="","",IF(J115="Bỏ qua","—",IF(J115="Xong",IF(AND(ISNUMBER(K115),ISNUMBER(I115),K115&gt;I115),"Xong trễ","Xong"),MID(IF(G115=""," · CHƯA GIAO","")&amp;IF(NOT(ISNUMBER(I115)),"",IF(TODAY()&gt;I115," · QUÁ HẠN "&amp;(TODAY()-I115)&amp;" ngày",IF(I115-TODAY()&lt;=3," · Đến hạn "&amp;IF(I115=TODAY(),"hôm nay","trong "&amp;(I115-TODAY())&amp;" ngày"),"")))&amp;IF(J115="Chờ đối tác"," · Chờ đối tác"&amp;IF(ISNUMBER(N115)," "&amp;(TODAY()-INT(N115))&amp;" ngày",""),""),4,200))))</f>
        <v/>
      </c>
      <c r="N115" s="49" t="n"/>
      <c r="O115" t="inlineStr">
        <is>
          <t>VD-4</t>
        </is>
      </c>
      <c r="P115" t="inlineStr">
        <is>
          <t>K23</t>
        </is>
      </c>
      <c r="Q115" t="n">
        <v>0</v>
      </c>
      <c r="R115" t="inlineStr">
        <is>
          <t>Lịch</t>
        </is>
      </c>
      <c r="S115">
        <f>IF(AND(E115&lt;&gt;"",T115="Có",J115&lt;&gt;"Xong",J115&lt;&gt;"Bỏ qua",ISNUMBER(I115)),I115+ROW()/100000,"")</f>
        <v/>
      </c>
      <c r="T115">
        <f>IF(O115="","",IFERROR(INDEX(SK_TD,MATCH(O115,SK_A,0)),""))</f>
        <v/>
      </c>
      <c r="U115" t="inlineStr">
        <is>
          <t>Leader MKT (ví dụ)</t>
        </is>
      </c>
      <c r="V115">
        <f>IF(AND(O115&lt;&gt;"",O115=SEL_K,J115&lt;&gt;"Xong",J115&lt;&gt;"Bỏ qua"),IF(ISNUMBER(I115),I115,99999)+ROW()/100000,"")</f>
        <v/>
      </c>
    </row>
    <row r="116">
      <c r="A116" s="12">
        <f>IF(O116="","",IFERROR(INDEX(SK_B,MATCH(O116,SK_A,0))&amp;"",""))</f>
        <v/>
      </c>
      <c r="B116" s="45">
        <f>IF(O116="","",IFERROR(INDEX(SK_C,MATCH(O116,SK_A,0)),""))</f>
        <v/>
      </c>
      <c r="C116" s="46">
        <f>IF(Q116="","",IF(Q116=0,"D",IF(Q116&lt;0,"D"&amp;Q116,"D+"&amp;Q116)))</f>
        <v/>
      </c>
      <c r="D116" s="14" t="inlineStr">
        <is>
          <t>9. Ngày D</t>
        </is>
      </c>
      <c r="E116" s="12" t="inlineStr">
        <is>
          <t>Bán hàng tại bàn trưng bày + ghi khách quan tâm</t>
        </is>
      </c>
      <c r="F116" s="46" t="inlineStr">
        <is>
          <t>Sales</t>
        </is>
      </c>
      <c r="G116" s="47" t="inlineStr">
        <is>
          <t>Sales Surgical (ví dụ)</t>
        </is>
      </c>
      <c r="H116" s="14" t="inlineStr">
        <is>
          <t>NPP</t>
        </is>
      </c>
      <c r="I116" s="13">
        <f>IF(OR(B116="",Q116=""),"",IF(Q116&gt;0,IF(R116="Làm việc",WORKDAY(IFERROR(IF(INDEX(SK_D,MATCH(O116,SK_A,0))="",B116,INDEX(SK_D,MATCH(O116,SK_A,0))),B116),Q116,HOLI),IFERROR(IF(INDEX(SK_D,MATCH(O116,SK_A,0))="",B116,INDEX(SK_D,MATCH(O116,SK_A,0))),B116)+Q116),B116+Q116))</f>
        <v/>
      </c>
      <c r="J116" s="14" t="inlineStr">
        <is>
          <t>Chưa làm</t>
        </is>
      </c>
      <c r="K116" s="13" t="n"/>
      <c r="L116" s="12" t="n"/>
      <c r="M116" s="48">
        <f>IF(E116="","",IF(J116="Bỏ qua","—",IF(J116="Xong",IF(AND(ISNUMBER(K116),ISNUMBER(I116),K116&gt;I116),"Xong trễ","Xong"),MID(IF(G116=""," · CHƯA GIAO","")&amp;IF(NOT(ISNUMBER(I116)),"",IF(TODAY()&gt;I116," · QUÁ HẠN "&amp;(TODAY()-I116)&amp;" ngày",IF(I116-TODAY()&lt;=3," · Đến hạn "&amp;IF(I116=TODAY(),"hôm nay","trong "&amp;(I116-TODAY())&amp;" ngày"),"")))&amp;IF(J116="Chờ đối tác"," · Chờ đối tác"&amp;IF(ISNUMBER(N116)," "&amp;(TODAY()-INT(N116))&amp;" ngày",""),""),4,200))))</f>
        <v/>
      </c>
      <c r="N116" s="49" t="n"/>
      <c r="O116" t="inlineStr">
        <is>
          <t>VD-4</t>
        </is>
      </c>
      <c r="P116" t="inlineStr">
        <is>
          <t>K24</t>
        </is>
      </c>
      <c r="Q116" t="n">
        <v>0</v>
      </c>
      <c r="R116" t="inlineStr">
        <is>
          <t>Lịch</t>
        </is>
      </c>
      <c r="S116">
        <f>IF(AND(E116&lt;&gt;"",T116="Có",J116&lt;&gt;"Xong",J116&lt;&gt;"Bỏ qua",ISNUMBER(I116)),I116+ROW()/100000,"")</f>
        <v/>
      </c>
      <c r="T116">
        <f>IF(O116="","",IFERROR(INDEX(SK_TD,MATCH(O116,SK_A,0)),""))</f>
        <v/>
      </c>
      <c r="U116" t="inlineStr">
        <is>
          <t>Sales Surgical (ví dụ)</t>
        </is>
      </c>
      <c r="V116">
        <f>IF(AND(O116&lt;&gt;"",O116=SEL_K,J116&lt;&gt;"Xong",J116&lt;&gt;"Bỏ qua"),IF(ISNUMBER(I116),I116,99999)+ROW()/100000,"")</f>
        <v/>
      </c>
    </row>
    <row r="117">
      <c r="A117" s="12">
        <f>IF(O117="","",IFERROR(INDEX(SK_B,MATCH(O117,SK_A,0))&amp;"",""))</f>
        <v/>
      </c>
      <c r="B117" s="45">
        <f>IF(O117="","",IFERROR(INDEX(SK_C,MATCH(O117,SK_A,0)),""))</f>
        <v/>
      </c>
      <c r="C117" s="46">
        <f>IF(Q117="","",IF(Q117=0,"D",IF(Q117&lt;0,"D"&amp;Q117,"D+"&amp;Q117)))</f>
        <v/>
      </c>
      <c r="D117" s="14" t="inlineStr">
        <is>
          <t>9. Ngày D</t>
        </is>
      </c>
      <c r="E117" s="12" t="inlineStr">
        <is>
          <t>Thu dọn, kiểm đếm, ghi POSM hỏng</t>
        </is>
      </c>
      <c r="F117" s="46" t="inlineStr">
        <is>
          <t>Trade MKT</t>
        </is>
      </c>
      <c r="G117" s="47" t="inlineStr">
        <is>
          <t>Trade (ví dụ)</t>
        </is>
      </c>
      <c r="H117" s="14" t="inlineStr">
        <is>
          <t>NPP</t>
        </is>
      </c>
      <c r="I117" s="13">
        <f>IF(OR(B117="",Q117=""),"",IF(Q117&gt;0,IF(R117="Làm việc",WORKDAY(IFERROR(IF(INDEX(SK_D,MATCH(O117,SK_A,0))="",B117,INDEX(SK_D,MATCH(O117,SK_A,0))),B117),Q117,HOLI),IFERROR(IF(INDEX(SK_D,MATCH(O117,SK_A,0))="",B117,INDEX(SK_D,MATCH(O117,SK_A,0))),B117)+Q117),B117+Q117))</f>
        <v/>
      </c>
      <c r="J117" s="14" t="inlineStr">
        <is>
          <t>Chưa làm</t>
        </is>
      </c>
      <c r="K117" s="13" t="n"/>
      <c r="L117" s="12" t="n"/>
      <c r="M117" s="48">
        <f>IF(E117="","",IF(J117="Bỏ qua","—",IF(J117="Xong",IF(AND(ISNUMBER(K117),ISNUMBER(I117),K117&gt;I117),"Xong trễ","Xong"),MID(IF(G117=""," · CHƯA GIAO","")&amp;IF(NOT(ISNUMBER(I117)),"",IF(TODAY()&gt;I117," · QUÁ HẠN "&amp;(TODAY()-I117)&amp;" ngày",IF(I117-TODAY()&lt;=3," · Đến hạn "&amp;IF(I117=TODAY(),"hôm nay","trong "&amp;(I117-TODAY())&amp;" ngày"),"")))&amp;IF(J117="Chờ đối tác"," · Chờ đối tác"&amp;IF(ISNUMBER(N117)," "&amp;(TODAY()-INT(N117))&amp;" ngày",""),""),4,200))))</f>
        <v/>
      </c>
      <c r="N117" s="49" t="n"/>
      <c r="O117" t="inlineStr">
        <is>
          <t>VD-4</t>
        </is>
      </c>
      <c r="P117" t="inlineStr">
        <is>
          <t>K25</t>
        </is>
      </c>
      <c r="Q117" t="n">
        <v>0</v>
      </c>
      <c r="R117" t="inlineStr">
        <is>
          <t>Lịch</t>
        </is>
      </c>
      <c r="S117">
        <f>IF(AND(E117&lt;&gt;"",T117="Có",J117&lt;&gt;"Xong",J117&lt;&gt;"Bỏ qua",ISNUMBER(I117)),I117+ROW()/100000,"")</f>
        <v/>
      </c>
      <c r="T117">
        <f>IF(O117="","",IFERROR(INDEX(SK_TD,MATCH(O117,SK_A,0)),""))</f>
        <v/>
      </c>
      <c r="U117" t="inlineStr">
        <is>
          <t>Trade (ví dụ)</t>
        </is>
      </c>
      <c r="V117">
        <f>IF(AND(O117&lt;&gt;"",O117=SEL_K,J117&lt;&gt;"Xong",J117&lt;&gt;"Bỏ qua"),IF(ISNUMBER(I117),I117,99999)+ROW()/100000,"")</f>
        <v/>
      </c>
    </row>
    <row r="118">
      <c r="A118" s="12">
        <f>IF(O118="","",IFERROR(INDEX(SK_B,MATCH(O118,SK_A,0))&amp;"",""))</f>
        <v/>
      </c>
      <c r="B118" s="45">
        <f>IF(O118="","",IFERROR(INDEX(SK_C,MATCH(O118,SK_A,0)),""))</f>
        <v/>
      </c>
      <c r="C118" s="46">
        <f>IF(Q118="","",IF(Q118=0,"D",IF(Q118&lt;0,"D"&amp;Q118,"D+"&amp;Q118)))</f>
        <v/>
      </c>
      <c r="D118" s="14" t="inlineStr">
        <is>
          <t>10. Sau sự kiện</t>
        </is>
      </c>
      <c r="E118" s="12" t="inlineStr">
        <is>
          <t>Bài cảm ơn + ảnh recap; video recap (nếu có)</t>
        </is>
      </c>
      <c r="F118" s="46" t="inlineStr">
        <is>
          <t>Digital MKT</t>
        </is>
      </c>
      <c r="G118" s="47" t="inlineStr">
        <is>
          <t>Digital (ví dụ)</t>
        </is>
      </c>
      <c r="H118" s="14" t="inlineStr"/>
      <c r="I118" s="13">
        <f>IF(OR(B118="",Q118=""),"",IF(Q118&gt;0,IF(R118="Làm việc",WORKDAY(IFERROR(IF(INDEX(SK_D,MATCH(O118,SK_A,0))="",B118,INDEX(SK_D,MATCH(O118,SK_A,0))),B118),Q118,HOLI),IFERROR(IF(INDEX(SK_D,MATCH(O118,SK_A,0))="",B118,INDEX(SK_D,MATCH(O118,SK_A,0))),B118)+Q118),B118+Q118))</f>
        <v/>
      </c>
      <c r="J118" s="14" t="inlineStr">
        <is>
          <t>Chưa làm</t>
        </is>
      </c>
      <c r="K118" s="13" t="n"/>
      <c r="L118" s="12" t="n"/>
      <c r="M118" s="48">
        <f>IF(E118="","",IF(J118="Bỏ qua","—",IF(J118="Xong",IF(AND(ISNUMBER(K118),ISNUMBER(I118),K118&gt;I118),"Xong trễ","Xong"),MID(IF(G118=""," · CHƯA GIAO","")&amp;IF(NOT(ISNUMBER(I118)),"",IF(TODAY()&gt;I118," · QUÁ HẠN "&amp;(TODAY()-I118)&amp;" ngày",IF(I118-TODAY()&lt;=3," · Đến hạn "&amp;IF(I118=TODAY(),"hôm nay","trong "&amp;(I118-TODAY())&amp;" ngày"),"")))&amp;IF(J118="Chờ đối tác"," · Chờ đối tác"&amp;IF(ISNUMBER(N118)," "&amp;(TODAY()-INT(N118))&amp;" ngày",""),""),4,200))))</f>
        <v/>
      </c>
      <c r="N118" s="49" t="n"/>
      <c r="O118" t="inlineStr">
        <is>
          <t>VD-4</t>
        </is>
      </c>
      <c r="P118" t="inlineStr">
        <is>
          <t>K26</t>
        </is>
      </c>
      <c r="Q118" t="n">
        <v>2</v>
      </c>
      <c r="R118" t="inlineStr">
        <is>
          <t>Làm việc</t>
        </is>
      </c>
      <c r="S118">
        <f>IF(AND(E118&lt;&gt;"",T118="Có",J118&lt;&gt;"Xong",J118&lt;&gt;"Bỏ qua",ISNUMBER(I118)),I118+ROW()/100000,"")</f>
        <v/>
      </c>
      <c r="T118">
        <f>IF(O118="","",IFERROR(INDEX(SK_TD,MATCH(O118,SK_A,0)),""))</f>
        <v/>
      </c>
      <c r="U118" t="inlineStr">
        <is>
          <t>Digital (ví dụ)</t>
        </is>
      </c>
      <c r="V118">
        <f>IF(AND(O118&lt;&gt;"",O118=SEL_K,J118&lt;&gt;"Xong",J118&lt;&gt;"Bỏ qua"),IF(ISNUMBER(I118),I118,99999)+ROW()/100000,"")</f>
        <v/>
      </c>
    </row>
    <row r="119">
      <c r="A119" s="12">
        <f>IF(O119="","",IFERROR(INDEX(SK_B,MATCH(O119,SK_A,0))&amp;"",""))</f>
        <v/>
      </c>
      <c r="B119" s="45">
        <f>IF(O119="","",IFERROR(INDEX(SK_C,MATCH(O119,SK_A,0)),""))</f>
        <v/>
      </c>
      <c r="C119" s="46">
        <f>IF(Q119="","",IF(Q119=0,"D",IF(Q119&lt;0,"D"&amp;Q119,"D+"&amp;Q119)))</f>
        <v/>
      </c>
      <c r="D119" s="14" t="inlineStr">
        <is>
          <t>10. Sau sự kiện</t>
        </is>
      </c>
      <c r="E119" s="12" t="inlineStr">
        <is>
          <t>Scan biểu mẫu ký tay + upload ảnh / video lên folder sự kiện</t>
        </is>
      </c>
      <c r="F119" s="46" t="inlineStr">
        <is>
          <t>Trade MKT</t>
        </is>
      </c>
      <c r="G119" s="47" t="inlineStr">
        <is>
          <t>Trade (ví dụ)</t>
        </is>
      </c>
      <c r="H119" s="14" t="inlineStr">
        <is>
          <t>Digital MKT</t>
        </is>
      </c>
      <c r="I119" s="13">
        <f>IF(OR(B119="",Q119=""),"",IF(Q119&gt;0,IF(R119="Làm việc",WORKDAY(IFERROR(IF(INDEX(SK_D,MATCH(O119,SK_A,0))="",B119,INDEX(SK_D,MATCH(O119,SK_A,0))),B119),Q119,HOLI),IFERROR(IF(INDEX(SK_D,MATCH(O119,SK_A,0))="",B119,INDEX(SK_D,MATCH(O119,SK_A,0))),B119)+Q119),B119+Q119))</f>
        <v/>
      </c>
      <c r="J119" s="14" t="inlineStr">
        <is>
          <t>Chưa làm</t>
        </is>
      </c>
      <c r="K119" s="13" t="n"/>
      <c r="L119" s="12" t="n"/>
      <c r="M119" s="48">
        <f>IF(E119="","",IF(J119="Bỏ qua","—",IF(J119="Xong",IF(AND(ISNUMBER(K119),ISNUMBER(I119),K119&gt;I119),"Xong trễ","Xong"),MID(IF(G119=""," · CHƯA GIAO","")&amp;IF(NOT(ISNUMBER(I119)),"",IF(TODAY()&gt;I119," · QUÁ HẠN "&amp;(TODAY()-I119)&amp;" ngày",IF(I119-TODAY()&lt;=3," · Đến hạn "&amp;IF(I119=TODAY(),"hôm nay","trong "&amp;(I119-TODAY())&amp;" ngày"),"")))&amp;IF(J119="Chờ đối tác"," · Chờ đối tác"&amp;IF(ISNUMBER(N119)," "&amp;(TODAY()-INT(N119))&amp;" ngày",""),""),4,200))))</f>
        <v/>
      </c>
      <c r="N119" s="49" t="n"/>
      <c r="O119" t="inlineStr">
        <is>
          <t>VD-4</t>
        </is>
      </c>
      <c r="P119" t="inlineStr">
        <is>
          <t>K27</t>
        </is>
      </c>
      <c r="Q119" t="n">
        <v>2</v>
      </c>
      <c r="R119" t="inlineStr">
        <is>
          <t>Làm việc</t>
        </is>
      </c>
      <c r="S119">
        <f>IF(AND(E119&lt;&gt;"",T119="Có",J119&lt;&gt;"Xong",J119&lt;&gt;"Bỏ qua",ISNUMBER(I119)),I119+ROW()/100000,"")</f>
        <v/>
      </c>
      <c r="T119">
        <f>IF(O119="","",IFERROR(INDEX(SK_TD,MATCH(O119,SK_A,0)),""))</f>
        <v/>
      </c>
      <c r="U119" t="inlineStr">
        <is>
          <t>Trade (ví dụ)</t>
        </is>
      </c>
      <c r="V119">
        <f>IF(AND(O119&lt;&gt;"",O119=SEL_K,J119&lt;&gt;"Xong",J119&lt;&gt;"Bỏ qua"),IF(ISNUMBER(I119),I119,99999)+ROW()/100000,"")</f>
        <v/>
      </c>
    </row>
    <row r="120">
      <c r="A120" s="12">
        <f>IF(O120="","",IFERROR(INDEX(SK_B,MATCH(O120,SK_A,0))&amp;"",""))</f>
        <v/>
      </c>
      <c r="B120" s="45">
        <f>IF(O120="","",IFERROR(INDEX(SK_C,MATCH(O120,SK_A,0)),""))</f>
        <v/>
      </c>
      <c r="C120" s="46">
        <f>IF(Q120="","",IF(Q120=0,"D",IF(Q120&lt;0,"D"&amp;Q120,"D+"&amp;Q120)))</f>
        <v/>
      </c>
      <c r="D120" s="14" t="inlineStr">
        <is>
          <t>10. Sau sự kiện</t>
        </is>
      </c>
      <c r="E120" s="12" t="inlineStr">
        <is>
          <t>Đối chiếu dữ liệu khách (loại trùng, đủ trường) ⇒ CUSTOMER LIST; tổng hợp khảo sát</t>
        </is>
      </c>
      <c r="F120" s="46" t="inlineStr">
        <is>
          <t>Digital MKT</t>
        </is>
      </c>
      <c r="G120" s="47" t="inlineStr">
        <is>
          <t>Digital (ví dụ)</t>
        </is>
      </c>
      <c r="H120" s="14" t="inlineStr">
        <is>
          <t>Sales, NPP</t>
        </is>
      </c>
      <c r="I120" s="13">
        <f>IF(OR(B120="",Q120=""),"",IF(Q120&gt;0,IF(R120="Làm việc",WORKDAY(IFERROR(IF(INDEX(SK_D,MATCH(O120,SK_A,0))="",B120,INDEX(SK_D,MATCH(O120,SK_A,0))),B120),Q120,HOLI),IFERROR(IF(INDEX(SK_D,MATCH(O120,SK_A,0))="",B120,INDEX(SK_D,MATCH(O120,SK_A,0))),B120)+Q120),B120+Q120))</f>
        <v/>
      </c>
      <c r="J120" s="14" t="inlineStr">
        <is>
          <t>Chưa làm</t>
        </is>
      </c>
      <c r="K120" s="13" t="n"/>
      <c r="L120" s="12" t="n"/>
      <c r="M120" s="48">
        <f>IF(E120="","",IF(J120="Bỏ qua","—",IF(J120="Xong",IF(AND(ISNUMBER(K120),ISNUMBER(I120),K120&gt;I120),"Xong trễ","Xong"),MID(IF(G120=""," · CHƯA GIAO","")&amp;IF(NOT(ISNUMBER(I120)),"",IF(TODAY()&gt;I120," · QUÁ HẠN "&amp;(TODAY()-I120)&amp;" ngày",IF(I120-TODAY()&lt;=3," · Đến hạn "&amp;IF(I120=TODAY(),"hôm nay","trong "&amp;(I120-TODAY())&amp;" ngày"),"")))&amp;IF(J120="Chờ đối tác"," · Chờ đối tác"&amp;IF(ISNUMBER(N120)," "&amp;(TODAY()-INT(N120))&amp;" ngày",""),""),4,200))))</f>
        <v/>
      </c>
      <c r="N120" s="49" t="n"/>
      <c r="O120" t="inlineStr">
        <is>
          <t>VD-4</t>
        </is>
      </c>
      <c r="P120" t="inlineStr">
        <is>
          <t>K28</t>
        </is>
      </c>
      <c r="Q120" t="n">
        <v>3</v>
      </c>
      <c r="R120" t="inlineStr">
        <is>
          <t>Làm việc</t>
        </is>
      </c>
      <c r="S120">
        <f>IF(AND(E120&lt;&gt;"",T120="Có",J120&lt;&gt;"Xong",J120&lt;&gt;"Bỏ qua",ISNUMBER(I120)),I120+ROW()/100000,"")</f>
        <v/>
      </c>
      <c r="T120">
        <f>IF(O120="","",IFERROR(INDEX(SK_TD,MATCH(O120,SK_A,0)),""))</f>
        <v/>
      </c>
      <c r="U120" t="inlineStr">
        <is>
          <t>Digital (ví dụ)</t>
        </is>
      </c>
      <c r="V120">
        <f>IF(AND(O120&lt;&gt;"",O120=SEL_K,J120&lt;&gt;"Xong",J120&lt;&gt;"Bỏ qua"),IF(ISNUMBER(I120),I120,99999)+ROW()/100000,"")</f>
        <v/>
      </c>
    </row>
    <row r="121">
      <c r="A121" s="12">
        <f>IF(O121="","",IFERROR(INDEX(SK_B,MATCH(O121,SK_A,0))&amp;"",""))</f>
        <v/>
      </c>
      <c r="B121" s="45">
        <f>IF(O121="","",IFERROR(INDEX(SK_C,MATCH(O121,SK_A,0)),""))</f>
        <v/>
      </c>
      <c r="C121" s="46">
        <f>IF(Q121="","",IF(Q121=0,"D",IF(Q121&lt;0,"D"&amp;Q121,"D+"&amp;Q121)))</f>
        <v/>
      </c>
      <c r="D121" s="14" t="inlineStr">
        <is>
          <t>10. Sau sự kiện</t>
        </is>
      </c>
      <c r="E121" s="12" t="inlineStr">
        <is>
          <t>Sales + NPP gửi số liệu bán hàng tại sự kiện</t>
        </is>
      </c>
      <c r="F121" s="46" t="inlineStr">
        <is>
          <t>Sales</t>
        </is>
      </c>
      <c r="G121" s="47" t="inlineStr">
        <is>
          <t>Sales Surgical (ví dụ)</t>
        </is>
      </c>
      <c r="H121" s="14" t="inlineStr">
        <is>
          <t>NPP</t>
        </is>
      </c>
      <c r="I121" s="13">
        <f>IF(OR(B121="",Q121=""),"",IF(Q121&gt;0,IF(R121="Làm việc",WORKDAY(IFERROR(IF(INDEX(SK_D,MATCH(O121,SK_A,0))="",B121,INDEX(SK_D,MATCH(O121,SK_A,0))),B121),Q121,HOLI),IFERROR(IF(INDEX(SK_D,MATCH(O121,SK_A,0))="",B121,INDEX(SK_D,MATCH(O121,SK_A,0))),B121)+Q121),B121+Q121))</f>
        <v/>
      </c>
      <c r="J121" s="14" t="inlineStr">
        <is>
          <t>Chưa làm</t>
        </is>
      </c>
      <c r="K121" s="13" t="n"/>
      <c r="L121" s="12" t="n"/>
      <c r="M121" s="48">
        <f>IF(E121="","",IF(J121="Bỏ qua","—",IF(J121="Xong",IF(AND(ISNUMBER(K121),ISNUMBER(I121),K121&gt;I121),"Xong trễ","Xong"),MID(IF(G121=""," · CHƯA GIAO","")&amp;IF(NOT(ISNUMBER(I121)),"",IF(TODAY()&gt;I121," · QUÁ HẠN "&amp;(TODAY()-I121)&amp;" ngày",IF(I121-TODAY()&lt;=3," · Đến hạn "&amp;IF(I121=TODAY(),"hôm nay","trong "&amp;(I121-TODAY())&amp;" ngày"),"")))&amp;IF(J121="Chờ đối tác"," · Chờ đối tác"&amp;IF(ISNUMBER(N121)," "&amp;(TODAY()-INT(N121))&amp;" ngày",""),""),4,200))))</f>
        <v/>
      </c>
      <c r="N121" s="49" t="n"/>
      <c r="O121" t="inlineStr">
        <is>
          <t>VD-4</t>
        </is>
      </c>
      <c r="P121" t="inlineStr">
        <is>
          <t>K29</t>
        </is>
      </c>
      <c r="Q121" t="n">
        <v>3</v>
      </c>
      <c r="R121" t="inlineStr">
        <is>
          <t>Làm việc</t>
        </is>
      </c>
      <c r="S121">
        <f>IF(AND(E121&lt;&gt;"",T121="Có",J121&lt;&gt;"Xong",J121&lt;&gt;"Bỏ qua",ISNUMBER(I121)),I121+ROW()/100000,"")</f>
        <v/>
      </c>
      <c r="T121">
        <f>IF(O121="","",IFERROR(INDEX(SK_TD,MATCH(O121,SK_A,0)),""))</f>
        <v/>
      </c>
      <c r="U121" t="inlineStr">
        <is>
          <t>Sales Surgical (ví dụ)</t>
        </is>
      </c>
      <c r="V121">
        <f>IF(AND(O121&lt;&gt;"",O121=SEL_K,J121&lt;&gt;"Xong",J121&lt;&gt;"Bỏ qua"),IF(ISNUMBER(I121),I121,99999)+ROW()/100000,"")</f>
        <v/>
      </c>
    </row>
    <row r="122">
      <c r="A122" s="12">
        <f>IF(O122="","",IFERROR(INDEX(SK_B,MATCH(O122,SK_A,0))&amp;"",""))</f>
        <v/>
      </c>
      <c r="B122" s="45">
        <f>IF(O122="","",IFERROR(INDEX(SK_C,MATCH(O122,SK_A,0)),""))</f>
        <v/>
      </c>
      <c r="C122" s="46">
        <f>IF(Q122="","",IF(Q122=0,"D",IF(Q122&lt;0,"D"&amp;Q122,"D+"&amp;Q122)))</f>
        <v/>
      </c>
      <c r="D122" s="14" t="inlineStr">
        <is>
          <t>10. Sau sự kiện</t>
        </is>
      </c>
      <c r="E122" s="12" t="inlineStr">
        <is>
          <t>Bàn giao danh sách khách cần follow-up cho Sales</t>
        </is>
      </c>
      <c r="F122" s="46" t="inlineStr">
        <is>
          <t>Digital MKT</t>
        </is>
      </c>
      <c r="G122" s="47" t="inlineStr">
        <is>
          <t>Digital (ví dụ)</t>
        </is>
      </c>
      <c r="H122" s="14" t="inlineStr">
        <is>
          <t>Sales</t>
        </is>
      </c>
      <c r="I122" s="13">
        <f>IF(OR(B122="",Q122=""),"",IF(Q122&gt;0,IF(R122="Làm việc",WORKDAY(IFERROR(IF(INDEX(SK_D,MATCH(O122,SK_A,0))="",B122,INDEX(SK_D,MATCH(O122,SK_A,0))),B122),Q122,HOLI),IFERROR(IF(INDEX(SK_D,MATCH(O122,SK_A,0))="",B122,INDEX(SK_D,MATCH(O122,SK_A,0))),B122)+Q122),B122+Q122))</f>
        <v/>
      </c>
      <c r="J122" s="14" t="inlineStr">
        <is>
          <t>Chưa làm</t>
        </is>
      </c>
      <c r="K122" s="13" t="n"/>
      <c r="L122" s="12" t="n"/>
      <c r="M122" s="48">
        <f>IF(E122="","",IF(J122="Bỏ qua","—",IF(J122="Xong",IF(AND(ISNUMBER(K122),ISNUMBER(I122),K122&gt;I122),"Xong trễ","Xong"),MID(IF(G122=""," · CHƯA GIAO","")&amp;IF(NOT(ISNUMBER(I122)),"",IF(TODAY()&gt;I122," · QUÁ HẠN "&amp;(TODAY()-I122)&amp;" ngày",IF(I122-TODAY()&lt;=3," · Đến hạn "&amp;IF(I122=TODAY(),"hôm nay","trong "&amp;(I122-TODAY())&amp;" ngày"),"")))&amp;IF(J122="Chờ đối tác"," · Chờ đối tác"&amp;IF(ISNUMBER(N122)," "&amp;(TODAY()-INT(N122))&amp;" ngày",""),""),4,200))))</f>
        <v/>
      </c>
      <c r="N122" s="49" t="n"/>
      <c r="O122" t="inlineStr">
        <is>
          <t>VD-4</t>
        </is>
      </c>
      <c r="P122" t="inlineStr">
        <is>
          <t>K30</t>
        </is>
      </c>
      <c r="Q122" t="n">
        <v>3</v>
      </c>
      <c r="R122" t="inlineStr">
        <is>
          <t>Làm việc</t>
        </is>
      </c>
      <c r="S122">
        <f>IF(AND(E122&lt;&gt;"",T122="Có",J122&lt;&gt;"Xong",J122&lt;&gt;"Bỏ qua",ISNUMBER(I122)),I122+ROW()/100000,"")</f>
        <v/>
      </c>
      <c r="T122">
        <f>IF(O122="","",IFERROR(INDEX(SK_TD,MATCH(O122,SK_A,0)),""))</f>
        <v/>
      </c>
      <c r="U122" t="inlineStr">
        <is>
          <t>Digital (ví dụ)</t>
        </is>
      </c>
      <c r="V122">
        <f>IF(AND(O122&lt;&gt;"",O122=SEL_K,J122&lt;&gt;"Xong",J122&lt;&gt;"Bỏ qua"),IF(ISNUMBER(I122),I122,99999)+ROW()/100000,"")</f>
        <v/>
      </c>
    </row>
    <row r="123">
      <c r="A123" s="12">
        <f>IF(O123="","",IFERROR(INDEX(SK_B,MATCH(O123,SK_A,0))&amp;"",""))</f>
        <v/>
      </c>
      <c r="B123" s="45">
        <f>IF(O123="","",IFERROR(INDEX(SK_C,MATCH(O123,SK_A,0)),""))</f>
        <v/>
      </c>
      <c r="C123" s="46">
        <f>IF(Q123="","",IF(Q123=0,"D",IF(Q123&lt;0,"D"&amp;Q123,"D+"&amp;Q123)))</f>
        <v/>
      </c>
      <c r="D123" s="14" t="inlineStr">
        <is>
          <t>10. Sau sự kiện</t>
        </is>
      </c>
      <c r="E123" s="12" t="inlineStr">
        <is>
          <t>Báo cáo sự kiện + chứng từ KOL, hoá đơn địa điểm</t>
        </is>
      </c>
      <c r="F123" s="46" t="inlineStr">
        <is>
          <t>MKT Leader</t>
        </is>
      </c>
      <c r="G123" s="47" t="inlineStr">
        <is>
          <t>Leader MKT (ví dụ)</t>
        </is>
      </c>
      <c r="H123" s="14" t="inlineStr">
        <is>
          <t>Trade MKT</t>
        </is>
      </c>
      <c r="I123" s="13">
        <f>IF(OR(B123="",Q123=""),"",IF(Q123&gt;0,IF(R123="Làm việc",WORKDAY(IFERROR(IF(INDEX(SK_D,MATCH(O123,SK_A,0))="",B123,INDEX(SK_D,MATCH(O123,SK_A,0))),B123),Q123,HOLI),IFERROR(IF(INDEX(SK_D,MATCH(O123,SK_A,0))="",B123,INDEX(SK_D,MATCH(O123,SK_A,0))),B123)+Q123),B123+Q123))</f>
        <v/>
      </c>
      <c r="J123" s="14" t="inlineStr">
        <is>
          <t>Chưa làm</t>
        </is>
      </c>
      <c r="K123" s="13" t="n"/>
      <c r="L123" s="12" t="n"/>
      <c r="M123" s="48">
        <f>IF(E123="","",IF(J123="Bỏ qua","—",IF(J123="Xong",IF(AND(ISNUMBER(K123),ISNUMBER(I123),K123&gt;I123),"Xong trễ","Xong"),MID(IF(G123=""," · CHƯA GIAO","")&amp;IF(NOT(ISNUMBER(I123)),"",IF(TODAY()&gt;I123," · QUÁ HẠN "&amp;(TODAY()-I123)&amp;" ngày",IF(I123-TODAY()&lt;=3," · Đến hạn "&amp;IF(I123=TODAY(),"hôm nay","trong "&amp;(I123-TODAY())&amp;" ngày"),"")))&amp;IF(J123="Chờ đối tác"," · Chờ đối tác"&amp;IF(ISNUMBER(N123)," "&amp;(TODAY()-INT(N123))&amp;" ngày",""),""),4,200))))</f>
        <v/>
      </c>
      <c r="N123" s="49" t="n"/>
      <c r="O123" t="inlineStr">
        <is>
          <t>VD-4</t>
        </is>
      </c>
      <c r="P123" t="inlineStr">
        <is>
          <t>K31</t>
        </is>
      </c>
      <c r="Q123" t="n">
        <v>5</v>
      </c>
      <c r="R123" t="inlineStr">
        <is>
          <t>Làm việc</t>
        </is>
      </c>
      <c r="S123">
        <f>IF(AND(E123&lt;&gt;"",T123="Có",J123&lt;&gt;"Xong",J123&lt;&gt;"Bỏ qua",ISNUMBER(I123)),I123+ROW()/100000,"")</f>
        <v/>
      </c>
      <c r="T123">
        <f>IF(O123="","",IFERROR(INDEX(SK_TD,MATCH(O123,SK_A,0)),""))</f>
        <v/>
      </c>
      <c r="U123" t="inlineStr">
        <is>
          <t>Leader MKT (ví dụ)</t>
        </is>
      </c>
      <c r="V123">
        <f>IF(AND(O123&lt;&gt;"",O123=SEL_K,J123&lt;&gt;"Xong",J123&lt;&gt;"Bỏ qua"),IF(ISNUMBER(I123),I123,99999)+ROW()/100000,"")</f>
        <v/>
      </c>
    </row>
    <row r="124">
      <c r="A124" s="12">
        <f>IF(O124="","",IFERROR(INDEX(SK_B,MATCH(O124,SK_A,0))&amp;"",""))</f>
        <v/>
      </c>
      <c r="B124" s="45">
        <f>IF(O124="","",IFERROR(INDEX(SK_C,MATCH(O124,SK_A,0)),""))</f>
        <v/>
      </c>
      <c r="C124" s="46">
        <f>IF(Q124="","",IF(Q124=0,"D",IF(Q124&lt;0,"D"&amp;Q124,"D+"&amp;Q124)))</f>
        <v/>
      </c>
      <c r="D124" s="14" t="inlineStr">
        <is>
          <t>10. Sau sự kiện</t>
        </is>
      </c>
      <c r="E124" s="12" t="inlineStr">
        <is>
          <t>Email báo cáo toàn MMH (4 file đính kèm) + hoàn tất lưu hồ sơ</t>
        </is>
      </c>
      <c r="F124" s="46" t="inlineStr">
        <is>
          <t>MKT Leader</t>
        </is>
      </c>
      <c r="G124" s="47" t="inlineStr">
        <is>
          <t>Leader MKT (ví dụ)</t>
        </is>
      </c>
      <c r="H124" s="14" t="inlineStr"/>
      <c r="I124" s="13">
        <f>IF(OR(B124="",Q124=""),"",IF(Q124&gt;0,IF(R124="Làm việc",WORKDAY(IFERROR(IF(INDEX(SK_D,MATCH(O124,SK_A,0))="",B124,INDEX(SK_D,MATCH(O124,SK_A,0))),B124),Q124,HOLI),IFERROR(IF(INDEX(SK_D,MATCH(O124,SK_A,0))="",B124,INDEX(SK_D,MATCH(O124,SK_A,0))),B124)+Q124),B124+Q124))</f>
        <v/>
      </c>
      <c r="J124" s="14" t="inlineStr">
        <is>
          <t>Chưa làm</t>
        </is>
      </c>
      <c r="K124" s="13" t="n"/>
      <c r="L124" s="12" t="n"/>
      <c r="M124" s="48">
        <f>IF(E124="","",IF(J124="Bỏ qua","—",IF(J124="Xong",IF(AND(ISNUMBER(K124),ISNUMBER(I124),K124&gt;I124),"Xong trễ","Xong"),MID(IF(G124=""," · CHƯA GIAO","")&amp;IF(NOT(ISNUMBER(I124)),"",IF(TODAY()&gt;I124," · QUÁ HẠN "&amp;(TODAY()-I124)&amp;" ngày",IF(I124-TODAY()&lt;=3," · Đến hạn "&amp;IF(I124=TODAY(),"hôm nay","trong "&amp;(I124-TODAY())&amp;" ngày"),"")))&amp;IF(J124="Chờ đối tác"," · Chờ đối tác"&amp;IF(ISNUMBER(N124)," "&amp;(TODAY()-INT(N124))&amp;" ngày",""),""),4,200))))</f>
        <v/>
      </c>
      <c r="N124" s="49" t="n"/>
      <c r="O124" t="inlineStr">
        <is>
          <t>VD-4</t>
        </is>
      </c>
      <c r="P124" t="inlineStr">
        <is>
          <t>K32</t>
        </is>
      </c>
      <c r="Q124" t="n">
        <v>7</v>
      </c>
      <c r="R124" t="inlineStr">
        <is>
          <t>Làm việc</t>
        </is>
      </c>
      <c r="S124">
        <f>IF(AND(E124&lt;&gt;"",T124="Có",J124&lt;&gt;"Xong",J124&lt;&gt;"Bỏ qua",ISNUMBER(I124)),I124+ROW()/100000,"")</f>
        <v/>
      </c>
      <c r="T124">
        <f>IF(O124="","",IFERROR(INDEX(SK_TD,MATCH(O124,SK_A,0)),""))</f>
        <v/>
      </c>
      <c r="U124" t="inlineStr">
        <is>
          <t>Leader MKT (ví dụ)</t>
        </is>
      </c>
      <c r="V124">
        <f>IF(AND(O124&lt;&gt;"",O124=SEL_K,J124&lt;&gt;"Xong",J124&lt;&gt;"Bỏ qua"),IF(ISNUMBER(I124),I124,99999)+ROW()/100000,"")</f>
        <v/>
      </c>
    </row>
    <row r="125">
      <c r="A125" s="12">
        <f>IF(O125="","",IFERROR(INDEX(SK_B,MATCH(O125,SK_A,0))&amp;"",""))</f>
        <v/>
      </c>
      <c r="B125" s="45">
        <f>IF(O125="","",IFERROR(INDEX(SK_C,MATCH(O125,SK_A,0)),""))</f>
        <v/>
      </c>
      <c r="C125" s="46">
        <f>IF(Q125="","",IF(Q125=0,"D",IF(Q125&lt;0,"D"&amp;Q125,"D+"&amp;Q125)))</f>
        <v/>
      </c>
      <c r="D125" s="14" t="inlineStr">
        <is>
          <t>11. Follow-up</t>
        </is>
      </c>
      <c r="E125" s="12" t="inlineStr">
        <is>
          <t>Sales liên hệ lần đầu khách cần follow-up</t>
        </is>
      </c>
      <c r="F125" s="46" t="inlineStr">
        <is>
          <t>Sales</t>
        </is>
      </c>
      <c r="G125" s="47" t="inlineStr">
        <is>
          <t>Sales Surgical (ví dụ)</t>
        </is>
      </c>
      <c r="H125" s="14" t="inlineStr">
        <is>
          <t>NPP</t>
        </is>
      </c>
      <c r="I125" s="13">
        <f>IF(OR(B125="",Q125=""),"",IF(Q125&gt;0,IF(R125="Làm việc",WORKDAY(IFERROR(IF(INDEX(SK_D,MATCH(O125,SK_A,0))="",B125,INDEX(SK_D,MATCH(O125,SK_A,0))),B125),Q125,HOLI),IFERROR(IF(INDEX(SK_D,MATCH(O125,SK_A,0))="",B125,INDEX(SK_D,MATCH(O125,SK_A,0))),B125)+Q125),B125+Q125))</f>
        <v/>
      </c>
      <c r="J125" s="14" t="inlineStr">
        <is>
          <t>Chưa làm</t>
        </is>
      </c>
      <c r="K125" s="13" t="n"/>
      <c r="L125" s="12" t="n"/>
      <c r="M125" s="48">
        <f>IF(E125="","",IF(J125="Bỏ qua","—",IF(J125="Xong",IF(AND(ISNUMBER(K125),ISNUMBER(I125),K125&gt;I125),"Xong trễ","Xong"),MID(IF(G125=""," · CHƯA GIAO","")&amp;IF(NOT(ISNUMBER(I125)),"",IF(TODAY()&gt;I125," · QUÁ HẠN "&amp;(TODAY()-I125)&amp;" ngày",IF(I125-TODAY()&lt;=3," · Đến hạn "&amp;IF(I125=TODAY(),"hôm nay","trong "&amp;(I125-TODAY())&amp;" ngày"),"")))&amp;IF(J125="Chờ đối tác"," · Chờ đối tác"&amp;IF(ISNUMBER(N125)," "&amp;(TODAY()-INT(N125))&amp;" ngày",""),""),4,200))))</f>
        <v/>
      </c>
      <c r="N125" s="49" t="n"/>
      <c r="O125" t="inlineStr">
        <is>
          <t>VD-4</t>
        </is>
      </c>
      <c r="P125" t="inlineStr">
        <is>
          <t>K33</t>
        </is>
      </c>
      <c r="Q125" t="n">
        <v>5</v>
      </c>
      <c r="R125" t="inlineStr">
        <is>
          <t>Làm việc</t>
        </is>
      </c>
      <c r="S125">
        <f>IF(AND(E125&lt;&gt;"",T125="Có",J125&lt;&gt;"Xong",J125&lt;&gt;"Bỏ qua",ISNUMBER(I125)),I125+ROW()/100000,"")</f>
        <v/>
      </c>
      <c r="T125">
        <f>IF(O125="","",IFERROR(INDEX(SK_TD,MATCH(O125,SK_A,0)),""))</f>
        <v/>
      </c>
      <c r="U125" t="inlineStr">
        <is>
          <t>Sales Surgical (ví dụ)</t>
        </is>
      </c>
      <c r="V125">
        <f>IF(AND(O125&lt;&gt;"",O125=SEL_K,J125&lt;&gt;"Xong",J125&lt;&gt;"Bỏ qua"),IF(ISNUMBER(I125),I125,99999)+ROW()/100000,"")</f>
        <v/>
      </c>
    </row>
    <row r="126">
      <c r="A126" s="12">
        <f>IF(O126="","",IFERROR(INDEX(SK_B,MATCH(O126,SK_A,0))&amp;"",""))</f>
        <v/>
      </c>
      <c r="B126" s="45">
        <f>IF(O126="","",IFERROR(INDEX(SK_C,MATCH(O126,SK_A,0)),""))</f>
        <v/>
      </c>
      <c r="C126" s="46">
        <f>IF(Q126="","",IF(Q126=0,"D",IF(Q126&lt;0,"D"&amp;Q126,"D+"&amp;Q126)))</f>
        <v/>
      </c>
      <c r="D126" s="14" t="inlineStr">
        <is>
          <t>11. Follow-up</t>
        </is>
      </c>
      <c r="E126" s="12" t="inlineStr">
        <is>
          <t>Sales báo kết quả chuyển đổi đơn hàng</t>
        </is>
      </c>
      <c r="F126" s="46" t="inlineStr">
        <is>
          <t>Sales</t>
        </is>
      </c>
      <c r="G126" s="47" t="inlineStr">
        <is>
          <t>Sales Surgical (ví dụ)</t>
        </is>
      </c>
      <c r="H126" s="14" t="inlineStr">
        <is>
          <t>NPP</t>
        </is>
      </c>
      <c r="I126" s="13">
        <f>IF(OR(B126="",Q126=""),"",IF(Q126&gt;0,IF(R126="Làm việc",WORKDAY(IFERROR(IF(INDEX(SK_D,MATCH(O126,SK_A,0))="",B126,INDEX(SK_D,MATCH(O126,SK_A,0))),B126),Q126,HOLI),IFERROR(IF(INDEX(SK_D,MATCH(O126,SK_A,0))="",B126,INDEX(SK_D,MATCH(O126,SK_A,0))),B126)+Q126),B126+Q126))</f>
        <v/>
      </c>
      <c r="J126" s="14" t="inlineStr">
        <is>
          <t>Chưa làm</t>
        </is>
      </c>
      <c r="K126" s="13" t="n"/>
      <c r="L126" s="12" t="n"/>
      <c r="M126" s="48">
        <f>IF(E126="","",IF(J126="Bỏ qua","—",IF(J126="Xong",IF(AND(ISNUMBER(K126),ISNUMBER(I126),K126&gt;I126),"Xong trễ","Xong"),MID(IF(G126=""," · CHƯA GIAO","")&amp;IF(NOT(ISNUMBER(I126)),"",IF(TODAY()&gt;I126," · QUÁ HẠN "&amp;(TODAY()-I126)&amp;" ngày",IF(I126-TODAY()&lt;=3," · Đến hạn "&amp;IF(I126=TODAY(),"hôm nay","trong "&amp;(I126-TODAY())&amp;" ngày"),"")))&amp;IF(J126="Chờ đối tác"," · Chờ đối tác"&amp;IF(ISNUMBER(N126)," "&amp;(TODAY()-INT(N126))&amp;" ngày",""),""),4,200))))</f>
        <v/>
      </c>
      <c r="N126" s="49" t="n"/>
      <c r="O126" t="inlineStr">
        <is>
          <t>VD-4</t>
        </is>
      </c>
      <c r="P126" t="inlineStr">
        <is>
          <t>K34</t>
        </is>
      </c>
      <c r="Q126" t="n">
        <v>20</v>
      </c>
      <c r="R126" t="inlineStr">
        <is>
          <t>Làm việc</t>
        </is>
      </c>
      <c r="S126">
        <f>IF(AND(E126&lt;&gt;"",T126="Có",J126&lt;&gt;"Xong",J126&lt;&gt;"Bỏ qua",ISNUMBER(I126)),I126+ROW()/100000,"")</f>
        <v/>
      </c>
      <c r="T126">
        <f>IF(O126="","",IFERROR(INDEX(SK_TD,MATCH(O126,SK_A,0)),""))</f>
        <v/>
      </c>
      <c r="U126" t="inlineStr">
        <is>
          <t>Sales Surgical (ví dụ)</t>
        </is>
      </c>
      <c r="V126">
        <f>IF(AND(O126&lt;&gt;"",O126=SEL_K,J126&lt;&gt;"Xong",J126&lt;&gt;"Bỏ qua"),IF(ISNUMBER(I126),I126,99999)+ROW()/100000,"")</f>
        <v/>
      </c>
    </row>
    <row r="127">
      <c r="A127" s="12">
        <f>IF(O127="","",IFERROR(INDEX(SK_B,MATCH(O127,SK_A,0))&amp;"",""))</f>
        <v/>
      </c>
      <c r="B127" s="45">
        <f>IF(O127="","",IFERROR(INDEX(SK_C,MATCH(O127,SK_A,0)),""))</f>
        <v/>
      </c>
      <c r="C127" s="46">
        <f>IF(Q127="","",IF(Q127=0,"D",IF(Q127&lt;0,"D"&amp;Q127,"D+"&amp;Q127)))</f>
        <v/>
      </c>
      <c r="D127" s="14" t="inlineStr">
        <is>
          <t>1. Kế hoạch</t>
        </is>
      </c>
      <c r="E127" s="12" t="inlineStr">
        <is>
          <t>Lập kế hoạch tổng quan (KOL, số khách, mục đích, KPI bán hàng, khuyến mại, khảo sát) + xin Giám đốc duyệt ngân sách</t>
        </is>
      </c>
      <c r="F127" s="46" t="inlineStr">
        <is>
          <t>MKT Leader</t>
        </is>
      </c>
      <c r="G127" s="47" t="inlineStr">
        <is>
          <t>Leader MKT (ví dụ)</t>
        </is>
      </c>
      <c r="H127" s="14" t="inlineStr">
        <is>
          <t>Sales, NPP</t>
        </is>
      </c>
      <c r="I127" s="13">
        <f>IF(OR(B127="",Q127=""),"",IF(Q127&gt;0,IF(R127="Làm việc",WORKDAY(IFERROR(IF(INDEX(SK_D,MATCH(O127,SK_A,0))="",B127,INDEX(SK_D,MATCH(O127,SK_A,0))),B127),Q127,HOLI),IFERROR(IF(INDEX(SK_D,MATCH(O127,SK_A,0))="",B127,INDEX(SK_D,MATCH(O127,SK_A,0))),B127)+Q127),B127+Q127))</f>
        <v/>
      </c>
      <c r="J127" s="14" t="inlineStr">
        <is>
          <t>Chưa làm</t>
        </is>
      </c>
      <c r="K127" s="13" t="n"/>
      <c r="L127" s="12" t="n"/>
      <c r="M127" s="48">
        <f>IF(E127="","",IF(J127="Bỏ qua","—",IF(J127="Xong",IF(AND(ISNUMBER(K127),ISNUMBER(I127),K127&gt;I127),"Xong trễ","Xong"),MID(IF(G127=""," · CHƯA GIAO","")&amp;IF(NOT(ISNUMBER(I127)),"",IF(TODAY()&gt;I127," · QUÁ HẠN "&amp;(TODAY()-I127)&amp;" ngày",IF(I127-TODAY()&lt;=3," · Đến hạn "&amp;IF(I127=TODAY(),"hôm nay","trong "&amp;(I127-TODAY())&amp;" ngày"),"")))&amp;IF(J127="Chờ đối tác"," · Chờ đối tác"&amp;IF(ISNUMBER(N127)," "&amp;(TODAY()-INT(N127))&amp;" ngày",""),""),4,200))))</f>
        <v/>
      </c>
      <c r="N127" s="49" t="n"/>
      <c r="O127" t="inlineStr">
        <is>
          <t>VD-5</t>
        </is>
      </c>
      <c r="P127" t="inlineStr">
        <is>
          <t>K01</t>
        </is>
      </c>
      <c r="Q127" t="n">
        <v>-30</v>
      </c>
      <c r="R127" t="inlineStr">
        <is>
          <t>Lịch</t>
        </is>
      </c>
      <c r="S127">
        <f>IF(AND(E127&lt;&gt;"",T127="Có",J127&lt;&gt;"Xong",J127&lt;&gt;"Bỏ qua",ISNUMBER(I127)),I127+ROW()/100000,"")</f>
        <v/>
      </c>
      <c r="T127">
        <f>IF(O127="","",IFERROR(INDEX(SK_TD,MATCH(O127,SK_A,0)),""))</f>
        <v/>
      </c>
      <c r="U127" t="inlineStr">
        <is>
          <t>Leader MKT (ví dụ)</t>
        </is>
      </c>
      <c r="V127">
        <f>IF(AND(O127&lt;&gt;"",O127=SEL_K,J127&lt;&gt;"Xong",J127&lt;&gt;"Bỏ qua"),IF(ISNUMBER(I127),I127,99999)+ROW()/100000,"")</f>
        <v/>
      </c>
    </row>
    <row r="128">
      <c r="A128" s="12">
        <f>IF(O128="","",IFERROR(INDEX(SK_B,MATCH(O128,SK_A,0))&amp;"",""))</f>
        <v/>
      </c>
      <c r="B128" s="45">
        <f>IF(O128="","",IFERROR(INDEX(SK_C,MATCH(O128,SK_A,0)),""))</f>
        <v/>
      </c>
      <c r="C128" s="46">
        <f>IF(Q128="","",IF(Q128=0,"D",IF(Q128&lt;0,"D"&amp;Q128,"D+"&amp;Q128)))</f>
        <v/>
      </c>
      <c r="D128" s="14" t="inlineStr">
        <is>
          <t>1. Kế hoạch</t>
        </is>
      </c>
      <c r="E128" s="12" t="inlineStr">
        <is>
          <t>Chia việc với NPP, Trường / Viện (tuyển sinh, đồ thực hành, MC, số bàn trưng bày)</t>
        </is>
      </c>
      <c r="F128" s="46" t="inlineStr">
        <is>
          <t>MKT Leader</t>
        </is>
      </c>
      <c r="G128" s="47" t="inlineStr">
        <is>
          <t>Leader MKT (ví dụ)</t>
        </is>
      </c>
      <c r="H128" s="14" t="inlineStr">
        <is>
          <t>NPP, Viện</t>
        </is>
      </c>
      <c r="I128" s="13">
        <f>IF(OR(B128="",Q128=""),"",IF(Q128&gt;0,IF(R128="Làm việc",WORKDAY(IFERROR(IF(INDEX(SK_D,MATCH(O128,SK_A,0))="",B128,INDEX(SK_D,MATCH(O128,SK_A,0))),B128),Q128,HOLI),IFERROR(IF(INDEX(SK_D,MATCH(O128,SK_A,0))="",B128,INDEX(SK_D,MATCH(O128,SK_A,0))),B128)+Q128),B128+Q128))</f>
        <v/>
      </c>
      <c r="J128" s="14" t="inlineStr">
        <is>
          <t>Chưa làm</t>
        </is>
      </c>
      <c r="K128" s="13" t="n"/>
      <c r="L128" s="12" t="n"/>
      <c r="M128" s="48">
        <f>IF(E128="","",IF(J128="Bỏ qua","—",IF(J128="Xong",IF(AND(ISNUMBER(K128),ISNUMBER(I128),K128&gt;I128),"Xong trễ","Xong"),MID(IF(G128=""," · CHƯA GIAO","")&amp;IF(NOT(ISNUMBER(I128)),"",IF(TODAY()&gt;I128," · QUÁ HẠN "&amp;(TODAY()-I128)&amp;" ngày",IF(I128-TODAY()&lt;=3," · Đến hạn "&amp;IF(I128=TODAY(),"hôm nay","trong "&amp;(I128-TODAY())&amp;" ngày"),"")))&amp;IF(J128="Chờ đối tác"," · Chờ đối tác"&amp;IF(ISNUMBER(N128)," "&amp;(TODAY()-INT(N128))&amp;" ngày",""),""),4,200))))</f>
        <v/>
      </c>
      <c r="N128" s="49" t="n"/>
      <c r="O128" t="inlineStr">
        <is>
          <t>VD-5</t>
        </is>
      </c>
      <c r="P128" t="inlineStr">
        <is>
          <t>K02</t>
        </is>
      </c>
      <c r="Q128" t="n">
        <v>-30</v>
      </c>
      <c r="R128" t="inlineStr">
        <is>
          <t>Lịch</t>
        </is>
      </c>
      <c r="S128">
        <f>IF(AND(E128&lt;&gt;"",T128="Có",J128&lt;&gt;"Xong",J128&lt;&gt;"Bỏ qua",ISNUMBER(I128)),I128+ROW()/100000,"")</f>
        <v/>
      </c>
      <c r="T128">
        <f>IF(O128="","",IFERROR(INDEX(SK_TD,MATCH(O128,SK_A,0)),""))</f>
        <v/>
      </c>
      <c r="U128" t="inlineStr">
        <is>
          <t>Leader MKT (ví dụ)</t>
        </is>
      </c>
      <c r="V128">
        <f>IF(AND(O128&lt;&gt;"",O128=SEL_K,J128&lt;&gt;"Xong",J128&lt;&gt;"Bỏ qua"),IF(ISNUMBER(I128),I128,99999)+ROW()/100000,"")</f>
        <v/>
      </c>
    </row>
    <row r="129">
      <c r="A129" s="12">
        <f>IF(O129="","",IFERROR(INDEX(SK_B,MATCH(O129,SK_A,0))&amp;"",""))</f>
        <v/>
      </c>
      <c r="B129" s="45">
        <f>IF(O129="","",IFERROR(INDEX(SK_C,MATCH(O129,SK_A,0)),""))</f>
        <v/>
      </c>
      <c r="C129" s="46">
        <f>IF(Q129="","",IF(Q129=0,"D",IF(Q129&lt;0,"D"&amp;Q129,"D+"&amp;Q129)))</f>
        <v/>
      </c>
      <c r="D129" s="14" t="inlineStr">
        <is>
          <t>2. KOL &amp; đối tác</t>
        </is>
      </c>
      <c r="E129" s="12" t="inlineStr">
        <is>
          <t>Chốt KOL: hợp đồng, lịch di chuyển, xem trước bài giảng, người chăm sóc KOL</t>
        </is>
      </c>
      <c r="F129" s="46" t="inlineStr">
        <is>
          <t>MKT Leader</t>
        </is>
      </c>
      <c r="G129" s="47" t="inlineStr">
        <is>
          <t>Leader MKT (ví dụ)</t>
        </is>
      </c>
      <c r="H129" s="14" t="inlineStr">
        <is>
          <t>KOL</t>
        </is>
      </c>
      <c r="I129" s="13">
        <f>IF(OR(B129="",Q129=""),"",IF(Q129&gt;0,IF(R129="Làm việc",WORKDAY(IFERROR(IF(INDEX(SK_D,MATCH(O129,SK_A,0))="",B129,INDEX(SK_D,MATCH(O129,SK_A,0))),B129),Q129,HOLI),IFERROR(IF(INDEX(SK_D,MATCH(O129,SK_A,0))="",B129,INDEX(SK_D,MATCH(O129,SK_A,0))),B129)+Q129),B129+Q129))</f>
        <v/>
      </c>
      <c r="J129" s="14" t="inlineStr">
        <is>
          <t>Chưa làm</t>
        </is>
      </c>
      <c r="K129" s="13" t="n"/>
      <c r="L129" s="12" t="n"/>
      <c r="M129" s="48">
        <f>IF(E129="","",IF(J129="Bỏ qua","—",IF(J129="Xong",IF(AND(ISNUMBER(K129),ISNUMBER(I129),K129&gt;I129),"Xong trễ","Xong"),MID(IF(G129=""," · CHƯA GIAO","")&amp;IF(NOT(ISNUMBER(I129)),"",IF(TODAY()&gt;I129," · QUÁ HẠN "&amp;(TODAY()-I129)&amp;" ngày",IF(I129-TODAY()&lt;=3," · Đến hạn "&amp;IF(I129=TODAY(),"hôm nay","trong "&amp;(I129-TODAY())&amp;" ngày"),"")))&amp;IF(J129="Chờ đối tác"," · Chờ đối tác"&amp;IF(ISNUMBER(N129)," "&amp;(TODAY()-INT(N129))&amp;" ngày",""),""),4,200))))</f>
        <v/>
      </c>
      <c r="N129" s="49" t="n"/>
      <c r="O129" t="inlineStr">
        <is>
          <t>VD-5</t>
        </is>
      </c>
      <c r="P129" t="inlineStr">
        <is>
          <t>K03</t>
        </is>
      </c>
      <c r="Q129" t="n">
        <v>-30</v>
      </c>
      <c r="R129" t="inlineStr">
        <is>
          <t>Lịch</t>
        </is>
      </c>
      <c r="S129">
        <f>IF(AND(E129&lt;&gt;"",T129="Có",J129&lt;&gt;"Xong",J129&lt;&gt;"Bỏ qua",ISNUMBER(I129)),I129+ROW()/100000,"")</f>
        <v/>
      </c>
      <c r="T129">
        <f>IF(O129="","",IFERROR(INDEX(SK_TD,MATCH(O129,SK_A,0)),""))</f>
        <v/>
      </c>
      <c r="U129" t="inlineStr">
        <is>
          <t>Leader MKT (ví dụ)</t>
        </is>
      </c>
      <c r="V129">
        <f>IF(AND(O129&lt;&gt;"",O129=SEL_K,J129&lt;&gt;"Xong",J129&lt;&gt;"Bỏ qua"),IF(ISNUMBER(I129),I129,99999)+ROW()/100000,"")</f>
        <v/>
      </c>
    </row>
    <row r="130">
      <c r="A130" s="12">
        <f>IF(O130="","",IFERROR(INDEX(SK_B,MATCH(O130,SK_A,0))&amp;"",""))</f>
        <v/>
      </c>
      <c r="B130" s="45">
        <f>IF(O130="","",IFERROR(INDEX(SK_C,MATCH(O130,SK_A,0)),""))</f>
        <v/>
      </c>
      <c r="C130" s="46">
        <f>IF(Q130="","",IF(Q130=0,"D",IF(Q130&lt;0,"D"&amp;Q130,"D+"&amp;Q130)))</f>
        <v/>
      </c>
      <c r="D130" s="14" t="inlineStr">
        <is>
          <t>3. Tuyển sinh</t>
        </is>
      </c>
      <c r="E130" s="12" t="inlineStr">
        <is>
          <t>Mở tuyển sinh: form đăng ký (khảo sát trước, đồng ý dữ liệu, nguồn đăng ký) + nhóm Zalo khách</t>
        </is>
      </c>
      <c r="F130" s="46" t="inlineStr">
        <is>
          <t>Digital MKT</t>
        </is>
      </c>
      <c r="G130" s="47" t="inlineStr">
        <is>
          <t>Digital (ví dụ)</t>
        </is>
      </c>
      <c r="H130" s="14" t="inlineStr">
        <is>
          <t>Sales, NPP</t>
        </is>
      </c>
      <c r="I130" s="13">
        <f>IF(OR(B130="",Q130=""),"",IF(Q130&gt;0,IF(R130="Làm việc",WORKDAY(IFERROR(IF(INDEX(SK_D,MATCH(O130,SK_A,0))="",B130,INDEX(SK_D,MATCH(O130,SK_A,0))),B130),Q130,HOLI),IFERROR(IF(INDEX(SK_D,MATCH(O130,SK_A,0))="",B130,INDEX(SK_D,MATCH(O130,SK_A,0))),B130)+Q130),B130+Q130))</f>
        <v/>
      </c>
      <c r="J130" s="14" t="inlineStr">
        <is>
          <t>Chưa làm</t>
        </is>
      </c>
      <c r="K130" s="13" t="n"/>
      <c r="L130" s="12" t="n"/>
      <c r="M130" s="48">
        <f>IF(E130="","",IF(J130="Bỏ qua","—",IF(J130="Xong",IF(AND(ISNUMBER(K130),ISNUMBER(I130),K130&gt;I130),"Xong trễ","Xong"),MID(IF(G130=""," · CHƯA GIAO","")&amp;IF(NOT(ISNUMBER(I130)),"",IF(TODAY()&gt;I130," · QUÁ HẠN "&amp;(TODAY()-I130)&amp;" ngày",IF(I130-TODAY()&lt;=3," · Đến hạn "&amp;IF(I130=TODAY(),"hôm nay","trong "&amp;(I130-TODAY())&amp;" ngày"),"")))&amp;IF(J130="Chờ đối tác"," · Chờ đối tác"&amp;IF(ISNUMBER(N130)," "&amp;(TODAY()-INT(N130))&amp;" ngày",""),""),4,200))))</f>
        <v/>
      </c>
      <c r="N130" s="49" t="n"/>
      <c r="O130" t="inlineStr">
        <is>
          <t>VD-5</t>
        </is>
      </c>
      <c r="P130" t="inlineStr">
        <is>
          <t>K04</t>
        </is>
      </c>
      <c r="Q130" t="n">
        <v>-30</v>
      </c>
      <c r="R130" t="inlineStr">
        <is>
          <t>Lịch</t>
        </is>
      </c>
      <c r="S130">
        <f>IF(AND(E130&lt;&gt;"",T130="Có",J130&lt;&gt;"Xong",J130&lt;&gt;"Bỏ qua",ISNUMBER(I130)),I130+ROW()/100000,"")</f>
        <v/>
      </c>
      <c r="T130">
        <f>IF(O130="","",IFERROR(INDEX(SK_TD,MATCH(O130,SK_A,0)),""))</f>
        <v/>
      </c>
      <c r="U130" t="inlineStr">
        <is>
          <t>Digital (ví dụ)</t>
        </is>
      </c>
      <c r="V130">
        <f>IF(AND(O130&lt;&gt;"",O130=SEL_K,J130&lt;&gt;"Xong",J130&lt;&gt;"Bỏ qua"),IF(ISNUMBER(I130),I130,99999)+ROW()/100000,"")</f>
        <v/>
      </c>
    </row>
    <row r="131">
      <c r="A131" s="12">
        <f>IF(O131="","",IFERROR(INDEX(SK_B,MATCH(O131,SK_A,0))&amp;"",""))</f>
        <v/>
      </c>
      <c r="B131" s="45">
        <f>IF(O131="","",IFERROR(INDEX(SK_C,MATCH(O131,SK_A,0)),""))</f>
        <v/>
      </c>
      <c r="C131" s="46">
        <f>IF(Q131="","",IF(Q131=0,"D",IF(Q131&lt;0,"D"&amp;Q131,"D+"&amp;Q131)))</f>
        <v/>
      </c>
      <c r="D131" s="14" t="inlineStr">
        <is>
          <t>3. Tuyển sinh</t>
        </is>
      </c>
      <c r="E131" s="12" t="inlineStr">
        <is>
          <t>Báo cáo số đăng ký theo nguồn cho team (thứ Hai hằng tuần, đến D-1)</t>
        </is>
      </c>
      <c r="F131" s="46" t="inlineStr">
        <is>
          <t>MKT Leader</t>
        </is>
      </c>
      <c r="G131" s="47" t="inlineStr">
        <is>
          <t>Leader MKT (ví dụ)</t>
        </is>
      </c>
      <c r="H131" s="14" t="inlineStr">
        <is>
          <t>Sales, NPP</t>
        </is>
      </c>
      <c r="I131" s="13">
        <f>IF(OR(B131="",Q131=""),"",IF(Q131&gt;0,IF(R131="Làm việc",WORKDAY(IFERROR(IF(INDEX(SK_D,MATCH(O131,SK_A,0))="",B131,INDEX(SK_D,MATCH(O131,SK_A,0))),B131),Q131,HOLI),IFERROR(IF(INDEX(SK_D,MATCH(O131,SK_A,0))="",B131,INDEX(SK_D,MATCH(O131,SK_A,0))),B131)+Q131),B131+Q131))</f>
        <v/>
      </c>
      <c r="J131" s="14" t="inlineStr">
        <is>
          <t>Chưa làm</t>
        </is>
      </c>
      <c r="K131" s="13" t="n"/>
      <c r="L131" s="12" t="n"/>
      <c r="M131" s="48">
        <f>IF(E131="","",IF(J131="Bỏ qua","—",IF(J131="Xong",IF(AND(ISNUMBER(K131),ISNUMBER(I131),K131&gt;I131),"Xong trễ","Xong"),MID(IF(G131=""," · CHƯA GIAO","")&amp;IF(NOT(ISNUMBER(I131)),"",IF(TODAY()&gt;I131," · QUÁ HẠN "&amp;(TODAY()-I131)&amp;" ngày",IF(I131-TODAY()&lt;=3," · Đến hạn "&amp;IF(I131=TODAY(),"hôm nay","trong "&amp;(I131-TODAY())&amp;" ngày"),"")))&amp;IF(J131="Chờ đối tác"," · Chờ đối tác"&amp;IF(ISNUMBER(N131)," "&amp;(TODAY()-INT(N131))&amp;" ngày",""),""),4,200))))</f>
        <v/>
      </c>
      <c r="N131" s="49" t="n"/>
      <c r="O131" t="inlineStr">
        <is>
          <t>VD-5</t>
        </is>
      </c>
      <c r="P131" t="inlineStr">
        <is>
          <t>K05</t>
        </is>
      </c>
      <c r="Q131" t="n">
        <v>-1</v>
      </c>
      <c r="R131" t="inlineStr">
        <is>
          <t>Lịch</t>
        </is>
      </c>
      <c r="S131">
        <f>IF(AND(E131&lt;&gt;"",T131="Có",J131&lt;&gt;"Xong",J131&lt;&gt;"Bỏ qua",ISNUMBER(I131)),I131+ROW()/100000,"")</f>
        <v/>
      </c>
      <c r="T131">
        <f>IF(O131="","",IFERROR(INDEX(SK_TD,MATCH(O131,SK_A,0)),""))</f>
        <v/>
      </c>
      <c r="U131" t="inlineStr">
        <is>
          <t>Leader MKT (ví dụ)</t>
        </is>
      </c>
      <c r="V131">
        <f>IF(AND(O131&lt;&gt;"",O131=SEL_K,J131&lt;&gt;"Xong",J131&lt;&gt;"Bỏ qua"),IF(ISNUMBER(I131),I131,99999)+ROW()/100000,"")</f>
        <v/>
      </c>
    </row>
    <row r="132">
      <c r="A132" s="12">
        <f>IF(O132="","",IFERROR(INDEX(SK_B,MATCH(O132,SK_A,0))&amp;"",""))</f>
        <v/>
      </c>
      <c r="B132" s="45">
        <f>IF(O132="","",IFERROR(INDEX(SK_C,MATCH(O132,SK_A,0)),""))</f>
        <v/>
      </c>
      <c r="C132" s="46">
        <f>IF(Q132="","",IF(Q132=0,"D",IF(Q132&lt;0,"D"&amp;Q132,"D+"&amp;Q132)))</f>
        <v/>
      </c>
      <c r="D132" s="14" t="inlineStr">
        <is>
          <t>3. Tuyển sinh</t>
        </is>
      </c>
      <c r="E132" s="12" t="inlineStr">
        <is>
          <t>Checkpoint D-14: đăng ký &lt; 60% target ⇒ báo Giám đốc phương án</t>
        </is>
      </c>
      <c r="F132" s="46" t="inlineStr">
        <is>
          <t>MKT Leader</t>
        </is>
      </c>
      <c r="G132" s="47" t="inlineStr">
        <is>
          <t>Leader MKT (ví dụ)</t>
        </is>
      </c>
      <c r="H132" s="14" t="inlineStr">
        <is>
          <t>Giám đốc</t>
        </is>
      </c>
      <c r="I132" s="13">
        <f>IF(OR(B132="",Q132=""),"",IF(Q132&gt;0,IF(R132="Làm việc",WORKDAY(IFERROR(IF(INDEX(SK_D,MATCH(O132,SK_A,0))="",B132,INDEX(SK_D,MATCH(O132,SK_A,0))),B132),Q132,HOLI),IFERROR(IF(INDEX(SK_D,MATCH(O132,SK_A,0))="",B132,INDEX(SK_D,MATCH(O132,SK_A,0))),B132)+Q132),B132+Q132))</f>
        <v/>
      </c>
      <c r="J132" s="14" t="inlineStr">
        <is>
          <t>Chưa làm</t>
        </is>
      </c>
      <c r="K132" s="13" t="n"/>
      <c r="L132" s="12" t="n"/>
      <c r="M132" s="48">
        <f>IF(E132="","",IF(J132="Bỏ qua","—",IF(J132="Xong",IF(AND(ISNUMBER(K132),ISNUMBER(I132),K132&gt;I132),"Xong trễ","Xong"),MID(IF(G132=""," · CHƯA GIAO","")&amp;IF(NOT(ISNUMBER(I132)),"",IF(TODAY()&gt;I132," · QUÁ HẠN "&amp;(TODAY()-I132)&amp;" ngày",IF(I132-TODAY()&lt;=3," · Đến hạn "&amp;IF(I132=TODAY(),"hôm nay","trong "&amp;(I132-TODAY())&amp;" ngày"),"")))&amp;IF(J132="Chờ đối tác"," · Chờ đối tác"&amp;IF(ISNUMBER(N132)," "&amp;(TODAY()-INT(N132))&amp;" ngày",""),""),4,200))))</f>
        <v/>
      </c>
      <c r="N132" s="49" t="n"/>
      <c r="O132" t="inlineStr">
        <is>
          <t>VD-5</t>
        </is>
      </c>
      <c r="P132" t="inlineStr">
        <is>
          <t>K06</t>
        </is>
      </c>
      <c r="Q132" t="n">
        <v>-14</v>
      </c>
      <c r="R132" t="inlineStr">
        <is>
          <t>Lịch</t>
        </is>
      </c>
      <c r="S132">
        <f>IF(AND(E132&lt;&gt;"",T132="Có",J132&lt;&gt;"Xong",J132&lt;&gt;"Bỏ qua",ISNUMBER(I132)),I132+ROW()/100000,"")</f>
        <v/>
      </c>
      <c r="T132">
        <f>IF(O132="","",IFERROR(INDEX(SK_TD,MATCH(O132,SK_A,0)),""))</f>
        <v/>
      </c>
      <c r="U132" t="inlineStr">
        <is>
          <t>Leader MKT (ví dụ)</t>
        </is>
      </c>
      <c r="V132">
        <f>IF(AND(O132&lt;&gt;"",O132=SEL_K,J132&lt;&gt;"Xong",J132&lt;&gt;"Bỏ qua"),IF(ISNUMBER(I132),I132,99999)+ROW()/100000,"")</f>
        <v/>
      </c>
    </row>
    <row r="133">
      <c r="A133" s="12">
        <f>IF(O133="","",IFERROR(INDEX(SK_B,MATCH(O133,SK_A,0))&amp;"",""))</f>
        <v/>
      </c>
      <c r="B133" s="45">
        <f>IF(O133="","",IFERROR(INDEX(SK_C,MATCH(O133,SK_A,0)),""))</f>
        <v/>
      </c>
      <c r="C133" s="46">
        <f>IF(Q133="","",IF(Q133=0,"D",IF(Q133&lt;0,"D"&amp;Q133,"D+"&amp;Q133)))</f>
        <v/>
      </c>
      <c r="D133" s="14" t="inlineStr">
        <is>
          <t>3. Tuyển sinh</t>
        </is>
      </c>
      <c r="E133" s="12" t="inlineStr">
        <is>
          <t>Sales / NPP gửi đủ thông tin khách đăng ký hộ (Họ tên · SĐT · Nơi công tác)</t>
        </is>
      </c>
      <c r="F133" s="46" t="inlineStr">
        <is>
          <t>Sales</t>
        </is>
      </c>
      <c r="G133" s="47" t="inlineStr">
        <is>
          <t>Sales Dental (ví dụ)</t>
        </is>
      </c>
      <c r="H133" s="14" t="inlineStr">
        <is>
          <t>NPP</t>
        </is>
      </c>
      <c r="I133" s="13">
        <f>IF(OR(B133="",Q133=""),"",IF(Q133&gt;0,IF(R133="Làm việc",WORKDAY(IFERROR(IF(INDEX(SK_D,MATCH(O133,SK_A,0))="",B133,INDEX(SK_D,MATCH(O133,SK_A,0))),B133),Q133,HOLI),IFERROR(IF(INDEX(SK_D,MATCH(O133,SK_A,0))="",B133,INDEX(SK_D,MATCH(O133,SK_A,0))),B133)+Q133),B133+Q133))</f>
        <v/>
      </c>
      <c r="J133" s="14" t="inlineStr">
        <is>
          <t>Chưa làm</t>
        </is>
      </c>
      <c r="K133" s="13" t="n"/>
      <c r="L133" s="12" t="n"/>
      <c r="M133" s="48">
        <f>IF(E133="","",IF(J133="Bỏ qua","—",IF(J133="Xong",IF(AND(ISNUMBER(K133),ISNUMBER(I133),K133&gt;I133),"Xong trễ","Xong"),MID(IF(G133=""," · CHƯA GIAO","")&amp;IF(NOT(ISNUMBER(I133)),"",IF(TODAY()&gt;I133," · QUÁ HẠN "&amp;(TODAY()-I133)&amp;" ngày",IF(I133-TODAY()&lt;=3," · Đến hạn "&amp;IF(I133=TODAY(),"hôm nay","trong "&amp;(I133-TODAY())&amp;" ngày"),"")))&amp;IF(J133="Chờ đối tác"," · Chờ đối tác"&amp;IF(ISNUMBER(N133)," "&amp;(TODAY()-INT(N133))&amp;" ngày",""),""),4,200))))</f>
        <v/>
      </c>
      <c r="N133" s="49" t="n"/>
      <c r="O133" t="inlineStr">
        <is>
          <t>VD-5</t>
        </is>
      </c>
      <c r="P133" t="inlineStr">
        <is>
          <t>K07</t>
        </is>
      </c>
      <c r="Q133" t="n">
        <v>-5</v>
      </c>
      <c r="R133" t="inlineStr">
        <is>
          <t>Lịch</t>
        </is>
      </c>
      <c r="S133">
        <f>IF(AND(E133&lt;&gt;"",T133="Có",J133&lt;&gt;"Xong",J133&lt;&gt;"Bỏ qua",ISNUMBER(I133)),I133+ROW()/100000,"")</f>
        <v/>
      </c>
      <c r="T133">
        <f>IF(O133="","",IFERROR(INDEX(SK_TD,MATCH(O133,SK_A,0)),""))</f>
        <v/>
      </c>
      <c r="U133" t="inlineStr">
        <is>
          <t>Sales Dental (ví dụ)</t>
        </is>
      </c>
      <c r="V133">
        <f>IF(AND(O133&lt;&gt;"",O133=SEL_K,J133&lt;&gt;"Xong",J133&lt;&gt;"Bỏ qua"),IF(ISNUMBER(I133),I133,99999)+ROW()/100000,"")</f>
        <v/>
      </c>
    </row>
    <row r="134">
      <c r="A134" s="12">
        <f>IF(O134="","",IFERROR(INDEX(SK_B,MATCH(O134,SK_A,0))&amp;"",""))</f>
        <v/>
      </c>
      <c r="B134" s="45">
        <f>IF(O134="","",IFERROR(INDEX(SK_C,MATCH(O134,SK_A,0)),""))</f>
        <v/>
      </c>
      <c r="C134" s="46">
        <f>IF(Q134="","",IF(Q134=0,"D",IF(Q134&lt;0,"D"&amp;Q134,"D+"&amp;Q134)))</f>
        <v/>
      </c>
      <c r="D134" s="14" t="inlineStr">
        <is>
          <t>4. Truyền thông</t>
        </is>
      </c>
      <c r="E134" s="12" t="inlineStr">
        <is>
          <t>Đăng chuỗi bài truyền thông sự kiện</t>
        </is>
      </c>
      <c r="F134" s="46" t="inlineStr">
        <is>
          <t>Digital MKT</t>
        </is>
      </c>
      <c r="G134" s="47" t="inlineStr">
        <is>
          <t>Digital (ví dụ)</t>
        </is>
      </c>
      <c r="H134" s="14" t="inlineStr">
        <is>
          <t>Sales, NPP chia sẻ</t>
        </is>
      </c>
      <c r="I134" s="13">
        <f>IF(OR(B134="",Q134=""),"",IF(Q134&gt;0,IF(R134="Làm việc",WORKDAY(IFERROR(IF(INDEX(SK_D,MATCH(O134,SK_A,0))="",B134,INDEX(SK_D,MATCH(O134,SK_A,0))),B134),Q134,HOLI),IFERROR(IF(INDEX(SK_D,MATCH(O134,SK_A,0))="",B134,INDEX(SK_D,MATCH(O134,SK_A,0))),B134)+Q134),B134+Q134))</f>
        <v/>
      </c>
      <c r="J134" s="14" t="inlineStr">
        <is>
          <t>Chưa làm</t>
        </is>
      </c>
      <c r="K134" s="13" t="n"/>
      <c r="L134" s="12" t="n"/>
      <c r="M134" s="48">
        <f>IF(E134="","",IF(J134="Bỏ qua","—",IF(J134="Xong",IF(AND(ISNUMBER(K134),ISNUMBER(I134),K134&gt;I134),"Xong trễ","Xong"),MID(IF(G134=""," · CHƯA GIAO","")&amp;IF(NOT(ISNUMBER(I134)),"",IF(TODAY()&gt;I134," · QUÁ HẠN "&amp;(TODAY()-I134)&amp;" ngày",IF(I134-TODAY()&lt;=3," · Đến hạn "&amp;IF(I134=TODAY(),"hôm nay","trong "&amp;(I134-TODAY())&amp;" ngày"),"")))&amp;IF(J134="Chờ đối tác"," · Chờ đối tác"&amp;IF(ISNUMBER(N134)," "&amp;(TODAY()-INT(N134))&amp;" ngày",""),""),4,200))))</f>
        <v/>
      </c>
      <c r="N134" s="49" t="n"/>
      <c r="O134" t="inlineStr">
        <is>
          <t>VD-5</t>
        </is>
      </c>
      <c r="P134" t="inlineStr">
        <is>
          <t>K08</t>
        </is>
      </c>
      <c r="Q134" t="n">
        <v>-14</v>
      </c>
      <c r="R134" t="inlineStr">
        <is>
          <t>Lịch</t>
        </is>
      </c>
      <c r="S134">
        <f>IF(AND(E134&lt;&gt;"",T134="Có",J134&lt;&gt;"Xong",J134&lt;&gt;"Bỏ qua",ISNUMBER(I134)),I134+ROW()/100000,"")</f>
        <v/>
      </c>
      <c r="T134">
        <f>IF(O134="","",IFERROR(INDEX(SK_TD,MATCH(O134,SK_A,0)),""))</f>
        <v/>
      </c>
      <c r="U134" t="inlineStr">
        <is>
          <t>Digital (ví dụ)</t>
        </is>
      </c>
      <c r="V134">
        <f>IF(AND(O134&lt;&gt;"",O134=SEL_K,J134&lt;&gt;"Xong",J134&lt;&gt;"Bỏ qua"),IF(ISNUMBER(I134),I134,99999)+ROW()/100000,"")</f>
        <v/>
      </c>
    </row>
    <row r="135">
      <c r="A135" s="12">
        <f>IF(O135="","",IFERROR(INDEX(SK_B,MATCH(O135,SK_A,0))&amp;"",""))</f>
        <v/>
      </c>
      <c r="B135" s="45">
        <f>IF(O135="","",IFERROR(INDEX(SK_C,MATCH(O135,SK_A,0)),""))</f>
        <v/>
      </c>
      <c r="C135" s="46">
        <f>IF(Q135="","",IF(Q135=0,"D",IF(Q135&lt;0,"D"&amp;Q135,"D+"&amp;Q135)))</f>
        <v/>
      </c>
      <c r="D135" s="14" t="inlineStr">
        <is>
          <t>5. Địa điểm &amp; hậu cần</t>
        </is>
      </c>
      <c r="E135" s="12" t="inlineStr">
        <is>
          <t>Đặt địa điểm (ngày, phòng, sức chứa, báo giá)</t>
        </is>
      </c>
      <c r="F135" s="46" t="inlineStr">
        <is>
          <t>Trade MKT</t>
        </is>
      </c>
      <c r="G135" s="47" t="inlineStr">
        <is>
          <t>Trade (ví dụ)</t>
        </is>
      </c>
      <c r="H135" s="14" t="inlineStr">
        <is>
          <t>Địa điểm</t>
        </is>
      </c>
      <c r="I135" s="13">
        <f>IF(OR(B135="",Q135=""),"",IF(Q135&gt;0,IF(R135="Làm việc",WORKDAY(IFERROR(IF(INDEX(SK_D,MATCH(O135,SK_A,0))="",B135,INDEX(SK_D,MATCH(O135,SK_A,0))),B135),Q135,HOLI),IFERROR(IF(INDEX(SK_D,MATCH(O135,SK_A,0))="",B135,INDEX(SK_D,MATCH(O135,SK_A,0))),B135)+Q135),B135+Q135))</f>
        <v/>
      </c>
      <c r="J135" s="14" t="inlineStr">
        <is>
          <t>Chưa làm</t>
        </is>
      </c>
      <c r="K135" s="13" t="n"/>
      <c r="L135" s="12" t="n"/>
      <c r="M135" s="48">
        <f>IF(E135="","",IF(J135="Bỏ qua","—",IF(J135="Xong",IF(AND(ISNUMBER(K135),ISNUMBER(I135),K135&gt;I135),"Xong trễ","Xong"),MID(IF(G135=""," · CHƯA GIAO","")&amp;IF(NOT(ISNUMBER(I135)),"",IF(TODAY()&gt;I135," · QUÁ HẠN "&amp;(TODAY()-I135)&amp;" ngày",IF(I135-TODAY()&lt;=3," · Đến hạn "&amp;IF(I135=TODAY(),"hôm nay","trong "&amp;(I135-TODAY())&amp;" ngày"),"")))&amp;IF(J135="Chờ đối tác"," · Chờ đối tác"&amp;IF(ISNUMBER(N135)," "&amp;(TODAY()-INT(N135))&amp;" ngày",""),""),4,200))))</f>
        <v/>
      </c>
      <c r="N135" s="49" t="n"/>
      <c r="O135" t="inlineStr">
        <is>
          <t>VD-5</t>
        </is>
      </c>
      <c r="P135" t="inlineStr">
        <is>
          <t>K09</t>
        </is>
      </c>
      <c r="Q135" t="n">
        <v>-30</v>
      </c>
      <c r="R135" t="inlineStr">
        <is>
          <t>Lịch</t>
        </is>
      </c>
      <c r="S135">
        <f>IF(AND(E135&lt;&gt;"",T135="Có",J135&lt;&gt;"Xong",J135&lt;&gt;"Bỏ qua",ISNUMBER(I135)),I135+ROW()/100000,"")</f>
        <v/>
      </c>
      <c r="T135">
        <f>IF(O135="","",IFERROR(INDEX(SK_TD,MATCH(O135,SK_A,0)),""))</f>
        <v/>
      </c>
      <c r="U135" t="inlineStr">
        <is>
          <t>Trade (ví dụ)</t>
        </is>
      </c>
      <c r="V135">
        <f>IF(AND(O135&lt;&gt;"",O135=SEL_K,J135&lt;&gt;"Xong",J135&lt;&gt;"Bỏ qua"),IF(ISNUMBER(I135),I135,99999)+ROW()/100000,"")</f>
        <v/>
      </c>
    </row>
    <row r="136">
      <c r="A136" s="12">
        <f>IF(O136="","",IFERROR(INDEX(SK_B,MATCH(O136,SK_A,0))&amp;"",""))</f>
        <v/>
      </c>
      <c r="B136" s="45">
        <f>IF(O136="","",IFERROR(INDEX(SK_C,MATCH(O136,SK_A,0)),""))</f>
        <v/>
      </c>
      <c r="C136" s="46">
        <f>IF(Q136="","",IF(Q136=0,"D",IF(Q136&lt;0,"D"&amp;Q136,"D+"&amp;Q136)))</f>
        <v/>
      </c>
      <c r="D136" s="14" t="inlineStr">
        <is>
          <t>5. Địa điểm &amp; hậu cần</t>
        </is>
      </c>
      <c r="E136" s="12" t="inlineStr">
        <is>
          <t>Chốt setup với địa điểm: sơ đồ, tea break / ăn trưa, kỹ thuật, sự kiện khác cùng giờ</t>
        </is>
      </c>
      <c r="F136" s="46" t="inlineStr">
        <is>
          <t>Trade MKT</t>
        </is>
      </c>
      <c r="G136" s="47" t="inlineStr">
        <is>
          <t>Trade (ví dụ)</t>
        </is>
      </c>
      <c r="H136" s="14" t="inlineStr">
        <is>
          <t>Địa điểm</t>
        </is>
      </c>
      <c r="I136" s="13">
        <f>IF(OR(B136="",Q136=""),"",IF(Q136&gt;0,IF(R136="Làm việc",WORKDAY(IFERROR(IF(INDEX(SK_D,MATCH(O136,SK_A,0))="",B136,INDEX(SK_D,MATCH(O136,SK_A,0))),B136),Q136,HOLI),IFERROR(IF(INDEX(SK_D,MATCH(O136,SK_A,0))="",B136,INDEX(SK_D,MATCH(O136,SK_A,0))),B136)+Q136),B136+Q136))</f>
        <v/>
      </c>
      <c r="J136" s="14" t="inlineStr">
        <is>
          <t>Chưa làm</t>
        </is>
      </c>
      <c r="K136" s="13" t="n"/>
      <c r="L136" s="12" t="n"/>
      <c r="M136" s="48">
        <f>IF(E136="","",IF(J136="Bỏ qua","—",IF(J136="Xong",IF(AND(ISNUMBER(K136),ISNUMBER(I136),K136&gt;I136),"Xong trễ","Xong"),MID(IF(G136=""," · CHƯA GIAO","")&amp;IF(NOT(ISNUMBER(I136)),"",IF(TODAY()&gt;I136," · QUÁ HẠN "&amp;(TODAY()-I136)&amp;" ngày",IF(I136-TODAY()&lt;=3," · Đến hạn "&amp;IF(I136=TODAY(),"hôm nay","trong "&amp;(I136-TODAY())&amp;" ngày"),"")))&amp;IF(J136="Chờ đối tác"," · Chờ đối tác"&amp;IF(ISNUMBER(N136)," "&amp;(TODAY()-INT(N136))&amp;" ngày",""),""),4,200))))</f>
        <v/>
      </c>
      <c r="N136" s="49" t="n"/>
      <c r="O136" t="inlineStr">
        <is>
          <t>VD-5</t>
        </is>
      </c>
      <c r="P136" t="inlineStr">
        <is>
          <t>K10</t>
        </is>
      </c>
      <c r="Q136" t="n">
        <v>-14</v>
      </c>
      <c r="R136" t="inlineStr">
        <is>
          <t>Lịch</t>
        </is>
      </c>
      <c r="S136">
        <f>IF(AND(E136&lt;&gt;"",T136="Có",J136&lt;&gt;"Xong",J136&lt;&gt;"Bỏ qua",ISNUMBER(I136)),I136+ROW()/100000,"")</f>
        <v/>
      </c>
      <c r="T136">
        <f>IF(O136="","",IFERROR(INDEX(SK_TD,MATCH(O136,SK_A,0)),""))</f>
        <v/>
      </c>
      <c r="U136" t="inlineStr">
        <is>
          <t>Trade (ví dụ)</t>
        </is>
      </c>
      <c r="V136">
        <f>IF(AND(O136&lt;&gt;"",O136=SEL_K,J136&lt;&gt;"Xong",J136&lt;&gt;"Bỏ qua"),IF(ISNUMBER(I136),I136,99999)+ROW()/100000,"")</f>
        <v/>
      </c>
    </row>
    <row r="137">
      <c r="A137" s="12">
        <f>IF(O137="","",IFERROR(INDEX(SK_B,MATCH(O137,SK_A,0))&amp;"",""))</f>
        <v/>
      </c>
      <c r="B137" s="45">
        <f>IF(O137="","",IFERROR(INDEX(SK_C,MATCH(O137,SK_A,0)),""))</f>
        <v/>
      </c>
      <c r="C137" s="46">
        <f>IF(Q137="","",IF(Q137=0,"D",IF(Q137&lt;0,"D"&amp;Q137,"D+"&amp;Q137)))</f>
        <v/>
      </c>
      <c r="D137" s="14" t="inlineStr">
        <is>
          <t>6. Nội dung</t>
        </is>
      </c>
      <c r="E137" s="12" t="inlineStr">
        <is>
          <t>Timeline chi tiết ngày D</t>
        </is>
      </c>
      <c r="F137" s="46" t="inlineStr">
        <is>
          <t>MKT Leader</t>
        </is>
      </c>
      <c r="G137" s="47" t="inlineStr">
        <is>
          <t>Leader MKT (ví dụ)</t>
        </is>
      </c>
      <c r="H137" s="14" t="inlineStr">
        <is>
          <t>KOL, Viện</t>
        </is>
      </c>
      <c r="I137" s="13">
        <f>IF(OR(B137="",Q137=""),"",IF(Q137&gt;0,IF(R137="Làm việc",WORKDAY(IFERROR(IF(INDEX(SK_D,MATCH(O137,SK_A,0))="",B137,INDEX(SK_D,MATCH(O137,SK_A,0))),B137),Q137,HOLI),IFERROR(IF(INDEX(SK_D,MATCH(O137,SK_A,0))="",B137,INDEX(SK_D,MATCH(O137,SK_A,0))),B137)+Q137),B137+Q137))</f>
        <v/>
      </c>
      <c r="J137" s="14" t="inlineStr">
        <is>
          <t>Chưa làm</t>
        </is>
      </c>
      <c r="K137" s="13" t="n"/>
      <c r="L137" s="12" t="n"/>
      <c r="M137" s="48">
        <f>IF(E137="","",IF(J137="Bỏ qua","—",IF(J137="Xong",IF(AND(ISNUMBER(K137),ISNUMBER(I137),K137&gt;I137),"Xong trễ","Xong"),MID(IF(G137=""," · CHƯA GIAO","")&amp;IF(NOT(ISNUMBER(I137)),"",IF(TODAY()&gt;I137," · QUÁ HẠN "&amp;(TODAY()-I137)&amp;" ngày",IF(I137-TODAY()&lt;=3," · Đến hạn "&amp;IF(I137=TODAY(),"hôm nay","trong "&amp;(I137-TODAY())&amp;" ngày"),"")))&amp;IF(J137="Chờ đối tác"," · Chờ đối tác"&amp;IF(ISNUMBER(N137)," "&amp;(TODAY()-INT(N137))&amp;" ngày",""),""),4,200))))</f>
        <v/>
      </c>
      <c r="N137" s="49" t="n"/>
      <c r="O137" t="inlineStr">
        <is>
          <t>VD-5</t>
        </is>
      </c>
      <c r="P137" t="inlineStr">
        <is>
          <t>K12</t>
        </is>
      </c>
      <c r="Q137" t="n">
        <v>-7</v>
      </c>
      <c r="R137" t="inlineStr">
        <is>
          <t>Lịch</t>
        </is>
      </c>
      <c r="S137">
        <f>IF(AND(E137&lt;&gt;"",T137="Có",J137&lt;&gt;"Xong",J137&lt;&gt;"Bỏ qua",ISNUMBER(I137)),I137+ROW()/100000,"")</f>
        <v/>
      </c>
      <c r="T137">
        <f>IF(O137="","",IFERROR(INDEX(SK_TD,MATCH(O137,SK_A,0)),""))</f>
        <v/>
      </c>
      <c r="U137" t="inlineStr">
        <is>
          <t>Leader MKT (ví dụ)</t>
        </is>
      </c>
      <c r="V137">
        <f>IF(AND(O137&lt;&gt;"",O137=SEL_K,J137&lt;&gt;"Xong",J137&lt;&gt;"Bỏ qua"),IF(ISNUMBER(I137),I137,99999)+ROW()/100000,"")</f>
        <v/>
      </c>
    </row>
    <row r="138">
      <c r="A138" s="12">
        <f>IF(O138="","",IFERROR(INDEX(SK_B,MATCH(O138,SK_A,0))&amp;"",""))</f>
        <v/>
      </c>
      <c r="B138" s="45">
        <f>IF(O138="","",IFERROR(INDEX(SK_C,MATCH(O138,SK_A,0)),""))</f>
        <v/>
      </c>
      <c r="C138" s="46">
        <f>IF(Q138="","",IF(Q138=0,"D",IF(Q138&lt;0,"D"&amp;Q138,"D+"&amp;Q138)))</f>
        <v/>
      </c>
      <c r="D138" s="14" t="inlineStr">
        <is>
          <t>6. Nội dung</t>
        </is>
      </c>
      <c r="E138" s="12" t="inlineStr">
        <is>
          <t>Kịch bản MC, kịch bản phát biểu, video trình chiếu</t>
        </is>
      </c>
      <c r="F138" s="46" t="inlineStr">
        <is>
          <t>Digital MKT</t>
        </is>
      </c>
      <c r="G138" s="47" t="inlineStr">
        <is>
          <t>Digital (ví dụ)</t>
        </is>
      </c>
      <c r="H138" s="14" t="inlineStr">
        <is>
          <t>KOL, Viện</t>
        </is>
      </c>
      <c r="I138" s="13">
        <f>IF(OR(B138="",Q138=""),"",IF(Q138&gt;0,IF(R138="Làm việc",WORKDAY(IFERROR(IF(INDEX(SK_D,MATCH(O138,SK_A,0))="",B138,INDEX(SK_D,MATCH(O138,SK_A,0))),B138),Q138,HOLI),IFERROR(IF(INDEX(SK_D,MATCH(O138,SK_A,0))="",B138,INDEX(SK_D,MATCH(O138,SK_A,0))),B138)+Q138),B138+Q138))</f>
        <v/>
      </c>
      <c r="J138" s="14" t="inlineStr">
        <is>
          <t>Chưa làm</t>
        </is>
      </c>
      <c r="K138" s="13" t="n"/>
      <c r="L138" s="12" t="n"/>
      <c r="M138" s="48">
        <f>IF(E138="","",IF(J138="Bỏ qua","—",IF(J138="Xong",IF(AND(ISNUMBER(K138),ISNUMBER(I138),K138&gt;I138),"Xong trễ","Xong"),MID(IF(G138=""," · CHƯA GIAO","")&amp;IF(NOT(ISNUMBER(I138)),"",IF(TODAY()&gt;I138," · QUÁ HẠN "&amp;(TODAY()-I138)&amp;" ngày",IF(I138-TODAY()&lt;=3," · Đến hạn "&amp;IF(I138=TODAY(),"hôm nay","trong "&amp;(I138-TODAY())&amp;" ngày"),"")))&amp;IF(J138="Chờ đối tác"," · Chờ đối tác"&amp;IF(ISNUMBER(N138)," "&amp;(TODAY()-INT(N138))&amp;" ngày",""),""),4,200))))</f>
        <v/>
      </c>
      <c r="N138" s="49" t="n"/>
      <c r="O138" t="inlineStr">
        <is>
          <t>VD-5</t>
        </is>
      </c>
      <c r="P138" t="inlineStr">
        <is>
          <t>K13</t>
        </is>
      </c>
      <c r="Q138" t="n">
        <v>-7</v>
      </c>
      <c r="R138" t="inlineStr">
        <is>
          <t>Lịch</t>
        </is>
      </c>
      <c r="S138">
        <f>IF(AND(E138&lt;&gt;"",T138="Có",J138&lt;&gt;"Xong",J138&lt;&gt;"Bỏ qua",ISNUMBER(I138)),I138+ROW()/100000,"")</f>
        <v/>
      </c>
      <c r="T138">
        <f>IF(O138="","",IFERROR(INDEX(SK_TD,MATCH(O138,SK_A,0)),""))</f>
        <v/>
      </c>
      <c r="U138" t="inlineStr">
        <is>
          <t>Digital (ví dụ)</t>
        </is>
      </c>
      <c r="V138">
        <f>IF(AND(O138&lt;&gt;"",O138=SEL_K,J138&lt;&gt;"Xong",J138&lt;&gt;"Bỏ qua"),IF(ISNUMBER(I138),I138,99999)+ROW()/100000,"")</f>
        <v/>
      </c>
    </row>
    <row r="139">
      <c r="A139" s="12">
        <f>IF(O139="","",IFERROR(INDEX(SK_B,MATCH(O139,SK_A,0))&amp;"",""))</f>
        <v/>
      </c>
      <c r="B139" s="45">
        <f>IF(O139="","",IFERROR(INDEX(SK_C,MATCH(O139,SK_A,0)),""))</f>
        <v/>
      </c>
      <c r="C139" s="46">
        <f>IF(Q139="","",IF(Q139=0,"D",IF(Q139&lt;0,"D"&amp;Q139,"D+"&amp;Q139)))</f>
        <v/>
      </c>
      <c r="D139" s="14" t="inlineStr">
        <is>
          <t>7. Ấn phẩm &amp; đồ</t>
        </is>
      </c>
      <c r="E139" s="12" t="inlineStr">
        <is>
          <t>Thiết kế &amp; in: backdrop, standee, thẻ đeo, bảng tên, folder, QR khảo sát, biểu mẫu check-in ký tay</t>
        </is>
      </c>
      <c r="F139" s="46" t="inlineStr">
        <is>
          <t>Digital MKT</t>
        </is>
      </c>
      <c r="G139" s="47" t="inlineStr">
        <is>
          <t>Digital (ví dụ)</t>
        </is>
      </c>
      <c r="H139" s="14" t="inlineStr">
        <is>
          <t>Trade MKT</t>
        </is>
      </c>
      <c r="I139" s="13">
        <f>IF(OR(B139="",Q139=""),"",IF(Q139&gt;0,IF(R139="Làm việc",WORKDAY(IFERROR(IF(INDEX(SK_D,MATCH(O139,SK_A,0))="",B139,INDEX(SK_D,MATCH(O139,SK_A,0))),B139),Q139,HOLI),IFERROR(IF(INDEX(SK_D,MATCH(O139,SK_A,0))="",B139,INDEX(SK_D,MATCH(O139,SK_A,0))),B139)+Q139),B139+Q139))</f>
        <v/>
      </c>
      <c r="J139" s="14" t="inlineStr">
        <is>
          <t>Chưa làm</t>
        </is>
      </c>
      <c r="K139" s="13" t="n"/>
      <c r="L139" s="12" t="n"/>
      <c r="M139" s="48">
        <f>IF(E139="","",IF(J139="Bỏ qua","—",IF(J139="Xong",IF(AND(ISNUMBER(K139),ISNUMBER(I139),K139&gt;I139),"Xong trễ","Xong"),MID(IF(G139=""," · CHƯA GIAO","")&amp;IF(NOT(ISNUMBER(I139)),"",IF(TODAY()&gt;I139," · QUÁ HẠN "&amp;(TODAY()-I139)&amp;" ngày",IF(I139-TODAY()&lt;=3," · Đến hạn "&amp;IF(I139=TODAY(),"hôm nay","trong "&amp;(I139-TODAY())&amp;" ngày"),"")))&amp;IF(J139="Chờ đối tác"," · Chờ đối tác"&amp;IF(ISNUMBER(N139)," "&amp;(TODAY()-INT(N139))&amp;" ngày",""),""),4,200))))</f>
        <v/>
      </c>
      <c r="N139" s="49" t="n"/>
      <c r="O139" t="inlineStr">
        <is>
          <t>VD-5</t>
        </is>
      </c>
      <c r="P139" t="inlineStr">
        <is>
          <t>K14</t>
        </is>
      </c>
      <c r="Q139" t="n">
        <v>-7</v>
      </c>
      <c r="R139" t="inlineStr">
        <is>
          <t>Lịch</t>
        </is>
      </c>
      <c r="S139">
        <f>IF(AND(E139&lt;&gt;"",T139="Có",J139&lt;&gt;"Xong",J139&lt;&gt;"Bỏ qua",ISNUMBER(I139)),I139+ROW()/100000,"")</f>
        <v/>
      </c>
      <c r="T139">
        <f>IF(O139="","",IFERROR(INDEX(SK_TD,MATCH(O139,SK_A,0)),""))</f>
        <v/>
      </c>
      <c r="U139" t="inlineStr">
        <is>
          <t>Digital (ví dụ)</t>
        </is>
      </c>
      <c r="V139">
        <f>IF(AND(O139&lt;&gt;"",O139=SEL_K,J139&lt;&gt;"Xong",J139&lt;&gt;"Bỏ qua"),IF(ISNUMBER(I139),I139,99999)+ROW()/100000,"")</f>
        <v/>
      </c>
    </row>
    <row r="140">
      <c r="A140" s="12">
        <f>IF(O140="","",IFERROR(INDEX(SK_B,MATCH(O140,SK_A,0))&amp;"",""))</f>
        <v/>
      </c>
      <c r="B140" s="45">
        <f>IF(O140="","",IFERROR(INDEX(SK_C,MATCH(O140,SK_A,0)),""))</f>
        <v/>
      </c>
      <c r="C140" s="46">
        <f>IF(Q140="","",IF(Q140=0,"D",IF(Q140&lt;0,"D"&amp;Q140,"D+"&amp;Q140)))</f>
        <v/>
      </c>
      <c r="D140" s="14" t="inlineStr">
        <is>
          <t>7. Ấn phẩm &amp; đồ</t>
        </is>
      </c>
      <c r="E140" s="12" t="inlineStr">
        <is>
          <t>Đồ marketing + đồ thực hành theo phiên (nguồn, báo giá, đồ mượn)</t>
        </is>
      </c>
      <c r="F140" s="46" t="inlineStr">
        <is>
          <t>Trade MKT</t>
        </is>
      </c>
      <c r="G140" s="47" t="inlineStr">
        <is>
          <t>Trade (ví dụ)</t>
        </is>
      </c>
      <c r="H140" s="14" t="inlineStr">
        <is>
          <t>KOL, NPP</t>
        </is>
      </c>
      <c r="I140" s="13">
        <f>IF(OR(B140="",Q140=""),"",IF(Q140&gt;0,IF(R140="Làm việc",WORKDAY(IFERROR(IF(INDEX(SK_D,MATCH(O140,SK_A,0))="",B140,INDEX(SK_D,MATCH(O140,SK_A,0))),B140),Q140,HOLI),IFERROR(IF(INDEX(SK_D,MATCH(O140,SK_A,0))="",B140,INDEX(SK_D,MATCH(O140,SK_A,0))),B140)+Q140),B140+Q140))</f>
        <v/>
      </c>
      <c r="J140" s="14" t="inlineStr">
        <is>
          <t>Chưa làm</t>
        </is>
      </c>
      <c r="K140" s="13" t="n"/>
      <c r="L140" s="12" t="n"/>
      <c r="M140" s="48">
        <f>IF(E140="","",IF(J140="Bỏ qua","—",IF(J140="Xong",IF(AND(ISNUMBER(K140),ISNUMBER(I140),K140&gt;I140),"Xong trễ","Xong"),MID(IF(G140=""," · CHƯA GIAO","")&amp;IF(NOT(ISNUMBER(I140)),"",IF(TODAY()&gt;I140," · QUÁ HẠN "&amp;(TODAY()-I140)&amp;" ngày",IF(I140-TODAY()&lt;=3," · Đến hạn "&amp;IF(I140=TODAY(),"hôm nay","trong "&amp;(I140-TODAY())&amp;" ngày"),"")))&amp;IF(J140="Chờ đối tác"," · Chờ đối tác"&amp;IF(ISNUMBER(N140)," "&amp;(TODAY()-INT(N140))&amp;" ngày",""),""),4,200))))</f>
        <v/>
      </c>
      <c r="N140" s="49" t="n"/>
      <c r="O140" t="inlineStr">
        <is>
          <t>VD-5</t>
        </is>
      </c>
      <c r="P140" t="inlineStr">
        <is>
          <t>K15</t>
        </is>
      </c>
      <c r="Q140" t="n">
        <v>-10</v>
      </c>
      <c r="R140" t="inlineStr">
        <is>
          <t>Lịch</t>
        </is>
      </c>
      <c r="S140">
        <f>IF(AND(E140&lt;&gt;"",T140="Có",J140&lt;&gt;"Xong",J140&lt;&gt;"Bỏ qua",ISNUMBER(I140)),I140+ROW()/100000,"")</f>
        <v/>
      </c>
      <c r="T140">
        <f>IF(O140="","",IFERROR(INDEX(SK_TD,MATCH(O140,SK_A,0)),""))</f>
        <v/>
      </c>
      <c r="U140" t="inlineStr">
        <is>
          <t>Trade (ví dụ)</t>
        </is>
      </c>
      <c r="V140">
        <f>IF(AND(O140&lt;&gt;"",O140=SEL_K,J140&lt;&gt;"Xong",J140&lt;&gt;"Bỏ qua"),IF(ISNUMBER(I140),I140,99999)+ROW()/100000,"")</f>
        <v/>
      </c>
    </row>
    <row r="141">
      <c r="A141" s="12">
        <f>IF(O141="","",IFERROR(INDEX(SK_B,MATCH(O141,SK_A,0))&amp;"",""))</f>
        <v/>
      </c>
      <c r="B141" s="45">
        <f>IF(O141="","",IFERROR(INDEX(SK_C,MATCH(O141,SK_A,0)),""))</f>
        <v/>
      </c>
      <c r="C141" s="46">
        <f>IF(Q141="","",IF(Q141=0,"D",IF(Q141&lt;0,"D"&amp;Q141,"D+"&amp;Q141)))</f>
        <v/>
      </c>
      <c r="D141" s="14" t="inlineStr">
        <is>
          <t>7. Ấn phẩm &amp; đồ</t>
        </is>
      </c>
      <c r="E141" s="12" t="inlineStr">
        <is>
          <t>VIP / đại biểu (nếu có Viện): danh sách, hoa, bảng tên mica, quà, lời giới thiệu</t>
        </is>
      </c>
      <c r="F141" s="46" t="inlineStr">
        <is>
          <t>Trade MKT</t>
        </is>
      </c>
      <c r="G141" s="47" t="inlineStr">
        <is>
          <t>Trade (ví dụ)</t>
        </is>
      </c>
      <c r="H141" s="14" t="inlineStr">
        <is>
          <t>Viện</t>
        </is>
      </c>
      <c r="I141" s="13">
        <f>IF(OR(B141="",Q141=""),"",IF(Q141&gt;0,IF(R141="Làm việc",WORKDAY(IFERROR(IF(INDEX(SK_D,MATCH(O141,SK_A,0))="",B141,INDEX(SK_D,MATCH(O141,SK_A,0))),B141),Q141,HOLI),IFERROR(IF(INDEX(SK_D,MATCH(O141,SK_A,0))="",B141,INDEX(SK_D,MATCH(O141,SK_A,0))),B141)+Q141),B141+Q141))</f>
        <v/>
      </c>
      <c r="J141" s="14" t="inlineStr">
        <is>
          <t>Chưa làm</t>
        </is>
      </c>
      <c r="K141" s="13" t="n"/>
      <c r="L141" s="12" t="n"/>
      <c r="M141" s="48">
        <f>IF(E141="","",IF(J141="Bỏ qua","—",IF(J141="Xong",IF(AND(ISNUMBER(K141),ISNUMBER(I141),K141&gt;I141),"Xong trễ","Xong"),MID(IF(G141=""," · CHƯA GIAO","")&amp;IF(NOT(ISNUMBER(I141)),"",IF(TODAY()&gt;I141," · QUÁ HẠN "&amp;(TODAY()-I141)&amp;" ngày",IF(I141-TODAY()&lt;=3," · Đến hạn "&amp;IF(I141=TODAY(),"hôm nay","trong "&amp;(I141-TODAY())&amp;" ngày"),"")))&amp;IF(J141="Chờ đối tác"," · Chờ đối tác"&amp;IF(ISNUMBER(N141)," "&amp;(TODAY()-INT(N141))&amp;" ngày",""),""),4,200))))</f>
        <v/>
      </c>
      <c r="N141" s="49" t="n"/>
      <c r="O141" t="inlineStr">
        <is>
          <t>VD-5</t>
        </is>
      </c>
      <c r="P141" t="inlineStr">
        <is>
          <t>K16</t>
        </is>
      </c>
      <c r="Q141" t="n">
        <v>-7</v>
      </c>
      <c r="R141" t="inlineStr">
        <is>
          <t>Lịch</t>
        </is>
      </c>
      <c r="S141">
        <f>IF(AND(E141&lt;&gt;"",T141="Có",J141&lt;&gt;"Xong",J141&lt;&gt;"Bỏ qua",ISNUMBER(I141)),I141+ROW()/100000,"")</f>
        <v/>
      </c>
      <c r="T141">
        <f>IF(O141="","",IFERROR(INDEX(SK_TD,MATCH(O141,SK_A,0)),""))</f>
        <v/>
      </c>
      <c r="U141" t="inlineStr">
        <is>
          <t>Trade (ví dụ)</t>
        </is>
      </c>
      <c r="V141">
        <f>IF(AND(O141&lt;&gt;"",O141=SEL_K,J141&lt;&gt;"Xong",J141&lt;&gt;"Bỏ qua"),IF(ISNUMBER(I141),I141,99999)+ROW()/100000,"")</f>
        <v/>
      </c>
    </row>
    <row r="142">
      <c r="A142" s="12">
        <f>IF(O142="","",IFERROR(INDEX(SK_B,MATCH(O142,SK_A,0))&amp;"",""))</f>
        <v/>
      </c>
      <c r="B142" s="45">
        <f>IF(O142="","",IFERROR(INDEX(SK_C,MATCH(O142,SK_A,0)),""))</f>
        <v/>
      </c>
      <c r="C142" s="46">
        <f>IF(Q142="","",IF(Q142=0,"D",IF(Q142&lt;0,"D"&amp;Q142,"D+"&amp;Q142)))</f>
        <v/>
      </c>
      <c r="D142" s="14" t="inlineStr">
        <is>
          <t>7. Ấn phẩm &amp; đồ</t>
        </is>
      </c>
      <c r="E142" s="12" t="inlineStr">
        <is>
          <t>Gửi đồ đi tỉnh + xác nhận địa điểm nhận đủ</t>
        </is>
      </c>
      <c r="F142" s="46" t="inlineStr">
        <is>
          <t>Trade MKT</t>
        </is>
      </c>
      <c r="G142" s="47" t="inlineStr">
        <is>
          <t>Trade (ví dụ)</t>
        </is>
      </c>
      <c r="H142" s="14" t="inlineStr">
        <is>
          <t>Địa điểm</t>
        </is>
      </c>
      <c r="I142" s="13">
        <f>IF(OR(B142="",Q142=""),"",IF(Q142&gt;0,IF(R142="Làm việc",WORKDAY(IFERROR(IF(INDEX(SK_D,MATCH(O142,SK_A,0))="",B142,INDEX(SK_D,MATCH(O142,SK_A,0))),B142),Q142,HOLI),IFERROR(IF(INDEX(SK_D,MATCH(O142,SK_A,0))="",B142,INDEX(SK_D,MATCH(O142,SK_A,0))),B142)+Q142),B142+Q142))</f>
        <v/>
      </c>
      <c r="J142" s="14" t="inlineStr">
        <is>
          <t>Chưa làm</t>
        </is>
      </c>
      <c r="K142" s="13" t="n"/>
      <c r="L142" s="12" t="n"/>
      <c r="M142" s="48">
        <f>IF(E142="","",IF(J142="Bỏ qua","—",IF(J142="Xong",IF(AND(ISNUMBER(K142),ISNUMBER(I142),K142&gt;I142),"Xong trễ","Xong"),MID(IF(G142=""," · CHƯA GIAO","")&amp;IF(NOT(ISNUMBER(I142)),"",IF(TODAY()&gt;I142," · QUÁ HẠN "&amp;(TODAY()-I142)&amp;" ngày",IF(I142-TODAY()&lt;=3," · Đến hạn "&amp;IF(I142=TODAY(),"hôm nay","trong "&amp;(I142-TODAY())&amp;" ngày"),"")))&amp;IF(J142="Chờ đối tác"," · Chờ đối tác"&amp;IF(ISNUMBER(N142)," "&amp;(TODAY()-INT(N142))&amp;" ngày",""),""),4,200))))</f>
        <v/>
      </c>
      <c r="N142" s="49" t="n"/>
      <c r="O142" t="inlineStr">
        <is>
          <t>VD-5</t>
        </is>
      </c>
      <c r="P142" t="inlineStr">
        <is>
          <t>K17</t>
        </is>
      </c>
      <c r="Q142" t="n">
        <v>-7</v>
      </c>
      <c r="R142" t="inlineStr">
        <is>
          <t>Lịch</t>
        </is>
      </c>
      <c r="S142">
        <f>IF(AND(E142&lt;&gt;"",T142="Có",J142&lt;&gt;"Xong",J142&lt;&gt;"Bỏ qua",ISNUMBER(I142)),I142+ROW()/100000,"")</f>
        <v/>
      </c>
      <c r="T142">
        <f>IF(O142="","",IFERROR(INDEX(SK_TD,MATCH(O142,SK_A,0)),""))</f>
        <v/>
      </c>
      <c r="U142" t="inlineStr">
        <is>
          <t>Trade (ví dụ)</t>
        </is>
      </c>
      <c r="V142">
        <f>IF(AND(O142&lt;&gt;"",O142=SEL_K,J142&lt;&gt;"Xong",J142&lt;&gt;"Bỏ qua"),IF(ISNUMBER(I142),I142,99999)+ROW()/100000,"")</f>
        <v/>
      </c>
    </row>
    <row r="143">
      <c r="A143" s="12">
        <f>IF(O143="","",IFERROR(INDEX(SK_B,MATCH(O143,SK_A,0))&amp;"",""))</f>
        <v/>
      </c>
      <c r="B143" s="45">
        <f>IF(O143="","",IFERROR(INDEX(SK_C,MATCH(O143,SK_A,0)),""))</f>
        <v/>
      </c>
      <c r="C143" s="46">
        <f>IF(Q143="","",IF(Q143=0,"D",IF(Q143&lt;0,"D"&amp;Q143,"D+"&amp;Q143)))</f>
        <v/>
      </c>
      <c r="D143" s="14" t="inlineStr">
        <is>
          <t>8. Chốt trước D</t>
        </is>
      </c>
      <c r="E143" s="12" t="inlineStr">
        <is>
          <t>Họp với NPP: agenda, nhân sự, bán hàng, sản phẩm</t>
        </is>
      </c>
      <c r="F143" s="46" t="inlineStr">
        <is>
          <t>MKT Leader</t>
        </is>
      </c>
      <c r="G143" s="47" t="inlineStr">
        <is>
          <t>Leader MKT (ví dụ)</t>
        </is>
      </c>
      <c r="H143" s="14" t="inlineStr">
        <is>
          <t>NPP, Sales</t>
        </is>
      </c>
      <c r="I143" s="13">
        <f>IF(OR(B143="",Q143=""),"",IF(Q143&gt;0,IF(R143="Làm việc",WORKDAY(IFERROR(IF(INDEX(SK_D,MATCH(O143,SK_A,0))="",B143,INDEX(SK_D,MATCH(O143,SK_A,0))),B143),Q143,HOLI),IFERROR(IF(INDEX(SK_D,MATCH(O143,SK_A,0))="",B143,INDEX(SK_D,MATCH(O143,SK_A,0))),B143)+Q143),B143+Q143))</f>
        <v/>
      </c>
      <c r="J143" s="14" t="inlineStr">
        <is>
          <t>Chưa làm</t>
        </is>
      </c>
      <c r="K143" s="13" t="n"/>
      <c r="L143" s="12" t="n"/>
      <c r="M143" s="48">
        <f>IF(E143="","",IF(J143="Bỏ qua","—",IF(J143="Xong",IF(AND(ISNUMBER(K143),ISNUMBER(I143),K143&gt;I143),"Xong trễ","Xong"),MID(IF(G143=""," · CHƯA GIAO","")&amp;IF(NOT(ISNUMBER(I143)),"",IF(TODAY()&gt;I143," · QUÁ HẠN "&amp;(TODAY()-I143)&amp;" ngày",IF(I143-TODAY()&lt;=3," · Đến hạn "&amp;IF(I143=TODAY(),"hôm nay","trong "&amp;(I143-TODAY())&amp;" ngày"),"")))&amp;IF(J143="Chờ đối tác"," · Chờ đối tác"&amp;IF(ISNUMBER(N143)," "&amp;(TODAY()-INT(N143))&amp;" ngày",""),""),4,200))))</f>
        <v/>
      </c>
      <c r="N143" s="49" t="n"/>
      <c r="O143" t="inlineStr">
        <is>
          <t>VD-5</t>
        </is>
      </c>
      <c r="P143" t="inlineStr">
        <is>
          <t>K18</t>
        </is>
      </c>
      <c r="Q143" t="n">
        <v>-3</v>
      </c>
      <c r="R143" t="inlineStr">
        <is>
          <t>Lịch</t>
        </is>
      </c>
      <c r="S143">
        <f>IF(AND(E143&lt;&gt;"",T143="Có",J143&lt;&gt;"Xong",J143&lt;&gt;"Bỏ qua",ISNUMBER(I143)),I143+ROW()/100000,"")</f>
        <v/>
      </c>
      <c r="T143">
        <f>IF(O143="","",IFERROR(INDEX(SK_TD,MATCH(O143,SK_A,0)),""))</f>
        <v/>
      </c>
      <c r="U143" t="inlineStr">
        <is>
          <t>Leader MKT (ví dụ)</t>
        </is>
      </c>
      <c r="V143">
        <f>IF(AND(O143&lt;&gt;"",O143=SEL_K,J143&lt;&gt;"Xong",J143&lt;&gt;"Bỏ qua"),IF(ISNUMBER(I143),I143,99999)+ROW()/100000,"")</f>
        <v/>
      </c>
    </row>
    <row r="144">
      <c r="A144" s="12">
        <f>IF(O144="","",IFERROR(INDEX(SK_B,MATCH(O144,SK_A,0))&amp;"",""))</f>
        <v/>
      </c>
      <c r="B144" s="45">
        <f>IF(O144="","",IFERROR(INDEX(SK_C,MATCH(O144,SK_A,0)),""))</f>
        <v/>
      </c>
      <c r="C144" s="46">
        <f>IF(Q144="","",IF(Q144=0,"D",IF(Q144&lt;0,"D"&amp;Q144,"D+"&amp;Q144)))</f>
        <v/>
      </c>
      <c r="D144" s="14" t="inlineStr">
        <is>
          <t>8. Chốt trước D</t>
        </is>
      </c>
      <c r="E144" s="12" t="inlineStr">
        <is>
          <t>Rà soát dữ liệu khách (thiếu thông tin / chưa đồng ý dữ liệu)</t>
        </is>
      </c>
      <c r="F144" s="46" t="inlineStr">
        <is>
          <t>Digital MKT</t>
        </is>
      </c>
      <c r="G144" s="47" t="inlineStr">
        <is>
          <t>Digital (ví dụ)</t>
        </is>
      </c>
      <c r="H144" s="14" t="inlineStr">
        <is>
          <t>Sales, NPP</t>
        </is>
      </c>
      <c r="I144" s="13">
        <f>IF(OR(B144="",Q144=""),"",IF(Q144&gt;0,IF(R144="Làm việc",WORKDAY(IFERROR(IF(INDEX(SK_D,MATCH(O144,SK_A,0))="",B144,INDEX(SK_D,MATCH(O144,SK_A,0))),B144),Q144,HOLI),IFERROR(IF(INDEX(SK_D,MATCH(O144,SK_A,0))="",B144,INDEX(SK_D,MATCH(O144,SK_A,0))),B144)+Q144),B144+Q144))</f>
        <v/>
      </c>
      <c r="J144" s="14" t="inlineStr">
        <is>
          <t>Chưa làm</t>
        </is>
      </c>
      <c r="K144" s="13" t="n"/>
      <c r="L144" s="12" t="n"/>
      <c r="M144" s="48">
        <f>IF(E144="","",IF(J144="Bỏ qua","—",IF(J144="Xong",IF(AND(ISNUMBER(K144),ISNUMBER(I144),K144&gt;I144),"Xong trễ","Xong"),MID(IF(G144=""," · CHƯA GIAO","")&amp;IF(NOT(ISNUMBER(I144)),"",IF(TODAY()&gt;I144," · QUÁ HẠN "&amp;(TODAY()-I144)&amp;" ngày",IF(I144-TODAY()&lt;=3," · Đến hạn "&amp;IF(I144=TODAY(),"hôm nay","trong "&amp;(I144-TODAY())&amp;" ngày"),"")))&amp;IF(J144="Chờ đối tác"," · Chờ đối tác"&amp;IF(ISNUMBER(N144)," "&amp;(TODAY()-INT(N144))&amp;" ngày",""),""),4,200))))</f>
        <v/>
      </c>
      <c r="N144" s="49" t="n"/>
      <c r="O144" t="inlineStr">
        <is>
          <t>VD-5</t>
        </is>
      </c>
      <c r="P144" t="inlineStr">
        <is>
          <t>K19</t>
        </is>
      </c>
      <c r="Q144" t="n">
        <v>-3</v>
      </c>
      <c r="R144" t="inlineStr">
        <is>
          <t>Lịch</t>
        </is>
      </c>
      <c r="S144">
        <f>IF(AND(E144&lt;&gt;"",T144="Có",J144&lt;&gt;"Xong",J144&lt;&gt;"Bỏ qua",ISNUMBER(I144)),I144+ROW()/100000,"")</f>
        <v/>
      </c>
      <c r="T144">
        <f>IF(O144="","",IFERROR(INDEX(SK_TD,MATCH(O144,SK_A,0)),""))</f>
        <v/>
      </c>
      <c r="U144" t="inlineStr">
        <is>
          <t>Digital (ví dụ)</t>
        </is>
      </c>
      <c r="V144">
        <f>IF(AND(O144&lt;&gt;"",O144=SEL_K,J144&lt;&gt;"Xong",J144&lt;&gt;"Bỏ qua"),IF(ISNUMBER(I144),I144,99999)+ROW()/100000,"")</f>
        <v/>
      </c>
    </row>
    <row r="145">
      <c r="A145" s="12">
        <f>IF(O145="","",IFERROR(INDEX(SK_B,MATCH(O145,SK_A,0))&amp;"",""))</f>
        <v/>
      </c>
      <c r="B145" s="45">
        <f>IF(O145="","",IFERROR(INDEX(SK_C,MATCH(O145,SK_A,0)),""))</f>
        <v/>
      </c>
      <c r="C145" s="46">
        <f>IF(Q145="","",IF(Q145=0,"D",IF(Q145&lt;0,"D"&amp;Q145,"D+"&amp;Q145)))</f>
        <v/>
      </c>
      <c r="D145" s="14" t="inlineStr">
        <is>
          <t>8. Chốt trước D</t>
        </is>
      </c>
      <c r="E145" s="12" t="inlineStr">
        <is>
          <t>Phân công nhân sự trước / trong / sau, giờ có mặt</t>
        </is>
      </c>
      <c r="F145" s="46" t="inlineStr">
        <is>
          <t>MKT Leader</t>
        </is>
      </c>
      <c r="G145" s="47" t="inlineStr">
        <is>
          <t>Leader MKT (ví dụ)</t>
        </is>
      </c>
      <c r="H145" s="14" t="inlineStr">
        <is>
          <t>Sales, NPP</t>
        </is>
      </c>
      <c r="I145" s="13">
        <f>IF(OR(B145="",Q145=""),"",IF(Q145&gt;0,IF(R145="Làm việc",WORKDAY(IFERROR(IF(INDEX(SK_D,MATCH(O145,SK_A,0))="",B145,INDEX(SK_D,MATCH(O145,SK_A,0))),B145),Q145,HOLI),IFERROR(IF(INDEX(SK_D,MATCH(O145,SK_A,0))="",B145,INDEX(SK_D,MATCH(O145,SK_A,0))),B145)+Q145),B145+Q145))</f>
        <v/>
      </c>
      <c r="J145" s="14" t="inlineStr">
        <is>
          <t>Chưa làm</t>
        </is>
      </c>
      <c r="K145" s="13" t="n"/>
      <c r="L145" s="12" t="n"/>
      <c r="M145" s="48">
        <f>IF(E145="","",IF(J145="Bỏ qua","—",IF(J145="Xong",IF(AND(ISNUMBER(K145),ISNUMBER(I145),K145&gt;I145),"Xong trễ","Xong"),MID(IF(G145=""," · CHƯA GIAO","")&amp;IF(NOT(ISNUMBER(I145)),"",IF(TODAY()&gt;I145," · QUÁ HẠN "&amp;(TODAY()-I145)&amp;" ngày",IF(I145-TODAY()&lt;=3," · Đến hạn "&amp;IF(I145=TODAY(),"hôm nay","trong "&amp;(I145-TODAY())&amp;" ngày"),"")))&amp;IF(J145="Chờ đối tác"," · Chờ đối tác"&amp;IF(ISNUMBER(N145)," "&amp;(TODAY()-INT(N145))&amp;" ngày",""),""),4,200))))</f>
        <v/>
      </c>
      <c r="N145" s="49" t="n"/>
      <c r="O145" t="inlineStr">
        <is>
          <t>VD-5</t>
        </is>
      </c>
      <c r="P145" t="inlineStr">
        <is>
          <t>K20</t>
        </is>
      </c>
      <c r="Q145" t="n">
        <v>-3</v>
      </c>
      <c r="R145" t="inlineStr">
        <is>
          <t>Lịch</t>
        </is>
      </c>
      <c r="S145">
        <f>IF(AND(E145&lt;&gt;"",T145="Có",J145&lt;&gt;"Xong",J145&lt;&gt;"Bỏ qua",ISNUMBER(I145)),I145+ROW()/100000,"")</f>
        <v/>
      </c>
      <c r="T145">
        <f>IF(O145="","",IFERROR(INDEX(SK_TD,MATCH(O145,SK_A,0)),""))</f>
        <v/>
      </c>
      <c r="U145" t="inlineStr">
        <is>
          <t>Leader MKT (ví dụ)</t>
        </is>
      </c>
      <c r="V145">
        <f>IF(AND(O145&lt;&gt;"",O145=SEL_K,J145&lt;&gt;"Xong",J145&lt;&gt;"Bỏ qua"),IF(ISNUMBER(I145),I145,99999)+ROW()/100000,"")</f>
        <v/>
      </c>
    </row>
    <row r="146">
      <c r="A146" s="12">
        <f>IF(O146="","",IFERROR(INDEX(SK_B,MATCH(O146,SK_A,0))&amp;"",""))</f>
        <v/>
      </c>
      <c r="B146" s="45">
        <f>IF(O146="","",IFERROR(INDEX(SK_C,MATCH(O146,SK_A,0)),""))</f>
        <v/>
      </c>
      <c r="C146" s="46">
        <f>IF(Q146="","",IF(Q146=0,"D",IF(Q146&lt;0,"D"&amp;Q146,"D+"&amp;Q146)))</f>
        <v/>
      </c>
      <c r="D146" s="14" t="inlineStr">
        <is>
          <t>8. Chốt trước D</t>
        </is>
      </c>
      <c r="E146" s="12" t="inlineStr">
        <is>
          <t>Họp review D-1 + gọi nhắc khách + set up địa điểm / chạy thử Zoom</t>
        </is>
      </c>
      <c r="F146" s="46" t="inlineStr">
        <is>
          <t>MKT Leader</t>
        </is>
      </c>
      <c r="G146" s="47" t="inlineStr">
        <is>
          <t>Leader MKT (ví dụ)</t>
        </is>
      </c>
      <c r="H146" s="14" t="inlineStr">
        <is>
          <t>Toàn team</t>
        </is>
      </c>
      <c r="I146" s="13">
        <f>IF(OR(B146="",Q146=""),"",IF(Q146&gt;0,IF(R146="Làm việc",WORKDAY(IFERROR(IF(INDEX(SK_D,MATCH(O146,SK_A,0))="",B146,INDEX(SK_D,MATCH(O146,SK_A,0))),B146),Q146,HOLI),IFERROR(IF(INDEX(SK_D,MATCH(O146,SK_A,0))="",B146,INDEX(SK_D,MATCH(O146,SK_A,0))),B146)+Q146),B146+Q146))</f>
        <v/>
      </c>
      <c r="J146" s="14" t="inlineStr">
        <is>
          <t>Chưa làm</t>
        </is>
      </c>
      <c r="K146" s="13" t="n"/>
      <c r="L146" s="12" t="n"/>
      <c r="M146" s="48">
        <f>IF(E146="","",IF(J146="Bỏ qua","—",IF(J146="Xong",IF(AND(ISNUMBER(K146),ISNUMBER(I146),K146&gt;I146),"Xong trễ","Xong"),MID(IF(G146=""," · CHƯA GIAO","")&amp;IF(NOT(ISNUMBER(I146)),"",IF(TODAY()&gt;I146," · QUÁ HẠN "&amp;(TODAY()-I146)&amp;" ngày",IF(I146-TODAY()&lt;=3," · Đến hạn "&amp;IF(I146=TODAY(),"hôm nay","trong "&amp;(I146-TODAY())&amp;" ngày"),"")))&amp;IF(J146="Chờ đối tác"," · Chờ đối tác"&amp;IF(ISNUMBER(N146)," "&amp;(TODAY()-INT(N146))&amp;" ngày",""),""),4,200))))</f>
        <v/>
      </c>
      <c r="N146" s="49" t="n"/>
      <c r="O146" t="inlineStr">
        <is>
          <t>VD-5</t>
        </is>
      </c>
      <c r="P146" t="inlineStr">
        <is>
          <t>K21</t>
        </is>
      </c>
      <c r="Q146" t="n">
        <v>-1</v>
      </c>
      <c r="R146" t="inlineStr">
        <is>
          <t>Lịch</t>
        </is>
      </c>
      <c r="S146">
        <f>IF(AND(E146&lt;&gt;"",T146="Có",J146&lt;&gt;"Xong",J146&lt;&gt;"Bỏ qua",ISNUMBER(I146)),I146+ROW()/100000,"")</f>
        <v/>
      </c>
      <c r="T146">
        <f>IF(O146="","",IFERROR(INDEX(SK_TD,MATCH(O146,SK_A,0)),""))</f>
        <v/>
      </c>
      <c r="U146" t="inlineStr">
        <is>
          <t>Leader MKT (ví dụ)</t>
        </is>
      </c>
      <c r="V146">
        <f>IF(AND(O146&lt;&gt;"",O146=SEL_K,J146&lt;&gt;"Xong",J146&lt;&gt;"Bỏ qua"),IF(ISNUMBER(I146),I146,99999)+ROW()/100000,"")</f>
        <v/>
      </c>
    </row>
    <row r="147">
      <c r="A147" s="12">
        <f>IF(O147="","",IFERROR(INDEX(SK_B,MATCH(O147,SK_A,0))&amp;"",""))</f>
        <v/>
      </c>
      <c r="B147" s="45">
        <f>IF(O147="","",IFERROR(INDEX(SK_C,MATCH(O147,SK_A,0)),""))</f>
        <v/>
      </c>
      <c r="C147" s="46">
        <f>IF(Q147="","",IF(Q147=0,"D",IF(Q147&lt;0,"D"&amp;Q147,"D+"&amp;Q147)))</f>
        <v/>
      </c>
      <c r="D147" s="14" t="inlineStr">
        <is>
          <t>9. Ngày D</t>
        </is>
      </c>
      <c r="E147" s="12" t="inlineStr">
        <is>
          <t>Check-in có chữ ký + đồng ý dữ liệu (webinar: xuất báo cáo Zoom ngay sau buổi)</t>
        </is>
      </c>
      <c r="F147" s="46" t="inlineStr">
        <is>
          <t>Digital MKT</t>
        </is>
      </c>
      <c r="G147" s="47" t="inlineStr">
        <is>
          <t>Digital (ví dụ)</t>
        </is>
      </c>
      <c r="H147" s="14" t="inlineStr">
        <is>
          <t>Trade, NPP</t>
        </is>
      </c>
      <c r="I147" s="13">
        <f>IF(OR(B147="",Q147=""),"",IF(Q147&gt;0,IF(R147="Làm việc",WORKDAY(IFERROR(IF(INDEX(SK_D,MATCH(O147,SK_A,0))="",B147,INDEX(SK_D,MATCH(O147,SK_A,0))),B147),Q147,HOLI),IFERROR(IF(INDEX(SK_D,MATCH(O147,SK_A,0))="",B147,INDEX(SK_D,MATCH(O147,SK_A,0))),B147)+Q147),B147+Q147))</f>
        <v/>
      </c>
      <c r="J147" s="14" t="inlineStr">
        <is>
          <t>Chưa làm</t>
        </is>
      </c>
      <c r="K147" s="13" t="n"/>
      <c r="L147" s="12" t="n"/>
      <c r="M147" s="48">
        <f>IF(E147="","",IF(J147="Bỏ qua","—",IF(J147="Xong",IF(AND(ISNUMBER(K147),ISNUMBER(I147),K147&gt;I147),"Xong trễ","Xong"),MID(IF(G147=""," · CHƯA GIAO","")&amp;IF(NOT(ISNUMBER(I147)),"",IF(TODAY()&gt;I147," · QUÁ HẠN "&amp;(TODAY()-I147)&amp;" ngày",IF(I147-TODAY()&lt;=3," · Đến hạn "&amp;IF(I147=TODAY(),"hôm nay","trong "&amp;(I147-TODAY())&amp;" ngày"),"")))&amp;IF(J147="Chờ đối tác"," · Chờ đối tác"&amp;IF(ISNUMBER(N147)," "&amp;(TODAY()-INT(N147))&amp;" ngày",""),""),4,200))))</f>
        <v/>
      </c>
      <c r="N147" s="49" t="n"/>
      <c r="O147" t="inlineStr">
        <is>
          <t>VD-5</t>
        </is>
      </c>
      <c r="P147" t="inlineStr">
        <is>
          <t>K22</t>
        </is>
      </c>
      <c r="Q147" t="n">
        <v>0</v>
      </c>
      <c r="R147" t="inlineStr">
        <is>
          <t>Lịch</t>
        </is>
      </c>
      <c r="S147">
        <f>IF(AND(E147&lt;&gt;"",T147="Có",J147&lt;&gt;"Xong",J147&lt;&gt;"Bỏ qua",ISNUMBER(I147)),I147+ROW()/100000,"")</f>
        <v/>
      </c>
      <c r="T147">
        <f>IF(O147="","",IFERROR(INDEX(SK_TD,MATCH(O147,SK_A,0)),""))</f>
        <v/>
      </c>
      <c r="U147" t="inlineStr">
        <is>
          <t>Digital (ví dụ)</t>
        </is>
      </c>
      <c r="V147">
        <f>IF(AND(O147&lt;&gt;"",O147=SEL_K,J147&lt;&gt;"Xong",J147&lt;&gt;"Bỏ qua"),IF(ISNUMBER(I147),I147,99999)+ROW()/100000,"")</f>
        <v/>
      </c>
    </row>
    <row r="148">
      <c r="A148" s="12">
        <f>IF(O148="","",IFERROR(INDEX(SK_B,MATCH(O148,SK_A,0))&amp;"",""))</f>
        <v/>
      </c>
      <c r="B148" s="45">
        <f>IF(O148="","",IFERROR(INDEX(SK_C,MATCH(O148,SK_A,0)),""))</f>
        <v/>
      </c>
      <c r="C148" s="46">
        <f>IF(Q148="","",IF(Q148=0,"D",IF(Q148&lt;0,"D"&amp;Q148,"D+"&amp;Q148)))</f>
        <v/>
      </c>
      <c r="D148" s="14" t="inlineStr">
        <is>
          <t>9. Ngày D</t>
        </is>
      </c>
      <c r="E148" s="12" t="inlineStr">
        <is>
          <t>Điều phối chương trình, khảo sát QR trước bế mạc, ảnh / video</t>
        </is>
      </c>
      <c r="F148" s="46" t="inlineStr">
        <is>
          <t>MKT Leader</t>
        </is>
      </c>
      <c r="G148" s="47" t="inlineStr">
        <is>
          <t>Leader MKT (ví dụ)</t>
        </is>
      </c>
      <c r="H148" s="14" t="inlineStr">
        <is>
          <t>Digital MKT</t>
        </is>
      </c>
      <c r="I148" s="13">
        <f>IF(OR(B148="",Q148=""),"",IF(Q148&gt;0,IF(R148="Làm việc",WORKDAY(IFERROR(IF(INDEX(SK_D,MATCH(O148,SK_A,0))="",B148,INDEX(SK_D,MATCH(O148,SK_A,0))),B148),Q148,HOLI),IFERROR(IF(INDEX(SK_D,MATCH(O148,SK_A,0))="",B148,INDEX(SK_D,MATCH(O148,SK_A,0))),B148)+Q148),B148+Q148))</f>
        <v/>
      </c>
      <c r="J148" s="14" t="inlineStr">
        <is>
          <t>Chưa làm</t>
        </is>
      </c>
      <c r="K148" s="13" t="n"/>
      <c r="L148" s="12" t="n"/>
      <c r="M148" s="48">
        <f>IF(E148="","",IF(J148="Bỏ qua","—",IF(J148="Xong",IF(AND(ISNUMBER(K148),ISNUMBER(I148),K148&gt;I148),"Xong trễ","Xong"),MID(IF(G148=""," · CHƯA GIAO","")&amp;IF(NOT(ISNUMBER(I148)),"",IF(TODAY()&gt;I148," · QUÁ HẠN "&amp;(TODAY()-I148)&amp;" ngày",IF(I148-TODAY()&lt;=3," · Đến hạn "&amp;IF(I148=TODAY(),"hôm nay","trong "&amp;(I148-TODAY())&amp;" ngày"),"")))&amp;IF(J148="Chờ đối tác"," · Chờ đối tác"&amp;IF(ISNUMBER(N148)," "&amp;(TODAY()-INT(N148))&amp;" ngày",""),""),4,200))))</f>
        <v/>
      </c>
      <c r="N148" s="49" t="n"/>
      <c r="O148" t="inlineStr">
        <is>
          <t>VD-5</t>
        </is>
      </c>
      <c r="P148" t="inlineStr">
        <is>
          <t>K23</t>
        </is>
      </c>
      <c r="Q148" t="n">
        <v>0</v>
      </c>
      <c r="R148" t="inlineStr">
        <is>
          <t>Lịch</t>
        </is>
      </c>
      <c r="S148">
        <f>IF(AND(E148&lt;&gt;"",T148="Có",J148&lt;&gt;"Xong",J148&lt;&gt;"Bỏ qua",ISNUMBER(I148)),I148+ROW()/100000,"")</f>
        <v/>
      </c>
      <c r="T148">
        <f>IF(O148="","",IFERROR(INDEX(SK_TD,MATCH(O148,SK_A,0)),""))</f>
        <v/>
      </c>
      <c r="U148" t="inlineStr">
        <is>
          <t>Leader MKT (ví dụ)</t>
        </is>
      </c>
      <c r="V148">
        <f>IF(AND(O148&lt;&gt;"",O148=SEL_K,J148&lt;&gt;"Xong",J148&lt;&gt;"Bỏ qua"),IF(ISNUMBER(I148),I148,99999)+ROW()/100000,"")</f>
        <v/>
      </c>
    </row>
    <row r="149">
      <c r="A149" s="12">
        <f>IF(O149="","",IFERROR(INDEX(SK_B,MATCH(O149,SK_A,0))&amp;"",""))</f>
        <v/>
      </c>
      <c r="B149" s="45">
        <f>IF(O149="","",IFERROR(INDEX(SK_C,MATCH(O149,SK_A,0)),""))</f>
        <v/>
      </c>
      <c r="C149" s="46">
        <f>IF(Q149="","",IF(Q149=0,"D",IF(Q149&lt;0,"D"&amp;Q149,"D+"&amp;Q149)))</f>
        <v/>
      </c>
      <c r="D149" s="14" t="inlineStr">
        <is>
          <t>9. Ngày D</t>
        </is>
      </c>
      <c r="E149" s="12" t="inlineStr">
        <is>
          <t>Bán hàng tại bàn trưng bày + ghi khách quan tâm</t>
        </is>
      </c>
      <c r="F149" s="46" t="inlineStr">
        <is>
          <t>Sales</t>
        </is>
      </c>
      <c r="G149" s="47" t="inlineStr">
        <is>
          <t>Sales Dental (ví dụ)</t>
        </is>
      </c>
      <c r="H149" s="14" t="inlineStr">
        <is>
          <t>NPP</t>
        </is>
      </c>
      <c r="I149" s="13">
        <f>IF(OR(B149="",Q149=""),"",IF(Q149&gt;0,IF(R149="Làm việc",WORKDAY(IFERROR(IF(INDEX(SK_D,MATCH(O149,SK_A,0))="",B149,INDEX(SK_D,MATCH(O149,SK_A,0))),B149),Q149,HOLI),IFERROR(IF(INDEX(SK_D,MATCH(O149,SK_A,0))="",B149,INDEX(SK_D,MATCH(O149,SK_A,0))),B149)+Q149),B149+Q149))</f>
        <v/>
      </c>
      <c r="J149" s="14" t="inlineStr">
        <is>
          <t>Chưa làm</t>
        </is>
      </c>
      <c r="K149" s="13" t="n"/>
      <c r="L149" s="12" t="n"/>
      <c r="M149" s="48">
        <f>IF(E149="","",IF(J149="Bỏ qua","—",IF(J149="Xong",IF(AND(ISNUMBER(K149),ISNUMBER(I149),K149&gt;I149),"Xong trễ","Xong"),MID(IF(G149=""," · CHƯA GIAO","")&amp;IF(NOT(ISNUMBER(I149)),"",IF(TODAY()&gt;I149," · QUÁ HẠN "&amp;(TODAY()-I149)&amp;" ngày",IF(I149-TODAY()&lt;=3," · Đến hạn "&amp;IF(I149=TODAY(),"hôm nay","trong "&amp;(I149-TODAY())&amp;" ngày"),"")))&amp;IF(J149="Chờ đối tác"," · Chờ đối tác"&amp;IF(ISNUMBER(N149)," "&amp;(TODAY()-INT(N149))&amp;" ngày",""),""),4,200))))</f>
        <v/>
      </c>
      <c r="N149" s="49" t="n"/>
      <c r="O149" t="inlineStr">
        <is>
          <t>VD-5</t>
        </is>
      </c>
      <c r="P149" t="inlineStr">
        <is>
          <t>K24</t>
        </is>
      </c>
      <c r="Q149" t="n">
        <v>0</v>
      </c>
      <c r="R149" t="inlineStr">
        <is>
          <t>Lịch</t>
        </is>
      </c>
      <c r="S149">
        <f>IF(AND(E149&lt;&gt;"",T149="Có",J149&lt;&gt;"Xong",J149&lt;&gt;"Bỏ qua",ISNUMBER(I149)),I149+ROW()/100000,"")</f>
        <v/>
      </c>
      <c r="T149">
        <f>IF(O149="","",IFERROR(INDEX(SK_TD,MATCH(O149,SK_A,0)),""))</f>
        <v/>
      </c>
      <c r="U149" t="inlineStr">
        <is>
          <t>Sales Dental (ví dụ)</t>
        </is>
      </c>
      <c r="V149">
        <f>IF(AND(O149&lt;&gt;"",O149=SEL_K,J149&lt;&gt;"Xong",J149&lt;&gt;"Bỏ qua"),IF(ISNUMBER(I149),I149,99999)+ROW()/100000,"")</f>
        <v/>
      </c>
    </row>
    <row r="150">
      <c r="A150" s="12">
        <f>IF(O150="","",IFERROR(INDEX(SK_B,MATCH(O150,SK_A,0))&amp;"",""))</f>
        <v/>
      </c>
      <c r="B150" s="45">
        <f>IF(O150="","",IFERROR(INDEX(SK_C,MATCH(O150,SK_A,0)),""))</f>
        <v/>
      </c>
      <c r="C150" s="46">
        <f>IF(Q150="","",IF(Q150=0,"D",IF(Q150&lt;0,"D"&amp;Q150,"D+"&amp;Q150)))</f>
        <v/>
      </c>
      <c r="D150" s="14" t="inlineStr">
        <is>
          <t>9. Ngày D</t>
        </is>
      </c>
      <c r="E150" s="12" t="inlineStr">
        <is>
          <t>Thu dọn, kiểm đếm, ghi POSM hỏng</t>
        </is>
      </c>
      <c r="F150" s="46" t="inlineStr">
        <is>
          <t>Trade MKT</t>
        </is>
      </c>
      <c r="G150" s="47" t="inlineStr">
        <is>
          <t>Trade (ví dụ)</t>
        </is>
      </c>
      <c r="H150" s="14" t="inlineStr">
        <is>
          <t>NPP</t>
        </is>
      </c>
      <c r="I150" s="13">
        <f>IF(OR(B150="",Q150=""),"",IF(Q150&gt;0,IF(R150="Làm việc",WORKDAY(IFERROR(IF(INDEX(SK_D,MATCH(O150,SK_A,0))="",B150,INDEX(SK_D,MATCH(O150,SK_A,0))),B150),Q150,HOLI),IFERROR(IF(INDEX(SK_D,MATCH(O150,SK_A,0))="",B150,INDEX(SK_D,MATCH(O150,SK_A,0))),B150)+Q150),B150+Q150))</f>
        <v/>
      </c>
      <c r="J150" s="14" t="inlineStr">
        <is>
          <t>Chưa làm</t>
        </is>
      </c>
      <c r="K150" s="13" t="n"/>
      <c r="L150" s="12" t="n"/>
      <c r="M150" s="48">
        <f>IF(E150="","",IF(J150="Bỏ qua","—",IF(J150="Xong",IF(AND(ISNUMBER(K150),ISNUMBER(I150),K150&gt;I150),"Xong trễ","Xong"),MID(IF(G150=""," · CHƯA GIAO","")&amp;IF(NOT(ISNUMBER(I150)),"",IF(TODAY()&gt;I150," · QUÁ HẠN "&amp;(TODAY()-I150)&amp;" ngày",IF(I150-TODAY()&lt;=3," · Đến hạn "&amp;IF(I150=TODAY(),"hôm nay","trong "&amp;(I150-TODAY())&amp;" ngày"),"")))&amp;IF(J150="Chờ đối tác"," · Chờ đối tác"&amp;IF(ISNUMBER(N150)," "&amp;(TODAY()-INT(N150))&amp;" ngày",""),""),4,200))))</f>
        <v/>
      </c>
      <c r="N150" s="49" t="n"/>
      <c r="O150" t="inlineStr">
        <is>
          <t>VD-5</t>
        </is>
      </c>
      <c r="P150" t="inlineStr">
        <is>
          <t>K25</t>
        </is>
      </c>
      <c r="Q150" t="n">
        <v>0</v>
      </c>
      <c r="R150" t="inlineStr">
        <is>
          <t>Lịch</t>
        </is>
      </c>
      <c r="S150">
        <f>IF(AND(E150&lt;&gt;"",T150="Có",J150&lt;&gt;"Xong",J150&lt;&gt;"Bỏ qua",ISNUMBER(I150)),I150+ROW()/100000,"")</f>
        <v/>
      </c>
      <c r="T150">
        <f>IF(O150="","",IFERROR(INDEX(SK_TD,MATCH(O150,SK_A,0)),""))</f>
        <v/>
      </c>
      <c r="U150" t="inlineStr">
        <is>
          <t>Trade (ví dụ)</t>
        </is>
      </c>
      <c r="V150">
        <f>IF(AND(O150&lt;&gt;"",O150=SEL_K,J150&lt;&gt;"Xong",J150&lt;&gt;"Bỏ qua"),IF(ISNUMBER(I150),I150,99999)+ROW()/100000,"")</f>
        <v/>
      </c>
    </row>
    <row r="151">
      <c r="A151" s="12">
        <f>IF(O151="","",IFERROR(INDEX(SK_B,MATCH(O151,SK_A,0))&amp;"",""))</f>
        <v/>
      </c>
      <c r="B151" s="45">
        <f>IF(O151="","",IFERROR(INDEX(SK_C,MATCH(O151,SK_A,0)),""))</f>
        <v/>
      </c>
      <c r="C151" s="46">
        <f>IF(Q151="","",IF(Q151=0,"D",IF(Q151&lt;0,"D"&amp;Q151,"D+"&amp;Q151)))</f>
        <v/>
      </c>
      <c r="D151" s="14" t="inlineStr">
        <is>
          <t>10. Sau sự kiện</t>
        </is>
      </c>
      <c r="E151" s="12" t="inlineStr">
        <is>
          <t>Bài cảm ơn + ảnh recap; video recap (nếu có)</t>
        </is>
      </c>
      <c r="F151" s="46" t="inlineStr">
        <is>
          <t>Digital MKT</t>
        </is>
      </c>
      <c r="G151" s="47" t="inlineStr">
        <is>
          <t>Digital (ví dụ)</t>
        </is>
      </c>
      <c r="H151" s="14" t="inlineStr"/>
      <c r="I151" s="13">
        <f>IF(OR(B151="",Q151=""),"",IF(Q151&gt;0,IF(R151="Làm việc",WORKDAY(IFERROR(IF(INDEX(SK_D,MATCH(O151,SK_A,0))="",B151,INDEX(SK_D,MATCH(O151,SK_A,0))),B151),Q151,HOLI),IFERROR(IF(INDEX(SK_D,MATCH(O151,SK_A,0))="",B151,INDEX(SK_D,MATCH(O151,SK_A,0))),B151)+Q151),B151+Q151))</f>
        <v/>
      </c>
      <c r="J151" s="14" t="inlineStr">
        <is>
          <t>Chưa làm</t>
        </is>
      </c>
      <c r="K151" s="13" t="n"/>
      <c r="L151" s="12" t="n"/>
      <c r="M151" s="48">
        <f>IF(E151="","",IF(J151="Bỏ qua","—",IF(J151="Xong",IF(AND(ISNUMBER(K151),ISNUMBER(I151),K151&gt;I151),"Xong trễ","Xong"),MID(IF(G151=""," · CHƯA GIAO","")&amp;IF(NOT(ISNUMBER(I151)),"",IF(TODAY()&gt;I151," · QUÁ HẠN "&amp;(TODAY()-I151)&amp;" ngày",IF(I151-TODAY()&lt;=3," · Đến hạn "&amp;IF(I151=TODAY(),"hôm nay","trong "&amp;(I151-TODAY())&amp;" ngày"),"")))&amp;IF(J151="Chờ đối tác"," · Chờ đối tác"&amp;IF(ISNUMBER(N151)," "&amp;(TODAY()-INT(N151))&amp;" ngày",""),""),4,200))))</f>
        <v/>
      </c>
      <c r="N151" s="49" t="n"/>
      <c r="O151" t="inlineStr">
        <is>
          <t>VD-5</t>
        </is>
      </c>
      <c r="P151" t="inlineStr">
        <is>
          <t>K26</t>
        </is>
      </c>
      <c r="Q151" t="n">
        <v>2</v>
      </c>
      <c r="R151" t="inlineStr">
        <is>
          <t>Làm việc</t>
        </is>
      </c>
      <c r="S151">
        <f>IF(AND(E151&lt;&gt;"",T151="Có",J151&lt;&gt;"Xong",J151&lt;&gt;"Bỏ qua",ISNUMBER(I151)),I151+ROW()/100000,"")</f>
        <v/>
      </c>
      <c r="T151">
        <f>IF(O151="","",IFERROR(INDEX(SK_TD,MATCH(O151,SK_A,0)),""))</f>
        <v/>
      </c>
      <c r="U151" t="inlineStr">
        <is>
          <t>Digital (ví dụ)</t>
        </is>
      </c>
      <c r="V151">
        <f>IF(AND(O151&lt;&gt;"",O151=SEL_K,J151&lt;&gt;"Xong",J151&lt;&gt;"Bỏ qua"),IF(ISNUMBER(I151),I151,99999)+ROW()/100000,"")</f>
        <v/>
      </c>
    </row>
    <row r="152">
      <c r="A152" s="12">
        <f>IF(O152="","",IFERROR(INDEX(SK_B,MATCH(O152,SK_A,0))&amp;"",""))</f>
        <v/>
      </c>
      <c r="B152" s="45">
        <f>IF(O152="","",IFERROR(INDEX(SK_C,MATCH(O152,SK_A,0)),""))</f>
        <v/>
      </c>
      <c r="C152" s="46">
        <f>IF(Q152="","",IF(Q152=0,"D",IF(Q152&lt;0,"D"&amp;Q152,"D+"&amp;Q152)))</f>
        <v/>
      </c>
      <c r="D152" s="14" t="inlineStr">
        <is>
          <t>10. Sau sự kiện</t>
        </is>
      </c>
      <c r="E152" s="12" t="inlineStr">
        <is>
          <t>Scan biểu mẫu ký tay + upload ảnh / video lên folder sự kiện</t>
        </is>
      </c>
      <c r="F152" s="46" t="inlineStr">
        <is>
          <t>Trade MKT</t>
        </is>
      </c>
      <c r="G152" s="47" t="inlineStr">
        <is>
          <t>Trade (ví dụ)</t>
        </is>
      </c>
      <c r="H152" s="14" t="inlineStr">
        <is>
          <t>Digital MKT</t>
        </is>
      </c>
      <c r="I152" s="13">
        <f>IF(OR(B152="",Q152=""),"",IF(Q152&gt;0,IF(R152="Làm việc",WORKDAY(IFERROR(IF(INDEX(SK_D,MATCH(O152,SK_A,0))="",B152,INDEX(SK_D,MATCH(O152,SK_A,0))),B152),Q152,HOLI),IFERROR(IF(INDEX(SK_D,MATCH(O152,SK_A,0))="",B152,INDEX(SK_D,MATCH(O152,SK_A,0))),B152)+Q152),B152+Q152))</f>
        <v/>
      </c>
      <c r="J152" s="14" t="inlineStr">
        <is>
          <t>Chưa làm</t>
        </is>
      </c>
      <c r="K152" s="13" t="n"/>
      <c r="L152" s="12" t="n"/>
      <c r="M152" s="48">
        <f>IF(E152="","",IF(J152="Bỏ qua","—",IF(J152="Xong",IF(AND(ISNUMBER(K152),ISNUMBER(I152),K152&gt;I152),"Xong trễ","Xong"),MID(IF(G152=""," · CHƯA GIAO","")&amp;IF(NOT(ISNUMBER(I152)),"",IF(TODAY()&gt;I152," · QUÁ HẠN "&amp;(TODAY()-I152)&amp;" ngày",IF(I152-TODAY()&lt;=3," · Đến hạn "&amp;IF(I152=TODAY(),"hôm nay","trong "&amp;(I152-TODAY())&amp;" ngày"),"")))&amp;IF(J152="Chờ đối tác"," · Chờ đối tác"&amp;IF(ISNUMBER(N152)," "&amp;(TODAY()-INT(N152))&amp;" ngày",""),""),4,200))))</f>
        <v/>
      </c>
      <c r="N152" s="49" t="n"/>
      <c r="O152" t="inlineStr">
        <is>
          <t>VD-5</t>
        </is>
      </c>
      <c r="P152" t="inlineStr">
        <is>
          <t>K27</t>
        </is>
      </c>
      <c r="Q152" t="n">
        <v>2</v>
      </c>
      <c r="R152" t="inlineStr">
        <is>
          <t>Làm việc</t>
        </is>
      </c>
      <c r="S152">
        <f>IF(AND(E152&lt;&gt;"",T152="Có",J152&lt;&gt;"Xong",J152&lt;&gt;"Bỏ qua",ISNUMBER(I152)),I152+ROW()/100000,"")</f>
        <v/>
      </c>
      <c r="T152">
        <f>IF(O152="","",IFERROR(INDEX(SK_TD,MATCH(O152,SK_A,0)),""))</f>
        <v/>
      </c>
      <c r="U152" t="inlineStr">
        <is>
          <t>Trade (ví dụ)</t>
        </is>
      </c>
      <c r="V152">
        <f>IF(AND(O152&lt;&gt;"",O152=SEL_K,J152&lt;&gt;"Xong",J152&lt;&gt;"Bỏ qua"),IF(ISNUMBER(I152),I152,99999)+ROW()/100000,"")</f>
        <v/>
      </c>
    </row>
    <row r="153">
      <c r="A153" s="12">
        <f>IF(O153="","",IFERROR(INDEX(SK_B,MATCH(O153,SK_A,0))&amp;"",""))</f>
        <v/>
      </c>
      <c r="B153" s="45">
        <f>IF(O153="","",IFERROR(INDEX(SK_C,MATCH(O153,SK_A,0)),""))</f>
        <v/>
      </c>
      <c r="C153" s="46">
        <f>IF(Q153="","",IF(Q153=0,"D",IF(Q153&lt;0,"D"&amp;Q153,"D+"&amp;Q153)))</f>
        <v/>
      </c>
      <c r="D153" s="14" t="inlineStr">
        <is>
          <t>10. Sau sự kiện</t>
        </is>
      </c>
      <c r="E153" s="12" t="inlineStr">
        <is>
          <t>Đối chiếu dữ liệu khách (loại trùng, đủ trường) ⇒ CUSTOMER LIST; tổng hợp khảo sát</t>
        </is>
      </c>
      <c r="F153" s="46" t="inlineStr">
        <is>
          <t>Digital MKT</t>
        </is>
      </c>
      <c r="G153" s="47" t="inlineStr">
        <is>
          <t>Digital (ví dụ)</t>
        </is>
      </c>
      <c r="H153" s="14" t="inlineStr">
        <is>
          <t>Sales, NPP</t>
        </is>
      </c>
      <c r="I153" s="13">
        <f>IF(OR(B153="",Q153=""),"",IF(Q153&gt;0,IF(R153="Làm việc",WORKDAY(IFERROR(IF(INDEX(SK_D,MATCH(O153,SK_A,0))="",B153,INDEX(SK_D,MATCH(O153,SK_A,0))),B153),Q153,HOLI),IFERROR(IF(INDEX(SK_D,MATCH(O153,SK_A,0))="",B153,INDEX(SK_D,MATCH(O153,SK_A,0))),B153)+Q153),B153+Q153))</f>
        <v/>
      </c>
      <c r="J153" s="14" t="inlineStr">
        <is>
          <t>Chưa làm</t>
        </is>
      </c>
      <c r="K153" s="13" t="n"/>
      <c r="L153" s="12" t="n"/>
      <c r="M153" s="48">
        <f>IF(E153="","",IF(J153="Bỏ qua","—",IF(J153="Xong",IF(AND(ISNUMBER(K153),ISNUMBER(I153),K153&gt;I153),"Xong trễ","Xong"),MID(IF(G153=""," · CHƯA GIAO","")&amp;IF(NOT(ISNUMBER(I153)),"",IF(TODAY()&gt;I153," · QUÁ HẠN "&amp;(TODAY()-I153)&amp;" ngày",IF(I153-TODAY()&lt;=3," · Đến hạn "&amp;IF(I153=TODAY(),"hôm nay","trong "&amp;(I153-TODAY())&amp;" ngày"),"")))&amp;IF(J153="Chờ đối tác"," · Chờ đối tác"&amp;IF(ISNUMBER(N153)," "&amp;(TODAY()-INT(N153))&amp;" ngày",""),""),4,200))))</f>
        <v/>
      </c>
      <c r="N153" s="49" t="n"/>
      <c r="O153" t="inlineStr">
        <is>
          <t>VD-5</t>
        </is>
      </c>
      <c r="P153" t="inlineStr">
        <is>
          <t>K28</t>
        </is>
      </c>
      <c r="Q153" t="n">
        <v>3</v>
      </c>
      <c r="R153" t="inlineStr">
        <is>
          <t>Làm việc</t>
        </is>
      </c>
      <c r="S153">
        <f>IF(AND(E153&lt;&gt;"",T153="Có",J153&lt;&gt;"Xong",J153&lt;&gt;"Bỏ qua",ISNUMBER(I153)),I153+ROW()/100000,"")</f>
        <v/>
      </c>
      <c r="T153">
        <f>IF(O153="","",IFERROR(INDEX(SK_TD,MATCH(O153,SK_A,0)),""))</f>
        <v/>
      </c>
      <c r="U153" t="inlineStr">
        <is>
          <t>Digital (ví dụ)</t>
        </is>
      </c>
      <c r="V153">
        <f>IF(AND(O153&lt;&gt;"",O153=SEL_K,J153&lt;&gt;"Xong",J153&lt;&gt;"Bỏ qua"),IF(ISNUMBER(I153),I153,99999)+ROW()/100000,"")</f>
        <v/>
      </c>
    </row>
    <row r="154">
      <c r="A154" s="12">
        <f>IF(O154="","",IFERROR(INDEX(SK_B,MATCH(O154,SK_A,0))&amp;"",""))</f>
        <v/>
      </c>
      <c r="B154" s="45">
        <f>IF(O154="","",IFERROR(INDEX(SK_C,MATCH(O154,SK_A,0)),""))</f>
        <v/>
      </c>
      <c r="C154" s="46">
        <f>IF(Q154="","",IF(Q154=0,"D",IF(Q154&lt;0,"D"&amp;Q154,"D+"&amp;Q154)))</f>
        <v/>
      </c>
      <c r="D154" s="14" t="inlineStr">
        <is>
          <t>10. Sau sự kiện</t>
        </is>
      </c>
      <c r="E154" s="12" t="inlineStr">
        <is>
          <t>Sales + NPP gửi số liệu bán hàng tại sự kiện</t>
        </is>
      </c>
      <c r="F154" s="46" t="inlineStr">
        <is>
          <t>Sales</t>
        </is>
      </c>
      <c r="G154" s="47" t="inlineStr">
        <is>
          <t>Sales Dental (ví dụ)</t>
        </is>
      </c>
      <c r="H154" s="14" t="inlineStr">
        <is>
          <t>NPP</t>
        </is>
      </c>
      <c r="I154" s="13">
        <f>IF(OR(B154="",Q154=""),"",IF(Q154&gt;0,IF(R154="Làm việc",WORKDAY(IFERROR(IF(INDEX(SK_D,MATCH(O154,SK_A,0))="",B154,INDEX(SK_D,MATCH(O154,SK_A,0))),B154),Q154,HOLI),IFERROR(IF(INDEX(SK_D,MATCH(O154,SK_A,0))="",B154,INDEX(SK_D,MATCH(O154,SK_A,0))),B154)+Q154),B154+Q154))</f>
        <v/>
      </c>
      <c r="J154" s="14" t="inlineStr">
        <is>
          <t>Chưa làm</t>
        </is>
      </c>
      <c r="K154" s="13" t="n"/>
      <c r="L154" s="12" t="n"/>
      <c r="M154" s="48">
        <f>IF(E154="","",IF(J154="Bỏ qua","—",IF(J154="Xong",IF(AND(ISNUMBER(K154),ISNUMBER(I154),K154&gt;I154),"Xong trễ","Xong"),MID(IF(G154=""," · CHƯA GIAO","")&amp;IF(NOT(ISNUMBER(I154)),"",IF(TODAY()&gt;I154," · QUÁ HẠN "&amp;(TODAY()-I154)&amp;" ngày",IF(I154-TODAY()&lt;=3," · Đến hạn "&amp;IF(I154=TODAY(),"hôm nay","trong "&amp;(I154-TODAY())&amp;" ngày"),"")))&amp;IF(J154="Chờ đối tác"," · Chờ đối tác"&amp;IF(ISNUMBER(N154)," "&amp;(TODAY()-INT(N154))&amp;" ngày",""),""),4,200))))</f>
        <v/>
      </c>
      <c r="N154" s="49" t="n"/>
      <c r="O154" t="inlineStr">
        <is>
          <t>VD-5</t>
        </is>
      </c>
      <c r="P154" t="inlineStr">
        <is>
          <t>K29</t>
        </is>
      </c>
      <c r="Q154" t="n">
        <v>3</v>
      </c>
      <c r="R154" t="inlineStr">
        <is>
          <t>Làm việc</t>
        </is>
      </c>
      <c r="S154">
        <f>IF(AND(E154&lt;&gt;"",T154="Có",J154&lt;&gt;"Xong",J154&lt;&gt;"Bỏ qua",ISNUMBER(I154)),I154+ROW()/100000,"")</f>
        <v/>
      </c>
      <c r="T154">
        <f>IF(O154="","",IFERROR(INDEX(SK_TD,MATCH(O154,SK_A,0)),""))</f>
        <v/>
      </c>
      <c r="U154" t="inlineStr">
        <is>
          <t>Sales Dental (ví dụ)</t>
        </is>
      </c>
      <c r="V154">
        <f>IF(AND(O154&lt;&gt;"",O154=SEL_K,J154&lt;&gt;"Xong",J154&lt;&gt;"Bỏ qua"),IF(ISNUMBER(I154),I154,99999)+ROW()/100000,"")</f>
        <v/>
      </c>
    </row>
    <row r="155">
      <c r="A155" s="12">
        <f>IF(O155="","",IFERROR(INDEX(SK_B,MATCH(O155,SK_A,0))&amp;"",""))</f>
        <v/>
      </c>
      <c r="B155" s="45">
        <f>IF(O155="","",IFERROR(INDEX(SK_C,MATCH(O155,SK_A,0)),""))</f>
        <v/>
      </c>
      <c r="C155" s="46">
        <f>IF(Q155="","",IF(Q155=0,"D",IF(Q155&lt;0,"D"&amp;Q155,"D+"&amp;Q155)))</f>
        <v/>
      </c>
      <c r="D155" s="14" t="inlineStr">
        <is>
          <t>10. Sau sự kiện</t>
        </is>
      </c>
      <c r="E155" s="12" t="inlineStr">
        <is>
          <t>Bàn giao danh sách khách cần follow-up cho Sales</t>
        </is>
      </c>
      <c r="F155" s="46" t="inlineStr">
        <is>
          <t>Digital MKT</t>
        </is>
      </c>
      <c r="G155" s="47" t="inlineStr">
        <is>
          <t>Digital (ví dụ)</t>
        </is>
      </c>
      <c r="H155" s="14" t="inlineStr">
        <is>
          <t>Sales</t>
        </is>
      </c>
      <c r="I155" s="13">
        <f>IF(OR(B155="",Q155=""),"",IF(Q155&gt;0,IF(R155="Làm việc",WORKDAY(IFERROR(IF(INDEX(SK_D,MATCH(O155,SK_A,0))="",B155,INDEX(SK_D,MATCH(O155,SK_A,0))),B155),Q155,HOLI),IFERROR(IF(INDEX(SK_D,MATCH(O155,SK_A,0))="",B155,INDEX(SK_D,MATCH(O155,SK_A,0))),B155)+Q155),B155+Q155))</f>
        <v/>
      </c>
      <c r="J155" s="14" t="inlineStr">
        <is>
          <t>Chưa làm</t>
        </is>
      </c>
      <c r="K155" s="13" t="n"/>
      <c r="L155" s="12" t="n"/>
      <c r="M155" s="48">
        <f>IF(E155="","",IF(J155="Bỏ qua","—",IF(J155="Xong",IF(AND(ISNUMBER(K155),ISNUMBER(I155),K155&gt;I155),"Xong trễ","Xong"),MID(IF(G155=""," · CHƯA GIAO","")&amp;IF(NOT(ISNUMBER(I155)),"",IF(TODAY()&gt;I155," · QUÁ HẠN "&amp;(TODAY()-I155)&amp;" ngày",IF(I155-TODAY()&lt;=3," · Đến hạn "&amp;IF(I155=TODAY(),"hôm nay","trong "&amp;(I155-TODAY())&amp;" ngày"),"")))&amp;IF(J155="Chờ đối tác"," · Chờ đối tác"&amp;IF(ISNUMBER(N155)," "&amp;(TODAY()-INT(N155))&amp;" ngày",""),""),4,200))))</f>
        <v/>
      </c>
      <c r="N155" s="49" t="n"/>
      <c r="O155" t="inlineStr">
        <is>
          <t>VD-5</t>
        </is>
      </c>
      <c r="P155" t="inlineStr">
        <is>
          <t>K30</t>
        </is>
      </c>
      <c r="Q155" t="n">
        <v>3</v>
      </c>
      <c r="R155" t="inlineStr">
        <is>
          <t>Làm việc</t>
        </is>
      </c>
      <c r="S155">
        <f>IF(AND(E155&lt;&gt;"",T155="Có",J155&lt;&gt;"Xong",J155&lt;&gt;"Bỏ qua",ISNUMBER(I155)),I155+ROW()/100000,"")</f>
        <v/>
      </c>
      <c r="T155">
        <f>IF(O155="","",IFERROR(INDEX(SK_TD,MATCH(O155,SK_A,0)),""))</f>
        <v/>
      </c>
      <c r="U155" t="inlineStr">
        <is>
          <t>Digital (ví dụ)</t>
        </is>
      </c>
      <c r="V155">
        <f>IF(AND(O155&lt;&gt;"",O155=SEL_K,J155&lt;&gt;"Xong",J155&lt;&gt;"Bỏ qua"),IF(ISNUMBER(I155),I155,99999)+ROW()/100000,"")</f>
        <v/>
      </c>
    </row>
    <row r="156">
      <c r="A156" s="12">
        <f>IF(O156="","",IFERROR(INDEX(SK_B,MATCH(O156,SK_A,0))&amp;"",""))</f>
        <v/>
      </c>
      <c r="B156" s="45">
        <f>IF(O156="","",IFERROR(INDEX(SK_C,MATCH(O156,SK_A,0)),""))</f>
        <v/>
      </c>
      <c r="C156" s="46">
        <f>IF(Q156="","",IF(Q156=0,"D",IF(Q156&lt;0,"D"&amp;Q156,"D+"&amp;Q156)))</f>
        <v/>
      </c>
      <c r="D156" s="14" t="inlineStr">
        <is>
          <t>10. Sau sự kiện</t>
        </is>
      </c>
      <c r="E156" s="12" t="inlineStr">
        <is>
          <t>Báo cáo sự kiện + chứng từ KOL, hoá đơn địa điểm</t>
        </is>
      </c>
      <c r="F156" s="46" t="inlineStr">
        <is>
          <t>MKT Leader</t>
        </is>
      </c>
      <c r="G156" s="47" t="inlineStr">
        <is>
          <t>Leader MKT (ví dụ)</t>
        </is>
      </c>
      <c r="H156" s="14" t="inlineStr">
        <is>
          <t>Trade MKT</t>
        </is>
      </c>
      <c r="I156" s="13">
        <f>IF(OR(B156="",Q156=""),"",IF(Q156&gt;0,IF(R156="Làm việc",WORKDAY(IFERROR(IF(INDEX(SK_D,MATCH(O156,SK_A,0))="",B156,INDEX(SK_D,MATCH(O156,SK_A,0))),B156),Q156,HOLI),IFERROR(IF(INDEX(SK_D,MATCH(O156,SK_A,0))="",B156,INDEX(SK_D,MATCH(O156,SK_A,0))),B156)+Q156),B156+Q156))</f>
        <v/>
      </c>
      <c r="J156" s="14" t="inlineStr">
        <is>
          <t>Chưa làm</t>
        </is>
      </c>
      <c r="K156" s="13" t="n"/>
      <c r="L156" s="12" t="n"/>
      <c r="M156" s="48">
        <f>IF(E156="","",IF(J156="Bỏ qua","—",IF(J156="Xong",IF(AND(ISNUMBER(K156),ISNUMBER(I156),K156&gt;I156),"Xong trễ","Xong"),MID(IF(G156=""," · CHƯA GIAO","")&amp;IF(NOT(ISNUMBER(I156)),"",IF(TODAY()&gt;I156," · QUÁ HẠN "&amp;(TODAY()-I156)&amp;" ngày",IF(I156-TODAY()&lt;=3," · Đến hạn "&amp;IF(I156=TODAY(),"hôm nay","trong "&amp;(I156-TODAY())&amp;" ngày"),"")))&amp;IF(J156="Chờ đối tác"," · Chờ đối tác"&amp;IF(ISNUMBER(N156)," "&amp;(TODAY()-INT(N156))&amp;" ngày",""),""),4,200))))</f>
        <v/>
      </c>
      <c r="N156" s="49" t="n"/>
      <c r="O156" t="inlineStr">
        <is>
          <t>VD-5</t>
        </is>
      </c>
      <c r="P156" t="inlineStr">
        <is>
          <t>K31</t>
        </is>
      </c>
      <c r="Q156" t="n">
        <v>5</v>
      </c>
      <c r="R156" t="inlineStr">
        <is>
          <t>Làm việc</t>
        </is>
      </c>
      <c r="S156">
        <f>IF(AND(E156&lt;&gt;"",T156="Có",J156&lt;&gt;"Xong",J156&lt;&gt;"Bỏ qua",ISNUMBER(I156)),I156+ROW()/100000,"")</f>
        <v/>
      </c>
      <c r="T156">
        <f>IF(O156="","",IFERROR(INDEX(SK_TD,MATCH(O156,SK_A,0)),""))</f>
        <v/>
      </c>
      <c r="U156" t="inlineStr">
        <is>
          <t>Leader MKT (ví dụ)</t>
        </is>
      </c>
      <c r="V156">
        <f>IF(AND(O156&lt;&gt;"",O156=SEL_K,J156&lt;&gt;"Xong",J156&lt;&gt;"Bỏ qua"),IF(ISNUMBER(I156),I156,99999)+ROW()/100000,"")</f>
        <v/>
      </c>
    </row>
    <row r="157">
      <c r="A157" s="12">
        <f>IF(O157="","",IFERROR(INDEX(SK_B,MATCH(O157,SK_A,0))&amp;"",""))</f>
        <v/>
      </c>
      <c r="B157" s="45">
        <f>IF(O157="","",IFERROR(INDEX(SK_C,MATCH(O157,SK_A,0)),""))</f>
        <v/>
      </c>
      <c r="C157" s="46">
        <f>IF(Q157="","",IF(Q157=0,"D",IF(Q157&lt;0,"D"&amp;Q157,"D+"&amp;Q157)))</f>
        <v/>
      </c>
      <c r="D157" s="14" t="inlineStr">
        <is>
          <t>10. Sau sự kiện</t>
        </is>
      </c>
      <c r="E157" s="12" t="inlineStr">
        <is>
          <t>Email báo cáo toàn MMH (4 file đính kèm) + hoàn tất lưu hồ sơ</t>
        </is>
      </c>
      <c r="F157" s="46" t="inlineStr">
        <is>
          <t>MKT Leader</t>
        </is>
      </c>
      <c r="G157" s="47" t="inlineStr">
        <is>
          <t>Leader MKT (ví dụ)</t>
        </is>
      </c>
      <c r="H157" s="14" t="inlineStr"/>
      <c r="I157" s="13">
        <f>IF(OR(B157="",Q157=""),"",IF(Q157&gt;0,IF(R157="Làm việc",WORKDAY(IFERROR(IF(INDEX(SK_D,MATCH(O157,SK_A,0))="",B157,INDEX(SK_D,MATCH(O157,SK_A,0))),B157),Q157,HOLI),IFERROR(IF(INDEX(SK_D,MATCH(O157,SK_A,0))="",B157,INDEX(SK_D,MATCH(O157,SK_A,0))),B157)+Q157),B157+Q157))</f>
        <v/>
      </c>
      <c r="J157" s="14" t="inlineStr">
        <is>
          <t>Chưa làm</t>
        </is>
      </c>
      <c r="K157" s="13" t="n"/>
      <c r="L157" s="12" t="n"/>
      <c r="M157" s="48">
        <f>IF(E157="","",IF(J157="Bỏ qua","—",IF(J157="Xong",IF(AND(ISNUMBER(K157),ISNUMBER(I157),K157&gt;I157),"Xong trễ","Xong"),MID(IF(G157=""," · CHƯA GIAO","")&amp;IF(NOT(ISNUMBER(I157)),"",IF(TODAY()&gt;I157," · QUÁ HẠN "&amp;(TODAY()-I157)&amp;" ngày",IF(I157-TODAY()&lt;=3," · Đến hạn "&amp;IF(I157=TODAY(),"hôm nay","trong "&amp;(I157-TODAY())&amp;" ngày"),"")))&amp;IF(J157="Chờ đối tác"," · Chờ đối tác"&amp;IF(ISNUMBER(N157)," "&amp;(TODAY()-INT(N157))&amp;" ngày",""),""),4,200))))</f>
        <v/>
      </c>
      <c r="N157" s="49" t="n"/>
      <c r="O157" t="inlineStr">
        <is>
          <t>VD-5</t>
        </is>
      </c>
      <c r="P157" t="inlineStr">
        <is>
          <t>K32</t>
        </is>
      </c>
      <c r="Q157" t="n">
        <v>7</v>
      </c>
      <c r="R157" t="inlineStr">
        <is>
          <t>Làm việc</t>
        </is>
      </c>
      <c r="S157">
        <f>IF(AND(E157&lt;&gt;"",T157="Có",J157&lt;&gt;"Xong",J157&lt;&gt;"Bỏ qua",ISNUMBER(I157)),I157+ROW()/100000,"")</f>
        <v/>
      </c>
      <c r="T157">
        <f>IF(O157="","",IFERROR(INDEX(SK_TD,MATCH(O157,SK_A,0)),""))</f>
        <v/>
      </c>
      <c r="U157" t="inlineStr">
        <is>
          <t>Leader MKT (ví dụ)</t>
        </is>
      </c>
      <c r="V157">
        <f>IF(AND(O157&lt;&gt;"",O157=SEL_K,J157&lt;&gt;"Xong",J157&lt;&gt;"Bỏ qua"),IF(ISNUMBER(I157),I157,99999)+ROW()/100000,"")</f>
        <v/>
      </c>
    </row>
    <row r="158">
      <c r="A158" s="12">
        <f>IF(O158="","",IFERROR(INDEX(SK_B,MATCH(O158,SK_A,0))&amp;"",""))</f>
        <v/>
      </c>
      <c r="B158" s="45">
        <f>IF(O158="","",IFERROR(INDEX(SK_C,MATCH(O158,SK_A,0)),""))</f>
        <v/>
      </c>
      <c r="C158" s="46">
        <f>IF(Q158="","",IF(Q158=0,"D",IF(Q158&lt;0,"D"&amp;Q158,"D+"&amp;Q158)))</f>
        <v/>
      </c>
      <c r="D158" s="14" t="inlineStr">
        <is>
          <t>11. Follow-up</t>
        </is>
      </c>
      <c r="E158" s="12" t="inlineStr">
        <is>
          <t>Sales liên hệ lần đầu khách cần follow-up</t>
        </is>
      </c>
      <c r="F158" s="46" t="inlineStr">
        <is>
          <t>Sales</t>
        </is>
      </c>
      <c r="G158" s="47" t="inlineStr">
        <is>
          <t>Sales Dental (ví dụ)</t>
        </is>
      </c>
      <c r="H158" s="14" t="inlineStr">
        <is>
          <t>NPP</t>
        </is>
      </c>
      <c r="I158" s="13">
        <f>IF(OR(B158="",Q158=""),"",IF(Q158&gt;0,IF(R158="Làm việc",WORKDAY(IFERROR(IF(INDEX(SK_D,MATCH(O158,SK_A,0))="",B158,INDEX(SK_D,MATCH(O158,SK_A,0))),B158),Q158,HOLI),IFERROR(IF(INDEX(SK_D,MATCH(O158,SK_A,0))="",B158,INDEX(SK_D,MATCH(O158,SK_A,0))),B158)+Q158),B158+Q158))</f>
        <v/>
      </c>
      <c r="J158" s="14" t="inlineStr">
        <is>
          <t>Chưa làm</t>
        </is>
      </c>
      <c r="K158" s="13" t="n"/>
      <c r="L158" s="12" t="n"/>
      <c r="M158" s="48">
        <f>IF(E158="","",IF(J158="Bỏ qua","—",IF(J158="Xong",IF(AND(ISNUMBER(K158),ISNUMBER(I158),K158&gt;I158),"Xong trễ","Xong"),MID(IF(G158=""," · CHƯA GIAO","")&amp;IF(NOT(ISNUMBER(I158)),"",IF(TODAY()&gt;I158," · QUÁ HẠN "&amp;(TODAY()-I158)&amp;" ngày",IF(I158-TODAY()&lt;=3," · Đến hạn "&amp;IF(I158=TODAY(),"hôm nay","trong "&amp;(I158-TODAY())&amp;" ngày"),"")))&amp;IF(J158="Chờ đối tác"," · Chờ đối tác"&amp;IF(ISNUMBER(N158)," "&amp;(TODAY()-INT(N158))&amp;" ngày",""),""),4,200))))</f>
        <v/>
      </c>
      <c r="N158" s="49" t="n"/>
      <c r="O158" t="inlineStr">
        <is>
          <t>VD-5</t>
        </is>
      </c>
      <c r="P158" t="inlineStr">
        <is>
          <t>K33</t>
        </is>
      </c>
      <c r="Q158" t="n">
        <v>5</v>
      </c>
      <c r="R158" t="inlineStr">
        <is>
          <t>Làm việc</t>
        </is>
      </c>
      <c r="S158">
        <f>IF(AND(E158&lt;&gt;"",T158="Có",J158&lt;&gt;"Xong",J158&lt;&gt;"Bỏ qua",ISNUMBER(I158)),I158+ROW()/100000,"")</f>
        <v/>
      </c>
      <c r="T158">
        <f>IF(O158="","",IFERROR(INDEX(SK_TD,MATCH(O158,SK_A,0)),""))</f>
        <v/>
      </c>
      <c r="U158" t="inlineStr">
        <is>
          <t>Sales Dental (ví dụ)</t>
        </is>
      </c>
      <c r="V158">
        <f>IF(AND(O158&lt;&gt;"",O158=SEL_K,J158&lt;&gt;"Xong",J158&lt;&gt;"Bỏ qua"),IF(ISNUMBER(I158),I158,99999)+ROW()/100000,"")</f>
        <v/>
      </c>
    </row>
    <row r="159">
      <c r="A159" s="12">
        <f>IF(O159="","",IFERROR(INDEX(SK_B,MATCH(O159,SK_A,0))&amp;"",""))</f>
        <v/>
      </c>
      <c r="B159" s="45">
        <f>IF(O159="","",IFERROR(INDEX(SK_C,MATCH(O159,SK_A,0)),""))</f>
        <v/>
      </c>
      <c r="C159" s="46">
        <f>IF(Q159="","",IF(Q159=0,"D",IF(Q159&lt;0,"D"&amp;Q159,"D+"&amp;Q159)))</f>
        <v/>
      </c>
      <c r="D159" s="14" t="inlineStr">
        <is>
          <t>11. Follow-up</t>
        </is>
      </c>
      <c r="E159" s="12" t="inlineStr">
        <is>
          <t>Sales báo kết quả chuyển đổi đơn hàng</t>
        </is>
      </c>
      <c r="F159" s="46" t="inlineStr">
        <is>
          <t>Sales</t>
        </is>
      </c>
      <c r="G159" s="47" t="inlineStr">
        <is>
          <t>Sales Dental (ví dụ)</t>
        </is>
      </c>
      <c r="H159" s="14" t="inlineStr">
        <is>
          <t>NPP</t>
        </is>
      </c>
      <c r="I159" s="13">
        <f>IF(OR(B159="",Q159=""),"",IF(Q159&gt;0,IF(R159="Làm việc",WORKDAY(IFERROR(IF(INDEX(SK_D,MATCH(O159,SK_A,0))="",B159,INDEX(SK_D,MATCH(O159,SK_A,0))),B159),Q159,HOLI),IFERROR(IF(INDEX(SK_D,MATCH(O159,SK_A,0))="",B159,INDEX(SK_D,MATCH(O159,SK_A,0))),B159)+Q159),B159+Q159))</f>
        <v/>
      </c>
      <c r="J159" s="14" t="inlineStr">
        <is>
          <t>Chưa làm</t>
        </is>
      </c>
      <c r="K159" s="13" t="n"/>
      <c r="L159" s="12" t="n"/>
      <c r="M159" s="48">
        <f>IF(E159="","",IF(J159="Bỏ qua","—",IF(J159="Xong",IF(AND(ISNUMBER(K159),ISNUMBER(I159),K159&gt;I159),"Xong trễ","Xong"),MID(IF(G159=""," · CHƯA GIAO","")&amp;IF(NOT(ISNUMBER(I159)),"",IF(TODAY()&gt;I159," · QUÁ HẠN "&amp;(TODAY()-I159)&amp;" ngày",IF(I159-TODAY()&lt;=3," · Đến hạn "&amp;IF(I159=TODAY(),"hôm nay","trong "&amp;(I159-TODAY())&amp;" ngày"),"")))&amp;IF(J159="Chờ đối tác"," · Chờ đối tác"&amp;IF(ISNUMBER(N159)," "&amp;(TODAY()-INT(N159))&amp;" ngày",""),""),4,200))))</f>
        <v/>
      </c>
      <c r="N159" s="49" t="n"/>
      <c r="O159" t="inlineStr">
        <is>
          <t>VD-5</t>
        </is>
      </c>
      <c r="P159" t="inlineStr">
        <is>
          <t>K34</t>
        </is>
      </c>
      <c r="Q159" t="n">
        <v>20</v>
      </c>
      <c r="R159" t="inlineStr">
        <is>
          <t>Làm việc</t>
        </is>
      </c>
      <c r="S159">
        <f>IF(AND(E159&lt;&gt;"",T159="Có",J159&lt;&gt;"Xong",J159&lt;&gt;"Bỏ qua",ISNUMBER(I159)),I159+ROW()/100000,"")</f>
        <v/>
      </c>
      <c r="T159">
        <f>IF(O159="","",IFERROR(INDEX(SK_TD,MATCH(O159,SK_A,0)),""))</f>
        <v/>
      </c>
      <c r="U159" t="inlineStr">
        <is>
          <t>Sales Dental (ví dụ)</t>
        </is>
      </c>
      <c r="V159">
        <f>IF(AND(O159&lt;&gt;"",O159=SEL_K,J159&lt;&gt;"Xong",J159&lt;&gt;"Bỏ qua"),IF(ISNUMBER(I159),I159,99999)+ROW()/100000,"")</f>
        <v/>
      </c>
    </row>
    <row r="160">
      <c r="A160" s="12">
        <f>IF(O160="","",IFERROR(INDEX(SK_B,MATCH(O160,SK_A,0))&amp;"",""))</f>
        <v/>
      </c>
      <c r="B160" s="45">
        <f>IF(O160="","",IFERROR(INDEX(SK_C,MATCH(O160,SK_A,0)),""))</f>
        <v/>
      </c>
      <c r="C160" s="46">
        <f>IF(Q160="","",IF(Q160=0,"D",IF(Q160&lt;0,"D"&amp;Q160,"D+"&amp;Q160)))</f>
        <v/>
      </c>
      <c r="D160" s="14" t="n"/>
      <c r="E160" s="12" t="n"/>
      <c r="F160" s="46" t="n"/>
      <c r="G160" s="47" t="n"/>
      <c r="H160" s="14" t="n"/>
      <c r="I160" s="13">
        <f>IF(OR(B160="",Q160=""),"",IF(Q160&gt;0,IF(R160="Làm việc",WORKDAY(IFERROR(IF(INDEX(SK_D,MATCH(O160,SK_A,0))="",B160,INDEX(SK_D,MATCH(O160,SK_A,0))),B160),Q160,HOLI),IFERROR(IF(INDEX(SK_D,MATCH(O160,SK_A,0))="",B160,INDEX(SK_D,MATCH(O160,SK_A,0))),B160)+Q160),B160+Q160))</f>
        <v/>
      </c>
      <c r="J160" s="14" t="n"/>
      <c r="K160" s="13" t="n"/>
      <c r="L160" s="12" t="n"/>
      <c r="M160" s="48">
        <f>IF(E160="","",IF(J160="Bỏ qua","—",IF(J160="Xong",IF(AND(ISNUMBER(K160),ISNUMBER(I160),K160&gt;I160),"Xong trễ","Xong"),MID(IF(G160=""," · CHƯA GIAO","")&amp;IF(NOT(ISNUMBER(I160)),"",IF(TODAY()&gt;I160," · QUÁ HẠN "&amp;(TODAY()-I160)&amp;" ngày",IF(I160-TODAY()&lt;=3," · Đến hạn "&amp;IF(I160=TODAY(),"hôm nay","trong "&amp;(I160-TODAY())&amp;" ngày"),"")))&amp;IF(J160="Chờ đối tác"," · Chờ đối tác"&amp;IF(ISNUMBER(N160)," "&amp;(TODAY()-INT(N160))&amp;" ngày",""),""),4,200))))</f>
        <v/>
      </c>
      <c r="N160" s="49" t="n"/>
      <c r="S160">
        <f>IF(AND(E160&lt;&gt;"",T160="Có",J160&lt;&gt;"Xong",J160&lt;&gt;"Bỏ qua",ISNUMBER(I160)),I160+ROW()/100000,"")</f>
        <v/>
      </c>
      <c r="T160">
        <f>IF(O160="","",IFERROR(INDEX(SK_TD,MATCH(O160,SK_A,0)),""))</f>
        <v/>
      </c>
      <c r="V160">
        <f>IF(AND(O160&lt;&gt;"",O160=SEL_K,J160&lt;&gt;"Xong",J160&lt;&gt;"Bỏ qua"),IF(ISNUMBER(I160),I160,99999)+ROW()/100000,"")</f>
        <v/>
      </c>
    </row>
    <row r="161">
      <c r="A161" s="12">
        <f>IF(O161="","",IFERROR(INDEX(SK_B,MATCH(O161,SK_A,0))&amp;"",""))</f>
        <v/>
      </c>
      <c r="B161" s="45">
        <f>IF(O161="","",IFERROR(INDEX(SK_C,MATCH(O161,SK_A,0)),""))</f>
        <v/>
      </c>
      <c r="C161" s="46">
        <f>IF(Q161="","",IF(Q161=0,"D",IF(Q161&lt;0,"D"&amp;Q161,"D+"&amp;Q161)))</f>
        <v/>
      </c>
      <c r="D161" s="14" t="n"/>
      <c r="E161" s="12" t="n"/>
      <c r="F161" s="46" t="n"/>
      <c r="G161" s="47" t="n"/>
      <c r="H161" s="14" t="n"/>
      <c r="I161" s="13">
        <f>IF(OR(B161="",Q161=""),"",IF(Q161&gt;0,IF(R161="Làm việc",WORKDAY(IFERROR(IF(INDEX(SK_D,MATCH(O161,SK_A,0))="",B161,INDEX(SK_D,MATCH(O161,SK_A,0))),B161),Q161,HOLI),IFERROR(IF(INDEX(SK_D,MATCH(O161,SK_A,0))="",B161,INDEX(SK_D,MATCH(O161,SK_A,0))),B161)+Q161),B161+Q161))</f>
        <v/>
      </c>
      <c r="J161" s="14" t="n"/>
      <c r="K161" s="13" t="n"/>
      <c r="L161" s="12" t="n"/>
      <c r="M161" s="48">
        <f>IF(E161="","",IF(J161="Bỏ qua","—",IF(J161="Xong",IF(AND(ISNUMBER(K161),ISNUMBER(I161),K161&gt;I161),"Xong trễ","Xong"),MID(IF(G161=""," · CHƯA GIAO","")&amp;IF(NOT(ISNUMBER(I161)),"",IF(TODAY()&gt;I161," · QUÁ HẠN "&amp;(TODAY()-I161)&amp;" ngày",IF(I161-TODAY()&lt;=3," · Đến hạn "&amp;IF(I161=TODAY(),"hôm nay","trong "&amp;(I161-TODAY())&amp;" ngày"),"")))&amp;IF(J161="Chờ đối tác"," · Chờ đối tác"&amp;IF(ISNUMBER(N161)," "&amp;(TODAY()-INT(N161))&amp;" ngày",""),""),4,200))))</f>
        <v/>
      </c>
      <c r="N161" s="49" t="n"/>
      <c r="S161">
        <f>IF(AND(E161&lt;&gt;"",T161="Có",J161&lt;&gt;"Xong",J161&lt;&gt;"Bỏ qua",ISNUMBER(I161)),I161+ROW()/100000,"")</f>
        <v/>
      </c>
      <c r="T161">
        <f>IF(O161="","",IFERROR(INDEX(SK_TD,MATCH(O161,SK_A,0)),""))</f>
        <v/>
      </c>
      <c r="V161">
        <f>IF(AND(O161&lt;&gt;"",O161=SEL_K,J161&lt;&gt;"Xong",J161&lt;&gt;"Bỏ qua"),IF(ISNUMBER(I161),I161,99999)+ROW()/100000,"")</f>
        <v/>
      </c>
    </row>
    <row r="162">
      <c r="A162" s="12">
        <f>IF(O162="","",IFERROR(INDEX(SK_B,MATCH(O162,SK_A,0))&amp;"",""))</f>
        <v/>
      </c>
      <c r="B162" s="45">
        <f>IF(O162="","",IFERROR(INDEX(SK_C,MATCH(O162,SK_A,0)),""))</f>
        <v/>
      </c>
      <c r="C162" s="46">
        <f>IF(Q162="","",IF(Q162=0,"D",IF(Q162&lt;0,"D"&amp;Q162,"D+"&amp;Q162)))</f>
        <v/>
      </c>
      <c r="D162" s="14" t="n"/>
      <c r="E162" s="12" t="n"/>
      <c r="F162" s="46" t="n"/>
      <c r="G162" s="47" t="n"/>
      <c r="H162" s="14" t="n"/>
      <c r="I162" s="13">
        <f>IF(OR(B162="",Q162=""),"",IF(Q162&gt;0,IF(R162="Làm việc",WORKDAY(IFERROR(IF(INDEX(SK_D,MATCH(O162,SK_A,0))="",B162,INDEX(SK_D,MATCH(O162,SK_A,0))),B162),Q162,HOLI),IFERROR(IF(INDEX(SK_D,MATCH(O162,SK_A,0))="",B162,INDEX(SK_D,MATCH(O162,SK_A,0))),B162)+Q162),B162+Q162))</f>
        <v/>
      </c>
      <c r="J162" s="14" t="n"/>
      <c r="K162" s="13" t="n"/>
      <c r="L162" s="12" t="n"/>
      <c r="M162" s="48">
        <f>IF(E162="","",IF(J162="Bỏ qua","—",IF(J162="Xong",IF(AND(ISNUMBER(K162),ISNUMBER(I162),K162&gt;I162),"Xong trễ","Xong"),MID(IF(G162=""," · CHƯA GIAO","")&amp;IF(NOT(ISNUMBER(I162)),"",IF(TODAY()&gt;I162," · QUÁ HẠN "&amp;(TODAY()-I162)&amp;" ngày",IF(I162-TODAY()&lt;=3," · Đến hạn "&amp;IF(I162=TODAY(),"hôm nay","trong "&amp;(I162-TODAY())&amp;" ngày"),"")))&amp;IF(J162="Chờ đối tác"," · Chờ đối tác"&amp;IF(ISNUMBER(N162)," "&amp;(TODAY()-INT(N162))&amp;" ngày",""),""),4,200))))</f>
        <v/>
      </c>
      <c r="N162" s="49" t="n"/>
      <c r="S162">
        <f>IF(AND(E162&lt;&gt;"",T162="Có",J162&lt;&gt;"Xong",J162&lt;&gt;"Bỏ qua",ISNUMBER(I162)),I162+ROW()/100000,"")</f>
        <v/>
      </c>
      <c r="T162">
        <f>IF(O162="","",IFERROR(INDEX(SK_TD,MATCH(O162,SK_A,0)),""))</f>
        <v/>
      </c>
      <c r="V162">
        <f>IF(AND(O162&lt;&gt;"",O162=SEL_K,J162&lt;&gt;"Xong",J162&lt;&gt;"Bỏ qua"),IF(ISNUMBER(I162),I162,99999)+ROW()/100000,"")</f>
        <v/>
      </c>
    </row>
    <row r="163">
      <c r="A163" s="12">
        <f>IF(O163="","",IFERROR(INDEX(SK_B,MATCH(O163,SK_A,0))&amp;"",""))</f>
        <v/>
      </c>
      <c r="B163" s="45">
        <f>IF(O163="","",IFERROR(INDEX(SK_C,MATCH(O163,SK_A,0)),""))</f>
        <v/>
      </c>
      <c r="C163" s="46">
        <f>IF(Q163="","",IF(Q163=0,"D",IF(Q163&lt;0,"D"&amp;Q163,"D+"&amp;Q163)))</f>
        <v/>
      </c>
      <c r="D163" s="14" t="n"/>
      <c r="E163" s="12" t="n"/>
      <c r="F163" s="46" t="n"/>
      <c r="G163" s="47" t="n"/>
      <c r="H163" s="14" t="n"/>
      <c r="I163" s="13">
        <f>IF(OR(B163="",Q163=""),"",IF(Q163&gt;0,IF(R163="Làm việc",WORKDAY(IFERROR(IF(INDEX(SK_D,MATCH(O163,SK_A,0))="",B163,INDEX(SK_D,MATCH(O163,SK_A,0))),B163),Q163,HOLI),IFERROR(IF(INDEX(SK_D,MATCH(O163,SK_A,0))="",B163,INDEX(SK_D,MATCH(O163,SK_A,0))),B163)+Q163),B163+Q163))</f>
        <v/>
      </c>
      <c r="J163" s="14" t="n"/>
      <c r="K163" s="13" t="n"/>
      <c r="L163" s="12" t="n"/>
      <c r="M163" s="48">
        <f>IF(E163="","",IF(J163="Bỏ qua","—",IF(J163="Xong",IF(AND(ISNUMBER(K163),ISNUMBER(I163),K163&gt;I163),"Xong trễ","Xong"),MID(IF(G163=""," · CHƯA GIAO","")&amp;IF(NOT(ISNUMBER(I163)),"",IF(TODAY()&gt;I163," · QUÁ HẠN "&amp;(TODAY()-I163)&amp;" ngày",IF(I163-TODAY()&lt;=3," · Đến hạn "&amp;IF(I163=TODAY(),"hôm nay","trong "&amp;(I163-TODAY())&amp;" ngày"),"")))&amp;IF(J163="Chờ đối tác"," · Chờ đối tác"&amp;IF(ISNUMBER(N163)," "&amp;(TODAY()-INT(N163))&amp;" ngày",""),""),4,200))))</f>
        <v/>
      </c>
      <c r="N163" s="49" t="n"/>
      <c r="S163">
        <f>IF(AND(E163&lt;&gt;"",T163="Có",J163&lt;&gt;"Xong",J163&lt;&gt;"Bỏ qua",ISNUMBER(I163)),I163+ROW()/100000,"")</f>
        <v/>
      </c>
      <c r="T163">
        <f>IF(O163="","",IFERROR(INDEX(SK_TD,MATCH(O163,SK_A,0)),""))</f>
        <v/>
      </c>
      <c r="V163">
        <f>IF(AND(O163&lt;&gt;"",O163=SEL_K,J163&lt;&gt;"Xong",J163&lt;&gt;"Bỏ qua"),IF(ISNUMBER(I163),I163,99999)+ROW()/100000,"")</f>
        <v/>
      </c>
    </row>
    <row r="164">
      <c r="A164" s="12">
        <f>IF(O164="","",IFERROR(INDEX(SK_B,MATCH(O164,SK_A,0))&amp;"",""))</f>
        <v/>
      </c>
      <c r="B164" s="45">
        <f>IF(O164="","",IFERROR(INDEX(SK_C,MATCH(O164,SK_A,0)),""))</f>
        <v/>
      </c>
      <c r="C164" s="46">
        <f>IF(Q164="","",IF(Q164=0,"D",IF(Q164&lt;0,"D"&amp;Q164,"D+"&amp;Q164)))</f>
        <v/>
      </c>
      <c r="D164" s="14" t="n"/>
      <c r="E164" s="12" t="n"/>
      <c r="F164" s="46" t="n"/>
      <c r="G164" s="47" t="n"/>
      <c r="H164" s="14" t="n"/>
      <c r="I164" s="13">
        <f>IF(OR(B164="",Q164=""),"",IF(Q164&gt;0,IF(R164="Làm việc",WORKDAY(IFERROR(IF(INDEX(SK_D,MATCH(O164,SK_A,0))="",B164,INDEX(SK_D,MATCH(O164,SK_A,0))),B164),Q164,HOLI),IFERROR(IF(INDEX(SK_D,MATCH(O164,SK_A,0))="",B164,INDEX(SK_D,MATCH(O164,SK_A,0))),B164)+Q164),B164+Q164))</f>
        <v/>
      </c>
      <c r="J164" s="14" t="n"/>
      <c r="K164" s="13" t="n"/>
      <c r="L164" s="12" t="n"/>
      <c r="M164" s="48">
        <f>IF(E164="","",IF(J164="Bỏ qua","—",IF(J164="Xong",IF(AND(ISNUMBER(K164),ISNUMBER(I164),K164&gt;I164),"Xong trễ","Xong"),MID(IF(G164=""," · CHƯA GIAO","")&amp;IF(NOT(ISNUMBER(I164)),"",IF(TODAY()&gt;I164," · QUÁ HẠN "&amp;(TODAY()-I164)&amp;" ngày",IF(I164-TODAY()&lt;=3," · Đến hạn "&amp;IF(I164=TODAY(),"hôm nay","trong "&amp;(I164-TODAY())&amp;" ngày"),"")))&amp;IF(J164="Chờ đối tác"," · Chờ đối tác"&amp;IF(ISNUMBER(N164)," "&amp;(TODAY()-INT(N164))&amp;" ngày",""),""),4,200))))</f>
        <v/>
      </c>
      <c r="N164" s="49" t="n"/>
      <c r="S164">
        <f>IF(AND(E164&lt;&gt;"",T164="Có",J164&lt;&gt;"Xong",J164&lt;&gt;"Bỏ qua",ISNUMBER(I164)),I164+ROW()/100000,"")</f>
        <v/>
      </c>
      <c r="T164">
        <f>IF(O164="","",IFERROR(INDEX(SK_TD,MATCH(O164,SK_A,0)),""))</f>
        <v/>
      </c>
      <c r="V164">
        <f>IF(AND(O164&lt;&gt;"",O164=SEL_K,J164&lt;&gt;"Xong",J164&lt;&gt;"Bỏ qua"),IF(ISNUMBER(I164),I164,99999)+ROW()/100000,"")</f>
        <v/>
      </c>
    </row>
    <row r="165">
      <c r="A165" s="12">
        <f>IF(O165="","",IFERROR(INDEX(SK_B,MATCH(O165,SK_A,0))&amp;"",""))</f>
        <v/>
      </c>
      <c r="B165" s="45">
        <f>IF(O165="","",IFERROR(INDEX(SK_C,MATCH(O165,SK_A,0)),""))</f>
        <v/>
      </c>
      <c r="C165" s="46">
        <f>IF(Q165="","",IF(Q165=0,"D",IF(Q165&lt;0,"D"&amp;Q165,"D+"&amp;Q165)))</f>
        <v/>
      </c>
      <c r="D165" s="14" t="n"/>
      <c r="E165" s="12" t="n"/>
      <c r="F165" s="46" t="n"/>
      <c r="G165" s="47" t="n"/>
      <c r="H165" s="14" t="n"/>
      <c r="I165" s="13">
        <f>IF(OR(B165="",Q165=""),"",IF(Q165&gt;0,IF(R165="Làm việc",WORKDAY(IFERROR(IF(INDEX(SK_D,MATCH(O165,SK_A,0))="",B165,INDEX(SK_D,MATCH(O165,SK_A,0))),B165),Q165,HOLI),IFERROR(IF(INDEX(SK_D,MATCH(O165,SK_A,0))="",B165,INDEX(SK_D,MATCH(O165,SK_A,0))),B165)+Q165),B165+Q165))</f>
        <v/>
      </c>
      <c r="J165" s="14" t="n"/>
      <c r="K165" s="13" t="n"/>
      <c r="L165" s="12" t="n"/>
      <c r="M165" s="48">
        <f>IF(E165="","",IF(J165="Bỏ qua","—",IF(J165="Xong",IF(AND(ISNUMBER(K165),ISNUMBER(I165),K165&gt;I165),"Xong trễ","Xong"),MID(IF(G165=""," · CHƯA GIAO","")&amp;IF(NOT(ISNUMBER(I165)),"",IF(TODAY()&gt;I165," · QUÁ HẠN "&amp;(TODAY()-I165)&amp;" ngày",IF(I165-TODAY()&lt;=3," · Đến hạn "&amp;IF(I165=TODAY(),"hôm nay","trong "&amp;(I165-TODAY())&amp;" ngày"),"")))&amp;IF(J165="Chờ đối tác"," · Chờ đối tác"&amp;IF(ISNUMBER(N165)," "&amp;(TODAY()-INT(N165))&amp;" ngày",""),""),4,200))))</f>
        <v/>
      </c>
      <c r="N165" s="49" t="n"/>
      <c r="S165">
        <f>IF(AND(E165&lt;&gt;"",T165="Có",J165&lt;&gt;"Xong",J165&lt;&gt;"Bỏ qua",ISNUMBER(I165)),I165+ROW()/100000,"")</f>
        <v/>
      </c>
      <c r="T165">
        <f>IF(O165="","",IFERROR(INDEX(SK_TD,MATCH(O165,SK_A,0)),""))</f>
        <v/>
      </c>
      <c r="V165">
        <f>IF(AND(O165&lt;&gt;"",O165=SEL_K,J165&lt;&gt;"Xong",J165&lt;&gt;"Bỏ qua"),IF(ISNUMBER(I165),I165,99999)+ROW()/100000,"")</f>
        <v/>
      </c>
    </row>
    <row r="166">
      <c r="A166" s="12">
        <f>IF(O166="","",IFERROR(INDEX(SK_B,MATCH(O166,SK_A,0))&amp;"",""))</f>
        <v/>
      </c>
      <c r="B166" s="45">
        <f>IF(O166="","",IFERROR(INDEX(SK_C,MATCH(O166,SK_A,0)),""))</f>
        <v/>
      </c>
      <c r="C166" s="46">
        <f>IF(Q166="","",IF(Q166=0,"D",IF(Q166&lt;0,"D"&amp;Q166,"D+"&amp;Q166)))</f>
        <v/>
      </c>
      <c r="D166" s="14" t="n"/>
      <c r="E166" s="12" t="n"/>
      <c r="F166" s="46" t="n"/>
      <c r="G166" s="47" t="n"/>
      <c r="H166" s="14" t="n"/>
      <c r="I166" s="13">
        <f>IF(OR(B166="",Q166=""),"",IF(Q166&gt;0,IF(R166="Làm việc",WORKDAY(IFERROR(IF(INDEX(SK_D,MATCH(O166,SK_A,0))="",B166,INDEX(SK_D,MATCH(O166,SK_A,0))),B166),Q166,HOLI),IFERROR(IF(INDEX(SK_D,MATCH(O166,SK_A,0))="",B166,INDEX(SK_D,MATCH(O166,SK_A,0))),B166)+Q166),B166+Q166))</f>
        <v/>
      </c>
      <c r="J166" s="14" t="n"/>
      <c r="K166" s="13" t="n"/>
      <c r="L166" s="12" t="n"/>
      <c r="M166" s="48">
        <f>IF(E166="","",IF(J166="Bỏ qua","—",IF(J166="Xong",IF(AND(ISNUMBER(K166),ISNUMBER(I166),K166&gt;I166),"Xong trễ","Xong"),MID(IF(G166=""," · CHƯA GIAO","")&amp;IF(NOT(ISNUMBER(I166)),"",IF(TODAY()&gt;I166," · QUÁ HẠN "&amp;(TODAY()-I166)&amp;" ngày",IF(I166-TODAY()&lt;=3," · Đến hạn "&amp;IF(I166=TODAY(),"hôm nay","trong "&amp;(I166-TODAY())&amp;" ngày"),"")))&amp;IF(J166="Chờ đối tác"," · Chờ đối tác"&amp;IF(ISNUMBER(N166)," "&amp;(TODAY()-INT(N166))&amp;" ngày",""),""),4,200))))</f>
        <v/>
      </c>
      <c r="N166" s="49" t="n"/>
      <c r="S166">
        <f>IF(AND(E166&lt;&gt;"",T166="Có",J166&lt;&gt;"Xong",J166&lt;&gt;"Bỏ qua",ISNUMBER(I166)),I166+ROW()/100000,"")</f>
        <v/>
      </c>
      <c r="T166">
        <f>IF(O166="","",IFERROR(INDEX(SK_TD,MATCH(O166,SK_A,0)),""))</f>
        <v/>
      </c>
      <c r="V166">
        <f>IF(AND(O166&lt;&gt;"",O166=SEL_K,J166&lt;&gt;"Xong",J166&lt;&gt;"Bỏ qua"),IF(ISNUMBER(I166),I166,99999)+ROW()/100000,"")</f>
        <v/>
      </c>
    </row>
    <row r="167">
      <c r="A167" s="12">
        <f>IF(O167="","",IFERROR(INDEX(SK_B,MATCH(O167,SK_A,0))&amp;"",""))</f>
        <v/>
      </c>
      <c r="B167" s="45">
        <f>IF(O167="","",IFERROR(INDEX(SK_C,MATCH(O167,SK_A,0)),""))</f>
        <v/>
      </c>
      <c r="C167" s="46">
        <f>IF(Q167="","",IF(Q167=0,"D",IF(Q167&lt;0,"D"&amp;Q167,"D+"&amp;Q167)))</f>
        <v/>
      </c>
      <c r="D167" s="14" t="n"/>
      <c r="E167" s="12" t="n"/>
      <c r="F167" s="46" t="n"/>
      <c r="G167" s="47" t="n"/>
      <c r="H167" s="14" t="n"/>
      <c r="I167" s="13">
        <f>IF(OR(B167="",Q167=""),"",IF(Q167&gt;0,IF(R167="Làm việc",WORKDAY(IFERROR(IF(INDEX(SK_D,MATCH(O167,SK_A,0))="",B167,INDEX(SK_D,MATCH(O167,SK_A,0))),B167),Q167,HOLI),IFERROR(IF(INDEX(SK_D,MATCH(O167,SK_A,0))="",B167,INDEX(SK_D,MATCH(O167,SK_A,0))),B167)+Q167),B167+Q167))</f>
        <v/>
      </c>
      <c r="J167" s="14" t="n"/>
      <c r="K167" s="13" t="n"/>
      <c r="L167" s="12" t="n"/>
      <c r="M167" s="48">
        <f>IF(E167="","",IF(J167="Bỏ qua","—",IF(J167="Xong",IF(AND(ISNUMBER(K167),ISNUMBER(I167),K167&gt;I167),"Xong trễ","Xong"),MID(IF(G167=""," · CHƯA GIAO","")&amp;IF(NOT(ISNUMBER(I167)),"",IF(TODAY()&gt;I167," · QUÁ HẠN "&amp;(TODAY()-I167)&amp;" ngày",IF(I167-TODAY()&lt;=3," · Đến hạn "&amp;IF(I167=TODAY(),"hôm nay","trong "&amp;(I167-TODAY())&amp;" ngày"),"")))&amp;IF(J167="Chờ đối tác"," · Chờ đối tác"&amp;IF(ISNUMBER(N167)," "&amp;(TODAY()-INT(N167))&amp;" ngày",""),""),4,200))))</f>
        <v/>
      </c>
      <c r="N167" s="49" t="n"/>
      <c r="S167">
        <f>IF(AND(E167&lt;&gt;"",T167="Có",J167&lt;&gt;"Xong",J167&lt;&gt;"Bỏ qua",ISNUMBER(I167)),I167+ROW()/100000,"")</f>
        <v/>
      </c>
      <c r="T167">
        <f>IF(O167="","",IFERROR(INDEX(SK_TD,MATCH(O167,SK_A,0)),""))</f>
        <v/>
      </c>
      <c r="V167">
        <f>IF(AND(O167&lt;&gt;"",O167=SEL_K,J167&lt;&gt;"Xong",J167&lt;&gt;"Bỏ qua"),IF(ISNUMBER(I167),I167,99999)+ROW()/100000,"")</f>
        <v/>
      </c>
    </row>
    <row r="168">
      <c r="A168" s="12">
        <f>IF(O168="","",IFERROR(INDEX(SK_B,MATCH(O168,SK_A,0))&amp;"",""))</f>
        <v/>
      </c>
      <c r="B168" s="45">
        <f>IF(O168="","",IFERROR(INDEX(SK_C,MATCH(O168,SK_A,0)),""))</f>
        <v/>
      </c>
      <c r="C168" s="46">
        <f>IF(Q168="","",IF(Q168=0,"D",IF(Q168&lt;0,"D"&amp;Q168,"D+"&amp;Q168)))</f>
        <v/>
      </c>
      <c r="D168" s="14" t="n"/>
      <c r="E168" s="12" t="n"/>
      <c r="F168" s="46" t="n"/>
      <c r="G168" s="47" t="n"/>
      <c r="H168" s="14" t="n"/>
      <c r="I168" s="13">
        <f>IF(OR(B168="",Q168=""),"",IF(Q168&gt;0,IF(R168="Làm việc",WORKDAY(IFERROR(IF(INDEX(SK_D,MATCH(O168,SK_A,0))="",B168,INDEX(SK_D,MATCH(O168,SK_A,0))),B168),Q168,HOLI),IFERROR(IF(INDEX(SK_D,MATCH(O168,SK_A,0))="",B168,INDEX(SK_D,MATCH(O168,SK_A,0))),B168)+Q168),B168+Q168))</f>
        <v/>
      </c>
      <c r="J168" s="14" t="n"/>
      <c r="K168" s="13" t="n"/>
      <c r="L168" s="12" t="n"/>
      <c r="M168" s="48">
        <f>IF(E168="","",IF(J168="Bỏ qua","—",IF(J168="Xong",IF(AND(ISNUMBER(K168),ISNUMBER(I168),K168&gt;I168),"Xong trễ","Xong"),MID(IF(G168=""," · CHƯA GIAO","")&amp;IF(NOT(ISNUMBER(I168)),"",IF(TODAY()&gt;I168," · QUÁ HẠN "&amp;(TODAY()-I168)&amp;" ngày",IF(I168-TODAY()&lt;=3," · Đến hạn "&amp;IF(I168=TODAY(),"hôm nay","trong "&amp;(I168-TODAY())&amp;" ngày"),"")))&amp;IF(J168="Chờ đối tác"," · Chờ đối tác"&amp;IF(ISNUMBER(N168)," "&amp;(TODAY()-INT(N168))&amp;" ngày",""),""),4,200))))</f>
        <v/>
      </c>
      <c r="N168" s="49" t="n"/>
      <c r="S168">
        <f>IF(AND(E168&lt;&gt;"",T168="Có",J168&lt;&gt;"Xong",J168&lt;&gt;"Bỏ qua",ISNUMBER(I168)),I168+ROW()/100000,"")</f>
        <v/>
      </c>
      <c r="T168">
        <f>IF(O168="","",IFERROR(INDEX(SK_TD,MATCH(O168,SK_A,0)),""))</f>
        <v/>
      </c>
      <c r="V168">
        <f>IF(AND(O168&lt;&gt;"",O168=SEL_K,J168&lt;&gt;"Xong",J168&lt;&gt;"Bỏ qua"),IF(ISNUMBER(I168),I168,99999)+ROW()/100000,"")</f>
        <v/>
      </c>
    </row>
    <row r="169">
      <c r="A169" s="12">
        <f>IF(O169="","",IFERROR(INDEX(SK_B,MATCH(O169,SK_A,0))&amp;"",""))</f>
        <v/>
      </c>
      <c r="B169" s="45">
        <f>IF(O169="","",IFERROR(INDEX(SK_C,MATCH(O169,SK_A,0)),""))</f>
        <v/>
      </c>
      <c r="C169" s="46">
        <f>IF(Q169="","",IF(Q169=0,"D",IF(Q169&lt;0,"D"&amp;Q169,"D+"&amp;Q169)))</f>
        <v/>
      </c>
      <c r="D169" s="14" t="n"/>
      <c r="E169" s="12" t="n"/>
      <c r="F169" s="46" t="n"/>
      <c r="G169" s="47" t="n"/>
      <c r="H169" s="14" t="n"/>
      <c r="I169" s="13">
        <f>IF(OR(B169="",Q169=""),"",IF(Q169&gt;0,IF(R169="Làm việc",WORKDAY(IFERROR(IF(INDEX(SK_D,MATCH(O169,SK_A,0))="",B169,INDEX(SK_D,MATCH(O169,SK_A,0))),B169),Q169,HOLI),IFERROR(IF(INDEX(SK_D,MATCH(O169,SK_A,0))="",B169,INDEX(SK_D,MATCH(O169,SK_A,0))),B169)+Q169),B169+Q169))</f>
        <v/>
      </c>
      <c r="J169" s="14" t="n"/>
      <c r="K169" s="13" t="n"/>
      <c r="L169" s="12" t="n"/>
      <c r="M169" s="48">
        <f>IF(E169="","",IF(J169="Bỏ qua","—",IF(J169="Xong",IF(AND(ISNUMBER(K169),ISNUMBER(I169),K169&gt;I169),"Xong trễ","Xong"),MID(IF(G169=""," · CHƯA GIAO","")&amp;IF(NOT(ISNUMBER(I169)),"",IF(TODAY()&gt;I169," · QUÁ HẠN "&amp;(TODAY()-I169)&amp;" ngày",IF(I169-TODAY()&lt;=3," · Đến hạn "&amp;IF(I169=TODAY(),"hôm nay","trong "&amp;(I169-TODAY())&amp;" ngày"),"")))&amp;IF(J169="Chờ đối tác"," · Chờ đối tác"&amp;IF(ISNUMBER(N169)," "&amp;(TODAY()-INT(N169))&amp;" ngày",""),""),4,200))))</f>
        <v/>
      </c>
      <c r="N169" s="49" t="n"/>
      <c r="S169">
        <f>IF(AND(E169&lt;&gt;"",T169="Có",J169&lt;&gt;"Xong",J169&lt;&gt;"Bỏ qua",ISNUMBER(I169)),I169+ROW()/100000,"")</f>
        <v/>
      </c>
      <c r="T169">
        <f>IF(O169="","",IFERROR(INDEX(SK_TD,MATCH(O169,SK_A,0)),""))</f>
        <v/>
      </c>
      <c r="V169">
        <f>IF(AND(O169&lt;&gt;"",O169=SEL_K,J169&lt;&gt;"Xong",J169&lt;&gt;"Bỏ qua"),IF(ISNUMBER(I169),I169,99999)+ROW()/100000,"")</f>
        <v/>
      </c>
    </row>
    <row r="170">
      <c r="A170" s="12">
        <f>IF(O170="","",IFERROR(INDEX(SK_B,MATCH(O170,SK_A,0))&amp;"",""))</f>
        <v/>
      </c>
      <c r="B170" s="45">
        <f>IF(O170="","",IFERROR(INDEX(SK_C,MATCH(O170,SK_A,0)),""))</f>
        <v/>
      </c>
      <c r="C170" s="46">
        <f>IF(Q170="","",IF(Q170=0,"D",IF(Q170&lt;0,"D"&amp;Q170,"D+"&amp;Q170)))</f>
        <v/>
      </c>
      <c r="D170" s="14" t="n"/>
      <c r="E170" s="12" t="n"/>
      <c r="F170" s="46" t="n"/>
      <c r="G170" s="47" t="n"/>
      <c r="H170" s="14" t="n"/>
      <c r="I170" s="13">
        <f>IF(OR(B170="",Q170=""),"",IF(Q170&gt;0,IF(R170="Làm việc",WORKDAY(IFERROR(IF(INDEX(SK_D,MATCH(O170,SK_A,0))="",B170,INDEX(SK_D,MATCH(O170,SK_A,0))),B170),Q170,HOLI),IFERROR(IF(INDEX(SK_D,MATCH(O170,SK_A,0))="",B170,INDEX(SK_D,MATCH(O170,SK_A,0))),B170)+Q170),B170+Q170))</f>
        <v/>
      </c>
      <c r="J170" s="14" t="n"/>
      <c r="K170" s="13" t="n"/>
      <c r="L170" s="12" t="n"/>
      <c r="M170" s="48">
        <f>IF(E170="","",IF(J170="Bỏ qua","—",IF(J170="Xong",IF(AND(ISNUMBER(K170),ISNUMBER(I170),K170&gt;I170),"Xong trễ","Xong"),MID(IF(G170=""," · CHƯA GIAO","")&amp;IF(NOT(ISNUMBER(I170)),"",IF(TODAY()&gt;I170," · QUÁ HẠN "&amp;(TODAY()-I170)&amp;" ngày",IF(I170-TODAY()&lt;=3," · Đến hạn "&amp;IF(I170=TODAY(),"hôm nay","trong "&amp;(I170-TODAY())&amp;" ngày"),"")))&amp;IF(J170="Chờ đối tác"," · Chờ đối tác"&amp;IF(ISNUMBER(N170)," "&amp;(TODAY()-INT(N170))&amp;" ngày",""),""),4,200))))</f>
        <v/>
      </c>
      <c r="N170" s="49" t="n"/>
      <c r="S170">
        <f>IF(AND(E170&lt;&gt;"",T170="Có",J170&lt;&gt;"Xong",J170&lt;&gt;"Bỏ qua",ISNUMBER(I170)),I170+ROW()/100000,"")</f>
        <v/>
      </c>
      <c r="T170">
        <f>IF(O170="","",IFERROR(INDEX(SK_TD,MATCH(O170,SK_A,0)),""))</f>
        <v/>
      </c>
      <c r="V170">
        <f>IF(AND(O170&lt;&gt;"",O170=SEL_K,J170&lt;&gt;"Xong",J170&lt;&gt;"Bỏ qua"),IF(ISNUMBER(I170),I170,99999)+ROW()/100000,"")</f>
        <v/>
      </c>
    </row>
    <row r="171">
      <c r="A171" s="12">
        <f>IF(O171="","",IFERROR(INDEX(SK_B,MATCH(O171,SK_A,0))&amp;"",""))</f>
        <v/>
      </c>
      <c r="B171" s="45">
        <f>IF(O171="","",IFERROR(INDEX(SK_C,MATCH(O171,SK_A,0)),""))</f>
        <v/>
      </c>
      <c r="C171" s="46">
        <f>IF(Q171="","",IF(Q171=0,"D",IF(Q171&lt;0,"D"&amp;Q171,"D+"&amp;Q171)))</f>
        <v/>
      </c>
      <c r="D171" s="14" t="n"/>
      <c r="E171" s="12" t="n"/>
      <c r="F171" s="46" t="n"/>
      <c r="G171" s="47" t="n"/>
      <c r="H171" s="14" t="n"/>
      <c r="I171" s="13">
        <f>IF(OR(B171="",Q171=""),"",IF(Q171&gt;0,IF(R171="Làm việc",WORKDAY(IFERROR(IF(INDEX(SK_D,MATCH(O171,SK_A,0))="",B171,INDEX(SK_D,MATCH(O171,SK_A,0))),B171),Q171,HOLI),IFERROR(IF(INDEX(SK_D,MATCH(O171,SK_A,0))="",B171,INDEX(SK_D,MATCH(O171,SK_A,0))),B171)+Q171),B171+Q171))</f>
        <v/>
      </c>
      <c r="J171" s="14" t="n"/>
      <c r="K171" s="13" t="n"/>
      <c r="L171" s="12" t="n"/>
      <c r="M171" s="48">
        <f>IF(E171="","",IF(J171="Bỏ qua","—",IF(J171="Xong",IF(AND(ISNUMBER(K171),ISNUMBER(I171),K171&gt;I171),"Xong trễ","Xong"),MID(IF(G171=""," · CHƯA GIAO","")&amp;IF(NOT(ISNUMBER(I171)),"",IF(TODAY()&gt;I171," · QUÁ HẠN "&amp;(TODAY()-I171)&amp;" ngày",IF(I171-TODAY()&lt;=3," · Đến hạn "&amp;IF(I171=TODAY(),"hôm nay","trong "&amp;(I171-TODAY())&amp;" ngày"),"")))&amp;IF(J171="Chờ đối tác"," · Chờ đối tác"&amp;IF(ISNUMBER(N171)," "&amp;(TODAY()-INT(N171))&amp;" ngày",""),""),4,200))))</f>
        <v/>
      </c>
      <c r="N171" s="49" t="n"/>
      <c r="S171">
        <f>IF(AND(E171&lt;&gt;"",T171="Có",J171&lt;&gt;"Xong",J171&lt;&gt;"Bỏ qua",ISNUMBER(I171)),I171+ROW()/100000,"")</f>
        <v/>
      </c>
      <c r="T171">
        <f>IF(O171="","",IFERROR(INDEX(SK_TD,MATCH(O171,SK_A,0)),""))</f>
        <v/>
      </c>
      <c r="V171">
        <f>IF(AND(O171&lt;&gt;"",O171=SEL_K,J171&lt;&gt;"Xong",J171&lt;&gt;"Bỏ qua"),IF(ISNUMBER(I171),I171,99999)+ROW()/100000,"")</f>
        <v/>
      </c>
    </row>
    <row r="172">
      <c r="A172" s="12">
        <f>IF(O172="","",IFERROR(INDEX(SK_B,MATCH(O172,SK_A,0))&amp;"",""))</f>
        <v/>
      </c>
      <c r="B172" s="45">
        <f>IF(O172="","",IFERROR(INDEX(SK_C,MATCH(O172,SK_A,0)),""))</f>
        <v/>
      </c>
      <c r="C172" s="46">
        <f>IF(Q172="","",IF(Q172=0,"D",IF(Q172&lt;0,"D"&amp;Q172,"D+"&amp;Q172)))</f>
        <v/>
      </c>
      <c r="D172" s="14" t="n"/>
      <c r="E172" s="12" t="n"/>
      <c r="F172" s="46" t="n"/>
      <c r="G172" s="47" t="n"/>
      <c r="H172" s="14" t="n"/>
      <c r="I172" s="13">
        <f>IF(OR(B172="",Q172=""),"",IF(Q172&gt;0,IF(R172="Làm việc",WORKDAY(IFERROR(IF(INDEX(SK_D,MATCH(O172,SK_A,0))="",B172,INDEX(SK_D,MATCH(O172,SK_A,0))),B172),Q172,HOLI),IFERROR(IF(INDEX(SK_D,MATCH(O172,SK_A,0))="",B172,INDEX(SK_D,MATCH(O172,SK_A,0))),B172)+Q172),B172+Q172))</f>
        <v/>
      </c>
      <c r="J172" s="14" t="n"/>
      <c r="K172" s="13" t="n"/>
      <c r="L172" s="12" t="n"/>
      <c r="M172" s="48">
        <f>IF(E172="","",IF(J172="Bỏ qua","—",IF(J172="Xong",IF(AND(ISNUMBER(K172),ISNUMBER(I172),K172&gt;I172),"Xong trễ","Xong"),MID(IF(G172=""," · CHƯA GIAO","")&amp;IF(NOT(ISNUMBER(I172)),"",IF(TODAY()&gt;I172," · QUÁ HẠN "&amp;(TODAY()-I172)&amp;" ngày",IF(I172-TODAY()&lt;=3," · Đến hạn "&amp;IF(I172=TODAY(),"hôm nay","trong "&amp;(I172-TODAY())&amp;" ngày"),"")))&amp;IF(J172="Chờ đối tác"," · Chờ đối tác"&amp;IF(ISNUMBER(N172)," "&amp;(TODAY()-INT(N172))&amp;" ngày",""),""),4,200))))</f>
        <v/>
      </c>
      <c r="N172" s="49" t="n"/>
      <c r="S172">
        <f>IF(AND(E172&lt;&gt;"",T172="Có",J172&lt;&gt;"Xong",J172&lt;&gt;"Bỏ qua",ISNUMBER(I172)),I172+ROW()/100000,"")</f>
        <v/>
      </c>
      <c r="T172">
        <f>IF(O172="","",IFERROR(INDEX(SK_TD,MATCH(O172,SK_A,0)),""))</f>
        <v/>
      </c>
      <c r="V172">
        <f>IF(AND(O172&lt;&gt;"",O172=SEL_K,J172&lt;&gt;"Xong",J172&lt;&gt;"Bỏ qua"),IF(ISNUMBER(I172),I172,99999)+ROW()/100000,"")</f>
        <v/>
      </c>
    </row>
    <row r="173">
      <c r="A173" s="12">
        <f>IF(O173="","",IFERROR(INDEX(SK_B,MATCH(O173,SK_A,0))&amp;"",""))</f>
        <v/>
      </c>
      <c r="B173" s="45">
        <f>IF(O173="","",IFERROR(INDEX(SK_C,MATCH(O173,SK_A,0)),""))</f>
        <v/>
      </c>
      <c r="C173" s="46">
        <f>IF(Q173="","",IF(Q173=0,"D",IF(Q173&lt;0,"D"&amp;Q173,"D+"&amp;Q173)))</f>
        <v/>
      </c>
      <c r="D173" s="14" t="n"/>
      <c r="E173" s="12" t="n"/>
      <c r="F173" s="46" t="n"/>
      <c r="G173" s="47" t="n"/>
      <c r="H173" s="14" t="n"/>
      <c r="I173" s="13">
        <f>IF(OR(B173="",Q173=""),"",IF(Q173&gt;0,IF(R173="Làm việc",WORKDAY(IFERROR(IF(INDEX(SK_D,MATCH(O173,SK_A,0))="",B173,INDEX(SK_D,MATCH(O173,SK_A,0))),B173),Q173,HOLI),IFERROR(IF(INDEX(SK_D,MATCH(O173,SK_A,0))="",B173,INDEX(SK_D,MATCH(O173,SK_A,0))),B173)+Q173),B173+Q173))</f>
        <v/>
      </c>
      <c r="J173" s="14" t="n"/>
      <c r="K173" s="13" t="n"/>
      <c r="L173" s="12" t="n"/>
      <c r="M173" s="48">
        <f>IF(E173="","",IF(J173="Bỏ qua","—",IF(J173="Xong",IF(AND(ISNUMBER(K173),ISNUMBER(I173),K173&gt;I173),"Xong trễ","Xong"),MID(IF(G173=""," · CHƯA GIAO","")&amp;IF(NOT(ISNUMBER(I173)),"",IF(TODAY()&gt;I173," · QUÁ HẠN "&amp;(TODAY()-I173)&amp;" ngày",IF(I173-TODAY()&lt;=3," · Đến hạn "&amp;IF(I173=TODAY(),"hôm nay","trong "&amp;(I173-TODAY())&amp;" ngày"),"")))&amp;IF(J173="Chờ đối tác"," · Chờ đối tác"&amp;IF(ISNUMBER(N173)," "&amp;(TODAY()-INT(N173))&amp;" ngày",""),""),4,200))))</f>
        <v/>
      </c>
      <c r="N173" s="49" t="n"/>
      <c r="S173">
        <f>IF(AND(E173&lt;&gt;"",T173="Có",J173&lt;&gt;"Xong",J173&lt;&gt;"Bỏ qua",ISNUMBER(I173)),I173+ROW()/100000,"")</f>
        <v/>
      </c>
      <c r="T173">
        <f>IF(O173="","",IFERROR(INDEX(SK_TD,MATCH(O173,SK_A,0)),""))</f>
        <v/>
      </c>
      <c r="V173">
        <f>IF(AND(O173&lt;&gt;"",O173=SEL_K,J173&lt;&gt;"Xong",J173&lt;&gt;"Bỏ qua"),IF(ISNUMBER(I173),I173,99999)+ROW()/100000,"")</f>
        <v/>
      </c>
    </row>
    <row r="174">
      <c r="A174" s="12">
        <f>IF(O174="","",IFERROR(INDEX(SK_B,MATCH(O174,SK_A,0))&amp;"",""))</f>
        <v/>
      </c>
      <c r="B174" s="45">
        <f>IF(O174="","",IFERROR(INDEX(SK_C,MATCH(O174,SK_A,0)),""))</f>
        <v/>
      </c>
      <c r="C174" s="46">
        <f>IF(Q174="","",IF(Q174=0,"D",IF(Q174&lt;0,"D"&amp;Q174,"D+"&amp;Q174)))</f>
        <v/>
      </c>
      <c r="D174" s="14" t="n"/>
      <c r="E174" s="12" t="n"/>
      <c r="F174" s="46" t="n"/>
      <c r="G174" s="47" t="n"/>
      <c r="H174" s="14" t="n"/>
      <c r="I174" s="13">
        <f>IF(OR(B174="",Q174=""),"",IF(Q174&gt;0,IF(R174="Làm việc",WORKDAY(IFERROR(IF(INDEX(SK_D,MATCH(O174,SK_A,0))="",B174,INDEX(SK_D,MATCH(O174,SK_A,0))),B174),Q174,HOLI),IFERROR(IF(INDEX(SK_D,MATCH(O174,SK_A,0))="",B174,INDEX(SK_D,MATCH(O174,SK_A,0))),B174)+Q174),B174+Q174))</f>
        <v/>
      </c>
      <c r="J174" s="14" t="n"/>
      <c r="K174" s="13" t="n"/>
      <c r="L174" s="12" t="n"/>
      <c r="M174" s="48">
        <f>IF(E174="","",IF(J174="Bỏ qua","—",IF(J174="Xong",IF(AND(ISNUMBER(K174),ISNUMBER(I174),K174&gt;I174),"Xong trễ","Xong"),MID(IF(G174=""," · CHƯA GIAO","")&amp;IF(NOT(ISNUMBER(I174)),"",IF(TODAY()&gt;I174," · QUÁ HẠN "&amp;(TODAY()-I174)&amp;" ngày",IF(I174-TODAY()&lt;=3," · Đến hạn "&amp;IF(I174=TODAY(),"hôm nay","trong "&amp;(I174-TODAY())&amp;" ngày"),"")))&amp;IF(J174="Chờ đối tác"," · Chờ đối tác"&amp;IF(ISNUMBER(N174)," "&amp;(TODAY()-INT(N174))&amp;" ngày",""),""),4,200))))</f>
        <v/>
      </c>
      <c r="N174" s="49" t="n"/>
      <c r="S174">
        <f>IF(AND(E174&lt;&gt;"",T174="Có",J174&lt;&gt;"Xong",J174&lt;&gt;"Bỏ qua",ISNUMBER(I174)),I174+ROW()/100000,"")</f>
        <v/>
      </c>
      <c r="T174">
        <f>IF(O174="","",IFERROR(INDEX(SK_TD,MATCH(O174,SK_A,0)),""))</f>
        <v/>
      </c>
      <c r="V174">
        <f>IF(AND(O174&lt;&gt;"",O174=SEL_K,J174&lt;&gt;"Xong",J174&lt;&gt;"Bỏ qua"),IF(ISNUMBER(I174),I174,99999)+ROW()/100000,"")</f>
        <v/>
      </c>
    </row>
    <row r="175">
      <c r="A175" s="12">
        <f>IF(O175="","",IFERROR(INDEX(SK_B,MATCH(O175,SK_A,0))&amp;"",""))</f>
        <v/>
      </c>
      <c r="B175" s="45">
        <f>IF(O175="","",IFERROR(INDEX(SK_C,MATCH(O175,SK_A,0)),""))</f>
        <v/>
      </c>
      <c r="C175" s="46">
        <f>IF(Q175="","",IF(Q175=0,"D",IF(Q175&lt;0,"D"&amp;Q175,"D+"&amp;Q175)))</f>
        <v/>
      </c>
      <c r="D175" s="14" t="n"/>
      <c r="E175" s="12" t="n"/>
      <c r="F175" s="46" t="n"/>
      <c r="G175" s="47" t="n"/>
      <c r="H175" s="14" t="n"/>
      <c r="I175" s="13">
        <f>IF(OR(B175="",Q175=""),"",IF(Q175&gt;0,IF(R175="Làm việc",WORKDAY(IFERROR(IF(INDEX(SK_D,MATCH(O175,SK_A,0))="",B175,INDEX(SK_D,MATCH(O175,SK_A,0))),B175),Q175,HOLI),IFERROR(IF(INDEX(SK_D,MATCH(O175,SK_A,0))="",B175,INDEX(SK_D,MATCH(O175,SK_A,0))),B175)+Q175),B175+Q175))</f>
        <v/>
      </c>
      <c r="J175" s="14" t="n"/>
      <c r="K175" s="13" t="n"/>
      <c r="L175" s="12" t="n"/>
      <c r="M175" s="48">
        <f>IF(E175="","",IF(J175="Bỏ qua","—",IF(J175="Xong",IF(AND(ISNUMBER(K175),ISNUMBER(I175),K175&gt;I175),"Xong trễ","Xong"),MID(IF(G175=""," · CHƯA GIAO","")&amp;IF(NOT(ISNUMBER(I175)),"",IF(TODAY()&gt;I175," · QUÁ HẠN "&amp;(TODAY()-I175)&amp;" ngày",IF(I175-TODAY()&lt;=3," · Đến hạn "&amp;IF(I175=TODAY(),"hôm nay","trong "&amp;(I175-TODAY())&amp;" ngày"),"")))&amp;IF(J175="Chờ đối tác"," · Chờ đối tác"&amp;IF(ISNUMBER(N175)," "&amp;(TODAY()-INT(N175))&amp;" ngày",""),""),4,200))))</f>
        <v/>
      </c>
      <c r="N175" s="49" t="n"/>
      <c r="S175">
        <f>IF(AND(E175&lt;&gt;"",T175="Có",J175&lt;&gt;"Xong",J175&lt;&gt;"Bỏ qua",ISNUMBER(I175)),I175+ROW()/100000,"")</f>
        <v/>
      </c>
      <c r="T175">
        <f>IF(O175="","",IFERROR(INDEX(SK_TD,MATCH(O175,SK_A,0)),""))</f>
        <v/>
      </c>
      <c r="V175">
        <f>IF(AND(O175&lt;&gt;"",O175=SEL_K,J175&lt;&gt;"Xong",J175&lt;&gt;"Bỏ qua"),IF(ISNUMBER(I175),I175,99999)+ROW()/100000,"")</f>
        <v/>
      </c>
    </row>
    <row r="176">
      <c r="A176" s="12">
        <f>IF(O176="","",IFERROR(INDEX(SK_B,MATCH(O176,SK_A,0))&amp;"",""))</f>
        <v/>
      </c>
      <c r="B176" s="45">
        <f>IF(O176="","",IFERROR(INDEX(SK_C,MATCH(O176,SK_A,0)),""))</f>
        <v/>
      </c>
      <c r="C176" s="46">
        <f>IF(Q176="","",IF(Q176=0,"D",IF(Q176&lt;0,"D"&amp;Q176,"D+"&amp;Q176)))</f>
        <v/>
      </c>
      <c r="D176" s="14" t="n"/>
      <c r="E176" s="12" t="n"/>
      <c r="F176" s="46" t="n"/>
      <c r="G176" s="47" t="n"/>
      <c r="H176" s="14" t="n"/>
      <c r="I176" s="13">
        <f>IF(OR(B176="",Q176=""),"",IF(Q176&gt;0,IF(R176="Làm việc",WORKDAY(IFERROR(IF(INDEX(SK_D,MATCH(O176,SK_A,0))="",B176,INDEX(SK_D,MATCH(O176,SK_A,0))),B176),Q176,HOLI),IFERROR(IF(INDEX(SK_D,MATCH(O176,SK_A,0))="",B176,INDEX(SK_D,MATCH(O176,SK_A,0))),B176)+Q176),B176+Q176))</f>
        <v/>
      </c>
      <c r="J176" s="14" t="n"/>
      <c r="K176" s="13" t="n"/>
      <c r="L176" s="12" t="n"/>
      <c r="M176" s="48">
        <f>IF(E176="","",IF(J176="Bỏ qua","—",IF(J176="Xong",IF(AND(ISNUMBER(K176),ISNUMBER(I176),K176&gt;I176),"Xong trễ","Xong"),MID(IF(G176=""," · CHƯA GIAO","")&amp;IF(NOT(ISNUMBER(I176)),"",IF(TODAY()&gt;I176," · QUÁ HẠN "&amp;(TODAY()-I176)&amp;" ngày",IF(I176-TODAY()&lt;=3," · Đến hạn "&amp;IF(I176=TODAY(),"hôm nay","trong "&amp;(I176-TODAY())&amp;" ngày"),"")))&amp;IF(J176="Chờ đối tác"," · Chờ đối tác"&amp;IF(ISNUMBER(N176)," "&amp;(TODAY()-INT(N176))&amp;" ngày",""),""),4,200))))</f>
        <v/>
      </c>
      <c r="N176" s="49" t="n"/>
      <c r="S176">
        <f>IF(AND(E176&lt;&gt;"",T176="Có",J176&lt;&gt;"Xong",J176&lt;&gt;"Bỏ qua",ISNUMBER(I176)),I176+ROW()/100000,"")</f>
        <v/>
      </c>
      <c r="T176">
        <f>IF(O176="","",IFERROR(INDEX(SK_TD,MATCH(O176,SK_A,0)),""))</f>
        <v/>
      </c>
      <c r="V176">
        <f>IF(AND(O176&lt;&gt;"",O176=SEL_K,J176&lt;&gt;"Xong",J176&lt;&gt;"Bỏ qua"),IF(ISNUMBER(I176),I176,99999)+ROW()/100000,"")</f>
        <v/>
      </c>
    </row>
    <row r="177">
      <c r="A177" s="12">
        <f>IF(O177="","",IFERROR(INDEX(SK_B,MATCH(O177,SK_A,0))&amp;"",""))</f>
        <v/>
      </c>
      <c r="B177" s="45">
        <f>IF(O177="","",IFERROR(INDEX(SK_C,MATCH(O177,SK_A,0)),""))</f>
        <v/>
      </c>
      <c r="C177" s="46">
        <f>IF(Q177="","",IF(Q177=0,"D",IF(Q177&lt;0,"D"&amp;Q177,"D+"&amp;Q177)))</f>
        <v/>
      </c>
      <c r="D177" s="14" t="n"/>
      <c r="E177" s="12" t="n"/>
      <c r="F177" s="46" t="n"/>
      <c r="G177" s="47" t="n"/>
      <c r="H177" s="14" t="n"/>
      <c r="I177" s="13">
        <f>IF(OR(B177="",Q177=""),"",IF(Q177&gt;0,IF(R177="Làm việc",WORKDAY(IFERROR(IF(INDEX(SK_D,MATCH(O177,SK_A,0))="",B177,INDEX(SK_D,MATCH(O177,SK_A,0))),B177),Q177,HOLI),IFERROR(IF(INDEX(SK_D,MATCH(O177,SK_A,0))="",B177,INDEX(SK_D,MATCH(O177,SK_A,0))),B177)+Q177),B177+Q177))</f>
        <v/>
      </c>
      <c r="J177" s="14" t="n"/>
      <c r="K177" s="13" t="n"/>
      <c r="L177" s="12" t="n"/>
      <c r="M177" s="48">
        <f>IF(E177="","",IF(J177="Bỏ qua","—",IF(J177="Xong",IF(AND(ISNUMBER(K177),ISNUMBER(I177),K177&gt;I177),"Xong trễ","Xong"),MID(IF(G177=""," · CHƯA GIAO","")&amp;IF(NOT(ISNUMBER(I177)),"",IF(TODAY()&gt;I177," · QUÁ HẠN "&amp;(TODAY()-I177)&amp;" ngày",IF(I177-TODAY()&lt;=3," · Đến hạn "&amp;IF(I177=TODAY(),"hôm nay","trong "&amp;(I177-TODAY())&amp;" ngày"),"")))&amp;IF(J177="Chờ đối tác"," · Chờ đối tác"&amp;IF(ISNUMBER(N177)," "&amp;(TODAY()-INT(N177))&amp;" ngày",""),""),4,200))))</f>
        <v/>
      </c>
      <c r="N177" s="49" t="n"/>
      <c r="S177">
        <f>IF(AND(E177&lt;&gt;"",T177="Có",J177&lt;&gt;"Xong",J177&lt;&gt;"Bỏ qua",ISNUMBER(I177)),I177+ROW()/100000,"")</f>
        <v/>
      </c>
      <c r="T177">
        <f>IF(O177="","",IFERROR(INDEX(SK_TD,MATCH(O177,SK_A,0)),""))</f>
        <v/>
      </c>
      <c r="V177">
        <f>IF(AND(O177&lt;&gt;"",O177=SEL_K,J177&lt;&gt;"Xong",J177&lt;&gt;"Bỏ qua"),IF(ISNUMBER(I177),I177,99999)+ROW()/100000,"")</f>
        <v/>
      </c>
    </row>
    <row r="178">
      <c r="A178" s="12">
        <f>IF(O178="","",IFERROR(INDEX(SK_B,MATCH(O178,SK_A,0))&amp;"",""))</f>
        <v/>
      </c>
      <c r="B178" s="45">
        <f>IF(O178="","",IFERROR(INDEX(SK_C,MATCH(O178,SK_A,0)),""))</f>
        <v/>
      </c>
      <c r="C178" s="46">
        <f>IF(Q178="","",IF(Q178=0,"D",IF(Q178&lt;0,"D"&amp;Q178,"D+"&amp;Q178)))</f>
        <v/>
      </c>
      <c r="D178" s="14" t="n"/>
      <c r="E178" s="12" t="n"/>
      <c r="F178" s="46" t="n"/>
      <c r="G178" s="47" t="n"/>
      <c r="H178" s="14" t="n"/>
      <c r="I178" s="13">
        <f>IF(OR(B178="",Q178=""),"",IF(Q178&gt;0,IF(R178="Làm việc",WORKDAY(IFERROR(IF(INDEX(SK_D,MATCH(O178,SK_A,0))="",B178,INDEX(SK_D,MATCH(O178,SK_A,0))),B178),Q178,HOLI),IFERROR(IF(INDEX(SK_D,MATCH(O178,SK_A,0))="",B178,INDEX(SK_D,MATCH(O178,SK_A,0))),B178)+Q178),B178+Q178))</f>
        <v/>
      </c>
      <c r="J178" s="14" t="n"/>
      <c r="K178" s="13" t="n"/>
      <c r="L178" s="12" t="n"/>
      <c r="M178" s="48">
        <f>IF(E178="","",IF(J178="Bỏ qua","—",IF(J178="Xong",IF(AND(ISNUMBER(K178),ISNUMBER(I178),K178&gt;I178),"Xong trễ","Xong"),MID(IF(G178=""," · CHƯA GIAO","")&amp;IF(NOT(ISNUMBER(I178)),"",IF(TODAY()&gt;I178," · QUÁ HẠN "&amp;(TODAY()-I178)&amp;" ngày",IF(I178-TODAY()&lt;=3," · Đến hạn "&amp;IF(I178=TODAY(),"hôm nay","trong "&amp;(I178-TODAY())&amp;" ngày"),"")))&amp;IF(J178="Chờ đối tác"," · Chờ đối tác"&amp;IF(ISNUMBER(N178)," "&amp;(TODAY()-INT(N178))&amp;" ngày",""),""),4,200))))</f>
        <v/>
      </c>
      <c r="N178" s="49" t="n"/>
      <c r="S178">
        <f>IF(AND(E178&lt;&gt;"",T178="Có",J178&lt;&gt;"Xong",J178&lt;&gt;"Bỏ qua",ISNUMBER(I178)),I178+ROW()/100000,"")</f>
        <v/>
      </c>
      <c r="T178">
        <f>IF(O178="","",IFERROR(INDEX(SK_TD,MATCH(O178,SK_A,0)),""))</f>
        <v/>
      </c>
      <c r="V178">
        <f>IF(AND(O178&lt;&gt;"",O178=SEL_K,J178&lt;&gt;"Xong",J178&lt;&gt;"Bỏ qua"),IF(ISNUMBER(I178),I178,99999)+ROW()/100000,"")</f>
        <v/>
      </c>
    </row>
    <row r="179">
      <c r="A179" s="12">
        <f>IF(O179="","",IFERROR(INDEX(SK_B,MATCH(O179,SK_A,0))&amp;"",""))</f>
        <v/>
      </c>
      <c r="B179" s="45">
        <f>IF(O179="","",IFERROR(INDEX(SK_C,MATCH(O179,SK_A,0)),""))</f>
        <v/>
      </c>
      <c r="C179" s="46">
        <f>IF(Q179="","",IF(Q179=0,"D",IF(Q179&lt;0,"D"&amp;Q179,"D+"&amp;Q179)))</f>
        <v/>
      </c>
      <c r="D179" s="14" t="n"/>
      <c r="E179" s="12" t="n"/>
      <c r="F179" s="46" t="n"/>
      <c r="G179" s="47" t="n"/>
      <c r="H179" s="14" t="n"/>
      <c r="I179" s="13">
        <f>IF(OR(B179="",Q179=""),"",IF(Q179&gt;0,IF(R179="Làm việc",WORKDAY(IFERROR(IF(INDEX(SK_D,MATCH(O179,SK_A,0))="",B179,INDEX(SK_D,MATCH(O179,SK_A,0))),B179),Q179,HOLI),IFERROR(IF(INDEX(SK_D,MATCH(O179,SK_A,0))="",B179,INDEX(SK_D,MATCH(O179,SK_A,0))),B179)+Q179),B179+Q179))</f>
        <v/>
      </c>
      <c r="J179" s="14" t="n"/>
      <c r="K179" s="13" t="n"/>
      <c r="L179" s="12" t="n"/>
      <c r="M179" s="48">
        <f>IF(E179="","",IF(J179="Bỏ qua","—",IF(J179="Xong",IF(AND(ISNUMBER(K179),ISNUMBER(I179),K179&gt;I179),"Xong trễ","Xong"),MID(IF(G179=""," · CHƯA GIAO","")&amp;IF(NOT(ISNUMBER(I179)),"",IF(TODAY()&gt;I179," · QUÁ HẠN "&amp;(TODAY()-I179)&amp;" ngày",IF(I179-TODAY()&lt;=3," · Đến hạn "&amp;IF(I179=TODAY(),"hôm nay","trong "&amp;(I179-TODAY())&amp;" ngày"),"")))&amp;IF(J179="Chờ đối tác"," · Chờ đối tác"&amp;IF(ISNUMBER(N179)," "&amp;(TODAY()-INT(N179))&amp;" ngày",""),""),4,200))))</f>
        <v/>
      </c>
      <c r="N179" s="49" t="n"/>
      <c r="S179">
        <f>IF(AND(E179&lt;&gt;"",T179="Có",J179&lt;&gt;"Xong",J179&lt;&gt;"Bỏ qua",ISNUMBER(I179)),I179+ROW()/100000,"")</f>
        <v/>
      </c>
      <c r="T179">
        <f>IF(O179="","",IFERROR(INDEX(SK_TD,MATCH(O179,SK_A,0)),""))</f>
        <v/>
      </c>
      <c r="V179">
        <f>IF(AND(O179&lt;&gt;"",O179=SEL_K,J179&lt;&gt;"Xong",J179&lt;&gt;"Bỏ qua"),IF(ISNUMBER(I179),I179,99999)+ROW()/100000,"")</f>
        <v/>
      </c>
    </row>
    <row r="180">
      <c r="A180" s="12">
        <f>IF(O180="","",IFERROR(INDEX(SK_B,MATCH(O180,SK_A,0))&amp;"",""))</f>
        <v/>
      </c>
      <c r="B180" s="45">
        <f>IF(O180="","",IFERROR(INDEX(SK_C,MATCH(O180,SK_A,0)),""))</f>
        <v/>
      </c>
      <c r="C180" s="46">
        <f>IF(Q180="","",IF(Q180=0,"D",IF(Q180&lt;0,"D"&amp;Q180,"D+"&amp;Q180)))</f>
        <v/>
      </c>
      <c r="D180" s="14" t="n"/>
      <c r="E180" s="12" t="n"/>
      <c r="F180" s="46" t="n"/>
      <c r="G180" s="47" t="n"/>
      <c r="H180" s="14" t="n"/>
      <c r="I180" s="13">
        <f>IF(OR(B180="",Q180=""),"",IF(Q180&gt;0,IF(R180="Làm việc",WORKDAY(IFERROR(IF(INDEX(SK_D,MATCH(O180,SK_A,0))="",B180,INDEX(SK_D,MATCH(O180,SK_A,0))),B180),Q180,HOLI),IFERROR(IF(INDEX(SK_D,MATCH(O180,SK_A,0))="",B180,INDEX(SK_D,MATCH(O180,SK_A,0))),B180)+Q180),B180+Q180))</f>
        <v/>
      </c>
      <c r="J180" s="14" t="n"/>
      <c r="K180" s="13" t="n"/>
      <c r="L180" s="12" t="n"/>
      <c r="M180" s="48">
        <f>IF(E180="","",IF(J180="Bỏ qua","—",IF(J180="Xong",IF(AND(ISNUMBER(K180),ISNUMBER(I180),K180&gt;I180),"Xong trễ","Xong"),MID(IF(G180=""," · CHƯA GIAO","")&amp;IF(NOT(ISNUMBER(I180)),"",IF(TODAY()&gt;I180," · QUÁ HẠN "&amp;(TODAY()-I180)&amp;" ngày",IF(I180-TODAY()&lt;=3," · Đến hạn "&amp;IF(I180=TODAY(),"hôm nay","trong "&amp;(I180-TODAY())&amp;" ngày"),"")))&amp;IF(J180="Chờ đối tác"," · Chờ đối tác"&amp;IF(ISNUMBER(N180)," "&amp;(TODAY()-INT(N180))&amp;" ngày",""),""),4,200))))</f>
        <v/>
      </c>
      <c r="N180" s="49" t="n"/>
      <c r="S180">
        <f>IF(AND(E180&lt;&gt;"",T180="Có",J180&lt;&gt;"Xong",J180&lt;&gt;"Bỏ qua",ISNUMBER(I180)),I180+ROW()/100000,"")</f>
        <v/>
      </c>
      <c r="T180">
        <f>IF(O180="","",IFERROR(INDEX(SK_TD,MATCH(O180,SK_A,0)),""))</f>
        <v/>
      </c>
      <c r="V180">
        <f>IF(AND(O180&lt;&gt;"",O180=SEL_K,J180&lt;&gt;"Xong",J180&lt;&gt;"Bỏ qua"),IF(ISNUMBER(I180),I180,99999)+ROW()/100000,"")</f>
        <v/>
      </c>
    </row>
    <row r="181">
      <c r="A181" s="12">
        <f>IF(O181="","",IFERROR(INDEX(SK_B,MATCH(O181,SK_A,0))&amp;"",""))</f>
        <v/>
      </c>
      <c r="B181" s="45">
        <f>IF(O181="","",IFERROR(INDEX(SK_C,MATCH(O181,SK_A,0)),""))</f>
        <v/>
      </c>
      <c r="C181" s="46">
        <f>IF(Q181="","",IF(Q181=0,"D",IF(Q181&lt;0,"D"&amp;Q181,"D+"&amp;Q181)))</f>
        <v/>
      </c>
      <c r="D181" s="14" t="n"/>
      <c r="E181" s="12" t="n"/>
      <c r="F181" s="46" t="n"/>
      <c r="G181" s="47" t="n"/>
      <c r="H181" s="14" t="n"/>
      <c r="I181" s="13">
        <f>IF(OR(B181="",Q181=""),"",IF(Q181&gt;0,IF(R181="Làm việc",WORKDAY(IFERROR(IF(INDEX(SK_D,MATCH(O181,SK_A,0))="",B181,INDEX(SK_D,MATCH(O181,SK_A,0))),B181),Q181,HOLI),IFERROR(IF(INDEX(SK_D,MATCH(O181,SK_A,0))="",B181,INDEX(SK_D,MATCH(O181,SK_A,0))),B181)+Q181),B181+Q181))</f>
        <v/>
      </c>
      <c r="J181" s="14" t="n"/>
      <c r="K181" s="13" t="n"/>
      <c r="L181" s="12" t="n"/>
      <c r="M181" s="48">
        <f>IF(E181="","",IF(J181="Bỏ qua","—",IF(J181="Xong",IF(AND(ISNUMBER(K181),ISNUMBER(I181),K181&gt;I181),"Xong trễ","Xong"),MID(IF(G181=""," · CHƯA GIAO","")&amp;IF(NOT(ISNUMBER(I181)),"",IF(TODAY()&gt;I181," · QUÁ HẠN "&amp;(TODAY()-I181)&amp;" ngày",IF(I181-TODAY()&lt;=3," · Đến hạn "&amp;IF(I181=TODAY(),"hôm nay","trong "&amp;(I181-TODAY())&amp;" ngày"),"")))&amp;IF(J181="Chờ đối tác"," · Chờ đối tác"&amp;IF(ISNUMBER(N181)," "&amp;(TODAY()-INT(N181))&amp;" ngày",""),""),4,200))))</f>
        <v/>
      </c>
      <c r="N181" s="49" t="n"/>
      <c r="S181">
        <f>IF(AND(E181&lt;&gt;"",T181="Có",J181&lt;&gt;"Xong",J181&lt;&gt;"Bỏ qua",ISNUMBER(I181)),I181+ROW()/100000,"")</f>
        <v/>
      </c>
      <c r="T181">
        <f>IF(O181="","",IFERROR(INDEX(SK_TD,MATCH(O181,SK_A,0)),""))</f>
        <v/>
      </c>
      <c r="V181">
        <f>IF(AND(O181&lt;&gt;"",O181=SEL_K,J181&lt;&gt;"Xong",J181&lt;&gt;"Bỏ qua"),IF(ISNUMBER(I181),I181,99999)+ROW()/100000,"")</f>
        <v/>
      </c>
    </row>
    <row r="182">
      <c r="A182" s="12">
        <f>IF(O182="","",IFERROR(INDEX(SK_B,MATCH(O182,SK_A,0))&amp;"",""))</f>
        <v/>
      </c>
      <c r="B182" s="45">
        <f>IF(O182="","",IFERROR(INDEX(SK_C,MATCH(O182,SK_A,0)),""))</f>
        <v/>
      </c>
      <c r="C182" s="46">
        <f>IF(Q182="","",IF(Q182=0,"D",IF(Q182&lt;0,"D"&amp;Q182,"D+"&amp;Q182)))</f>
        <v/>
      </c>
      <c r="D182" s="14" t="n"/>
      <c r="E182" s="12" t="n"/>
      <c r="F182" s="46" t="n"/>
      <c r="G182" s="47" t="n"/>
      <c r="H182" s="14" t="n"/>
      <c r="I182" s="13">
        <f>IF(OR(B182="",Q182=""),"",IF(Q182&gt;0,IF(R182="Làm việc",WORKDAY(IFERROR(IF(INDEX(SK_D,MATCH(O182,SK_A,0))="",B182,INDEX(SK_D,MATCH(O182,SK_A,0))),B182),Q182,HOLI),IFERROR(IF(INDEX(SK_D,MATCH(O182,SK_A,0))="",B182,INDEX(SK_D,MATCH(O182,SK_A,0))),B182)+Q182),B182+Q182))</f>
        <v/>
      </c>
      <c r="J182" s="14" t="n"/>
      <c r="K182" s="13" t="n"/>
      <c r="L182" s="12" t="n"/>
      <c r="M182" s="48">
        <f>IF(E182="","",IF(J182="Bỏ qua","—",IF(J182="Xong",IF(AND(ISNUMBER(K182),ISNUMBER(I182),K182&gt;I182),"Xong trễ","Xong"),MID(IF(G182=""," · CHƯA GIAO","")&amp;IF(NOT(ISNUMBER(I182)),"",IF(TODAY()&gt;I182," · QUÁ HẠN "&amp;(TODAY()-I182)&amp;" ngày",IF(I182-TODAY()&lt;=3," · Đến hạn "&amp;IF(I182=TODAY(),"hôm nay","trong "&amp;(I182-TODAY())&amp;" ngày"),"")))&amp;IF(J182="Chờ đối tác"," · Chờ đối tác"&amp;IF(ISNUMBER(N182)," "&amp;(TODAY()-INT(N182))&amp;" ngày",""),""),4,200))))</f>
        <v/>
      </c>
      <c r="N182" s="49" t="n"/>
      <c r="S182">
        <f>IF(AND(E182&lt;&gt;"",T182="Có",J182&lt;&gt;"Xong",J182&lt;&gt;"Bỏ qua",ISNUMBER(I182)),I182+ROW()/100000,"")</f>
        <v/>
      </c>
      <c r="T182">
        <f>IF(O182="","",IFERROR(INDEX(SK_TD,MATCH(O182,SK_A,0)),""))</f>
        <v/>
      </c>
      <c r="V182">
        <f>IF(AND(O182&lt;&gt;"",O182=SEL_K,J182&lt;&gt;"Xong",J182&lt;&gt;"Bỏ qua"),IF(ISNUMBER(I182),I182,99999)+ROW()/100000,"")</f>
        <v/>
      </c>
    </row>
    <row r="183">
      <c r="A183" s="12">
        <f>IF(O183="","",IFERROR(INDEX(SK_B,MATCH(O183,SK_A,0))&amp;"",""))</f>
        <v/>
      </c>
      <c r="B183" s="45">
        <f>IF(O183="","",IFERROR(INDEX(SK_C,MATCH(O183,SK_A,0)),""))</f>
        <v/>
      </c>
      <c r="C183" s="46">
        <f>IF(Q183="","",IF(Q183=0,"D",IF(Q183&lt;0,"D"&amp;Q183,"D+"&amp;Q183)))</f>
        <v/>
      </c>
      <c r="D183" s="14" t="n"/>
      <c r="E183" s="12" t="n"/>
      <c r="F183" s="46" t="n"/>
      <c r="G183" s="47" t="n"/>
      <c r="H183" s="14" t="n"/>
      <c r="I183" s="13">
        <f>IF(OR(B183="",Q183=""),"",IF(Q183&gt;0,IF(R183="Làm việc",WORKDAY(IFERROR(IF(INDEX(SK_D,MATCH(O183,SK_A,0))="",B183,INDEX(SK_D,MATCH(O183,SK_A,0))),B183),Q183,HOLI),IFERROR(IF(INDEX(SK_D,MATCH(O183,SK_A,0))="",B183,INDEX(SK_D,MATCH(O183,SK_A,0))),B183)+Q183),B183+Q183))</f>
        <v/>
      </c>
      <c r="J183" s="14" t="n"/>
      <c r="K183" s="13" t="n"/>
      <c r="L183" s="12" t="n"/>
      <c r="M183" s="48">
        <f>IF(E183="","",IF(J183="Bỏ qua","—",IF(J183="Xong",IF(AND(ISNUMBER(K183),ISNUMBER(I183),K183&gt;I183),"Xong trễ","Xong"),MID(IF(G183=""," · CHƯA GIAO","")&amp;IF(NOT(ISNUMBER(I183)),"",IF(TODAY()&gt;I183," · QUÁ HẠN "&amp;(TODAY()-I183)&amp;" ngày",IF(I183-TODAY()&lt;=3," · Đến hạn "&amp;IF(I183=TODAY(),"hôm nay","trong "&amp;(I183-TODAY())&amp;" ngày"),"")))&amp;IF(J183="Chờ đối tác"," · Chờ đối tác"&amp;IF(ISNUMBER(N183)," "&amp;(TODAY()-INT(N183))&amp;" ngày",""),""),4,200))))</f>
        <v/>
      </c>
      <c r="N183" s="49" t="n"/>
      <c r="S183">
        <f>IF(AND(E183&lt;&gt;"",T183="Có",J183&lt;&gt;"Xong",J183&lt;&gt;"Bỏ qua",ISNUMBER(I183)),I183+ROW()/100000,"")</f>
        <v/>
      </c>
      <c r="T183">
        <f>IF(O183="","",IFERROR(INDEX(SK_TD,MATCH(O183,SK_A,0)),""))</f>
        <v/>
      </c>
      <c r="V183">
        <f>IF(AND(O183&lt;&gt;"",O183=SEL_K,J183&lt;&gt;"Xong",J183&lt;&gt;"Bỏ qua"),IF(ISNUMBER(I183),I183,99999)+ROW()/100000,"")</f>
        <v/>
      </c>
    </row>
    <row r="184">
      <c r="A184" s="12">
        <f>IF(O184="","",IFERROR(INDEX(SK_B,MATCH(O184,SK_A,0))&amp;"",""))</f>
        <v/>
      </c>
      <c r="B184" s="45">
        <f>IF(O184="","",IFERROR(INDEX(SK_C,MATCH(O184,SK_A,0)),""))</f>
        <v/>
      </c>
      <c r="C184" s="46">
        <f>IF(Q184="","",IF(Q184=0,"D",IF(Q184&lt;0,"D"&amp;Q184,"D+"&amp;Q184)))</f>
        <v/>
      </c>
      <c r="D184" s="14" t="n"/>
      <c r="E184" s="12" t="n"/>
      <c r="F184" s="46" t="n"/>
      <c r="G184" s="47" t="n"/>
      <c r="H184" s="14" t="n"/>
      <c r="I184" s="13">
        <f>IF(OR(B184="",Q184=""),"",IF(Q184&gt;0,IF(R184="Làm việc",WORKDAY(IFERROR(IF(INDEX(SK_D,MATCH(O184,SK_A,0))="",B184,INDEX(SK_D,MATCH(O184,SK_A,0))),B184),Q184,HOLI),IFERROR(IF(INDEX(SK_D,MATCH(O184,SK_A,0))="",B184,INDEX(SK_D,MATCH(O184,SK_A,0))),B184)+Q184),B184+Q184))</f>
        <v/>
      </c>
      <c r="J184" s="14" t="n"/>
      <c r="K184" s="13" t="n"/>
      <c r="L184" s="12" t="n"/>
      <c r="M184" s="48">
        <f>IF(E184="","",IF(J184="Bỏ qua","—",IF(J184="Xong",IF(AND(ISNUMBER(K184),ISNUMBER(I184),K184&gt;I184),"Xong trễ","Xong"),MID(IF(G184=""," · CHƯA GIAO","")&amp;IF(NOT(ISNUMBER(I184)),"",IF(TODAY()&gt;I184," · QUÁ HẠN "&amp;(TODAY()-I184)&amp;" ngày",IF(I184-TODAY()&lt;=3," · Đến hạn "&amp;IF(I184=TODAY(),"hôm nay","trong "&amp;(I184-TODAY())&amp;" ngày"),"")))&amp;IF(J184="Chờ đối tác"," · Chờ đối tác"&amp;IF(ISNUMBER(N184)," "&amp;(TODAY()-INT(N184))&amp;" ngày",""),""),4,200))))</f>
        <v/>
      </c>
      <c r="N184" s="49" t="n"/>
      <c r="S184">
        <f>IF(AND(E184&lt;&gt;"",T184="Có",J184&lt;&gt;"Xong",J184&lt;&gt;"Bỏ qua",ISNUMBER(I184)),I184+ROW()/100000,"")</f>
        <v/>
      </c>
      <c r="T184">
        <f>IF(O184="","",IFERROR(INDEX(SK_TD,MATCH(O184,SK_A,0)),""))</f>
        <v/>
      </c>
      <c r="V184">
        <f>IF(AND(O184&lt;&gt;"",O184=SEL_K,J184&lt;&gt;"Xong",J184&lt;&gt;"Bỏ qua"),IF(ISNUMBER(I184),I184,99999)+ROW()/100000,"")</f>
        <v/>
      </c>
    </row>
    <row r="185">
      <c r="A185" s="12">
        <f>IF(O185="","",IFERROR(INDEX(SK_B,MATCH(O185,SK_A,0))&amp;"",""))</f>
        <v/>
      </c>
      <c r="B185" s="45">
        <f>IF(O185="","",IFERROR(INDEX(SK_C,MATCH(O185,SK_A,0)),""))</f>
        <v/>
      </c>
      <c r="C185" s="46">
        <f>IF(Q185="","",IF(Q185=0,"D",IF(Q185&lt;0,"D"&amp;Q185,"D+"&amp;Q185)))</f>
        <v/>
      </c>
      <c r="D185" s="14" t="n"/>
      <c r="E185" s="12" t="n"/>
      <c r="F185" s="46" t="n"/>
      <c r="G185" s="47" t="n"/>
      <c r="H185" s="14" t="n"/>
      <c r="I185" s="13">
        <f>IF(OR(B185="",Q185=""),"",IF(Q185&gt;0,IF(R185="Làm việc",WORKDAY(IFERROR(IF(INDEX(SK_D,MATCH(O185,SK_A,0))="",B185,INDEX(SK_D,MATCH(O185,SK_A,0))),B185),Q185,HOLI),IFERROR(IF(INDEX(SK_D,MATCH(O185,SK_A,0))="",B185,INDEX(SK_D,MATCH(O185,SK_A,0))),B185)+Q185),B185+Q185))</f>
        <v/>
      </c>
      <c r="J185" s="14" t="n"/>
      <c r="K185" s="13" t="n"/>
      <c r="L185" s="12" t="n"/>
      <c r="M185" s="48">
        <f>IF(E185="","",IF(J185="Bỏ qua","—",IF(J185="Xong",IF(AND(ISNUMBER(K185),ISNUMBER(I185),K185&gt;I185),"Xong trễ","Xong"),MID(IF(G185=""," · CHƯA GIAO","")&amp;IF(NOT(ISNUMBER(I185)),"",IF(TODAY()&gt;I185," · QUÁ HẠN "&amp;(TODAY()-I185)&amp;" ngày",IF(I185-TODAY()&lt;=3," · Đến hạn "&amp;IF(I185=TODAY(),"hôm nay","trong "&amp;(I185-TODAY())&amp;" ngày"),"")))&amp;IF(J185="Chờ đối tác"," · Chờ đối tác"&amp;IF(ISNUMBER(N185)," "&amp;(TODAY()-INT(N185))&amp;" ngày",""),""),4,200))))</f>
        <v/>
      </c>
      <c r="N185" s="49" t="n"/>
      <c r="S185">
        <f>IF(AND(E185&lt;&gt;"",T185="Có",J185&lt;&gt;"Xong",J185&lt;&gt;"Bỏ qua",ISNUMBER(I185)),I185+ROW()/100000,"")</f>
        <v/>
      </c>
      <c r="T185">
        <f>IF(O185="","",IFERROR(INDEX(SK_TD,MATCH(O185,SK_A,0)),""))</f>
        <v/>
      </c>
      <c r="V185">
        <f>IF(AND(O185&lt;&gt;"",O185=SEL_K,J185&lt;&gt;"Xong",J185&lt;&gt;"Bỏ qua"),IF(ISNUMBER(I185),I185,99999)+ROW()/100000,"")</f>
        <v/>
      </c>
    </row>
    <row r="186">
      <c r="A186" s="12">
        <f>IF(O186="","",IFERROR(INDEX(SK_B,MATCH(O186,SK_A,0))&amp;"",""))</f>
        <v/>
      </c>
      <c r="B186" s="45">
        <f>IF(O186="","",IFERROR(INDEX(SK_C,MATCH(O186,SK_A,0)),""))</f>
        <v/>
      </c>
      <c r="C186" s="46">
        <f>IF(Q186="","",IF(Q186=0,"D",IF(Q186&lt;0,"D"&amp;Q186,"D+"&amp;Q186)))</f>
        <v/>
      </c>
      <c r="D186" s="14" t="n"/>
      <c r="E186" s="12" t="n"/>
      <c r="F186" s="46" t="n"/>
      <c r="G186" s="47" t="n"/>
      <c r="H186" s="14" t="n"/>
      <c r="I186" s="13">
        <f>IF(OR(B186="",Q186=""),"",IF(Q186&gt;0,IF(R186="Làm việc",WORKDAY(IFERROR(IF(INDEX(SK_D,MATCH(O186,SK_A,0))="",B186,INDEX(SK_D,MATCH(O186,SK_A,0))),B186),Q186,HOLI),IFERROR(IF(INDEX(SK_D,MATCH(O186,SK_A,0))="",B186,INDEX(SK_D,MATCH(O186,SK_A,0))),B186)+Q186),B186+Q186))</f>
        <v/>
      </c>
      <c r="J186" s="14" t="n"/>
      <c r="K186" s="13" t="n"/>
      <c r="L186" s="12" t="n"/>
      <c r="M186" s="48">
        <f>IF(E186="","",IF(J186="Bỏ qua","—",IF(J186="Xong",IF(AND(ISNUMBER(K186),ISNUMBER(I186),K186&gt;I186),"Xong trễ","Xong"),MID(IF(G186=""," · CHƯA GIAO","")&amp;IF(NOT(ISNUMBER(I186)),"",IF(TODAY()&gt;I186," · QUÁ HẠN "&amp;(TODAY()-I186)&amp;" ngày",IF(I186-TODAY()&lt;=3," · Đến hạn "&amp;IF(I186=TODAY(),"hôm nay","trong "&amp;(I186-TODAY())&amp;" ngày"),"")))&amp;IF(J186="Chờ đối tác"," · Chờ đối tác"&amp;IF(ISNUMBER(N186)," "&amp;(TODAY()-INT(N186))&amp;" ngày",""),""),4,200))))</f>
        <v/>
      </c>
      <c r="N186" s="49" t="n"/>
      <c r="S186">
        <f>IF(AND(E186&lt;&gt;"",T186="Có",J186&lt;&gt;"Xong",J186&lt;&gt;"Bỏ qua",ISNUMBER(I186)),I186+ROW()/100000,"")</f>
        <v/>
      </c>
      <c r="T186">
        <f>IF(O186="","",IFERROR(INDEX(SK_TD,MATCH(O186,SK_A,0)),""))</f>
        <v/>
      </c>
      <c r="V186">
        <f>IF(AND(O186&lt;&gt;"",O186=SEL_K,J186&lt;&gt;"Xong",J186&lt;&gt;"Bỏ qua"),IF(ISNUMBER(I186),I186,99999)+ROW()/100000,"")</f>
        <v/>
      </c>
    </row>
    <row r="187">
      <c r="A187" s="12">
        <f>IF(O187="","",IFERROR(INDEX(SK_B,MATCH(O187,SK_A,0))&amp;"",""))</f>
        <v/>
      </c>
      <c r="B187" s="45">
        <f>IF(O187="","",IFERROR(INDEX(SK_C,MATCH(O187,SK_A,0)),""))</f>
        <v/>
      </c>
      <c r="C187" s="46">
        <f>IF(Q187="","",IF(Q187=0,"D",IF(Q187&lt;0,"D"&amp;Q187,"D+"&amp;Q187)))</f>
        <v/>
      </c>
      <c r="D187" s="14" t="n"/>
      <c r="E187" s="12" t="n"/>
      <c r="F187" s="46" t="n"/>
      <c r="G187" s="47" t="n"/>
      <c r="H187" s="14" t="n"/>
      <c r="I187" s="13">
        <f>IF(OR(B187="",Q187=""),"",IF(Q187&gt;0,IF(R187="Làm việc",WORKDAY(IFERROR(IF(INDEX(SK_D,MATCH(O187,SK_A,0))="",B187,INDEX(SK_D,MATCH(O187,SK_A,0))),B187),Q187,HOLI),IFERROR(IF(INDEX(SK_D,MATCH(O187,SK_A,0))="",B187,INDEX(SK_D,MATCH(O187,SK_A,0))),B187)+Q187),B187+Q187))</f>
        <v/>
      </c>
      <c r="J187" s="14" t="n"/>
      <c r="K187" s="13" t="n"/>
      <c r="L187" s="12" t="n"/>
      <c r="M187" s="48">
        <f>IF(E187="","",IF(J187="Bỏ qua","—",IF(J187="Xong",IF(AND(ISNUMBER(K187),ISNUMBER(I187),K187&gt;I187),"Xong trễ","Xong"),MID(IF(G187=""," · CHƯA GIAO","")&amp;IF(NOT(ISNUMBER(I187)),"",IF(TODAY()&gt;I187," · QUÁ HẠN "&amp;(TODAY()-I187)&amp;" ngày",IF(I187-TODAY()&lt;=3," · Đến hạn "&amp;IF(I187=TODAY(),"hôm nay","trong "&amp;(I187-TODAY())&amp;" ngày"),"")))&amp;IF(J187="Chờ đối tác"," · Chờ đối tác"&amp;IF(ISNUMBER(N187)," "&amp;(TODAY()-INT(N187))&amp;" ngày",""),""),4,200))))</f>
        <v/>
      </c>
      <c r="N187" s="49" t="n"/>
      <c r="S187">
        <f>IF(AND(E187&lt;&gt;"",T187="Có",J187&lt;&gt;"Xong",J187&lt;&gt;"Bỏ qua",ISNUMBER(I187)),I187+ROW()/100000,"")</f>
        <v/>
      </c>
      <c r="T187">
        <f>IF(O187="","",IFERROR(INDEX(SK_TD,MATCH(O187,SK_A,0)),""))</f>
        <v/>
      </c>
      <c r="V187">
        <f>IF(AND(O187&lt;&gt;"",O187=SEL_K,J187&lt;&gt;"Xong",J187&lt;&gt;"Bỏ qua"),IF(ISNUMBER(I187),I187,99999)+ROW()/100000,"")</f>
        <v/>
      </c>
    </row>
    <row r="188">
      <c r="A188" s="12">
        <f>IF(O188="","",IFERROR(INDEX(SK_B,MATCH(O188,SK_A,0))&amp;"",""))</f>
        <v/>
      </c>
      <c r="B188" s="45">
        <f>IF(O188="","",IFERROR(INDEX(SK_C,MATCH(O188,SK_A,0)),""))</f>
        <v/>
      </c>
      <c r="C188" s="46">
        <f>IF(Q188="","",IF(Q188=0,"D",IF(Q188&lt;0,"D"&amp;Q188,"D+"&amp;Q188)))</f>
        <v/>
      </c>
      <c r="D188" s="14" t="n"/>
      <c r="E188" s="12" t="n"/>
      <c r="F188" s="46" t="n"/>
      <c r="G188" s="47" t="n"/>
      <c r="H188" s="14" t="n"/>
      <c r="I188" s="13">
        <f>IF(OR(B188="",Q188=""),"",IF(Q188&gt;0,IF(R188="Làm việc",WORKDAY(IFERROR(IF(INDEX(SK_D,MATCH(O188,SK_A,0))="",B188,INDEX(SK_D,MATCH(O188,SK_A,0))),B188),Q188,HOLI),IFERROR(IF(INDEX(SK_D,MATCH(O188,SK_A,0))="",B188,INDEX(SK_D,MATCH(O188,SK_A,0))),B188)+Q188),B188+Q188))</f>
        <v/>
      </c>
      <c r="J188" s="14" t="n"/>
      <c r="K188" s="13" t="n"/>
      <c r="L188" s="12" t="n"/>
      <c r="M188" s="48">
        <f>IF(E188="","",IF(J188="Bỏ qua","—",IF(J188="Xong",IF(AND(ISNUMBER(K188),ISNUMBER(I188),K188&gt;I188),"Xong trễ","Xong"),MID(IF(G188=""," · CHƯA GIAO","")&amp;IF(NOT(ISNUMBER(I188)),"",IF(TODAY()&gt;I188," · QUÁ HẠN "&amp;(TODAY()-I188)&amp;" ngày",IF(I188-TODAY()&lt;=3," · Đến hạn "&amp;IF(I188=TODAY(),"hôm nay","trong "&amp;(I188-TODAY())&amp;" ngày"),"")))&amp;IF(J188="Chờ đối tác"," · Chờ đối tác"&amp;IF(ISNUMBER(N188)," "&amp;(TODAY()-INT(N188))&amp;" ngày",""),""),4,200))))</f>
        <v/>
      </c>
      <c r="N188" s="49" t="n"/>
      <c r="S188">
        <f>IF(AND(E188&lt;&gt;"",T188="Có",J188&lt;&gt;"Xong",J188&lt;&gt;"Bỏ qua",ISNUMBER(I188)),I188+ROW()/100000,"")</f>
        <v/>
      </c>
      <c r="T188">
        <f>IF(O188="","",IFERROR(INDEX(SK_TD,MATCH(O188,SK_A,0)),""))</f>
        <v/>
      </c>
      <c r="V188">
        <f>IF(AND(O188&lt;&gt;"",O188=SEL_K,J188&lt;&gt;"Xong",J188&lt;&gt;"Bỏ qua"),IF(ISNUMBER(I188),I188,99999)+ROW()/100000,"")</f>
        <v/>
      </c>
    </row>
    <row r="189">
      <c r="A189" s="12">
        <f>IF(O189="","",IFERROR(INDEX(SK_B,MATCH(O189,SK_A,0))&amp;"",""))</f>
        <v/>
      </c>
      <c r="B189" s="45">
        <f>IF(O189="","",IFERROR(INDEX(SK_C,MATCH(O189,SK_A,0)),""))</f>
        <v/>
      </c>
      <c r="C189" s="46">
        <f>IF(Q189="","",IF(Q189=0,"D",IF(Q189&lt;0,"D"&amp;Q189,"D+"&amp;Q189)))</f>
        <v/>
      </c>
      <c r="D189" s="14" t="n"/>
      <c r="E189" s="12" t="n"/>
      <c r="F189" s="46" t="n"/>
      <c r="G189" s="47" t="n"/>
      <c r="H189" s="14" t="n"/>
      <c r="I189" s="13">
        <f>IF(OR(B189="",Q189=""),"",IF(Q189&gt;0,IF(R189="Làm việc",WORKDAY(IFERROR(IF(INDEX(SK_D,MATCH(O189,SK_A,0))="",B189,INDEX(SK_D,MATCH(O189,SK_A,0))),B189),Q189,HOLI),IFERROR(IF(INDEX(SK_D,MATCH(O189,SK_A,0))="",B189,INDEX(SK_D,MATCH(O189,SK_A,0))),B189)+Q189),B189+Q189))</f>
        <v/>
      </c>
      <c r="J189" s="14" t="n"/>
      <c r="K189" s="13" t="n"/>
      <c r="L189" s="12" t="n"/>
      <c r="M189" s="48">
        <f>IF(E189="","",IF(J189="Bỏ qua","—",IF(J189="Xong",IF(AND(ISNUMBER(K189),ISNUMBER(I189),K189&gt;I189),"Xong trễ","Xong"),MID(IF(G189=""," · CHƯA GIAO","")&amp;IF(NOT(ISNUMBER(I189)),"",IF(TODAY()&gt;I189," · QUÁ HẠN "&amp;(TODAY()-I189)&amp;" ngày",IF(I189-TODAY()&lt;=3," · Đến hạn "&amp;IF(I189=TODAY(),"hôm nay","trong "&amp;(I189-TODAY())&amp;" ngày"),"")))&amp;IF(J189="Chờ đối tác"," · Chờ đối tác"&amp;IF(ISNUMBER(N189)," "&amp;(TODAY()-INT(N189))&amp;" ngày",""),""),4,200))))</f>
        <v/>
      </c>
      <c r="N189" s="49" t="n"/>
      <c r="S189">
        <f>IF(AND(E189&lt;&gt;"",T189="Có",J189&lt;&gt;"Xong",J189&lt;&gt;"Bỏ qua",ISNUMBER(I189)),I189+ROW()/100000,"")</f>
        <v/>
      </c>
      <c r="T189">
        <f>IF(O189="","",IFERROR(INDEX(SK_TD,MATCH(O189,SK_A,0)),""))</f>
        <v/>
      </c>
      <c r="V189">
        <f>IF(AND(O189&lt;&gt;"",O189=SEL_K,J189&lt;&gt;"Xong",J189&lt;&gt;"Bỏ qua"),IF(ISNUMBER(I189),I189,99999)+ROW()/100000,"")</f>
        <v/>
      </c>
    </row>
    <row r="190">
      <c r="A190" s="12">
        <f>IF(O190="","",IFERROR(INDEX(SK_B,MATCH(O190,SK_A,0))&amp;"",""))</f>
        <v/>
      </c>
      <c r="B190" s="45">
        <f>IF(O190="","",IFERROR(INDEX(SK_C,MATCH(O190,SK_A,0)),""))</f>
        <v/>
      </c>
      <c r="C190" s="46">
        <f>IF(Q190="","",IF(Q190=0,"D",IF(Q190&lt;0,"D"&amp;Q190,"D+"&amp;Q190)))</f>
        <v/>
      </c>
      <c r="D190" s="14" t="n"/>
      <c r="E190" s="12" t="n"/>
      <c r="F190" s="46" t="n"/>
      <c r="G190" s="47" t="n"/>
      <c r="H190" s="14" t="n"/>
      <c r="I190" s="13">
        <f>IF(OR(B190="",Q190=""),"",IF(Q190&gt;0,IF(R190="Làm việc",WORKDAY(IFERROR(IF(INDEX(SK_D,MATCH(O190,SK_A,0))="",B190,INDEX(SK_D,MATCH(O190,SK_A,0))),B190),Q190,HOLI),IFERROR(IF(INDEX(SK_D,MATCH(O190,SK_A,0))="",B190,INDEX(SK_D,MATCH(O190,SK_A,0))),B190)+Q190),B190+Q190))</f>
        <v/>
      </c>
      <c r="J190" s="14" t="n"/>
      <c r="K190" s="13" t="n"/>
      <c r="L190" s="12" t="n"/>
      <c r="M190" s="48">
        <f>IF(E190="","",IF(J190="Bỏ qua","—",IF(J190="Xong",IF(AND(ISNUMBER(K190),ISNUMBER(I190),K190&gt;I190),"Xong trễ","Xong"),MID(IF(G190=""," · CHƯA GIAO","")&amp;IF(NOT(ISNUMBER(I190)),"",IF(TODAY()&gt;I190," · QUÁ HẠN "&amp;(TODAY()-I190)&amp;" ngày",IF(I190-TODAY()&lt;=3," · Đến hạn "&amp;IF(I190=TODAY(),"hôm nay","trong "&amp;(I190-TODAY())&amp;" ngày"),"")))&amp;IF(J190="Chờ đối tác"," · Chờ đối tác"&amp;IF(ISNUMBER(N190)," "&amp;(TODAY()-INT(N190))&amp;" ngày",""),""),4,200))))</f>
        <v/>
      </c>
      <c r="N190" s="49" t="n"/>
      <c r="S190">
        <f>IF(AND(E190&lt;&gt;"",T190="Có",J190&lt;&gt;"Xong",J190&lt;&gt;"Bỏ qua",ISNUMBER(I190)),I190+ROW()/100000,"")</f>
        <v/>
      </c>
      <c r="T190">
        <f>IF(O190="","",IFERROR(INDEX(SK_TD,MATCH(O190,SK_A,0)),""))</f>
        <v/>
      </c>
      <c r="V190">
        <f>IF(AND(O190&lt;&gt;"",O190=SEL_K,J190&lt;&gt;"Xong",J190&lt;&gt;"Bỏ qua"),IF(ISNUMBER(I190),I190,99999)+ROW()/100000,"")</f>
        <v/>
      </c>
    </row>
    <row r="191">
      <c r="A191" s="12">
        <f>IF(O191="","",IFERROR(INDEX(SK_B,MATCH(O191,SK_A,0))&amp;"",""))</f>
        <v/>
      </c>
      <c r="B191" s="45">
        <f>IF(O191="","",IFERROR(INDEX(SK_C,MATCH(O191,SK_A,0)),""))</f>
        <v/>
      </c>
      <c r="C191" s="46">
        <f>IF(Q191="","",IF(Q191=0,"D",IF(Q191&lt;0,"D"&amp;Q191,"D+"&amp;Q191)))</f>
        <v/>
      </c>
      <c r="D191" s="14" t="n"/>
      <c r="E191" s="12" t="n"/>
      <c r="F191" s="46" t="n"/>
      <c r="G191" s="47" t="n"/>
      <c r="H191" s="14" t="n"/>
      <c r="I191" s="13">
        <f>IF(OR(B191="",Q191=""),"",IF(Q191&gt;0,IF(R191="Làm việc",WORKDAY(IFERROR(IF(INDEX(SK_D,MATCH(O191,SK_A,0))="",B191,INDEX(SK_D,MATCH(O191,SK_A,0))),B191),Q191,HOLI),IFERROR(IF(INDEX(SK_D,MATCH(O191,SK_A,0))="",B191,INDEX(SK_D,MATCH(O191,SK_A,0))),B191)+Q191),B191+Q191))</f>
        <v/>
      </c>
      <c r="J191" s="14" t="n"/>
      <c r="K191" s="13" t="n"/>
      <c r="L191" s="12" t="n"/>
      <c r="M191" s="48">
        <f>IF(E191="","",IF(J191="Bỏ qua","—",IF(J191="Xong",IF(AND(ISNUMBER(K191),ISNUMBER(I191),K191&gt;I191),"Xong trễ","Xong"),MID(IF(G191=""," · CHƯA GIAO","")&amp;IF(NOT(ISNUMBER(I191)),"",IF(TODAY()&gt;I191," · QUÁ HẠN "&amp;(TODAY()-I191)&amp;" ngày",IF(I191-TODAY()&lt;=3," · Đến hạn "&amp;IF(I191=TODAY(),"hôm nay","trong "&amp;(I191-TODAY())&amp;" ngày"),"")))&amp;IF(J191="Chờ đối tác"," · Chờ đối tác"&amp;IF(ISNUMBER(N191)," "&amp;(TODAY()-INT(N191))&amp;" ngày",""),""),4,200))))</f>
        <v/>
      </c>
      <c r="N191" s="49" t="n"/>
      <c r="S191">
        <f>IF(AND(E191&lt;&gt;"",T191="Có",J191&lt;&gt;"Xong",J191&lt;&gt;"Bỏ qua",ISNUMBER(I191)),I191+ROW()/100000,"")</f>
        <v/>
      </c>
      <c r="T191">
        <f>IF(O191="","",IFERROR(INDEX(SK_TD,MATCH(O191,SK_A,0)),""))</f>
        <v/>
      </c>
      <c r="V191">
        <f>IF(AND(O191&lt;&gt;"",O191=SEL_K,J191&lt;&gt;"Xong",J191&lt;&gt;"Bỏ qua"),IF(ISNUMBER(I191),I191,99999)+ROW()/100000,"")</f>
        <v/>
      </c>
    </row>
    <row r="192">
      <c r="A192" s="12">
        <f>IF(O192="","",IFERROR(INDEX(SK_B,MATCH(O192,SK_A,0))&amp;"",""))</f>
        <v/>
      </c>
      <c r="B192" s="45">
        <f>IF(O192="","",IFERROR(INDEX(SK_C,MATCH(O192,SK_A,0)),""))</f>
        <v/>
      </c>
      <c r="C192" s="46">
        <f>IF(Q192="","",IF(Q192=0,"D",IF(Q192&lt;0,"D"&amp;Q192,"D+"&amp;Q192)))</f>
        <v/>
      </c>
      <c r="D192" s="14" t="n"/>
      <c r="E192" s="12" t="n"/>
      <c r="F192" s="46" t="n"/>
      <c r="G192" s="47" t="n"/>
      <c r="H192" s="14" t="n"/>
      <c r="I192" s="13">
        <f>IF(OR(B192="",Q192=""),"",IF(Q192&gt;0,IF(R192="Làm việc",WORKDAY(IFERROR(IF(INDEX(SK_D,MATCH(O192,SK_A,0))="",B192,INDEX(SK_D,MATCH(O192,SK_A,0))),B192),Q192,HOLI),IFERROR(IF(INDEX(SK_D,MATCH(O192,SK_A,0))="",B192,INDEX(SK_D,MATCH(O192,SK_A,0))),B192)+Q192),B192+Q192))</f>
        <v/>
      </c>
      <c r="J192" s="14" t="n"/>
      <c r="K192" s="13" t="n"/>
      <c r="L192" s="12" t="n"/>
      <c r="M192" s="48">
        <f>IF(E192="","",IF(J192="Bỏ qua","—",IF(J192="Xong",IF(AND(ISNUMBER(K192),ISNUMBER(I192),K192&gt;I192),"Xong trễ","Xong"),MID(IF(G192=""," · CHƯA GIAO","")&amp;IF(NOT(ISNUMBER(I192)),"",IF(TODAY()&gt;I192," · QUÁ HẠN "&amp;(TODAY()-I192)&amp;" ngày",IF(I192-TODAY()&lt;=3," · Đến hạn "&amp;IF(I192=TODAY(),"hôm nay","trong "&amp;(I192-TODAY())&amp;" ngày"),"")))&amp;IF(J192="Chờ đối tác"," · Chờ đối tác"&amp;IF(ISNUMBER(N192)," "&amp;(TODAY()-INT(N192))&amp;" ngày",""),""),4,200))))</f>
        <v/>
      </c>
      <c r="N192" s="49" t="n"/>
      <c r="S192">
        <f>IF(AND(E192&lt;&gt;"",T192="Có",J192&lt;&gt;"Xong",J192&lt;&gt;"Bỏ qua",ISNUMBER(I192)),I192+ROW()/100000,"")</f>
        <v/>
      </c>
      <c r="T192">
        <f>IF(O192="","",IFERROR(INDEX(SK_TD,MATCH(O192,SK_A,0)),""))</f>
        <v/>
      </c>
      <c r="V192">
        <f>IF(AND(O192&lt;&gt;"",O192=SEL_K,J192&lt;&gt;"Xong",J192&lt;&gt;"Bỏ qua"),IF(ISNUMBER(I192),I192,99999)+ROW()/100000,"")</f>
        <v/>
      </c>
    </row>
    <row r="193">
      <c r="A193" s="12">
        <f>IF(O193="","",IFERROR(INDEX(SK_B,MATCH(O193,SK_A,0))&amp;"",""))</f>
        <v/>
      </c>
      <c r="B193" s="45">
        <f>IF(O193="","",IFERROR(INDEX(SK_C,MATCH(O193,SK_A,0)),""))</f>
        <v/>
      </c>
      <c r="C193" s="46">
        <f>IF(Q193="","",IF(Q193=0,"D",IF(Q193&lt;0,"D"&amp;Q193,"D+"&amp;Q193)))</f>
        <v/>
      </c>
      <c r="D193" s="14" t="n"/>
      <c r="E193" s="12" t="n"/>
      <c r="F193" s="46" t="n"/>
      <c r="G193" s="47" t="n"/>
      <c r="H193" s="14" t="n"/>
      <c r="I193" s="13">
        <f>IF(OR(B193="",Q193=""),"",IF(Q193&gt;0,IF(R193="Làm việc",WORKDAY(IFERROR(IF(INDEX(SK_D,MATCH(O193,SK_A,0))="",B193,INDEX(SK_D,MATCH(O193,SK_A,0))),B193),Q193,HOLI),IFERROR(IF(INDEX(SK_D,MATCH(O193,SK_A,0))="",B193,INDEX(SK_D,MATCH(O193,SK_A,0))),B193)+Q193),B193+Q193))</f>
        <v/>
      </c>
      <c r="J193" s="14" t="n"/>
      <c r="K193" s="13" t="n"/>
      <c r="L193" s="12" t="n"/>
      <c r="M193" s="48">
        <f>IF(E193="","",IF(J193="Bỏ qua","—",IF(J193="Xong",IF(AND(ISNUMBER(K193),ISNUMBER(I193),K193&gt;I193),"Xong trễ","Xong"),MID(IF(G193=""," · CHƯA GIAO","")&amp;IF(NOT(ISNUMBER(I193)),"",IF(TODAY()&gt;I193," · QUÁ HẠN "&amp;(TODAY()-I193)&amp;" ngày",IF(I193-TODAY()&lt;=3," · Đến hạn "&amp;IF(I193=TODAY(),"hôm nay","trong "&amp;(I193-TODAY())&amp;" ngày"),"")))&amp;IF(J193="Chờ đối tác"," · Chờ đối tác"&amp;IF(ISNUMBER(N193)," "&amp;(TODAY()-INT(N193))&amp;" ngày",""),""),4,200))))</f>
        <v/>
      </c>
      <c r="N193" s="49" t="n"/>
      <c r="S193">
        <f>IF(AND(E193&lt;&gt;"",T193="Có",J193&lt;&gt;"Xong",J193&lt;&gt;"Bỏ qua",ISNUMBER(I193)),I193+ROW()/100000,"")</f>
        <v/>
      </c>
      <c r="T193">
        <f>IF(O193="","",IFERROR(INDEX(SK_TD,MATCH(O193,SK_A,0)),""))</f>
        <v/>
      </c>
      <c r="V193">
        <f>IF(AND(O193&lt;&gt;"",O193=SEL_K,J193&lt;&gt;"Xong",J193&lt;&gt;"Bỏ qua"),IF(ISNUMBER(I193),I193,99999)+ROW()/100000,"")</f>
        <v/>
      </c>
    </row>
    <row r="194">
      <c r="A194" s="12">
        <f>IF(O194="","",IFERROR(INDEX(SK_B,MATCH(O194,SK_A,0))&amp;"",""))</f>
        <v/>
      </c>
      <c r="B194" s="45">
        <f>IF(O194="","",IFERROR(INDEX(SK_C,MATCH(O194,SK_A,0)),""))</f>
        <v/>
      </c>
      <c r="C194" s="46">
        <f>IF(Q194="","",IF(Q194=0,"D",IF(Q194&lt;0,"D"&amp;Q194,"D+"&amp;Q194)))</f>
        <v/>
      </c>
      <c r="D194" s="14" t="n"/>
      <c r="E194" s="12" t="n"/>
      <c r="F194" s="46" t="n"/>
      <c r="G194" s="47" t="n"/>
      <c r="H194" s="14" t="n"/>
      <c r="I194" s="13">
        <f>IF(OR(B194="",Q194=""),"",IF(Q194&gt;0,IF(R194="Làm việc",WORKDAY(IFERROR(IF(INDEX(SK_D,MATCH(O194,SK_A,0))="",B194,INDEX(SK_D,MATCH(O194,SK_A,0))),B194),Q194,HOLI),IFERROR(IF(INDEX(SK_D,MATCH(O194,SK_A,0))="",B194,INDEX(SK_D,MATCH(O194,SK_A,0))),B194)+Q194),B194+Q194))</f>
        <v/>
      </c>
      <c r="J194" s="14" t="n"/>
      <c r="K194" s="13" t="n"/>
      <c r="L194" s="12" t="n"/>
      <c r="M194" s="48">
        <f>IF(E194="","",IF(J194="Bỏ qua","—",IF(J194="Xong",IF(AND(ISNUMBER(K194),ISNUMBER(I194),K194&gt;I194),"Xong trễ","Xong"),MID(IF(G194=""," · CHƯA GIAO","")&amp;IF(NOT(ISNUMBER(I194)),"",IF(TODAY()&gt;I194," · QUÁ HẠN "&amp;(TODAY()-I194)&amp;" ngày",IF(I194-TODAY()&lt;=3," · Đến hạn "&amp;IF(I194=TODAY(),"hôm nay","trong "&amp;(I194-TODAY())&amp;" ngày"),"")))&amp;IF(J194="Chờ đối tác"," · Chờ đối tác"&amp;IF(ISNUMBER(N194)," "&amp;(TODAY()-INT(N194))&amp;" ngày",""),""),4,200))))</f>
        <v/>
      </c>
      <c r="N194" s="49" t="n"/>
      <c r="S194">
        <f>IF(AND(E194&lt;&gt;"",T194="Có",J194&lt;&gt;"Xong",J194&lt;&gt;"Bỏ qua",ISNUMBER(I194)),I194+ROW()/100000,"")</f>
        <v/>
      </c>
      <c r="T194">
        <f>IF(O194="","",IFERROR(INDEX(SK_TD,MATCH(O194,SK_A,0)),""))</f>
        <v/>
      </c>
      <c r="V194">
        <f>IF(AND(O194&lt;&gt;"",O194=SEL_K,J194&lt;&gt;"Xong",J194&lt;&gt;"Bỏ qua"),IF(ISNUMBER(I194),I194,99999)+ROW()/100000,"")</f>
        <v/>
      </c>
    </row>
    <row r="195">
      <c r="A195" s="12">
        <f>IF(O195="","",IFERROR(INDEX(SK_B,MATCH(O195,SK_A,0))&amp;"",""))</f>
        <v/>
      </c>
      <c r="B195" s="45">
        <f>IF(O195="","",IFERROR(INDEX(SK_C,MATCH(O195,SK_A,0)),""))</f>
        <v/>
      </c>
      <c r="C195" s="46">
        <f>IF(Q195="","",IF(Q195=0,"D",IF(Q195&lt;0,"D"&amp;Q195,"D+"&amp;Q195)))</f>
        <v/>
      </c>
      <c r="D195" s="14" t="n"/>
      <c r="E195" s="12" t="n"/>
      <c r="F195" s="46" t="n"/>
      <c r="G195" s="47" t="n"/>
      <c r="H195" s="14" t="n"/>
      <c r="I195" s="13">
        <f>IF(OR(B195="",Q195=""),"",IF(Q195&gt;0,IF(R195="Làm việc",WORKDAY(IFERROR(IF(INDEX(SK_D,MATCH(O195,SK_A,0))="",B195,INDEX(SK_D,MATCH(O195,SK_A,0))),B195),Q195,HOLI),IFERROR(IF(INDEX(SK_D,MATCH(O195,SK_A,0))="",B195,INDEX(SK_D,MATCH(O195,SK_A,0))),B195)+Q195),B195+Q195))</f>
        <v/>
      </c>
      <c r="J195" s="14" t="n"/>
      <c r="K195" s="13" t="n"/>
      <c r="L195" s="12" t="n"/>
      <c r="M195" s="48">
        <f>IF(E195="","",IF(J195="Bỏ qua","—",IF(J195="Xong",IF(AND(ISNUMBER(K195),ISNUMBER(I195),K195&gt;I195),"Xong trễ","Xong"),MID(IF(G195=""," · CHƯA GIAO","")&amp;IF(NOT(ISNUMBER(I195)),"",IF(TODAY()&gt;I195," · QUÁ HẠN "&amp;(TODAY()-I195)&amp;" ngày",IF(I195-TODAY()&lt;=3," · Đến hạn "&amp;IF(I195=TODAY(),"hôm nay","trong "&amp;(I195-TODAY())&amp;" ngày"),"")))&amp;IF(J195="Chờ đối tác"," · Chờ đối tác"&amp;IF(ISNUMBER(N195)," "&amp;(TODAY()-INT(N195))&amp;" ngày",""),""),4,200))))</f>
        <v/>
      </c>
      <c r="N195" s="49" t="n"/>
      <c r="S195">
        <f>IF(AND(E195&lt;&gt;"",T195="Có",J195&lt;&gt;"Xong",J195&lt;&gt;"Bỏ qua",ISNUMBER(I195)),I195+ROW()/100000,"")</f>
        <v/>
      </c>
      <c r="T195">
        <f>IF(O195="","",IFERROR(INDEX(SK_TD,MATCH(O195,SK_A,0)),""))</f>
        <v/>
      </c>
      <c r="V195">
        <f>IF(AND(O195&lt;&gt;"",O195=SEL_K,J195&lt;&gt;"Xong",J195&lt;&gt;"Bỏ qua"),IF(ISNUMBER(I195),I195,99999)+ROW()/100000,"")</f>
        <v/>
      </c>
    </row>
    <row r="196">
      <c r="A196" s="12">
        <f>IF(O196="","",IFERROR(INDEX(SK_B,MATCH(O196,SK_A,0))&amp;"",""))</f>
        <v/>
      </c>
      <c r="B196" s="45">
        <f>IF(O196="","",IFERROR(INDEX(SK_C,MATCH(O196,SK_A,0)),""))</f>
        <v/>
      </c>
      <c r="C196" s="46">
        <f>IF(Q196="","",IF(Q196=0,"D",IF(Q196&lt;0,"D"&amp;Q196,"D+"&amp;Q196)))</f>
        <v/>
      </c>
      <c r="D196" s="14" t="n"/>
      <c r="E196" s="12" t="n"/>
      <c r="F196" s="46" t="n"/>
      <c r="G196" s="47" t="n"/>
      <c r="H196" s="14" t="n"/>
      <c r="I196" s="13">
        <f>IF(OR(B196="",Q196=""),"",IF(Q196&gt;0,IF(R196="Làm việc",WORKDAY(IFERROR(IF(INDEX(SK_D,MATCH(O196,SK_A,0))="",B196,INDEX(SK_D,MATCH(O196,SK_A,0))),B196),Q196,HOLI),IFERROR(IF(INDEX(SK_D,MATCH(O196,SK_A,0))="",B196,INDEX(SK_D,MATCH(O196,SK_A,0))),B196)+Q196),B196+Q196))</f>
        <v/>
      </c>
      <c r="J196" s="14" t="n"/>
      <c r="K196" s="13" t="n"/>
      <c r="L196" s="12" t="n"/>
      <c r="M196" s="48">
        <f>IF(E196="","",IF(J196="Bỏ qua","—",IF(J196="Xong",IF(AND(ISNUMBER(K196),ISNUMBER(I196),K196&gt;I196),"Xong trễ","Xong"),MID(IF(G196=""," · CHƯA GIAO","")&amp;IF(NOT(ISNUMBER(I196)),"",IF(TODAY()&gt;I196," · QUÁ HẠN "&amp;(TODAY()-I196)&amp;" ngày",IF(I196-TODAY()&lt;=3," · Đến hạn "&amp;IF(I196=TODAY(),"hôm nay","trong "&amp;(I196-TODAY())&amp;" ngày"),"")))&amp;IF(J196="Chờ đối tác"," · Chờ đối tác"&amp;IF(ISNUMBER(N196)," "&amp;(TODAY()-INT(N196))&amp;" ngày",""),""),4,200))))</f>
        <v/>
      </c>
      <c r="N196" s="49" t="n"/>
      <c r="S196">
        <f>IF(AND(E196&lt;&gt;"",T196="Có",J196&lt;&gt;"Xong",J196&lt;&gt;"Bỏ qua",ISNUMBER(I196)),I196+ROW()/100000,"")</f>
        <v/>
      </c>
      <c r="T196">
        <f>IF(O196="","",IFERROR(INDEX(SK_TD,MATCH(O196,SK_A,0)),""))</f>
        <v/>
      </c>
      <c r="V196">
        <f>IF(AND(O196&lt;&gt;"",O196=SEL_K,J196&lt;&gt;"Xong",J196&lt;&gt;"Bỏ qua"),IF(ISNUMBER(I196),I196,99999)+ROW()/100000,"")</f>
        <v/>
      </c>
    </row>
    <row r="197">
      <c r="A197" s="12">
        <f>IF(O197="","",IFERROR(INDEX(SK_B,MATCH(O197,SK_A,0))&amp;"",""))</f>
        <v/>
      </c>
      <c r="B197" s="45">
        <f>IF(O197="","",IFERROR(INDEX(SK_C,MATCH(O197,SK_A,0)),""))</f>
        <v/>
      </c>
      <c r="C197" s="46">
        <f>IF(Q197="","",IF(Q197=0,"D",IF(Q197&lt;0,"D"&amp;Q197,"D+"&amp;Q197)))</f>
        <v/>
      </c>
      <c r="D197" s="14" t="n"/>
      <c r="E197" s="12" t="n"/>
      <c r="F197" s="46" t="n"/>
      <c r="G197" s="47" t="n"/>
      <c r="H197" s="14" t="n"/>
      <c r="I197" s="13">
        <f>IF(OR(B197="",Q197=""),"",IF(Q197&gt;0,IF(R197="Làm việc",WORKDAY(IFERROR(IF(INDEX(SK_D,MATCH(O197,SK_A,0))="",B197,INDEX(SK_D,MATCH(O197,SK_A,0))),B197),Q197,HOLI),IFERROR(IF(INDEX(SK_D,MATCH(O197,SK_A,0))="",B197,INDEX(SK_D,MATCH(O197,SK_A,0))),B197)+Q197),B197+Q197))</f>
        <v/>
      </c>
      <c r="J197" s="14" t="n"/>
      <c r="K197" s="13" t="n"/>
      <c r="L197" s="12" t="n"/>
      <c r="M197" s="48">
        <f>IF(E197="","",IF(J197="Bỏ qua","—",IF(J197="Xong",IF(AND(ISNUMBER(K197),ISNUMBER(I197),K197&gt;I197),"Xong trễ","Xong"),MID(IF(G197=""," · CHƯA GIAO","")&amp;IF(NOT(ISNUMBER(I197)),"",IF(TODAY()&gt;I197," · QUÁ HẠN "&amp;(TODAY()-I197)&amp;" ngày",IF(I197-TODAY()&lt;=3," · Đến hạn "&amp;IF(I197=TODAY(),"hôm nay","trong "&amp;(I197-TODAY())&amp;" ngày"),"")))&amp;IF(J197="Chờ đối tác"," · Chờ đối tác"&amp;IF(ISNUMBER(N197)," "&amp;(TODAY()-INT(N197))&amp;" ngày",""),""),4,200))))</f>
        <v/>
      </c>
      <c r="N197" s="49" t="n"/>
      <c r="S197">
        <f>IF(AND(E197&lt;&gt;"",T197="Có",J197&lt;&gt;"Xong",J197&lt;&gt;"Bỏ qua",ISNUMBER(I197)),I197+ROW()/100000,"")</f>
        <v/>
      </c>
      <c r="T197">
        <f>IF(O197="","",IFERROR(INDEX(SK_TD,MATCH(O197,SK_A,0)),""))</f>
        <v/>
      </c>
      <c r="V197">
        <f>IF(AND(O197&lt;&gt;"",O197=SEL_K,J197&lt;&gt;"Xong",J197&lt;&gt;"Bỏ qua"),IF(ISNUMBER(I197),I197,99999)+ROW()/100000,"")</f>
        <v/>
      </c>
    </row>
    <row r="198">
      <c r="A198" s="12">
        <f>IF(O198="","",IFERROR(INDEX(SK_B,MATCH(O198,SK_A,0))&amp;"",""))</f>
        <v/>
      </c>
      <c r="B198" s="45">
        <f>IF(O198="","",IFERROR(INDEX(SK_C,MATCH(O198,SK_A,0)),""))</f>
        <v/>
      </c>
      <c r="C198" s="46">
        <f>IF(Q198="","",IF(Q198=0,"D",IF(Q198&lt;0,"D"&amp;Q198,"D+"&amp;Q198)))</f>
        <v/>
      </c>
      <c r="D198" s="14" t="n"/>
      <c r="E198" s="12" t="n"/>
      <c r="F198" s="46" t="n"/>
      <c r="G198" s="47" t="n"/>
      <c r="H198" s="14" t="n"/>
      <c r="I198" s="13">
        <f>IF(OR(B198="",Q198=""),"",IF(Q198&gt;0,IF(R198="Làm việc",WORKDAY(IFERROR(IF(INDEX(SK_D,MATCH(O198,SK_A,0))="",B198,INDEX(SK_D,MATCH(O198,SK_A,0))),B198),Q198,HOLI),IFERROR(IF(INDEX(SK_D,MATCH(O198,SK_A,0))="",B198,INDEX(SK_D,MATCH(O198,SK_A,0))),B198)+Q198),B198+Q198))</f>
        <v/>
      </c>
      <c r="J198" s="14" t="n"/>
      <c r="K198" s="13" t="n"/>
      <c r="L198" s="12" t="n"/>
      <c r="M198" s="48">
        <f>IF(E198="","",IF(J198="Bỏ qua","—",IF(J198="Xong",IF(AND(ISNUMBER(K198),ISNUMBER(I198),K198&gt;I198),"Xong trễ","Xong"),MID(IF(G198=""," · CHƯA GIAO","")&amp;IF(NOT(ISNUMBER(I198)),"",IF(TODAY()&gt;I198," · QUÁ HẠN "&amp;(TODAY()-I198)&amp;" ngày",IF(I198-TODAY()&lt;=3," · Đến hạn "&amp;IF(I198=TODAY(),"hôm nay","trong "&amp;(I198-TODAY())&amp;" ngày"),"")))&amp;IF(J198="Chờ đối tác"," · Chờ đối tác"&amp;IF(ISNUMBER(N198)," "&amp;(TODAY()-INT(N198))&amp;" ngày",""),""),4,200))))</f>
        <v/>
      </c>
      <c r="N198" s="49" t="n"/>
      <c r="S198">
        <f>IF(AND(E198&lt;&gt;"",T198="Có",J198&lt;&gt;"Xong",J198&lt;&gt;"Bỏ qua",ISNUMBER(I198)),I198+ROW()/100000,"")</f>
        <v/>
      </c>
      <c r="T198">
        <f>IF(O198="","",IFERROR(INDEX(SK_TD,MATCH(O198,SK_A,0)),""))</f>
        <v/>
      </c>
      <c r="V198">
        <f>IF(AND(O198&lt;&gt;"",O198=SEL_K,J198&lt;&gt;"Xong",J198&lt;&gt;"Bỏ qua"),IF(ISNUMBER(I198),I198,99999)+ROW()/100000,"")</f>
        <v/>
      </c>
    </row>
    <row r="199">
      <c r="A199" s="12">
        <f>IF(O199="","",IFERROR(INDEX(SK_B,MATCH(O199,SK_A,0))&amp;"",""))</f>
        <v/>
      </c>
      <c r="B199" s="45">
        <f>IF(O199="","",IFERROR(INDEX(SK_C,MATCH(O199,SK_A,0)),""))</f>
        <v/>
      </c>
      <c r="C199" s="46">
        <f>IF(Q199="","",IF(Q199=0,"D",IF(Q199&lt;0,"D"&amp;Q199,"D+"&amp;Q199)))</f>
        <v/>
      </c>
      <c r="D199" s="14" t="n"/>
      <c r="E199" s="12" t="n"/>
      <c r="F199" s="46" t="n"/>
      <c r="G199" s="47" t="n"/>
      <c r="H199" s="14" t="n"/>
      <c r="I199" s="13">
        <f>IF(OR(B199="",Q199=""),"",IF(Q199&gt;0,IF(R199="Làm việc",WORKDAY(IFERROR(IF(INDEX(SK_D,MATCH(O199,SK_A,0))="",B199,INDEX(SK_D,MATCH(O199,SK_A,0))),B199),Q199,HOLI),IFERROR(IF(INDEX(SK_D,MATCH(O199,SK_A,0))="",B199,INDEX(SK_D,MATCH(O199,SK_A,0))),B199)+Q199),B199+Q199))</f>
        <v/>
      </c>
      <c r="J199" s="14" t="n"/>
      <c r="K199" s="13" t="n"/>
      <c r="L199" s="12" t="n"/>
      <c r="M199" s="48">
        <f>IF(E199="","",IF(J199="Bỏ qua","—",IF(J199="Xong",IF(AND(ISNUMBER(K199),ISNUMBER(I199),K199&gt;I199),"Xong trễ","Xong"),MID(IF(G199=""," · CHƯA GIAO","")&amp;IF(NOT(ISNUMBER(I199)),"",IF(TODAY()&gt;I199," · QUÁ HẠN "&amp;(TODAY()-I199)&amp;" ngày",IF(I199-TODAY()&lt;=3," · Đến hạn "&amp;IF(I199=TODAY(),"hôm nay","trong "&amp;(I199-TODAY())&amp;" ngày"),"")))&amp;IF(J199="Chờ đối tác"," · Chờ đối tác"&amp;IF(ISNUMBER(N199)," "&amp;(TODAY()-INT(N199))&amp;" ngày",""),""),4,200))))</f>
        <v/>
      </c>
      <c r="N199" s="49" t="n"/>
      <c r="S199">
        <f>IF(AND(E199&lt;&gt;"",T199="Có",J199&lt;&gt;"Xong",J199&lt;&gt;"Bỏ qua",ISNUMBER(I199)),I199+ROW()/100000,"")</f>
        <v/>
      </c>
      <c r="T199">
        <f>IF(O199="","",IFERROR(INDEX(SK_TD,MATCH(O199,SK_A,0)),""))</f>
        <v/>
      </c>
      <c r="V199">
        <f>IF(AND(O199&lt;&gt;"",O199=SEL_K,J199&lt;&gt;"Xong",J199&lt;&gt;"Bỏ qua"),IF(ISNUMBER(I199),I199,99999)+ROW()/100000,"")</f>
        <v/>
      </c>
    </row>
    <row r="200">
      <c r="A200" s="12">
        <f>IF(O200="","",IFERROR(INDEX(SK_B,MATCH(O200,SK_A,0))&amp;"",""))</f>
        <v/>
      </c>
      <c r="B200" s="45">
        <f>IF(O200="","",IFERROR(INDEX(SK_C,MATCH(O200,SK_A,0)),""))</f>
        <v/>
      </c>
      <c r="C200" s="46">
        <f>IF(Q200="","",IF(Q200=0,"D",IF(Q200&lt;0,"D"&amp;Q200,"D+"&amp;Q200)))</f>
        <v/>
      </c>
      <c r="D200" s="14" t="n"/>
      <c r="E200" s="12" t="n"/>
      <c r="F200" s="46" t="n"/>
      <c r="G200" s="47" t="n"/>
      <c r="H200" s="14" t="n"/>
      <c r="I200" s="13">
        <f>IF(OR(B200="",Q200=""),"",IF(Q200&gt;0,IF(R200="Làm việc",WORKDAY(IFERROR(IF(INDEX(SK_D,MATCH(O200,SK_A,0))="",B200,INDEX(SK_D,MATCH(O200,SK_A,0))),B200),Q200,HOLI),IFERROR(IF(INDEX(SK_D,MATCH(O200,SK_A,0))="",B200,INDEX(SK_D,MATCH(O200,SK_A,0))),B200)+Q200),B200+Q200))</f>
        <v/>
      </c>
      <c r="J200" s="14" t="n"/>
      <c r="K200" s="13" t="n"/>
      <c r="L200" s="12" t="n"/>
      <c r="M200" s="48">
        <f>IF(E200="","",IF(J200="Bỏ qua","—",IF(J200="Xong",IF(AND(ISNUMBER(K200),ISNUMBER(I200),K200&gt;I200),"Xong trễ","Xong"),MID(IF(G200=""," · CHƯA GIAO","")&amp;IF(NOT(ISNUMBER(I200)),"",IF(TODAY()&gt;I200," · QUÁ HẠN "&amp;(TODAY()-I200)&amp;" ngày",IF(I200-TODAY()&lt;=3," · Đến hạn "&amp;IF(I200=TODAY(),"hôm nay","trong "&amp;(I200-TODAY())&amp;" ngày"),"")))&amp;IF(J200="Chờ đối tác"," · Chờ đối tác"&amp;IF(ISNUMBER(N200)," "&amp;(TODAY()-INT(N200))&amp;" ngày",""),""),4,200))))</f>
        <v/>
      </c>
      <c r="N200" s="49" t="n"/>
      <c r="S200">
        <f>IF(AND(E200&lt;&gt;"",T200="Có",J200&lt;&gt;"Xong",J200&lt;&gt;"Bỏ qua",ISNUMBER(I200)),I200+ROW()/100000,"")</f>
        <v/>
      </c>
      <c r="T200">
        <f>IF(O200="","",IFERROR(INDEX(SK_TD,MATCH(O200,SK_A,0)),""))</f>
        <v/>
      </c>
      <c r="V200">
        <f>IF(AND(O200&lt;&gt;"",O200=SEL_K,J200&lt;&gt;"Xong",J200&lt;&gt;"Bỏ qua"),IF(ISNUMBER(I200),I200,99999)+ROW()/100000,"")</f>
        <v/>
      </c>
    </row>
    <row r="201">
      <c r="A201" s="12">
        <f>IF(O201="","",IFERROR(INDEX(SK_B,MATCH(O201,SK_A,0))&amp;"",""))</f>
        <v/>
      </c>
      <c r="B201" s="45">
        <f>IF(O201="","",IFERROR(INDEX(SK_C,MATCH(O201,SK_A,0)),""))</f>
        <v/>
      </c>
      <c r="C201" s="46">
        <f>IF(Q201="","",IF(Q201=0,"D",IF(Q201&lt;0,"D"&amp;Q201,"D+"&amp;Q201)))</f>
        <v/>
      </c>
      <c r="D201" s="14" t="n"/>
      <c r="E201" s="12" t="n"/>
      <c r="F201" s="46" t="n"/>
      <c r="G201" s="47" t="n"/>
      <c r="H201" s="14" t="n"/>
      <c r="I201" s="13">
        <f>IF(OR(B201="",Q201=""),"",IF(Q201&gt;0,IF(R201="Làm việc",WORKDAY(IFERROR(IF(INDEX(SK_D,MATCH(O201,SK_A,0))="",B201,INDEX(SK_D,MATCH(O201,SK_A,0))),B201),Q201,HOLI),IFERROR(IF(INDEX(SK_D,MATCH(O201,SK_A,0))="",B201,INDEX(SK_D,MATCH(O201,SK_A,0))),B201)+Q201),B201+Q201))</f>
        <v/>
      </c>
      <c r="J201" s="14" t="n"/>
      <c r="K201" s="13" t="n"/>
      <c r="L201" s="12" t="n"/>
      <c r="M201" s="48">
        <f>IF(E201="","",IF(J201="Bỏ qua","—",IF(J201="Xong",IF(AND(ISNUMBER(K201),ISNUMBER(I201),K201&gt;I201),"Xong trễ","Xong"),MID(IF(G201=""," · CHƯA GIAO","")&amp;IF(NOT(ISNUMBER(I201)),"",IF(TODAY()&gt;I201," · QUÁ HẠN "&amp;(TODAY()-I201)&amp;" ngày",IF(I201-TODAY()&lt;=3," · Đến hạn "&amp;IF(I201=TODAY(),"hôm nay","trong "&amp;(I201-TODAY())&amp;" ngày"),"")))&amp;IF(J201="Chờ đối tác"," · Chờ đối tác"&amp;IF(ISNUMBER(N201)," "&amp;(TODAY()-INT(N201))&amp;" ngày",""),""),4,200))))</f>
        <v/>
      </c>
      <c r="N201" s="49" t="n"/>
      <c r="S201">
        <f>IF(AND(E201&lt;&gt;"",T201="Có",J201&lt;&gt;"Xong",J201&lt;&gt;"Bỏ qua",ISNUMBER(I201)),I201+ROW()/100000,"")</f>
        <v/>
      </c>
      <c r="T201">
        <f>IF(O201="","",IFERROR(INDEX(SK_TD,MATCH(O201,SK_A,0)),""))</f>
        <v/>
      </c>
      <c r="V201">
        <f>IF(AND(O201&lt;&gt;"",O201=SEL_K,J201&lt;&gt;"Xong",J201&lt;&gt;"Bỏ qua"),IF(ISNUMBER(I201),I201,99999)+ROW()/100000,"")</f>
        <v/>
      </c>
    </row>
    <row r="202">
      <c r="A202" s="12">
        <f>IF(O202="","",IFERROR(INDEX(SK_B,MATCH(O202,SK_A,0))&amp;"",""))</f>
        <v/>
      </c>
      <c r="B202" s="45">
        <f>IF(O202="","",IFERROR(INDEX(SK_C,MATCH(O202,SK_A,0)),""))</f>
        <v/>
      </c>
      <c r="C202" s="46">
        <f>IF(Q202="","",IF(Q202=0,"D",IF(Q202&lt;0,"D"&amp;Q202,"D+"&amp;Q202)))</f>
        <v/>
      </c>
      <c r="D202" s="14" t="n"/>
      <c r="E202" s="12" t="n"/>
      <c r="F202" s="46" t="n"/>
      <c r="G202" s="47" t="n"/>
      <c r="H202" s="14" t="n"/>
      <c r="I202" s="13">
        <f>IF(OR(B202="",Q202=""),"",IF(Q202&gt;0,IF(R202="Làm việc",WORKDAY(IFERROR(IF(INDEX(SK_D,MATCH(O202,SK_A,0))="",B202,INDEX(SK_D,MATCH(O202,SK_A,0))),B202),Q202,HOLI),IFERROR(IF(INDEX(SK_D,MATCH(O202,SK_A,0))="",B202,INDEX(SK_D,MATCH(O202,SK_A,0))),B202)+Q202),B202+Q202))</f>
        <v/>
      </c>
      <c r="J202" s="14" t="n"/>
      <c r="K202" s="13" t="n"/>
      <c r="L202" s="12" t="n"/>
      <c r="M202" s="48">
        <f>IF(E202="","",IF(J202="Bỏ qua","—",IF(J202="Xong",IF(AND(ISNUMBER(K202),ISNUMBER(I202),K202&gt;I202),"Xong trễ","Xong"),MID(IF(G202=""," · CHƯA GIAO","")&amp;IF(NOT(ISNUMBER(I202)),"",IF(TODAY()&gt;I202," · QUÁ HẠN "&amp;(TODAY()-I202)&amp;" ngày",IF(I202-TODAY()&lt;=3," · Đến hạn "&amp;IF(I202=TODAY(),"hôm nay","trong "&amp;(I202-TODAY())&amp;" ngày"),"")))&amp;IF(J202="Chờ đối tác"," · Chờ đối tác"&amp;IF(ISNUMBER(N202)," "&amp;(TODAY()-INT(N202))&amp;" ngày",""),""),4,200))))</f>
        <v/>
      </c>
      <c r="N202" s="49" t="n"/>
      <c r="S202">
        <f>IF(AND(E202&lt;&gt;"",T202="Có",J202&lt;&gt;"Xong",J202&lt;&gt;"Bỏ qua",ISNUMBER(I202)),I202+ROW()/100000,"")</f>
        <v/>
      </c>
      <c r="T202">
        <f>IF(O202="","",IFERROR(INDEX(SK_TD,MATCH(O202,SK_A,0)),""))</f>
        <v/>
      </c>
      <c r="V202">
        <f>IF(AND(O202&lt;&gt;"",O202=SEL_K,J202&lt;&gt;"Xong",J202&lt;&gt;"Bỏ qua"),IF(ISNUMBER(I202),I202,99999)+ROW()/100000,"")</f>
        <v/>
      </c>
    </row>
    <row r="203">
      <c r="A203" s="12">
        <f>IF(O203="","",IFERROR(INDEX(SK_B,MATCH(O203,SK_A,0))&amp;"",""))</f>
        <v/>
      </c>
      <c r="B203" s="45">
        <f>IF(O203="","",IFERROR(INDEX(SK_C,MATCH(O203,SK_A,0)),""))</f>
        <v/>
      </c>
      <c r="C203" s="46">
        <f>IF(Q203="","",IF(Q203=0,"D",IF(Q203&lt;0,"D"&amp;Q203,"D+"&amp;Q203)))</f>
        <v/>
      </c>
      <c r="D203" s="14" t="n"/>
      <c r="E203" s="12" t="n"/>
      <c r="F203" s="46" t="n"/>
      <c r="G203" s="47" t="n"/>
      <c r="H203" s="14" t="n"/>
      <c r="I203" s="13">
        <f>IF(OR(B203="",Q203=""),"",IF(Q203&gt;0,IF(R203="Làm việc",WORKDAY(IFERROR(IF(INDEX(SK_D,MATCH(O203,SK_A,0))="",B203,INDEX(SK_D,MATCH(O203,SK_A,0))),B203),Q203,HOLI),IFERROR(IF(INDEX(SK_D,MATCH(O203,SK_A,0))="",B203,INDEX(SK_D,MATCH(O203,SK_A,0))),B203)+Q203),B203+Q203))</f>
        <v/>
      </c>
      <c r="J203" s="14" t="n"/>
      <c r="K203" s="13" t="n"/>
      <c r="L203" s="12" t="n"/>
      <c r="M203" s="48">
        <f>IF(E203="","",IF(J203="Bỏ qua","—",IF(J203="Xong",IF(AND(ISNUMBER(K203),ISNUMBER(I203),K203&gt;I203),"Xong trễ","Xong"),MID(IF(G203=""," · CHƯA GIAO","")&amp;IF(NOT(ISNUMBER(I203)),"",IF(TODAY()&gt;I203," · QUÁ HẠN "&amp;(TODAY()-I203)&amp;" ngày",IF(I203-TODAY()&lt;=3," · Đến hạn "&amp;IF(I203=TODAY(),"hôm nay","trong "&amp;(I203-TODAY())&amp;" ngày"),"")))&amp;IF(J203="Chờ đối tác"," · Chờ đối tác"&amp;IF(ISNUMBER(N203)," "&amp;(TODAY()-INT(N203))&amp;" ngày",""),""),4,200))))</f>
        <v/>
      </c>
      <c r="N203" s="49" t="n"/>
      <c r="S203">
        <f>IF(AND(E203&lt;&gt;"",T203="Có",J203&lt;&gt;"Xong",J203&lt;&gt;"Bỏ qua",ISNUMBER(I203)),I203+ROW()/100000,"")</f>
        <v/>
      </c>
      <c r="T203">
        <f>IF(O203="","",IFERROR(INDEX(SK_TD,MATCH(O203,SK_A,0)),""))</f>
        <v/>
      </c>
      <c r="V203">
        <f>IF(AND(O203&lt;&gt;"",O203=SEL_K,J203&lt;&gt;"Xong",J203&lt;&gt;"Bỏ qua"),IF(ISNUMBER(I203),I203,99999)+ROW()/100000,"")</f>
        <v/>
      </c>
    </row>
    <row r="204">
      <c r="A204" s="12">
        <f>IF(O204="","",IFERROR(INDEX(SK_B,MATCH(O204,SK_A,0))&amp;"",""))</f>
        <v/>
      </c>
      <c r="B204" s="45">
        <f>IF(O204="","",IFERROR(INDEX(SK_C,MATCH(O204,SK_A,0)),""))</f>
        <v/>
      </c>
      <c r="C204" s="46">
        <f>IF(Q204="","",IF(Q204=0,"D",IF(Q204&lt;0,"D"&amp;Q204,"D+"&amp;Q204)))</f>
        <v/>
      </c>
      <c r="D204" s="14" t="n"/>
      <c r="E204" s="12" t="n"/>
      <c r="F204" s="46" t="n"/>
      <c r="G204" s="47" t="n"/>
      <c r="H204" s="14" t="n"/>
      <c r="I204" s="13">
        <f>IF(OR(B204="",Q204=""),"",IF(Q204&gt;0,IF(R204="Làm việc",WORKDAY(IFERROR(IF(INDEX(SK_D,MATCH(O204,SK_A,0))="",B204,INDEX(SK_D,MATCH(O204,SK_A,0))),B204),Q204,HOLI),IFERROR(IF(INDEX(SK_D,MATCH(O204,SK_A,0))="",B204,INDEX(SK_D,MATCH(O204,SK_A,0))),B204)+Q204),B204+Q204))</f>
        <v/>
      </c>
      <c r="J204" s="14" t="n"/>
      <c r="K204" s="13" t="n"/>
      <c r="L204" s="12" t="n"/>
      <c r="M204" s="48">
        <f>IF(E204="","",IF(J204="Bỏ qua","—",IF(J204="Xong",IF(AND(ISNUMBER(K204),ISNUMBER(I204),K204&gt;I204),"Xong trễ","Xong"),MID(IF(G204=""," · CHƯA GIAO","")&amp;IF(NOT(ISNUMBER(I204)),"",IF(TODAY()&gt;I204," · QUÁ HẠN "&amp;(TODAY()-I204)&amp;" ngày",IF(I204-TODAY()&lt;=3," · Đến hạn "&amp;IF(I204=TODAY(),"hôm nay","trong "&amp;(I204-TODAY())&amp;" ngày"),"")))&amp;IF(J204="Chờ đối tác"," · Chờ đối tác"&amp;IF(ISNUMBER(N204)," "&amp;(TODAY()-INT(N204))&amp;" ngày",""),""),4,200))))</f>
        <v/>
      </c>
      <c r="N204" s="49" t="n"/>
      <c r="S204">
        <f>IF(AND(E204&lt;&gt;"",T204="Có",J204&lt;&gt;"Xong",J204&lt;&gt;"Bỏ qua",ISNUMBER(I204)),I204+ROW()/100000,"")</f>
        <v/>
      </c>
      <c r="T204">
        <f>IF(O204="","",IFERROR(INDEX(SK_TD,MATCH(O204,SK_A,0)),""))</f>
        <v/>
      </c>
      <c r="V204">
        <f>IF(AND(O204&lt;&gt;"",O204=SEL_K,J204&lt;&gt;"Xong",J204&lt;&gt;"Bỏ qua"),IF(ISNUMBER(I204),I204,99999)+ROW()/100000,"")</f>
        <v/>
      </c>
    </row>
    <row r="205">
      <c r="A205" s="12">
        <f>IF(O205="","",IFERROR(INDEX(SK_B,MATCH(O205,SK_A,0))&amp;"",""))</f>
        <v/>
      </c>
      <c r="B205" s="45">
        <f>IF(O205="","",IFERROR(INDEX(SK_C,MATCH(O205,SK_A,0)),""))</f>
        <v/>
      </c>
      <c r="C205" s="46">
        <f>IF(Q205="","",IF(Q205=0,"D",IF(Q205&lt;0,"D"&amp;Q205,"D+"&amp;Q205)))</f>
        <v/>
      </c>
      <c r="D205" s="14" t="n"/>
      <c r="E205" s="12" t="n"/>
      <c r="F205" s="46" t="n"/>
      <c r="G205" s="47" t="n"/>
      <c r="H205" s="14" t="n"/>
      <c r="I205" s="13">
        <f>IF(OR(B205="",Q205=""),"",IF(Q205&gt;0,IF(R205="Làm việc",WORKDAY(IFERROR(IF(INDEX(SK_D,MATCH(O205,SK_A,0))="",B205,INDEX(SK_D,MATCH(O205,SK_A,0))),B205),Q205,HOLI),IFERROR(IF(INDEX(SK_D,MATCH(O205,SK_A,0))="",B205,INDEX(SK_D,MATCH(O205,SK_A,0))),B205)+Q205),B205+Q205))</f>
        <v/>
      </c>
      <c r="J205" s="14" t="n"/>
      <c r="K205" s="13" t="n"/>
      <c r="L205" s="12" t="n"/>
      <c r="M205" s="48">
        <f>IF(E205="","",IF(J205="Bỏ qua","—",IF(J205="Xong",IF(AND(ISNUMBER(K205),ISNUMBER(I205),K205&gt;I205),"Xong trễ","Xong"),MID(IF(G205=""," · CHƯA GIAO","")&amp;IF(NOT(ISNUMBER(I205)),"",IF(TODAY()&gt;I205," · QUÁ HẠN "&amp;(TODAY()-I205)&amp;" ngày",IF(I205-TODAY()&lt;=3," · Đến hạn "&amp;IF(I205=TODAY(),"hôm nay","trong "&amp;(I205-TODAY())&amp;" ngày"),"")))&amp;IF(J205="Chờ đối tác"," · Chờ đối tác"&amp;IF(ISNUMBER(N205)," "&amp;(TODAY()-INT(N205))&amp;" ngày",""),""),4,200))))</f>
        <v/>
      </c>
      <c r="N205" s="49" t="n"/>
      <c r="S205">
        <f>IF(AND(E205&lt;&gt;"",T205="Có",J205&lt;&gt;"Xong",J205&lt;&gt;"Bỏ qua",ISNUMBER(I205)),I205+ROW()/100000,"")</f>
        <v/>
      </c>
      <c r="T205">
        <f>IF(O205="","",IFERROR(INDEX(SK_TD,MATCH(O205,SK_A,0)),""))</f>
        <v/>
      </c>
      <c r="V205">
        <f>IF(AND(O205&lt;&gt;"",O205=SEL_K,J205&lt;&gt;"Xong",J205&lt;&gt;"Bỏ qua"),IF(ISNUMBER(I205),I205,99999)+ROW()/100000,"")</f>
        <v/>
      </c>
    </row>
    <row r="206">
      <c r="A206" s="12">
        <f>IF(O206="","",IFERROR(INDEX(SK_B,MATCH(O206,SK_A,0))&amp;"",""))</f>
        <v/>
      </c>
      <c r="B206" s="45">
        <f>IF(O206="","",IFERROR(INDEX(SK_C,MATCH(O206,SK_A,0)),""))</f>
        <v/>
      </c>
      <c r="C206" s="46">
        <f>IF(Q206="","",IF(Q206=0,"D",IF(Q206&lt;0,"D"&amp;Q206,"D+"&amp;Q206)))</f>
        <v/>
      </c>
      <c r="D206" s="14" t="n"/>
      <c r="E206" s="12" t="n"/>
      <c r="F206" s="46" t="n"/>
      <c r="G206" s="47" t="n"/>
      <c r="H206" s="14" t="n"/>
      <c r="I206" s="13">
        <f>IF(OR(B206="",Q206=""),"",IF(Q206&gt;0,IF(R206="Làm việc",WORKDAY(IFERROR(IF(INDEX(SK_D,MATCH(O206,SK_A,0))="",B206,INDEX(SK_D,MATCH(O206,SK_A,0))),B206),Q206,HOLI),IFERROR(IF(INDEX(SK_D,MATCH(O206,SK_A,0))="",B206,INDEX(SK_D,MATCH(O206,SK_A,0))),B206)+Q206),B206+Q206))</f>
        <v/>
      </c>
      <c r="J206" s="14" t="n"/>
      <c r="K206" s="13" t="n"/>
      <c r="L206" s="12" t="n"/>
      <c r="M206" s="48">
        <f>IF(E206="","",IF(J206="Bỏ qua","—",IF(J206="Xong",IF(AND(ISNUMBER(K206),ISNUMBER(I206),K206&gt;I206),"Xong trễ","Xong"),MID(IF(G206=""," · CHƯA GIAO","")&amp;IF(NOT(ISNUMBER(I206)),"",IF(TODAY()&gt;I206," · QUÁ HẠN "&amp;(TODAY()-I206)&amp;" ngày",IF(I206-TODAY()&lt;=3," · Đến hạn "&amp;IF(I206=TODAY(),"hôm nay","trong "&amp;(I206-TODAY())&amp;" ngày"),"")))&amp;IF(J206="Chờ đối tác"," · Chờ đối tác"&amp;IF(ISNUMBER(N206)," "&amp;(TODAY()-INT(N206))&amp;" ngày",""),""),4,200))))</f>
        <v/>
      </c>
      <c r="N206" s="49" t="n"/>
      <c r="S206">
        <f>IF(AND(E206&lt;&gt;"",T206="Có",J206&lt;&gt;"Xong",J206&lt;&gt;"Bỏ qua",ISNUMBER(I206)),I206+ROW()/100000,"")</f>
        <v/>
      </c>
      <c r="T206">
        <f>IF(O206="","",IFERROR(INDEX(SK_TD,MATCH(O206,SK_A,0)),""))</f>
        <v/>
      </c>
      <c r="V206">
        <f>IF(AND(O206&lt;&gt;"",O206=SEL_K,J206&lt;&gt;"Xong",J206&lt;&gt;"Bỏ qua"),IF(ISNUMBER(I206),I206,99999)+ROW()/100000,"")</f>
        <v/>
      </c>
    </row>
    <row r="207">
      <c r="A207" s="12">
        <f>IF(O207="","",IFERROR(INDEX(SK_B,MATCH(O207,SK_A,0))&amp;"",""))</f>
        <v/>
      </c>
      <c r="B207" s="45">
        <f>IF(O207="","",IFERROR(INDEX(SK_C,MATCH(O207,SK_A,0)),""))</f>
        <v/>
      </c>
      <c r="C207" s="46">
        <f>IF(Q207="","",IF(Q207=0,"D",IF(Q207&lt;0,"D"&amp;Q207,"D+"&amp;Q207)))</f>
        <v/>
      </c>
      <c r="D207" s="14" t="n"/>
      <c r="E207" s="12" t="n"/>
      <c r="F207" s="46" t="n"/>
      <c r="G207" s="47" t="n"/>
      <c r="H207" s="14" t="n"/>
      <c r="I207" s="13">
        <f>IF(OR(B207="",Q207=""),"",IF(Q207&gt;0,IF(R207="Làm việc",WORKDAY(IFERROR(IF(INDEX(SK_D,MATCH(O207,SK_A,0))="",B207,INDEX(SK_D,MATCH(O207,SK_A,0))),B207),Q207,HOLI),IFERROR(IF(INDEX(SK_D,MATCH(O207,SK_A,0))="",B207,INDEX(SK_D,MATCH(O207,SK_A,0))),B207)+Q207),B207+Q207))</f>
        <v/>
      </c>
      <c r="J207" s="14" t="n"/>
      <c r="K207" s="13" t="n"/>
      <c r="L207" s="12" t="n"/>
      <c r="M207" s="48">
        <f>IF(E207="","",IF(J207="Bỏ qua","—",IF(J207="Xong",IF(AND(ISNUMBER(K207),ISNUMBER(I207),K207&gt;I207),"Xong trễ","Xong"),MID(IF(G207=""," · CHƯA GIAO","")&amp;IF(NOT(ISNUMBER(I207)),"",IF(TODAY()&gt;I207," · QUÁ HẠN "&amp;(TODAY()-I207)&amp;" ngày",IF(I207-TODAY()&lt;=3," · Đến hạn "&amp;IF(I207=TODAY(),"hôm nay","trong "&amp;(I207-TODAY())&amp;" ngày"),"")))&amp;IF(J207="Chờ đối tác"," · Chờ đối tác"&amp;IF(ISNUMBER(N207)," "&amp;(TODAY()-INT(N207))&amp;" ngày",""),""),4,200))))</f>
        <v/>
      </c>
      <c r="N207" s="49" t="n"/>
      <c r="S207">
        <f>IF(AND(E207&lt;&gt;"",T207="Có",J207&lt;&gt;"Xong",J207&lt;&gt;"Bỏ qua",ISNUMBER(I207)),I207+ROW()/100000,"")</f>
        <v/>
      </c>
      <c r="T207">
        <f>IF(O207="","",IFERROR(INDEX(SK_TD,MATCH(O207,SK_A,0)),""))</f>
        <v/>
      </c>
      <c r="V207">
        <f>IF(AND(O207&lt;&gt;"",O207=SEL_K,J207&lt;&gt;"Xong",J207&lt;&gt;"Bỏ qua"),IF(ISNUMBER(I207),I207,99999)+ROW()/100000,"")</f>
        <v/>
      </c>
    </row>
    <row r="208">
      <c r="A208" s="12">
        <f>IF(O208="","",IFERROR(INDEX(SK_B,MATCH(O208,SK_A,0))&amp;"",""))</f>
        <v/>
      </c>
      <c r="B208" s="45">
        <f>IF(O208="","",IFERROR(INDEX(SK_C,MATCH(O208,SK_A,0)),""))</f>
        <v/>
      </c>
      <c r="C208" s="46">
        <f>IF(Q208="","",IF(Q208=0,"D",IF(Q208&lt;0,"D"&amp;Q208,"D+"&amp;Q208)))</f>
        <v/>
      </c>
      <c r="D208" s="14" t="n"/>
      <c r="E208" s="12" t="n"/>
      <c r="F208" s="46" t="n"/>
      <c r="G208" s="47" t="n"/>
      <c r="H208" s="14" t="n"/>
      <c r="I208" s="13">
        <f>IF(OR(B208="",Q208=""),"",IF(Q208&gt;0,IF(R208="Làm việc",WORKDAY(IFERROR(IF(INDEX(SK_D,MATCH(O208,SK_A,0))="",B208,INDEX(SK_D,MATCH(O208,SK_A,0))),B208),Q208,HOLI),IFERROR(IF(INDEX(SK_D,MATCH(O208,SK_A,0))="",B208,INDEX(SK_D,MATCH(O208,SK_A,0))),B208)+Q208),B208+Q208))</f>
        <v/>
      </c>
      <c r="J208" s="14" t="n"/>
      <c r="K208" s="13" t="n"/>
      <c r="L208" s="12" t="n"/>
      <c r="M208" s="48">
        <f>IF(E208="","",IF(J208="Bỏ qua","—",IF(J208="Xong",IF(AND(ISNUMBER(K208),ISNUMBER(I208),K208&gt;I208),"Xong trễ","Xong"),MID(IF(G208=""," · CHƯA GIAO","")&amp;IF(NOT(ISNUMBER(I208)),"",IF(TODAY()&gt;I208," · QUÁ HẠN "&amp;(TODAY()-I208)&amp;" ngày",IF(I208-TODAY()&lt;=3," · Đến hạn "&amp;IF(I208=TODAY(),"hôm nay","trong "&amp;(I208-TODAY())&amp;" ngày"),"")))&amp;IF(J208="Chờ đối tác"," · Chờ đối tác"&amp;IF(ISNUMBER(N208)," "&amp;(TODAY()-INT(N208))&amp;" ngày",""),""),4,200))))</f>
        <v/>
      </c>
      <c r="N208" s="49" t="n"/>
      <c r="S208">
        <f>IF(AND(E208&lt;&gt;"",T208="Có",J208&lt;&gt;"Xong",J208&lt;&gt;"Bỏ qua",ISNUMBER(I208)),I208+ROW()/100000,"")</f>
        <v/>
      </c>
      <c r="T208">
        <f>IF(O208="","",IFERROR(INDEX(SK_TD,MATCH(O208,SK_A,0)),""))</f>
        <v/>
      </c>
      <c r="V208">
        <f>IF(AND(O208&lt;&gt;"",O208=SEL_K,J208&lt;&gt;"Xong",J208&lt;&gt;"Bỏ qua"),IF(ISNUMBER(I208),I208,99999)+ROW()/100000,"")</f>
        <v/>
      </c>
    </row>
    <row r="209">
      <c r="A209" s="12">
        <f>IF(O209="","",IFERROR(INDEX(SK_B,MATCH(O209,SK_A,0))&amp;"",""))</f>
        <v/>
      </c>
      <c r="B209" s="45">
        <f>IF(O209="","",IFERROR(INDEX(SK_C,MATCH(O209,SK_A,0)),""))</f>
        <v/>
      </c>
      <c r="C209" s="46">
        <f>IF(Q209="","",IF(Q209=0,"D",IF(Q209&lt;0,"D"&amp;Q209,"D+"&amp;Q209)))</f>
        <v/>
      </c>
      <c r="D209" s="14" t="n"/>
      <c r="E209" s="12" t="n"/>
      <c r="F209" s="46" t="n"/>
      <c r="G209" s="47" t="n"/>
      <c r="H209" s="14" t="n"/>
      <c r="I209" s="13">
        <f>IF(OR(B209="",Q209=""),"",IF(Q209&gt;0,IF(R209="Làm việc",WORKDAY(IFERROR(IF(INDEX(SK_D,MATCH(O209,SK_A,0))="",B209,INDEX(SK_D,MATCH(O209,SK_A,0))),B209),Q209,HOLI),IFERROR(IF(INDEX(SK_D,MATCH(O209,SK_A,0))="",B209,INDEX(SK_D,MATCH(O209,SK_A,0))),B209)+Q209),B209+Q209))</f>
        <v/>
      </c>
      <c r="J209" s="14" t="n"/>
      <c r="K209" s="13" t="n"/>
      <c r="L209" s="12" t="n"/>
      <c r="M209" s="48">
        <f>IF(E209="","",IF(J209="Bỏ qua","—",IF(J209="Xong",IF(AND(ISNUMBER(K209),ISNUMBER(I209),K209&gt;I209),"Xong trễ","Xong"),MID(IF(G209=""," · CHƯA GIAO","")&amp;IF(NOT(ISNUMBER(I209)),"",IF(TODAY()&gt;I209," · QUÁ HẠN "&amp;(TODAY()-I209)&amp;" ngày",IF(I209-TODAY()&lt;=3," · Đến hạn "&amp;IF(I209=TODAY(),"hôm nay","trong "&amp;(I209-TODAY())&amp;" ngày"),"")))&amp;IF(J209="Chờ đối tác"," · Chờ đối tác"&amp;IF(ISNUMBER(N209)," "&amp;(TODAY()-INT(N209))&amp;" ngày",""),""),4,200))))</f>
        <v/>
      </c>
      <c r="N209" s="49" t="n"/>
      <c r="S209">
        <f>IF(AND(E209&lt;&gt;"",T209="Có",J209&lt;&gt;"Xong",J209&lt;&gt;"Bỏ qua",ISNUMBER(I209)),I209+ROW()/100000,"")</f>
        <v/>
      </c>
      <c r="T209">
        <f>IF(O209="","",IFERROR(INDEX(SK_TD,MATCH(O209,SK_A,0)),""))</f>
        <v/>
      </c>
      <c r="V209">
        <f>IF(AND(O209&lt;&gt;"",O209=SEL_K,J209&lt;&gt;"Xong",J209&lt;&gt;"Bỏ qua"),IF(ISNUMBER(I209),I209,99999)+ROW()/100000,"")</f>
        <v/>
      </c>
    </row>
    <row r="210">
      <c r="A210" s="12">
        <f>IF(O210="","",IFERROR(INDEX(SK_B,MATCH(O210,SK_A,0))&amp;"",""))</f>
        <v/>
      </c>
      <c r="B210" s="45">
        <f>IF(O210="","",IFERROR(INDEX(SK_C,MATCH(O210,SK_A,0)),""))</f>
        <v/>
      </c>
      <c r="C210" s="46">
        <f>IF(Q210="","",IF(Q210=0,"D",IF(Q210&lt;0,"D"&amp;Q210,"D+"&amp;Q210)))</f>
        <v/>
      </c>
      <c r="D210" s="14" t="n"/>
      <c r="E210" s="12" t="n"/>
      <c r="F210" s="46" t="n"/>
      <c r="G210" s="47" t="n"/>
      <c r="H210" s="14" t="n"/>
      <c r="I210" s="13">
        <f>IF(OR(B210="",Q210=""),"",IF(Q210&gt;0,IF(R210="Làm việc",WORKDAY(IFERROR(IF(INDEX(SK_D,MATCH(O210,SK_A,0))="",B210,INDEX(SK_D,MATCH(O210,SK_A,0))),B210),Q210,HOLI),IFERROR(IF(INDEX(SK_D,MATCH(O210,SK_A,0))="",B210,INDEX(SK_D,MATCH(O210,SK_A,0))),B210)+Q210),B210+Q210))</f>
        <v/>
      </c>
      <c r="J210" s="14" t="n"/>
      <c r="K210" s="13" t="n"/>
      <c r="L210" s="12" t="n"/>
      <c r="M210" s="48">
        <f>IF(E210="","",IF(J210="Bỏ qua","—",IF(J210="Xong",IF(AND(ISNUMBER(K210),ISNUMBER(I210),K210&gt;I210),"Xong trễ","Xong"),MID(IF(G210=""," · CHƯA GIAO","")&amp;IF(NOT(ISNUMBER(I210)),"",IF(TODAY()&gt;I210," · QUÁ HẠN "&amp;(TODAY()-I210)&amp;" ngày",IF(I210-TODAY()&lt;=3," · Đến hạn "&amp;IF(I210=TODAY(),"hôm nay","trong "&amp;(I210-TODAY())&amp;" ngày"),"")))&amp;IF(J210="Chờ đối tác"," · Chờ đối tác"&amp;IF(ISNUMBER(N210)," "&amp;(TODAY()-INT(N210))&amp;" ngày",""),""),4,200))))</f>
        <v/>
      </c>
      <c r="N210" s="49" t="n"/>
      <c r="S210">
        <f>IF(AND(E210&lt;&gt;"",T210="Có",J210&lt;&gt;"Xong",J210&lt;&gt;"Bỏ qua",ISNUMBER(I210)),I210+ROW()/100000,"")</f>
        <v/>
      </c>
      <c r="T210">
        <f>IF(O210="","",IFERROR(INDEX(SK_TD,MATCH(O210,SK_A,0)),""))</f>
        <v/>
      </c>
      <c r="V210">
        <f>IF(AND(O210&lt;&gt;"",O210=SEL_K,J210&lt;&gt;"Xong",J210&lt;&gt;"Bỏ qua"),IF(ISNUMBER(I210),I210,99999)+ROW()/100000,"")</f>
        <v/>
      </c>
    </row>
    <row r="211">
      <c r="A211" s="12">
        <f>IF(O211="","",IFERROR(INDEX(SK_B,MATCH(O211,SK_A,0))&amp;"",""))</f>
        <v/>
      </c>
      <c r="B211" s="45">
        <f>IF(O211="","",IFERROR(INDEX(SK_C,MATCH(O211,SK_A,0)),""))</f>
        <v/>
      </c>
      <c r="C211" s="46">
        <f>IF(Q211="","",IF(Q211=0,"D",IF(Q211&lt;0,"D"&amp;Q211,"D+"&amp;Q211)))</f>
        <v/>
      </c>
      <c r="D211" s="14" t="n"/>
      <c r="E211" s="12" t="n"/>
      <c r="F211" s="46" t="n"/>
      <c r="G211" s="47" t="n"/>
      <c r="H211" s="14" t="n"/>
      <c r="I211" s="13">
        <f>IF(OR(B211="",Q211=""),"",IF(Q211&gt;0,IF(R211="Làm việc",WORKDAY(IFERROR(IF(INDEX(SK_D,MATCH(O211,SK_A,0))="",B211,INDEX(SK_D,MATCH(O211,SK_A,0))),B211),Q211,HOLI),IFERROR(IF(INDEX(SK_D,MATCH(O211,SK_A,0))="",B211,INDEX(SK_D,MATCH(O211,SK_A,0))),B211)+Q211),B211+Q211))</f>
        <v/>
      </c>
      <c r="J211" s="14" t="n"/>
      <c r="K211" s="13" t="n"/>
      <c r="L211" s="12" t="n"/>
      <c r="M211" s="48">
        <f>IF(E211="","",IF(J211="Bỏ qua","—",IF(J211="Xong",IF(AND(ISNUMBER(K211),ISNUMBER(I211),K211&gt;I211),"Xong trễ","Xong"),MID(IF(G211=""," · CHƯA GIAO","")&amp;IF(NOT(ISNUMBER(I211)),"",IF(TODAY()&gt;I211," · QUÁ HẠN "&amp;(TODAY()-I211)&amp;" ngày",IF(I211-TODAY()&lt;=3," · Đến hạn "&amp;IF(I211=TODAY(),"hôm nay","trong "&amp;(I211-TODAY())&amp;" ngày"),"")))&amp;IF(J211="Chờ đối tác"," · Chờ đối tác"&amp;IF(ISNUMBER(N211)," "&amp;(TODAY()-INT(N211))&amp;" ngày",""),""),4,200))))</f>
        <v/>
      </c>
      <c r="N211" s="49" t="n"/>
      <c r="S211">
        <f>IF(AND(E211&lt;&gt;"",T211="Có",J211&lt;&gt;"Xong",J211&lt;&gt;"Bỏ qua",ISNUMBER(I211)),I211+ROW()/100000,"")</f>
        <v/>
      </c>
      <c r="T211">
        <f>IF(O211="","",IFERROR(INDEX(SK_TD,MATCH(O211,SK_A,0)),""))</f>
        <v/>
      </c>
      <c r="V211">
        <f>IF(AND(O211&lt;&gt;"",O211=SEL_K,J211&lt;&gt;"Xong",J211&lt;&gt;"Bỏ qua"),IF(ISNUMBER(I211),I211,99999)+ROW()/100000,"")</f>
        <v/>
      </c>
    </row>
    <row r="212">
      <c r="A212" s="12">
        <f>IF(O212="","",IFERROR(INDEX(SK_B,MATCH(O212,SK_A,0))&amp;"",""))</f>
        <v/>
      </c>
      <c r="B212" s="45">
        <f>IF(O212="","",IFERROR(INDEX(SK_C,MATCH(O212,SK_A,0)),""))</f>
        <v/>
      </c>
      <c r="C212" s="46">
        <f>IF(Q212="","",IF(Q212=0,"D",IF(Q212&lt;0,"D"&amp;Q212,"D+"&amp;Q212)))</f>
        <v/>
      </c>
      <c r="D212" s="14" t="n"/>
      <c r="E212" s="12" t="n"/>
      <c r="F212" s="46" t="n"/>
      <c r="G212" s="47" t="n"/>
      <c r="H212" s="14" t="n"/>
      <c r="I212" s="13">
        <f>IF(OR(B212="",Q212=""),"",IF(Q212&gt;0,IF(R212="Làm việc",WORKDAY(IFERROR(IF(INDEX(SK_D,MATCH(O212,SK_A,0))="",B212,INDEX(SK_D,MATCH(O212,SK_A,0))),B212),Q212,HOLI),IFERROR(IF(INDEX(SK_D,MATCH(O212,SK_A,0))="",B212,INDEX(SK_D,MATCH(O212,SK_A,0))),B212)+Q212),B212+Q212))</f>
        <v/>
      </c>
      <c r="J212" s="14" t="n"/>
      <c r="K212" s="13" t="n"/>
      <c r="L212" s="12" t="n"/>
      <c r="M212" s="48">
        <f>IF(E212="","",IF(J212="Bỏ qua","—",IF(J212="Xong",IF(AND(ISNUMBER(K212),ISNUMBER(I212),K212&gt;I212),"Xong trễ","Xong"),MID(IF(G212=""," · CHƯA GIAO","")&amp;IF(NOT(ISNUMBER(I212)),"",IF(TODAY()&gt;I212," · QUÁ HẠN "&amp;(TODAY()-I212)&amp;" ngày",IF(I212-TODAY()&lt;=3," · Đến hạn "&amp;IF(I212=TODAY(),"hôm nay","trong "&amp;(I212-TODAY())&amp;" ngày"),"")))&amp;IF(J212="Chờ đối tác"," · Chờ đối tác"&amp;IF(ISNUMBER(N212)," "&amp;(TODAY()-INT(N212))&amp;" ngày",""),""),4,200))))</f>
        <v/>
      </c>
      <c r="N212" s="49" t="n"/>
      <c r="S212">
        <f>IF(AND(E212&lt;&gt;"",T212="Có",J212&lt;&gt;"Xong",J212&lt;&gt;"Bỏ qua",ISNUMBER(I212)),I212+ROW()/100000,"")</f>
        <v/>
      </c>
      <c r="T212">
        <f>IF(O212="","",IFERROR(INDEX(SK_TD,MATCH(O212,SK_A,0)),""))</f>
        <v/>
      </c>
      <c r="V212">
        <f>IF(AND(O212&lt;&gt;"",O212=SEL_K,J212&lt;&gt;"Xong",J212&lt;&gt;"Bỏ qua"),IF(ISNUMBER(I212),I212,99999)+ROW()/100000,"")</f>
        <v/>
      </c>
    </row>
    <row r="213">
      <c r="A213" s="12">
        <f>IF(O213="","",IFERROR(INDEX(SK_B,MATCH(O213,SK_A,0))&amp;"",""))</f>
        <v/>
      </c>
      <c r="B213" s="45">
        <f>IF(O213="","",IFERROR(INDEX(SK_C,MATCH(O213,SK_A,0)),""))</f>
        <v/>
      </c>
      <c r="C213" s="46">
        <f>IF(Q213="","",IF(Q213=0,"D",IF(Q213&lt;0,"D"&amp;Q213,"D+"&amp;Q213)))</f>
        <v/>
      </c>
      <c r="D213" s="14" t="n"/>
      <c r="E213" s="12" t="n"/>
      <c r="F213" s="46" t="n"/>
      <c r="G213" s="47" t="n"/>
      <c r="H213" s="14" t="n"/>
      <c r="I213" s="13">
        <f>IF(OR(B213="",Q213=""),"",IF(Q213&gt;0,IF(R213="Làm việc",WORKDAY(IFERROR(IF(INDEX(SK_D,MATCH(O213,SK_A,0))="",B213,INDEX(SK_D,MATCH(O213,SK_A,0))),B213),Q213,HOLI),IFERROR(IF(INDEX(SK_D,MATCH(O213,SK_A,0))="",B213,INDEX(SK_D,MATCH(O213,SK_A,0))),B213)+Q213),B213+Q213))</f>
        <v/>
      </c>
      <c r="J213" s="14" t="n"/>
      <c r="K213" s="13" t="n"/>
      <c r="L213" s="12" t="n"/>
      <c r="M213" s="48">
        <f>IF(E213="","",IF(J213="Bỏ qua","—",IF(J213="Xong",IF(AND(ISNUMBER(K213),ISNUMBER(I213),K213&gt;I213),"Xong trễ","Xong"),MID(IF(G213=""," · CHƯA GIAO","")&amp;IF(NOT(ISNUMBER(I213)),"",IF(TODAY()&gt;I213," · QUÁ HẠN "&amp;(TODAY()-I213)&amp;" ngày",IF(I213-TODAY()&lt;=3," · Đến hạn "&amp;IF(I213=TODAY(),"hôm nay","trong "&amp;(I213-TODAY())&amp;" ngày"),"")))&amp;IF(J213="Chờ đối tác"," · Chờ đối tác"&amp;IF(ISNUMBER(N213)," "&amp;(TODAY()-INT(N213))&amp;" ngày",""),""),4,200))))</f>
        <v/>
      </c>
      <c r="N213" s="49" t="n"/>
      <c r="S213">
        <f>IF(AND(E213&lt;&gt;"",T213="Có",J213&lt;&gt;"Xong",J213&lt;&gt;"Bỏ qua",ISNUMBER(I213)),I213+ROW()/100000,"")</f>
        <v/>
      </c>
      <c r="T213">
        <f>IF(O213="","",IFERROR(INDEX(SK_TD,MATCH(O213,SK_A,0)),""))</f>
        <v/>
      </c>
      <c r="V213">
        <f>IF(AND(O213&lt;&gt;"",O213=SEL_K,J213&lt;&gt;"Xong",J213&lt;&gt;"Bỏ qua"),IF(ISNUMBER(I213),I213,99999)+ROW()/100000,"")</f>
        <v/>
      </c>
    </row>
    <row r="214">
      <c r="A214" s="12">
        <f>IF(O214="","",IFERROR(INDEX(SK_B,MATCH(O214,SK_A,0))&amp;"",""))</f>
        <v/>
      </c>
      <c r="B214" s="45">
        <f>IF(O214="","",IFERROR(INDEX(SK_C,MATCH(O214,SK_A,0)),""))</f>
        <v/>
      </c>
      <c r="C214" s="46">
        <f>IF(Q214="","",IF(Q214=0,"D",IF(Q214&lt;0,"D"&amp;Q214,"D+"&amp;Q214)))</f>
        <v/>
      </c>
      <c r="D214" s="14" t="n"/>
      <c r="E214" s="12" t="n"/>
      <c r="F214" s="46" t="n"/>
      <c r="G214" s="47" t="n"/>
      <c r="H214" s="14" t="n"/>
      <c r="I214" s="13">
        <f>IF(OR(B214="",Q214=""),"",IF(Q214&gt;0,IF(R214="Làm việc",WORKDAY(IFERROR(IF(INDEX(SK_D,MATCH(O214,SK_A,0))="",B214,INDEX(SK_D,MATCH(O214,SK_A,0))),B214),Q214,HOLI),IFERROR(IF(INDEX(SK_D,MATCH(O214,SK_A,0))="",B214,INDEX(SK_D,MATCH(O214,SK_A,0))),B214)+Q214),B214+Q214))</f>
        <v/>
      </c>
      <c r="J214" s="14" t="n"/>
      <c r="K214" s="13" t="n"/>
      <c r="L214" s="12" t="n"/>
      <c r="M214" s="48">
        <f>IF(E214="","",IF(J214="Bỏ qua","—",IF(J214="Xong",IF(AND(ISNUMBER(K214),ISNUMBER(I214),K214&gt;I214),"Xong trễ","Xong"),MID(IF(G214=""," · CHƯA GIAO","")&amp;IF(NOT(ISNUMBER(I214)),"",IF(TODAY()&gt;I214," · QUÁ HẠN "&amp;(TODAY()-I214)&amp;" ngày",IF(I214-TODAY()&lt;=3," · Đến hạn "&amp;IF(I214=TODAY(),"hôm nay","trong "&amp;(I214-TODAY())&amp;" ngày"),"")))&amp;IF(J214="Chờ đối tác"," · Chờ đối tác"&amp;IF(ISNUMBER(N214)," "&amp;(TODAY()-INT(N214))&amp;" ngày",""),""),4,200))))</f>
        <v/>
      </c>
      <c r="N214" s="49" t="n"/>
      <c r="S214">
        <f>IF(AND(E214&lt;&gt;"",T214="Có",J214&lt;&gt;"Xong",J214&lt;&gt;"Bỏ qua",ISNUMBER(I214)),I214+ROW()/100000,"")</f>
        <v/>
      </c>
      <c r="T214">
        <f>IF(O214="","",IFERROR(INDEX(SK_TD,MATCH(O214,SK_A,0)),""))</f>
        <v/>
      </c>
      <c r="V214">
        <f>IF(AND(O214&lt;&gt;"",O214=SEL_K,J214&lt;&gt;"Xong",J214&lt;&gt;"Bỏ qua"),IF(ISNUMBER(I214),I214,99999)+ROW()/100000,"")</f>
        <v/>
      </c>
    </row>
    <row r="215">
      <c r="A215" s="12">
        <f>IF(O215="","",IFERROR(INDEX(SK_B,MATCH(O215,SK_A,0))&amp;"",""))</f>
        <v/>
      </c>
      <c r="B215" s="45">
        <f>IF(O215="","",IFERROR(INDEX(SK_C,MATCH(O215,SK_A,0)),""))</f>
        <v/>
      </c>
      <c r="C215" s="46">
        <f>IF(Q215="","",IF(Q215=0,"D",IF(Q215&lt;0,"D"&amp;Q215,"D+"&amp;Q215)))</f>
        <v/>
      </c>
      <c r="D215" s="14" t="n"/>
      <c r="E215" s="12" t="n"/>
      <c r="F215" s="46" t="n"/>
      <c r="G215" s="47" t="n"/>
      <c r="H215" s="14" t="n"/>
      <c r="I215" s="13">
        <f>IF(OR(B215="",Q215=""),"",IF(Q215&gt;0,IF(R215="Làm việc",WORKDAY(IFERROR(IF(INDEX(SK_D,MATCH(O215,SK_A,0))="",B215,INDEX(SK_D,MATCH(O215,SK_A,0))),B215),Q215,HOLI),IFERROR(IF(INDEX(SK_D,MATCH(O215,SK_A,0))="",B215,INDEX(SK_D,MATCH(O215,SK_A,0))),B215)+Q215),B215+Q215))</f>
        <v/>
      </c>
      <c r="J215" s="14" t="n"/>
      <c r="K215" s="13" t="n"/>
      <c r="L215" s="12" t="n"/>
      <c r="M215" s="48">
        <f>IF(E215="","",IF(J215="Bỏ qua","—",IF(J215="Xong",IF(AND(ISNUMBER(K215),ISNUMBER(I215),K215&gt;I215),"Xong trễ","Xong"),MID(IF(G215=""," · CHƯA GIAO","")&amp;IF(NOT(ISNUMBER(I215)),"",IF(TODAY()&gt;I215," · QUÁ HẠN "&amp;(TODAY()-I215)&amp;" ngày",IF(I215-TODAY()&lt;=3," · Đến hạn "&amp;IF(I215=TODAY(),"hôm nay","trong "&amp;(I215-TODAY())&amp;" ngày"),"")))&amp;IF(J215="Chờ đối tác"," · Chờ đối tác"&amp;IF(ISNUMBER(N215)," "&amp;(TODAY()-INT(N215))&amp;" ngày",""),""),4,200))))</f>
        <v/>
      </c>
      <c r="N215" s="49" t="n"/>
      <c r="S215">
        <f>IF(AND(E215&lt;&gt;"",T215="Có",J215&lt;&gt;"Xong",J215&lt;&gt;"Bỏ qua",ISNUMBER(I215)),I215+ROW()/100000,"")</f>
        <v/>
      </c>
      <c r="T215">
        <f>IF(O215="","",IFERROR(INDEX(SK_TD,MATCH(O215,SK_A,0)),""))</f>
        <v/>
      </c>
      <c r="V215">
        <f>IF(AND(O215&lt;&gt;"",O215=SEL_K,J215&lt;&gt;"Xong",J215&lt;&gt;"Bỏ qua"),IF(ISNUMBER(I215),I215,99999)+ROW()/100000,"")</f>
        <v/>
      </c>
    </row>
    <row r="216">
      <c r="A216" s="12">
        <f>IF(O216="","",IFERROR(INDEX(SK_B,MATCH(O216,SK_A,0))&amp;"",""))</f>
        <v/>
      </c>
      <c r="B216" s="45">
        <f>IF(O216="","",IFERROR(INDEX(SK_C,MATCH(O216,SK_A,0)),""))</f>
        <v/>
      </c>
      <c r="C216" s="46">
        <f>IF(Q216="","",IF(Q216=0,"D",IF(Q216&lt;0,"D"&amp;Q216,"D+"&amp;Q216)))</f>
        <v/>
      </c>
      <c r="D216" s="14" t="n"/>
      <c r="E216" s="12" t="n"/>
      <c r="F216" s="46" t="n"/>
      <c r="G216" s="47" t="n"/>
      <c r="H216" s="14" t="n"/>
      <c r="I216" s="13">
        <f>IF(OR(B216="",Q216=""),"",IF(Q216&gt;0,IF(R216="Làm việc",WORKDAY(IFERROR(IF(INDEX(SK_D,MATCH(O216,SK_A,0))="",B216,INDEX(SK_D,MATCH(O216,SK_A,0))),B216),Q216,HOLI),IFERROR(IF(INDEX(SK_D,MATCH(O216,SK_A,0))="",B216,INDEX(SK_D,MATCH(O216,SK_A,0))),B216)+Q216),B216+Q216))</f>
        <v/>
      </c>
      <c r="J216" s="14" t="n"/>
      <c r="K216" s="13" t="n"/>
      <c r="L216" s="12" t="n"/>
      <c r="M216" s="48">
        <f>IF(E216="","",IF(J216="Bỏ qua","—",IF(J216="Xong",IF(AND(ISNUMBER(K216),ISNUMBER(I216),K216&gt;I216),"Xong trễ","Xong"),MID(IF(G216=""," · CHƯA GIAO","")&amp;IF(NOT(ISNUMBER(I216)),"",IF(TODAY()&gt;I216," · QUÁ HẠN "&amp;(TODAY()-I216)&amp;" ngày",IF(I216-TODAY()&lt;=3," · Đến hạn "&amp;IF(I216=TODAY(),"hôm nay","trong "&amp;(I216-TODAY())&amp;" ngày"),"")))&amp;IF(J216="Chờ đối tác"," · Chờ đối tác"&amp;IF(ISNUMBER(N216)," "&amp;(TODAY()-INT(N216))&amp;" ngày",""),""),4,200))))</f>
        <v/>
      </c>
      <c r="N216" s="49" t="n"/>
      <c r="S216">
        <f>IF(AND(E216&lt;&gt;"",T216="Có",J216&lt;&gt;"Xong",J216&lt;&gt;"Bỏ qua",ISNUMBER(I216)),I216+ROW()/100000,"")</f>
        <v/>
      </c>
      <c r="T216">
        <f>IF(O216="","",IFERROR(INDEX(SK_TD,MATCH(O216,SK_A,0)),""))</f>
        <v/>
      </c>
      <c r="V216">
        <f>IF(AND(O216&lt;&gt;"",O216=SEL_K,J216&lt;&gt;"Xong",J216&lt;&gt;"Bỏ qua"),IF(ISNUMBER(I216),I216,99999)+ROW()/100000,"")</f>
        <v/>
      </c>
    </row>
    <row r="217">
      <c r="A217" s="12">
        <f>IF(O217="","",IFERROR(INDEX(SK_B,MATCH(O217,SK_A,0))&amp;"",""))</f>
        <v/>
      </c>
      <c r="B217" s="45">
        <f>IF(O217="","",IFERROR(INDEX(SK_C,MATCH(O217,SK_A,0)),""))</f>
        <v/>
      </c>
      <c r="C217" s="46">
        <f>IF(Q217="","",IF(Q217=0,"D",IF(Q217&lt;0,"D"&amp;Q217,"D+"&amp;Q217)))</f>
        <v/>
      </c>
      <c r="D217" s="14" t="n"/>
      <c r="E217" s="12" t="n"/>
      <c r="F217" s="46" t="n"/>
      <c r="G217" s="47" t="n"/>
      <c r="H217" s="14" t="n"/>
      <c r="I217" s="13">
        <f>IF(OR(B217="",Q217=""),"",IF(Q217&gt;0,IF(R217="Làm việc",WORKDAY(IFERROR(IF(INDEX(SK_D,MATCH(O217,SK_A,0))="",B217,INDEX(SK_D,MATCH(O217,SK_A,0))),B217),Q217,HOLI),IFERROR(IF(INDEX(SK_D,MATCH(O217,SK_A,0))="",B217,INDEX(SK_D,MATCH(O217,SK_A,0))),B217)+Q217),B217+Q217))</f>
        <v/>
      </c>
      <c r="J217" s="14" t="n"/>
      <c r="K217" s="13" t="n"/>
      <c r="L217" s="12" t="n"/>
      <c r="M217" s="48">
        <f>IF(E217="","",IF(J217="Bỏ qua","—",IF(J217="Xong",IF(AND(ISNUMBER(K217),ISNUMBER(I217),K217&gt;I217),"Xong trễ","Xong"),MID(IF(G217=""," · CHƯA GIAO","")&amp;IF(NOT(ISNUMBER(I217)),"",IF(TODAY()&gt;I217," · QUÁ HẠN "&amp;(TODAY()-I217)&amp;" ngày",IF(I217-TODAY()&lt;=3," · Đến hạn "&amp;IF(I217=TODAY(),"hôm nay","trong "&amp;(I217-TODAY())&amp;" ngày"),"")))&amp;IF(J217="Chờ đối tác"," · Chờ đối tác"&amp;IF(ISNUMBER(N217)," "&amp;(TODAY()-INT(N217))&amp;" ngày",""),""),4,200))))</f>
        <v/>
      </c>
      <c r="N217" s="49" t="n"/>
      <c r="S217">
        <f>IF(AND(E217&lt;&gt;"",T217="Có",J217&lt;&gt;"Xong",J217&lt;&gt;"Bỏ qua",ISNUMBER(I217)),I217+ROW()/100000,"")</f>
        <v/>
      </c>
      <c r="T217">
        <f>IF(O217="","",IFERROR(INDEX(SK_TD,MATCH(O217,SK_A,0)),""))</f>
        <v/>
      </c>
      <c r="V217">
        <f>IF(AND(O217&lt;&gt;"",O217=SEL_K,J217&lt;&gt;"Xong",J217&lt;&gt;"Bỏ qua"),IF(ISNUMBER(I217),I217,99999)+ROW()/100000,"")</f>
        <v/>
      </c>
    </row>
    <row r="218">
      <c r="A218" s="12">
        <f>IF(O218="","",IFERROR(INDEX(SK_B,MATCH(O218,SK_A,0))&amp;"",""))</f>
        <v/>
      </c>
      <c r="B218" s="45">
        <f>IF(O218="","",IFERROR(INDEX(SK_C,MATCH(O218,SK_A,0)),""))</f>
        <v/>
      </c>
      <c r="C218" s="46">
        <f>IF(Q218="","",IF(Q218=0,"D",IF(Q218&lt;0,"D"&amp;Q218,"D+"&amp;Q218)))</f>
        <v/>
      </c>
      <c r="D218" s="14" t="n"/>
      <c r="E218" s="12" t="n"/>
      <c r="F218" s="46" t="n"/>
      <c r="G218" s="47" t="n"/>
      <c r="H218" s="14" t="n"/>
      <c r="I218" s="13">
        <f>IF(OR(B218="",Q218=""),"",IF(Q218&gt;0,IF(R218="Làm việc",WORKDAY(IFERROR(IF(INDEX(SK_D,MATCH(O218,SK_A,0))="",B218,INDEX(SK_D,MATCH(O218,SK_A,0))),B218),Q218,HOLI),IFERROR(IF(INDEX(SK_D,MATCH(O218,SK_A,0))="",B218,INDEX(SK_D,MATCH(O218,SK_A,0))),B218)+Q218),B218+Q218))</f>
        <v/>
      </c>
      <c r="J218" s="14" t="n"/>
      <c r="K218" s="13" t="n"/>
      <c r="L218" s="12" t="n"/>
      <c r="M218" s="48">
        <f>IF(E218="","",IF(J218="Bỏ qua","—",IF(J218="Xong",IF(AND(ISNUMBER(K218),ISNUMBER(I218),K218&gt;I218),"Xong trễ","Xong"),MID(IF(G218=""," · CHƯA GIAO","")&amp;IF(NOT(ISNUMBER(I218)),"",IF(TODAY()&gt;I218," · QUÁ HẠN "&amp;(TODAY()-I218)&amp;" ngày",IF(I218-TODAY()&lt;=3," · Đến hạn "&amp;IF(I218=TODAY(),"hôm nay","trong "&amp;(I218-TODAY())&amp;" ngày"),"")))&amp;IF(J218="Chờ đối tác"," · Chờ đối tác"&amp;IF(ISNUMBER(N218)," "&amp;(TODAY()-INT(N218))&amp;" ngày",""),""),4,200))))</f>
        <v/>
      </c>
      <c r="N218" s="49" t="n"/>
      <c r="S218">
        <f>IF(AND(E218&lt;&gt;"",T218="Có",J218&lt;&gt;"Xong",J218&lt;&gt;"Bỏ qua",ISNUMBER(I218)),I218+ROW()/100000,"")</f>
        <v/>
      </c>
      <c r="T218">
        <f>IF(O218="","",IFERROR(INDEX(SK_TD,MATCH(O218,SK_A,0)),""))</f>
        <v/>
      </c>
      <c r="V218">
        <f>IF(AND(O218&lt;&gt;"",O218=SEL_K,J218&lt;&gt;"Xong",J218&lt;&gt;"Bỏ qua"),IF(ISNUMBER(I218),I218,99999)+ROW()/100000,"")</f>
        <v/>
      </c>
    </row>
    <row r="219">
      <c r="A219" s="12">
        <f>IF(O219="","",IFERROR(INDEX(SK_B,MATCH(O219,SK_A,0))&amp;"",""))</f>
        <v/>
      </c>
      <c r="B219" s="45">
        <f>IF(O219="","",IFERROR(INDEX(SK_C,MATCH(O219,SK_A,0)),""))</f>
        <v/>
      </c>
      <c r="C219" s="46">
        <f>IF(Q219="","",IF(Q219=0,"D",IF(Q219&lt;0,"D"&amp;Q219,"D+"&amp;Q219)))</f>
        <v/>
      </c>
      <c r="D219" s="14" t="n"/>
      <c r="E219" s="12" t="n"/>
      <c r="F219" s="46" t="n"/>
      <c r="G219" s="47" t="n"/>
      <c r="H219" s="14" t="n"/>
      <c r="I219" s="13">
        <f>IF(OR(B219="",Q219=""),"",IF(Q219&gt;0,IF(R219="Làm việc",WORKDAY(IFERROR(IF(INDEX(SK_D,MATCH(O219,SK_A,0))="",B219,INDEX(SK_D,MATCH(O219,SK_A,0))),B219),Q219,HOLI),IFERROR(IF(INDEX(SK_D,MATCH(O219,SK_A,0))="",B219,INDEX(SK_D,MATCH(O219,SK_A,0))),B219)+Q219),B219+Q219))</f>
        <v/>
      </c>
      <c r="J219" s="14" t="n"/>
      <c r="K219" s="13" t="n"/>
      <c r="L219" s="12" t="n"/>
      <c r="M219" s="48">
        <f>IF(E219="","",IF(J219="Bỏ qua","—",IF(J219="Xong",IF(AND(ISNUMBER(K219),ISNUMBER(I219),K219&gt;I219),"Xong trễ","Xong"),MID(IF(G219=""," · CHƯA GIAO","")&amp;IF(NOT(ISNUMBER(I219)),"",IF(TODAY()&gt;I219," · QUÁ HẠN "&amp;(TODAY()-I219)&amp;" ngày",IF(I219-TODAY()&lt;=3," · Đến hạn "&amp;IF(I219=TODAY(),"hôm nay","trong "&amp;(I219-TODAY())&amp;" ngày"),"")))&amp;IF(J219="Chờ đối tác"," · Chờ đối tác"&amp;IF(ISNUMBER(N219)," "&amp;(TODAY()-INT(N219))&amp;" ngày",""),""),4,200))))</f>
        <v/>
      </c>
      <c r="N219" s="49" t="n"/>
      <c r="S219">
        <f>IF(AND(E219&lt;&gt;"",T219="Có",J219&lt;&gt;"Xong",J219&lt;&gt;"Bỏ qua",ISNUMBER(I219)),I219+ROW()/100000,"")</f>
        <v/>
      </c>
      <c r="T219">
        <f>IF(O219="","",IFERROR(INDEX(SK_TD,MATCH(O219,SK_A,0)),""))</f>
        <v/>
      </c>
      <c r="V219">
        <f>IF(AND(O219&lt;&gt;"",O219=SEL_K,J219&lt;&gt;"Xong",J219&lt;&gt;"Bỏ qua"),IF(ISNUMBER(I219),I219,99999)+ROW()/100000,"")</f>
        <v/>
      </c>
    </row>
    <row r="220">
      <c r="A220" s="12">
        <f>IF(O220="","",IFERROR(INDEX(SK_B,MATCH(O220,SK_A,0))&amp;"",""))</f>
        <v/>
      </c>
      <c r="B220" s="45">
        <f>IF(O220="","",IFERROR(INDEX(SK_C,MATCH(O220,SK_A,0)),""))</f>
        <v/>
      </c>
      <c r="C220" s="46">
        <f>IF(Q220="","",IF(Q220=0,"D",IF(Q220&lt;0,"D"&amp;Q220,"D+"&amp;Q220)))</f>
        <v/>
      </c>
      <c r="D220" s="14" t="n"/>
      <c r="E220" s="12" t="n"/>
      <c r="F220" s="46" t="n"/>
      <c r="G220" s="47" t="n"/>
      <c r="H220" s="14" t="n"/>
      <c r="I220" s="13">
        <f>IF(OR(B220="",Q220=""),"",IF(Q220&gt;0,IF(R220="Làm việc",WORKDAY(IFERROR(IF(INDEX(SK_D,MATCH(O220,SK_A,0))="",B220,INDEX(SK_D,MATCH(O220,SK_A,0))),B220),Q220,HOLI),IFERROR(IF(INDEX(SK_D,MATCH(O220,SK_A,0))="",B220,INDEX(SK_D,MATCH(O220,SK_A,0))),B220)+Q220),B220+Q220))</f>
        <v/>
      </c>
      <c r="J220" s="14" t="n"/>
      <c r="K220" s="13" t="n"/>
      <c r="L220" s="12" t="n"/>
      <c r="M220" s="48">
        <f>IF(E220="","",IF(J220="Bỏ qua","—",IF(J220="Xong",IF(AND(ISNUMBER(K220),ISNUMBER(I220),K220&gt;I220),"Xong trễ","Xong"),MID(IF(G220=""," · CHƯA GIAO","")&amp;IF(NOT(ISNUMBER(I220)),"",IF(TODAY()&gt;I220," · QUÁ HẠN "&amp;(TODAY()-I220)&amp;" ngày",IF(I220-TODAY()&lt;=3," · Đến hạn "&amp;IF(I220=TODAY(),"hôm nay","trong "&amp;(I220-TODAY())&amp;" ngày"),"")))&amp;IF(J220="Chờ đối tác"," · Chờ đối tác"&amp;IF(ISNUMBER(N220)," "&amp;(TODAY()-INT(N220))&amp;" ngày",""),""),4,200))))</f>
        <v/>
      </c>
      <c r="N220" s="49" t="n"/>
      <c r="S220">
        <f>IF(AND(E220&lt;&gt;"",T220="Có",J220&lt;&gt;"Xong",J220&lt;&gt;"Bỏ qua",ISNUMBER(I220)),I220+ROW()/100000,"")</f>
        <v/>
      </c>
      <c r="T220">
        <f>IF(O220="","",IFERROR(INDEX(SK_TD,MATCH(O220,SK_A,0)),""))</f>
        <v/>
      </c>
      <c r="V220">
        <f>IF(AND(O220&lt;&gt;"",O220=SEL_K,J220&lt;&gt;"Xong",J220&lt;&gt;"Bỏ qua"),IF(ISNUMBER(I220),I220,99999)+ROW()/100000,"")</f>
        <v/>
      </c>
    </row>
    <row r="221">
      <c r="A221" s="12">
        <f>IF(O221="","",IFERROR(INDEX(SK_B,MATCH(O221,SK_A,0))&amp;"",""))</f>
        <v/>
      </c>
      <c r="B221" s="45">
        <f>IF(O221="","",IFERROR(INDEX(SK_C,MATCH(O221,SK_A,0)),""))</f>
        <v/>
      </c>
      <c r="C221" s="46">
        <f>IF(Q221="","",IF(Q221=0,"D",IF(Q221&lt;0,"D"&amp;Q221,"D+"&amp;Q221)))</f>
        <v/>
      </c>
      <c r="D221" s="14" t="n"/>
      <c r="E221" s="12" t="n"/>
      <c r="F221" s="46" t="n"/>
      <c r="G221" s="47" t="n"/>
      <c r="H221" s="14" t="n"/>
      <c r="I221" s="13">
        <f>IF(OR(B221="",Q221=""),"",IF(Q221&gt;0,IF(R221="Làm việc",WORKDAY(IFERROR(IF(INDEX(SK_D,MATCH(O221,SK_A,0))="",B221,INDEX(SK_D,MATCH(O221,SK_A,0))),B221),Q221,HOLI),IFERROR(IF(INDEX(SK_D,MATCH(O221,SK_A,0))="",B221,INDEX(SK_D,MATCH(O221,SK_A,0))),B221)+Q221),B221+Q221))</f>
        <v/>
      </c>
      <c r="J221" s="14" t="n"/>
      <c r="K221" s="13" t="n"/>
      <c r="L221" s="12" t="n"/>
      <c r="M221" s="48">
        <f>IF(E221="","",IF(J221="Bỏ qua","—",IF(J221="Xong",IF(AND(ISNUMBER(K221),ISNUMBER(I221),K221&gt;I221),"Xong trễ","Xong"),MID(IF(G221=""," · CHƯA GIAO","")&amp;IF(NOT(ISNUMBER(I221)),"",IF(TODAY()&gt;I221," · QUÁ HẠN "&amp;(TODAY()-I221)&amp;" ngày",IF(I221-TODAY()&lt;=3," · Đến hạn "&amp;IF(I221=TODAY(),"hôm nay","trong "&amp;(I221-TODAY())&amp;" ngày"),"")))&amp;IF(J221="Chờ đối tác"," · Chờ đối tác"&amp;IF(ISNUMBER(N221)," "&amp;(TODAY()-INT(N221))&amp;" ngày",""),""),4,200))))</f>
        <v/>
      </c>
      <c r="N221" s="49" t="n"/>
      <c r="S221">
        <f>IF(AND(E221&lt;&gt;"",T221="Có",J221&lt;&gt;"Xong",J221&lt;&gt;"Bỏ qua",ISNUMBER(I221)),I221+ROW()/100000,"")</f>
        <v/>
      </c>
      <c r="T221">
        <f>IF(O221="","",IFERROR(INDEX(SK_TD,MATCH(O221,SK_A,0)),""))</f>
        <v/>
      </c>
      <c r="V221">
        <f>IF(AND(O221&lt;&gt;"",O221=SEL_K,J221&lt;&gt;"Xong",J221&lt;&gt;"Bỏ qua"),IF(ISNUMBER(I221),I221,99999)+ROW()/100000,"")</f>
        <v/>
      </c>
    </row>
    <row r="222">
      <c r="A222" s="12">
        <f>IF(O222="","",IFERROR(INDEX(SK_B,MATCH(O222,SK_A,0))&amp;"",""))</f>
        <v/>
      </c>
      <c r="B222" s="45">
        <f>IF(O222="","",IFERROR(INDEX(SK_C,MATCH(O222,SK_A,0)),""))</f>
        <v/>
      </c>
      <c r="C222" s="46">
        <f>IF(Q222="","",IF(Q222=0,"D",IF(Q222&lt;0,"D"&amp;Q222,"D+"&amp;Q222)))</f>
        <v/>
      </c>
      <c r="D222" s="14" t="n"/>
      <c r="E222" s="12" t="n"/>
      <c r="F222" s="46" t="n"/>
      <c r="G222" s="47" t="n"/>
      <c r="H222" s="14" t="n"/>
      <c r="I222" s="13">
        <f>IF(OR(B222="",Q222=""),"",IF(Q222&gt;0,IF(R222="Làm việc",WORKDAY(IFERROR(IF(INDEX(SK_D,MATCH(O222,SK_A,0))="",B222,INDEX(SK_D,MATCH(O222,SK_A,0))),B222),Q222,HOLI),IFERROR(IF(INDEX(SK_D,MATCH(O222,SK_A,0))="",B222,INDEX(SK_D,MATCH(O222,SK_A,0))),B222)+Q222),B222+Q222))</f>
        <v/>
      </c>
      <c r="J222" s="14" t="n"/>
      <c r="K222" s="13" t="n"/>
      <c r="L222" s="12" t="n"/>
      <c r="M222" s="48">
        <f>IF(E222="","",IF(J222="Bỏ qua","—",IF(J222="Xong",IF(AND(ISNUMBER(K222),ISNUMBER(I222),K222&gt;I222),"Xong trễ","Xong"),MID(IF(G222=""," · CHƯA GIAO","")&amp;IF(NOT(ISNUMBER(I222)),"",IF(TODAY()&gt;I222," · QUÁ HẠN "&amp;(TODAY()-I222)&amp;" ngày",IF(I222-TODAY()&lt;=3," · Đến hạn "&amp;IF(I222=TODAY(),"hôm nay","trong "&amp;(I222-TODAY())&amp;" ngày"),"")))&amp;IF(J222="Chờ đối tác"," · Chờ đối tác"&amp;IF(ISNUMBER(N222)," "&amp;(TODAY()-INT(N222))&amp;" ngày",""),""),4,200))))</f>
        <v/>
      </c>
      <c r="N222" s="49" t="n"/>
      <c r="S222">
        <f>IF(AND(E222&lt;&gt;"",T222="Có",J222&lt;&gt;"Xong",J222&lt;&gt;"Bỏ qua",ISNUMBER(I222)),I222+ROW()/100000,"")</f>
        <v/>
      </c>
      <c r="T222">
        <f>IF(O222="","",IFERROR(INDEX(SK_TD,MATCH(O222,SK_A,0)),""))</f>
        <v/>
      </c>
      <c r="V222">
        <f>IF(AND(O222&lt;&gt;"",O222=SEL_K,J222&lt;&gt;"Xong",J222&lt;&gt;"Bỏ qua"),IF(ISNUMBER(I222),I222,99999)+ROW()/100000,"")</f>
        <v/>
      </c>
    </row>
    <row r="223">
      <c r="A223" s="12">
        <f>IF(O223="","",IFERROR(INDEX(SK_B,MATCH(O223,SK_A,0))&amp;"",""))</f>
        <v/>
      </c>
      <c r="B223" s="45">
        <f>IF(O223="","",IFERROR(INDEX(SK_C,MATCH(O223,SK_A,0)),""))</f>
        <v/>
      </c>
      <c r="C223" s="46">
        <f>IF(Q223="","",IF(Q223=0,"D",IF(Q223&lt;0,"D"&amp;Q223,"D+"&amp;Q223)))</f>
        <v/>
      </c>
      <c r="D223" s="14" t="n"/>
      <c r="E223" s="12" t="n"/>
      <c r="F223" s="46" t="n"/>
      <c r="G223" s="47" t="n"/>
      <c r="H223" s="14" t="n"/>
      <c r="I223" s="13">
        <f>IF(OR(B223="",Q223=""),"",IF(Q223&gt;0,IF(R223="Làm việc",WORKDAY(IFERROR(IF(INDEX(SK_D,MATCH(O223,SK_A,0))="",B223,INDEX(SK_D,MATCH(O223,SK_A,0))),B223),Q223,HOLI),IFERROR(IF(INDEX(SK_D,MATCH(O223,SK_A,0))="",B223,INDEX(SK_D,MATCH(O223,SK_A,0))),B223)+Q223),B223+Q223))</f>
        <v/>
      </c>
      <c r="J223" s="14" t="n"/>
      <c r="K223" s="13" t="n"/>
      <c r="L223" s="12" t="n"/>
      <c r="M223" s="48">
        <f>IF(E223="","",IF(J223="Bỏ qua","—",IF(J223="Xong",IF(AND(ISNUMBER(K223),ISNUMBER(I223),K223&gt;I223),"Xong trễ","Xong"),MID(IF(G223=""," · CHƯA GIAO","")&amp;IF(NOT(ISNUMBER(I223)),"",IF(TODAY()&gt;I223," · QUÁ HẠN "&amp;(TODAY()-I223)&amp;" ngày",IF(I223-TODAY()&lt;=3," · Đến hạn "&amp;IF(I223=TODAY(),"hôm nay","trong "&amp;(I223-TODAY())&amp;" ngày"),"")))&amp;IF(J223="Chờ đối tác"," · Chờ đối tác"&amp;IF(ISNUMBER(N223)," "&amp;(TODAY()-INT(N223))&amp;" ngày",""),""),4,200))))</f>
        <v/>
      </c>
      <c r="N223" s="49" t="n"/>
      <c r="S223">
        <f>IF(AND(E223&lt;&gt;"",T223="Có",J223&lt;&gt;"Xong",J223&lt;&gt;"Bỏ qua",ISNUMBER(I223)),I223+ROW()/100000,"")</f>
        <v/>
      </c>
      <c r="T223">
        <f>IF(O223="","",IFERROR(INDEX(SK_TD,MATCH(O223,SK_A,0)),""))</f>
        <v/>
      </c>
      <c r="V223">
        <f>IF(AND(O223&lt;&gt;"",O223=SEL_K,J223&lt;&gt;"Xong",J223&lt;&gt;"Bỏ qua"),IF(ISNUMBER(I223),I223,99999)+ROW()/100000,"")</f>
        <v/>
      </c>
    </row>
    <row r="224">
      <c r="A224" s="12">
        <f>IF(O224="","",IFERROR(INDEX(SK_B,MATCH(O224,SK_A,0))&amp;"",""))</f>
        <v/>
      </c>
      <c r="B224" s="45">
        <f>IF(O224="","",IFERROR(INDEX(SK_C,MATCH(O224,SK_A,0)),""))</f>
        <v/>
      </c>
      <c r="C224" s="46">
        <f>IF(Q224="","",IF(Q224=0,"D",IF(Q224&lt;0,"D"&amp;Q224,"D+"&amp;Q224)))</f>
        <v/>
      </c>
      <c r="D224" s="14" t="n"/>
      <c r="E224" s="12" t="n"/>
      <c r="F224" s="46" t="n"/>
      <c r="G224" s="47" t="n"/>
      <c r="H224" s="14" t="n"/>
      <c r="I224" s="13">
        <f>IF(OR(B224="",Q224=""),"",IF(Q224&gt;0,IF(R224="Làm việc",WORKDAY(IFERROR(IF(INDEX(SK_D,MATCH(O224,SK_A,0))="",B224,INDEX(SK_D,MATCH(O224,SK_A,0))),B224),Q224,HOLI),IFERROR(IF(INDEX(SK_D,MATCH(O224,SK_A,0))="",B224,INDEX(SK_D,MATCH(O224,SK_A,0))),B224)+Q224),B224+Q224))</f>
        <v/>
      </c>
      <c r="J224" s="14" t="n"/>
      <c r="K224" s="13" t="n"/>
      <c r="L224" s="12" t="n"/>
      <c r="M224" s="48">
        <f>IF(E224="","",IF(J224="Bỏ qua","—",IF(J224="Xong",IF(AND(ISNUMBER(K224),ISNUMBER(I224),K224&gt;I224),"Xong trễ","Xong"),MID(IF(G224=""," · CHƯA GIAO","")&amp;IF(NOT(ISNUMBER(I224)),"",IF(TODAY()&gt;I224," · QUÁ HẠN "&amp;(TODAY()-I224)&amp;" ngày",IF(I224-TODAY()&lt;=3," · Đến hạn "&amp;IF(I224=TODAY(),"hôm nay","trong "&amp;(I224-TODAY())&amp;" ngày"),"")))&amp;IF(J224="Chờ đối tác"," · Chờ đối tác"&amp;IF(ISNUMBER(N224)," "&amp;(TODAY()-INT(N224))&amp;" ngày",""),""),4,200))))</f>
        <v/>
      </c>
      <c r="N224" s="49" t="n"/>
      <c r="S224">
        <f>IF(AND(E224&lt;&gt;"",T224="Có",J224&lt;&gt;"Xong",J224&lt;&gt;"Bỏ qua",ISNUMBER(I224)),I224+ROW()/100000,"")</f>
        <v/>
      </c>
      <c r="T224">
        <f>IF(O224="","",IFERROR(INDEX(SK_TD,MATCH(O224,SK_A,0)),""))</f>
        <v/>
      </c>
      <c r="V224">
        <f>IF(AND(O224&lt;&gt;"",O224=SEL_K,J224&lt;&gt;"Xong",J224&lt;&gt;"Bỏ qua"),IF(ISNUMBER(I224),I224,99999)+ROW()/100000,"")</f>
        <v/>
      </c>
    </row>
    <row r="225">
      <c r="A225" s="12">
        <f>IF(O225="","",IFERROR(INDEX(SK_B,MATCH(O225,SK_A,0))&amp;"",""))</f>
        <v/>
      </c>
      <c r="B225" s="45">
        <f>IF(O225="","",IFERROR(INDEX(SK_C,MATCH(O225,SK_A,0)),""))</f>
        <v/>
      </c>
      <c r="C225" s="46">
        <f>IF(Q225="","",IF(Q225=0,"D",IF(Q225&lt;0,"D"&amp;Q225,"D+"&amp;Q225)))</f>
        <v/>
      </c>
      <c r="D225" s="14" t="n"/>
      <c r="E225" s="12" t="n"/>
      <c r="F225" s="46" t="n"/>
      <c r="G225" s="47" t="n"/>
      <c r="H225" s="14" t="n"/>
      <c r="I225" s="13">
        <f>IF(OR(B225="",Q225=""),"",IF(Q225&gt;0,IF(R225="Làm việc",WORKDAY(IFERROR(IF(INDEX(SK_D,MATCH(O225,SK_A,0))="",B225,INDEX(SK_D,MATCH(O225,SK_A,0))),B225),Q225,HOLI),IFERROR(IF(INDEX(SK_D,MATCH(O225,SK_A,0))="",B225,INDEX(SK_D,MATCH(O225,SK_A,0))),B225)+Q225),B225+Q225))</f>
        <v/>
      </c>
      <c r="J225" s="14" t="n"/>
      <c r="K225" s="13" t="n"/>
      <c r="L225" s="12" t="n"/>
      <c r="M225" s="48">
        <f>IF(E225="","",IF(J225="Bỏ qua","—",IF(J225="Xong",IF(AND(ISNUMBER(K225),ISNUMBER(I225),K225&gt;I225),"Xong trễ","Xong"),MID(IF(G225=""," · CHƯA GIAO","")&amp;IF(NOT(ISNUMBER(I225)),"",IF(TODAY()&gt;I225," · QUÁ HẠN "&amp;(TODAY()-I225)&amp;" ngày",IF(I225-TODAY()&lt;=3," · Đến hạn "&amp;IF(I225=TODAY(),"hôm nay","trong "&amp;(I225-TODAY())&amp;" ngày"),"")))&amp;IF(J225="Chờ đối tác"," · Chờ đối tác"&amp;IF(ISNUMBER(N225)," "&amp;(TODAY()-INT(N225))&amp;" ngày",""),""),4,200))))</f>
        <v/>
      </c>
      <c r="N225" s="49" t="n"/>
      <c r="S225">
        <f>IF(AND(E225&lt;&gt;"",T225="Có",J225&lt;&gt;"Xong",J225&lt;&gt;"Bỏ qua",ISNUMBER(I225)),I225+ROW()/100000,"")</f>
        <v/>
      </c>
      <c r="T225">
        <f>IF(O225="","",IFERROR(INDEX(SK_TD,MATCH(O225,SK_A,0)),""))</f>
        <v/>
      </c>
      <c r="V225">
        <f>IF(AND(O225&lt;&gt;"",O225=SEL_K,J225&lt;&gt;"Xong",J225&lt;&gt;"Bỏ qua"),IF(ISNUMBER(I225),I225,99999)+ROW()/100000,"")</f>
        <v/>
      </c>
    </row>
    <row r="226">
      <c r="A226" s="12">
        <f>IF(O226="","",IFERROR(INDEX(SK_B,MATCH(O226,SK_A,0))&amp;"",""))</f>
        <v/>
      </c>
      <c r="B226" s="45">
        <f>IF(O226="","",IFERROR(INDEX(SK_C,MATCH(O226,SK_A,0)),""))</f>
        <v/>
      </c>
      <c r="C226" s="46">
        <f>IF(Q226="","",IF(Q226=0,"D",IF(Q226&lt;0,"D"&amp;Q226,"D+"&amp;Q226)))</f>
        <v/>
      </c>
      <c r="D226" s="14" t="n"/>
      <c r="E226" s="12" t="n"/>
      <c r="F226" s="46" t="n"/>
      <c r="G226" s="47" t="n"/>
      <c r="H226" s="14" t="n"/>
      <c r="I226" s="13">
        <f>IF(OR(B226="",Q226=""),"",IF(Q226&gt;0,IF(R226="Làm việc",WORKDAY(IFERROR(IF(INDEX(SK_D,MATCH(O226,SK_A,0))="",B226,INDEX(SK_D,MATCH(O226,SK_A,0))),B226),Q226,HOLI),IFERROR(IF(INDEX(SK_D,MATCH(O226,SK_A,0))="",B226,INDEX(SK_D,MATCH(O226,SK_A,0))),B226)+Q226),B226+Q226))</f>
        <v/>
      </c>
      <c r="J226" s="14" t="n"/>
      <c r="K226" s="13" t="n"/>
      <c r="L226" s="12" t="n"/>
      <c r="M226" s="48">
        <f>IF(E226="","",IF(J226="Bỏ qua","—",IF(J226="Xong",IF(AND(ISNUMBER(K226),ISNUMBER(I226),K226&gt;I226),"Xong trễ","Xong"),MID(IF(G226=""," · CHƯA GIAO","")&amp;IF(NOT(ISNUMBER(I226)),"",IF(TODAY()&gt;I226," · QUÁ HẠN "&amp;(TODAY()-I226)&amp;" ngày",IF(I226-TODAY()&lt;=3," · Đến hạn "&amp;IF(I226=TODAY(),"hôm nay","trong "&amp;(I226-TODAY())&amp;" ngày"),"")))&amp;IF(J226="Chờ đối tác"," · Chờ đối tác"&amp;IF(ISNUMBER(N226)," "&amp;(TODAY()-INT(N226))&amp;" ngày",""),""),4,200))))</f>
        <v/>
      </c>
      <c r="N226" s="49" t="n"/>
      <c r="S226">
        <f>IF(AND(E226&lt;&gt;"",T226="Có",J226&lt;&gt;"Xong",J226&lt;&gt;"Bỏ qua",ISNUMBER(I226)),I226+ROW()/100000,"")</f>
        <v/>
      </c>
      <c r="T226">
        <f>IF(O226="","",IFERROR(INDEX(SK_TD,MATCH(O226,SK_A,0)),""))</f>
        <v/>
      </c>
      <c r="V226">
        <f>IF(AND(O226&lt;&gt;"",O226=SEL_K,J226&lt;&gt;"Xong",J226&lt;&gt;"Bỏ qua"),IF(ISNUMBER(I226),I226,99999)+ROW()/100000,"")</f>
        <v/>
      </c>
    </row>
    <row r="227">
      <c r="A227" s="12">
        <f>IF(O227="","",IFERROR(INDEX(SK_B,MATCH(O227,SK_A,0))&amp;"",""))</f>
        <v/>
      </c>
      <c r="B227" s="45">
        <f>IF(O227="","",IFERROR(INDEX(SK_C,MATCH(O227,SK_A,0)),""))</f>
        <v/>
      </c>
      <c r="C227" s="46">
        <f>IF(Q227="","",IF(Q227=0,"D",IF(Q227&lt;0,"D"&amp;Q227,"D+"&amp;Q227)))</f>
        <v/>
      </c>
      <c r="D227" s="14" t="n"/>
      <c r="E227" s="12" t="n"/>
      <c r="F227" s="46" t="n"/>
      <c r="G227" s="47" t="n"/>
      <c r="H227" s="14" t="n"/>
      <c r="I227" s="13">
        <f>IF(OR(B227="",Q227=""),"",IF(Q227&gt;0,IF(R227="Làm việc",WORKDAY(IFERROR(IF(INDEX(SK_D,MATCH(O227,SK_A,0))="",B227,INDEX(SK_D,MATCH(O227,SK_A,0))),B227),Q227,HOLI),IFERROR(IF(INDEX(SK_D,MATCH(O227,SK_A,0))="",B227,INDEX(SK_D,MATCH(O227,SK_A,0))),B227)+Q227),B227+Q227))</f>
        <v/>
      </c>
      <c r="J227" s="14" t="n"/>
      <c r="K227" s="13" t="n"/>
      <c r="L227" s="12" t="n"/>
      <c r="M227" s="48">
        <f>IF(E227="","",IF(J227="Bỏ qua","—",IF(J227="Xong",IF(AND(ISNUMBER(K227),ISNUMBER(I227),K227&gt;I227),"Xong trễ","Xong"),MID(IF(G227=""," · CHƯA GIAO","")&amp;IF(NOT(ISNUMBER(I227)),"",IF(TODAY()&gt;I227," · QUÁ HẠN "&amp;(TODAY()-I227)&amp;" ngày",IF(I227-TODAY()&lt;=3," · Đến hạn "&amp;IF(I227=TODAY(),"hôm nay","trong "&amp;(I227-TODAY())&amp;" ngày"),"")))&amp;IF(J227="Chờ đối tác"," · Chờ đối tác"&amp;IF(ISNUMBER(N227)," "&amp;(TODAY()-INT(N227))&amp;" ngày",""),""),4,200))))</f>
        <v/>
      </c>
      <c r="N227" s="49" t="n"/>
      <c r="S227">
        <f>IF(AND(E227&lt;&gt;"",T227="Có",J227&lt;&gt;"Xong",J227&lt;&gt;"Bỏ qua",ISNUMBER(I227)),I227+ROW()/100000,"")</f>
        <v/>
      </c>
      <c r="T227">
        <f>IF(O227="","",IFERROR(INDEX(SK_TD,MATCH(O227,SK_A,0)),""))</f>
        <v/>
      </c>
      <c r="V227">
        <f>IF(AND(O227&lt;&gt;"",O227=SEL_K,J227&lt;&gt;"Xong",J227&lt;&gt;"Bỏ qua"),IF(ISNUMBER(I227),I227,99999)+ROW()/100000,"")</f>
        <v/>
      </c>
    </row>
    <row r="228">
      <c r="A228" s="12">
        <f>IF(O228="","",IFERROR(INDEX(SK_B,MATCH(O228,SK_A,0))&amp;"",""))</f>
        <v/>
      </c>
      <c r="B228" s="45">
        <f>IF(O228="","",IFERROR(INDEX(SK_C,MATCH(O228,SK_A,0)),""))</f>
        <v/>
      </c>
      <c r="C228" s="46">
        <f>IF(Q228="","",IF(Q228=0,"D",IF(Q228&lt;0,"D"&amp;Q228,"D+"&amp;Q228)))</f>
        <v/>
      </c>
      <c r="D228" s="14" t="n"/>
      <c r="E228" s="12" t="n"/>
      <c r="F228" s="46" t="n"/>
      <c r="G228" s="47" t="n"/>
      <c r="H228" s="14" t="n"/>
      <c r="I228" s="13">
        <f>IF(OR(B228="",Q228=""),"",IF(Q228&gt;0,IF(R228="Làm việc",WORKDAY(IFERROR(IF(INDEX(SK_D,MATCH(O228,SK_A,0))="",B228,INDEX(SK_D,MATCH(O228,SK_A,0))),B228),Q228,HOLI),IFERROR(IF(INDEX(SK_D,MATCH(O228,SK_A,0))="",B228,INDEX(SK_D,MATCH(O228,SK_A,0))),B228)+Q228),B228+Q228))</f>
        <v/>
      </c>
      <c r="J228" s="14" t="n"/>
      <c r="K228" s="13" t="n"/>
      <c r="L228" s="12" t="n"/>
      <c r="M228" s="48">
        <f>IF(E228="","",IF(J228="Bỏ qua","—",IF(J228="Xong",IF(AND(ISNUMBER(K228),ISNUMBER(I228),K228&gt;I228),"Xong trễ","Xong"),MID(IF(G228=""," · CHƯA GIAO","")&amp;IF(NOT(ISNUMBER(I228)),"",IF(TODAY()&gt;I228," · QUÁ HẠN "&amp;(TODAY()-I228)&amp;" ngày",IF(I228-TODAY()&lt;=3," · Đến hạn "&amp;IF(I228=TODAY(),"hôm nay","trong "&amp;(I228-TODAY())&amp;" ngày"),"")))&amp;IF(J228="Chờ đối tác"," · Chờ đối tác"&amp;IF(ISNUMBER(N228)," "&amp;(TODAY()-INT(N228))&amp;" ngày",""),""),4,200))))</f>
        <v/>
      </c>
      <c r="N228" s="49" t="n"/>
      <c r="S228">
        <f>IF(AND(E228&lt;&gt;"",T228="Có",J228&lt;&gt;"Xong",J228&lt;&gt;"Bỏ qua",ISNUMBER(I228)),I228+ROW()/100000,"")</f>
        <v/>
      </c>
      <c r="T228">
        <f>IF(O228="","",IFERROR(INDEX(SK_TD,MATCH(O228,SK_A,0)),""))</f>
        <v/>
      </c>
      <c r="V228">
        <f>IF(AND(O228&lt;&gt;"",O228=SEL_K,J228&lt;&gt;"Xong",J228&lt;&gt;"Bỏ qua"),IF(ISNUMBER(I228),I228,99999)+ROW()/100000,"")</f>
        <v/>
      </c>
    </row>
    <row r="229">
      <c r="A229" s="12">
        <f>IF(O229="","",IFERROR(INDEX(SK_B,MATCH(O229,SK_A,0))&amp;"",""))</f>
        <v/>
      </c>
      <c r="B229" s="45">
        <f>IF(O229="","",IFERROR(INDEX(SK_C,MATCH(O229,SK_A,0)),""))</f>
        <v/>
      </c>
      <c r="C229" s="46">
        <f>IF(Q229="","",IF(Q229=0,"D",IF(Q229&lt;0,"D"&amp;Q229,"D+"&amp;Q229)))</f>
        <v/>
      </c>
      <c r="D229" s="14" t="n"/>
      <c r="E229" s="12" t="n"/>
      <c r="F229" s="46" t="n"/>
      <c r="G229" s="47" t="n"/>
      <c r="H229" s="14" t="n"/>
      <c r="I229" s="13">
        <f>IF(OR(B229="",Q229=""),"",IF(Q229&gt;0,IF(R229="Làm việc",WORKDAY(IFERROR(IF(INDEX(SK_D,MATCH(O229,SK_A,0))="",B229,INDEX(SK_D,MATCH(O229,SK_A,0))),B229),Q229,HOLI),IFERROR(IF(INDEX(SK_D,MATCH(O229,SK_A,0))="",B229,INDEX(SK_D,MATCH(O229,SK_A,0))),B229)+Q229),B229+Q229))</f>
        <v/>
      </c>
      <c r="J229" s="14" t="n"/>
      <c r="K229" s="13" t="n"/>
      <c r="L229" s="12" t="n"/>
      <c r="M229" s="48">
        <f>IF(E229="","",IF(J229="Bỏ qua","—",IF(J229="Xong",IF(AND(ISNUMBER(K229),ISNUMBER(I229),K229&gt;I229),"Xong trễ","Xong"),MID(IF(G229=""," · CHƯA GIAO","")&amp;IF(NOT(ISNUMBER(I229)),"",IF(TODAY()&gt;I229," · QUÁ HẠN "&amp;(TODAY()-I229)&amp;" ngày",IF(I229-TODAY()&lt;=3," · Đến hạn "&amp;IF(I229=TODAY(),"hôm nay","trong "&amp;(I229-TODAY())&amp;" ngày"),"")))&amp;IF(J229="Chờ đối tác"," · Chờ đối tác"&amp;IF(ISNUMBER(N229)," "&amp;(TODAY()-INT(N229))&amp;" ngày",""),""),4,200))))</f>
        <v/>
      </c>
      <c r="N229" s="49" t="n"/>
      <c r="S229">
        <f>IF(AND(E229&lt;&gt;"",T229="Có",J229&lt;&gt;"Xong",J229&lt;&gt;"Bỏ qua",ISNUMBER(I229)),I229+ROW()/100000,"")</f>
        <v/>
      </c>
      <c r="T229">
        <f>IF(O229="","",IFERROR(INDEX(SK_TD,MATCH(O229,SK_A,0)),""))</f>
        <v/>
      </c>
      <c r="V229">
        <f>IF(AND(O229&lt;&gt;"",O229=SEL_K,J229&lt;&gt;"Xong",J229&lt;&gt;"Bỏ qua"),IF(ISNUMBER(I229),I229,99999)+ROW()/100000,"")</f>
        <v/>
      </c>
    </row>
    <row r="230">
      <c r="A230" s="12">
        <f>IF(O230="","",IFERROR(INDEX(SK_B,MATCH(O230,SK_A,0))&amp;"",""))</f>
        <v/>
      </c>
      <c r="B230" s="45">
        <f>IF(O230="","",IFERROR(INDEX(SK_C,MATCH(O230,SK_A,0)),""))</f>
        <v/>
      </c>
      <c r="C230" s="46">
        <f>IF(Q230="","",IF(Q230=0,"D",IF(Q230&lt;0,"D"&amp;Q230,"D+"&amp;Q230)))</f>
        <v/>
      </c>
      <c r="D230" s="14" t="n"/>
      <c r="E230" s="12" t="n"/>
      <c r="F230" s="46" t="n"/>
      <c r="G230" s="47" t="n"/>
      <c r="H230" s="14" t="n"/>
      <c r="I230" s="13">
        <f>IF(OR(B230="",Q230=""),"",IF(Q230&gt;0,IF(R230="Làm việc",WORKDAY(IFERROR(IF(INDEX(SK_D,MATCH(O230,SK_A,0))="",B230,INDEX(SK_D,MATCH(O230,SK_A,0))),B230),Q230,HOLI),IFERROR(IF(INDEX(SK_D,MATCH(O230,SK_A,0))="",B230,INDEX(SK_D,MATCH(O230,SK_A,0))),B230)+Q230),B230+Q230))</f>
        <v/>
      </c>
      <c r="J230" s="14" t="n"/>
      <c r="K230" s="13" t="n"/>
      <c r="L230" s="12" t="n"/>
      <c r="M230" s="48">
        <f>IF(E230="","",IF(J230="Bỏ qua","—",IF(J230="Xong",IF(AND(ISNUMBER(K230),ISNUMBER(I230),K230&gt;I230),"Xong trễ","Xong"),MID(IF(G230=""," · CHƯA GIAO","")&amp;IF(NOT(ISNUMBER(I230)),"",IF(TODAY()&gt;I230," · QUÁ HẠN "&amp;(TODAY()-I230)&amp;" ngày",IF(I230-TODAY()&lt;=3," · Đến hạn "&amp;IF(I230=TODAY(),"hôm nay","trong "&amp;(I230-TODAY())&amp;" ngày"),"")))&amp;IF(J230="Chờ đối tác"," · Chờ đối tác"&amp;IF(ISNUMBER(N230)," "&amp;(TODAY()-INT(N230))&amp;" ngày",""),""),4,200))))</f>
        <v/>
      </c>
      <c r="N230" s="49" t="n"/>
      <c r="S230">
        <f>IF(AND(E230&lt;&gt;"",T230="Có",J230&lt;&gt;"Xong",J230&lt;&gt;"Bỏ qua",ISNUMBER(I230)),I230+ROW()/100000,"")</f>
        <v/>
      </c>
      <c r="T230">
        <f>IF(O230="","",IFERROR(INDEX(SK_TD,MATCH(O230,SK_A,0)),""))</f>
        <v/>
      </c>
      <c r="V230">
        <f>IF(AND(O230&lt;&gt;"",O230=SEL_K,J230&lt;&gt;"Xong",J230&lt;&gt;"Bỏ qua"),IF(ISNUMBER(I230),I230,99999)+ROW()/100000,"")</f>
        <v/>
      </c>
    </row>
    <row r="231">
      <c r="A231" s="12">
        <f>IF(O231="","",IFERROR(INDEX(SK_B,MATCH(O231,SK_A,0))&amp;"",""))</f>
        <v/>
      </c>
      <c r="B231" s="45">
        <f>IF(O231="","",IFERROR(INDEX(SK_C,MATCH(O231,SK_A,0)),""))</f>
        <v/>
      </c>
      <c r="C231" s="46">
        <f>IF(Q231="","",IF(Q231=0,"D",IF(Q231&lt;0,"D"&amp;Q231,"D+"&amp;Q231)))</f>
        <v/>
      </c>
      <c r="D231" s="14" t="n"/>
      <c r="E231" s="12" t="n"/>
      <c r="F231" s="46" t="n"/>
      <c r="G231" s="47" t="n"/>
      <c r="H231" s="14" t="n"/>
      <c r="I231" s="13">
        <f>IF(OR(B231="",Q231=""),"",IF(Q231&gt;0,IF(R231="Làm việc",WORKDAY(IFERROR(IF(INDEX(SK_D,MATCH(O231,SK_A,0))="",B231,INDEX(SK_D,MATCH(O231,SK_A,0))),B231),Q231,HOLI),IFERROR(IF(INDEX(SK_D,MATCH(O231,SK_A,0))="",B231,INDEX(SK_D,MATCH(O231,SK_A,0))),B231)+Q231),B231+Q231))</f>
        <v/>
      </c>
      <c r="J231" s="14" t="n"/>
      <c r="K231" s="13" t="n"/>
      <c r="L231" s="12" t="n"/>
      <c r="M231" s="48">
        <f>IF(E231="","",IF(J231="Bỏ qua","—",IF(J231="Xong",IF(AND(ISNUMBER(K231),ISNUMBER(I231),K231&gt;I231),"Xong trễ","Xong"),MID(IF(G231=""," · CHƯA GIAO","")&amp;IF(NOT(ISNUMBER(I231)),"",IF(TODAY()&gt;I231," · QUÁ HẠN "&amp;(TODAY()-I231)&amp;" ngày",IF(I231-TODAY()&lt;=3," · Đến hạn "&amp;IF(I231=TODAY(),"hôm nay","trong "&amp;(I231-TODAY())&amp;" ngày"),"")))&amp;IF(J231="Chờ đối tác"," · Chờ đối tác"&amp;IF(ISNUMBER(N231)," "&amp;(TODAY()-INT(N231))&amp;" ngày",""),""),4,200))))</f>
        <v/>
      </c>
      <c r="N231" s="49" t="n"/>
      <c r="S231">
        <f>IF(AND(E231&lt;&gt;"",T231="Có",J231&lt;&gt;"Xong",J231&lt;&gt;"Bỏ qua",ISNUMBER(I231)),I231+ROW()/100000,"")</f>
        <v/>
      </c>
      <c r="T231">
        <f>IF(O231="","",IFERROR(INDEX(SK_TD,MATCH(O231,SK_A,0)),""))</f>
        <v/>
      </c>
      <c r="V231">
        <f>IF(AND(O231&lt;&gt;"",O231=SEL_K,J231&lt;&gt;"Xong",J231&lt;&gt;"Bỏ qua"),IF(ISNUMBER(I231),I231,99999)+ROW()/100000,"")</f>
        <v/>
      </c>
    </row>
    <row r="232">
      <c r="A232" s="12">
        <f>IF(O232="","",IFERROR(INDEX(SK_B,MATCH(O232,SK_A,0))&amp;"",""))</f>
        <v/>
      </c>
      <c r="B232" s="45">
        <f>IF(O232="","",IFERROR(INDEX(SK_C,MATCH(O232,SK_A,0)),""))</f>
        <v/>
      </c>
      <c r="C232" s="46">
        <f>IF(Q232="","",IF(Q232=0,"D",IF(Q232&lt;0,"D"&amp;Q232,"D+"&amp;Q232)))</f>
        <v/>
      </c>
      <c r="D232" s="14" t="n"/>
      <c r="E232" s="12" t="n"/>
      <c r="F232" s="46" t="n"/>
      <c r="G232" s="47" t="n"/>
      <c r="H232" s="14" t="n"/>
      <c r="I232" s="13">
        <f>IF(OR(B232="",Q232=""),"",IF(Q232&gt;0,IF(R232="Làm việc",WORKDAY(IFERROR(IF(INDEX(SK_D,MATCH(O232,SK_A,0))="",B232,INDEX(SK_D,MATCH(O232,SK_A,0))),B232),Q232,HOLI),IFERROR(IF(INDEX(SK_D,MATCH(O232,SK_A,0))="",B232,INDEX(SK_D,MATCH(O232,SK_A,0))),B232)+Q232),B232+Q232))</f>
        <v/>
      </c>
      <c r="J232" s="14" t="n"/>
      <c r="K232" s="13" t="n"/>
      <c r="L232" s="12" t="n"/>
      <c r="M232" s="48">
        <f>IF(E232="","",IF(J232="Bỏ qua","—",IF(J232="Xong",IF(AND(ISNUMBER(K232),ISNUMBER(I232),K232&gt;I232),"Xong trễ","Xong"),MID(IF(G232=""," · CHƯA GIAO","")&amp;IF(NOT(ISNUMBER(I232)),"",IF(TODAY()&gt;I232," · QUÁ HẠN "&amp;(TODAY()-I232)&amp;" ngày",IF(I232-TODAY()&lt;=3," · Đến hạn "&amp;IF(I232=TODAY(),"hôm nay","trong "&amp;(I232-TODAY())&amp;" ngày"),"")))&amp;IF(J232="Chờ đối tác"," · Chờ đối tác"&amp;IF(ISNUMBER(N232)," "&amp;(TODAY()-INT(N232))&amp;" ngày",""),""),4,200))))</f>
        <v/>
      </c>
      <c r="N232" s="49" t="n"/>
      <c r="S232">
        <f>IF(AND(E232&lt;&gt;"",T232="Có",J232&lt;&gt;"Xong",J232&lt;&gt;"Bỏ qua",ISNUMBER(I232)),I232+ROW()/100000,"")</f>
        <v/>
      </c>
      <c r="T232">
        <f>IF(O232="","",IFERROR(INDEX(SK_TD,MATCH(O232,SK_A,0)),""))</f>
        <v/>
      </c>
      <c r="V232">
        <f>IF(AND(O232&lt;&gt;"",O232=SEL_K,J232&lt;&gt;"Xong",J232&lt;&gt;"Bỏ qua"),IF(ISNUMBER(I232),I232,99999)+ROW()/100000,"")</f>
        <v/>
      </c>
    </row>
    <row r="233">
      <c r="A233" s="12">
        <f>IF(O233="","",IFERROR(INDEX(SK_B,MATCH(O233,SK_A,0))&amp;"",""))</f>
        <v/>
      </c>
      <c r="B233" s="45">
        <f>IF(O233="","",IFERROR(INDEX(SK_C,MATCH(O233,SK_A,0)),""))</f>
        <v/>
      </c>
      <c r="C233" s="46">
        <f>IF(Q233="","",IF(Q233=0,"D",IF(Q233&lt;0,"D"&amp;Q233,"D+"&amp;Q233)))</f>
        <v/>
      </c>
      <c r="D233" s="14" t="n"/>
      <c r="E233" s="12" t="n"/>
      <c r="F233" s="46" t="n"/>
      <c r="G233" s="47" t="n"/>
      <c r="H233" s="14" t="n"/>
      <c r="I233" s="13">
        <f>IF(OR(B233="",Q233=""),"",IF(Q233&gt;0,IF(R233="Làm việc",WORKDAY(IFERROR(IF(INDEX(SK_D,MATCH(O233,SK_A,0))="",B233,INDEX(SK_D,MATCH(O233,SK_A,0))),B233),Q233,HOLI),IFERROR(IF(INDEX(SK_D,MATCH(O233,SK_A,0))="",B233,INDEX(SK_D,MATCH(O233,SK_A,0))),B233)+Q233),B233+Q233))</f>
        <v/>
      </c>
      <c r="J233" s="14" t="n"/>
      <c r="K233" s="13" t="n"/>
      <c r="L233" s="12" t="n"/>
      <c r="M233" s="48">
        <f>IF(E233="","",IF(J233="Bỏ qua","—",IF(J233="Xong",IF(AND(ISNUMBER(K233),ISNUMBER(I233),K233&gt;I233),"Xong trễ","Xong"),MID(IF(G233=""," · CHƯA GIAO","")&amp;IF(NOT(ISNUMBER(I233)),"",IF(TODAY()&gt;I233," · QUÁ HẠN "&amp;(TODAY()-I233)&amp;" ngày",IF(I233-TODAY()&lt;=3," · Đến hạn "&amp;IF(I233=TODAY(),"hôm nay","trong "&amp;(I233-TODAY())&amp;" ngày"),"")))&amp;IF(J233="Chờ đối tác"," · Chờ đối tác"&amp;IF(ISNUMBER(N233)," "&amp;(TODAY()-INT(N233))&amp;" ngày",""),""),4,200))))</f>
        <v/>
      </c>
      <c r="N233" s="49" t="n"/>
      <c r="S233">
        <f>IF(AND(E233&lt;&gt;"",T233="Có",J233&lt;&gt;"Xong",J233&lt;&gt;"Bỏ qua",ISNUMBER(I233)),I233+ROW()/100000,"")</f>
        <v/>
      </c>
      <c r="T233">
        <f>IF(O233="","",IFERROR(INDEX(SK_TD,MATCH(O233,SK_A,0)),""))</f>
        <v/>
      </c>
      <c r="V233">
        <f>IF(AND(O233&lt;&gt;"",O233=SEL_K,J233&lt;&gt;"Xong",J233&lt;&gt;"Bỏ qua"),IF(ISNUMBER(I233),I233,99999)+ROW()/100000,"")</f>
        <v/>
      </c>
    </row>
    <row r="234">
      <c r="A234" s="12">
        <f>IF(O234="","",IFERROR(INDEX(SK_B,MATCH(O234,SK_A,0))&amp;"",""))</f>
        <v/>
      </c>
      <c r="B234" s="45">
        <f>IF(O234="","",IFERROR(INDEX(SK_C,MATCH(O234,SK_A,0)),""))</f>
        <v/>
      </c>
      <c r="C234" s="46">
        <f>IF(Q234="","",IF(Q234=0,"D",IF(Q234&lt;0,"D"&amp;Q234,"D+"&amp;Q234)))</f>
        <v/>
      </c>
      <c r="D234" s="14" t="n"/>
      <c r="E234" s="12" t="n"/>
      <c r="F234" s="46" t="n"/>
      <c r="G234" s="47" t="n"/>
      <c r="H234" s="14" t="n"/>
      <c r="I234" s="13">
        <f>IF(OR(B234="",Q234=""),"",IF(Q234&gt;0,IF(R234="Làm việc",WORKDAY(IFERROR(IF(INDEX(SK_D,MATCH(O234,SK_A,0))="",B234,INDEX(SK_D,MATCH(O234,SK_A,0))),B234),Q234,HOLI),IFERROR(IF(INDEX(SK_D,MATCH(O234,SK_A,0))="",B234,INDEX(SK_D,MATCH(O234,SK_A,0))),B234)+Q234),B234+Q234))</f>
        <v/>
      </c>
      <c r="J234" s="14" t="n"/>
      <c r="K234" s="13" t="n"/>
      <c r="L234" s="12" t="n"/>
      <c r="M234" s="48">
        <f>IF(E234="","",IF(J234="Bỏ qua","—",IF(J234="Xong",IF(AND(ISNUMBER(K234),ISNUMBER(I234),K234&gt;I234),"Xong trễ","Xong"),MID(IF(G234=""," · CHƯA GIAO","")&amp;IF(NOT(ISNUMBER(I234)),"",IF(TODAY()&gt;I234," · QUÁ HẠN "&amp;(TODAY()-I234)&amp;" ngày",IF(I234-TODAY()&lt;=3," · Đến hạn "&amp;IF(I234=TODAY(),"hôm nay","trong "&amp;(I234-TODAY())&amp;" ngày"),"")))&amp;IF(J234="Chờ đối tác"," · Chờ đối tác"&amp;IF(ISNUMBER(N234)," "&amp;(TODAY()-INT(N234))&amp;" ngày",""),""),4,200))))</f>
        <v/>
      </c>
      <c r="N234" s="49" t="n"/>
      <c r="S234">
        <f>IF(AND(E234&lt;&gt;"",T234="Có",J234&lt;&gt;"Xong",J234&lt;&gt;"Bỏ qua",ISNUMBER(I234)),I234+ROW()/100000,"")</f>
        <v/>
      </c>
      <c r="T234">
        <f>IF(O234="","",IFERROR(INDEX(SK_TD,MATCH(O234,SK_A,0)),""))</f>
        <v/>
      </c>
      <c r="V234">
        <f>IF(AND(O234&lt;&gt;"",O234=SEL_K,J234&lt;&gt;"Xong",J234&lt;&gt;"Bỏ qua"),IF(ISNUMBER(I234),I234,99999)+ROW()/100000,"")</f>
        <v/>
      </c>
    </row>
    <row r="235">
      <c r="A235" s="12">
        <f>IF(O235="","",IFERROR(INDEX(SK_B,MATCH(O235,SK_A,0))&amp;"",""))</f>
        <v/>
      </c>
      <c r="B235" s="45">
        <f>IF(O235="","",IFERROR(INDEX(SK_C,MATCH(O235,SK_A,0)),""))</f>
        <v/>
      </c>
      <c r="C235" s="46">
        <f>IF(Q235="","",IF(Q235=0,"D",IF(Q235&lt;0,"D"&amp;Q235,"D+"&amp;Q235)))</f>
        <v/>
      </c>
      <c r="D235" s="14" t="n"/>
      <c r="E235" s="12" t="n"/>
      <c r="F235" s="46" t="n"/>
      <c r="G235" s="47" t="n"/>
      <c r="H235" s="14" t="n"/>
      <c r="I235" s="13">
        <f>IF(OR(B235="",Q235=""),"",IF(Q235&gt;0,IF(R235="Làm việc",WORKDAY(IFERROR(IF(INDEX(SK_D,MATCH(O235,SK_A,0))="",B235,INDEX(SK_D,MATCH(O235,SK_A,0))),B235),Q235,HOLI),IFERROR(IF(INDEX(SK_D,MATCH(O235,SK_A,0))="",B235,INDEX(SK_D,MATCH(O235,SK_A,0))),B235)+Q235),B235+Q235))</f>
        <v/>
      </c>
      <c r="J235" s="14" t="n"/>
      <c r="K235" s="13" t="n"/>
      <c r="L235" s="12" t="n"/>
      <c r="M235" s="48">
        <f>IF(E235="","",IF(J235="Bỏ qua","—",IF(J235="Xong",IF(AND(ISNUMBER(K235),ISNUMBER(I235),K235&gt;I235),"Xong trễ","Xong"),MID(IF(G235=""," · CHƯA GIAO","")&amp;IF(NOT(ISNUMBER(I235)),"",IF(TODAY()&gt;I235," · QUÁ HẠN "&amp;(TODAY()-I235)&amp;" ngày",IF(I235-TODAY()&lt;=3," · Đến hạn "&amp;IF(I235=TODAY(),"hôm nay","trong "&amp;(I235-TODAY())&amp;" ngày"),"")))&amp;IF(J235="Chờ đối tác"," · Chờ đối tác"&amp;IF(ISNUMBER(N235)," "&amp;(TODAY()-INT(N235))&amp;" ngày",""),""),4,200))))</f>
        <v/>
      </c>
      <c r="N235" s="49" t="n"/>
      <c r="S235">
        <f>IF(AND(E235&lt;&gt;"",T235="Có",J235&lt;&gt;"Xong",J235&lt;&gt;"Bỏ qua",ISNUMBER(I235)),I235+ROW()/100000,"")</f>
        <v/>
      </c>
      <c r="T235">
        <f>IF(O235="","",IFERROR(INDEX(SK_TD,MATCH(O235,SK_A,0)),""))</f>
        <v/>
      </c>
      <c r="V235">
        <f>IF(AND(O235&lt;&gt;"",O235=SEL_K,J235&lt;&gt;"Xong",J235&lt;&gt;"Bỏ qua"),IF(ISNUMBER(I235),I235,99999)+ROW()/100000,"")</f>
        <v/>
      </c>
    </row>
    <row r="236">
      <c r="A236" s="12">
        <f>IF(O236="","",IFERROR(INDEX(SK_B,MATCH(O236,SK_A,0))&amp;"",""))</f>
        <v/>
      </c>
      <c r="B236" s="45">
        <f>IF(O236="","",IFERROR(INDEX(SK_C,MATCH(O236,SK_A,0)),""))</f>
        <v/>
      </c>
      <c r="C236" s="46">
        <f>IF(Q236="","",IF(Q236=0,"D",IF(Q236&lt;0,"D"&amp;Q236,"D+"&amp;Q236)))</f>
        <v/>
      </c>
      <c r="D236" s="14" t="n"/>
      <c r="E236" s="12" t="n"/>
      <c r="F236" s="46" t="n"/>
      <c r="G236" s="47" t="n"/>
      <c r="H236" s="14" t="n"/>
      <c r="I236" s="13">
        <f>IF(OR(B236="",Q236=""),"",IF(Q236&gt;0,IF(R236="Làm việc",WORKDAY(IFERROR(IF(INDEX(SK_D,MATCH(O236,SK_A,0))="",B236,INDEX(SK_D,MATCH(O236,SK_A,0))),B236),Q236,HOLI),IFERROR(IF(INDEX(SK_D,MATCH(O236,SK_A,0))="",B236,INDEX(SK_D,MATCH(O236,SK_A,0))),B236)+Q236),B236+Q236))</f>
        <v/>
      </c>
      <c r="J236" s="14" t="n"/>
      <c r="K236" s="13" t="n"/>
      <c r="L236" s="12" t="n"/>
      <c r="M236" s="48">
        <f>IF(E236="","",IF(J236="Bỏ qua","—",IF(J236="Xong",IF(AND(ISNUMBER(K236),ISNUMBER(I236),K236&gt;I236),"Xong trễ","Xong"),MID(IF(G236=""," · CHƯA GIAO","")&amp;IF(NOT(ISNUMBER(I236)),"",IF(TODAY()&gt;I236," · QUÁ HẠN "&amp;(TODAY()-I236)&amp;" ngày",IF(I236-TODAY()&lt;=3," · Đến hạn "&amp;IF(I236=TODAY(),"hôm nay","trong "&amp;(I236-TODAY())&amp;" ngày"),"")))&amp;IF(J236="Chờ đối tác"," · Chờ đối tác"&amp;IF(ISNUMBER(N236)," "&amp;(TODAY()-INT(N236))&amp;" ngày",""),""),4,200))))</f>
        <v/>
      </c>
      <c r="N236" s="49" t="n"/>
      <c r="S236">
        <f>IF(AND(E236&lt;&gt;"",T236="Có",J236&lt;&gt;"Xong",J236&lt;&gt;"Bỏ qua",ISNUMBER(I236)),I236+ROW()/100000,"")</f>
        <v/>
      </c>
      <c r="T236">
        <f>IF(O236="","",IFERROR(INDEX(SK_TD,MATCH(O236,SK_A,0)),""))</f>
        <v/>
      </c>
      <c r="V236">
        <f>IF(AND(O236&lt;&gt;"",O236=SEL_K,J236&lt;&gt;"Xong",J236&lt;&gt;"Bỏ qua"),IF(ISNUMBER(I236),I236,99999)+ROW()/100000,"")</f>
        <v/>
      </c>
    </row>
    <row r="237">
      <c r="A237" s="12">
        <f>IF(O237="","",IFERROR(INDEX(SK_B,MATCH(O237,SK_A,0))&amp;"",""))</f>
        <v/>
      </c>
      <c r="B237" s="45">
        <f>IF(O237="","",IFERROR(INDEX(SK_C,MATCH(O237,SK_A,0)),""))</f>
        <v/>
      </c>
      <c r="C237" s="46">
        <f>IF(Q237="","",IF(Q237=0,"D",IF(Q237&lt;0,"D"&amp;Q237,"D+"&amp;Q237)))</f>
        <v/>
      </c>
      <c r="D237" s="14" t="n"/>
      <c r="E237" s="12" t="n"/>
      <c r="F237" s="46" t="n"/>
      <c r="G237" s="47" t="n"/>
      <c r="H237" s="14" t="n"/>
      <c r="I237" s="13">
        <f>IF(OR(B237="",Q237=""),"",IF(Q237&gt;0,IF(R237="Làm việc",WORKDAY(IFERROR(IF(INDEX(SK_D,MATCH(O237,SK_A,0))="",B237,INDEX(SK_D,MATCH(O237,SK_A,0))),B237),Q237,HOLI),IFERROR(IF(INDEX(SK_D,MATCH(O237,SK_A,0))="",B237,INDEX(SK_D,MATCH(O237,SK_A,0))),B237)+Q237),B237+Q237))</f>
        <v/>
      </c>
      <c r="J237" s="14" t="n"/>
      <c r="K237" s="13" t="n"/>
      <c r="L237" s="12" t="n"/>
      <c r="M237" s="48">
        <f>IF(E237="","",IF(J237="Bỏ qua","—",IF(J237="Xong",IF(AND(ISNUMBER(K237),ISNUMBER(I237),K237&gt;I237),"Xong trễ","Xong"),MID(IF(G237=""," · CHƯA GIAO","")&amp;IF(NOT(ISNUMBER(I237)),"",IF(TODAY()&gt;I237," · QUÁ HẠN "&amp;(TODAY()-I237)&amp;" ngày",IF(I237-TODAY()&lt;=3," · Đến hạn "&amp;IF(I237=TODAY(),"hôm nay","trong "&amp;(I237-TODAY())&amp;" ngày"),"")))&amp;IF(J237="Chờ đối tác"," · Chờ đối tác"&amp;IF(ISNUMBER(N237)," "&amp;(TODAY()-INT(N237))&amp;" ngày",""),""),4,200))))</f>
        <v/>
      </c>
      <c r="N237" s="49" t="n"/>
      <c r="S237">
        <f>IF(AND(E237&lt;&gt;"",T237="Có",J237&lt;&gt;"Xong",J237&lt;&gt;"Bỏ qua",ISNUMBER(I237)),I237+ROW()/100000,"")</f>
        <v/>
      </c>
      <c r="T237">
        <f>IF(O237="","",IFERROR(INDEX(SK_TD,MATCH(O237,SK_A,0)),""))</f>
        <v/>
      </c>
      <c r="V237">
        <f>IF(AND(O237&lt;&gt;"",O237=SEL_K,J237&lt;&gt;"Xong",J237&lt;&gt;"Bỏ qua"),IF(ISNUMBER(I237),I237,99999)+ROW()/100000,"")</f>
        <v/>
      </c>
    </row>
    <row r="238">
      <c r="A238" s="12">
        <f>IF(O238="","",IFERROR(INDEX(SK_B,MATCH(O238,SK_A,0))&amp;"",""))</f>
        <v/>
      </c>
      <c r="B238" s="45">
        <f>IF(O238="","",IFERROR(INDEX(SK_C,MATCH(O238,SK_A,0)),""))</f>
        <v/>
      </c>
      <c r="C238" s="46">
        <f>IF(Q238="","",IF(Q238=0,"D",IF(Q238&lt;0,"D"&amp;Q238,"D+"&amp;Q238)))</f>
        <v/>
      </c>
      <c r="D238" s="14" t="n"/>
      <c r="E238" s="12" t="n"/>
      <c r="F238" s="46" t="n"/>
      <c r="G238" s="47" t="n"/>
      <c r="H238" s="14" t="n"/>
      <c r="I238" s="13">
        <f>IF(OR(B238="",Q238=""),"",IF(Q238&gt;0,IF(R238="Làm việc",WORKDAY(IFERROR(IF(INDEX(SK_D,MATCH(O238,SK_A,0))="",B238,INDEX(SK_D,MATCH(O238,SK_A,0))),B238),Q238,HOLI),IFERROR(IF(INDEX(SK_D,MATCH(O238,SK_A,0))="",B238,INDEX(SK_D,MATCH(O238,SK_A,0))),B238)+Q238),B238+Q238))</f>
        <v/>
      </c>
      <c r="J238" s="14" t="n"/>
      <c r="K238" s="13" t="n"/>
      <c r="L238" s="12" t="n"/>
      <c r="M238" s="48">
        <f>IF(E238="","",IF(J238="Bỏ qua","—",IF(J238="Xong",IF(AND(ISNUMBER(K238),ISNUMBER(I238),K238&gt;I238),"Xong trễ","Xong"),MID(IF(G238=""," · CHƯA GIAO","")&amp;IF(NOT(ISNUMBER(I238)),"",IF(TODAY()&gt;I238," · QUÁ HẠN "&amp;(TODAY()-I238)&amp;" ngày",IF(I238-TODAY()&lt;=3," · Đến hạn "&amp;IF(I238=TODAY(),"hôm nay","trong "&amp;(I238-TODAY())&amp;" ngày"),"")))&amp;IF(J238="Chờ đối tác"," · Chờ đối tác"&amp;IF(ISNUMBER(N238)," "&amp;(TODAY()-INT(N238))&amp;" ngày",""),""),4,200))))</f>
        <v/>
      </c>
      <c r="N238" s="49" t="n"/>
      <c r="S238">
        <f>IF(AND(E238&lt;&gt;"",T238="Có",J238&lt;&gt;"Xong",J238&lt;&gt;"Bỏ qua",ISNUMBER(I238)),I238+ROW()/100000,"")</f>
        <v/>
      </c>
      <c r="T238">
        <f>IF(O238="","",IFERROR(INDEX(SK_TD,MATCH(O238,SK_A,0)),""))</f>
        <v/>
      </c>
      <c r="V238">
        <f>IF(AND(O238&lt;&gt;"",O238=SEL_K,J238&lt;&gt;"Xong",J238&lt;&gt;"Bỏ qua"),IF(ISNUMBER(I238),I238,99999)+ROW()/100000,"")</f>
        <v/>
      </c>
    </row>
    <row r="239">
      <c r="A239" s="12">
        <f>IF(O239="","",IFERROR(INDEX(SK_B,MATCH(O239,SK_A,0))&amp;"",""))</f>
        <v/>
      </c>
      <c r="B239" s="45">
        <f>IF(O239="","",IFERROR(INDEX(SK_C,MATCH(O239,SK_A,0)),""))</f>
        <v/>
      </c>
      <c r="C239" s="46">
        <f>IF(Q239="","",IF(Q239=0,"D",IF(Q239&lt;0,"D"&amp;Q239,"D+"&amp;Q239)))</f>
        <v/>
      </c>
      <c r="D239" s="14" t="n"/>
      <c r="E239" s="12" t="n"/>
      <c r="F239" s="46" t="n"/>
      <c r="G239" s="47" t="n"/>
      <c r="H239" s="14" t="n"/>
      <c r="I239" s="13">
        <f>IF(OR(B239="",Q239=""),"",IF(Q239&gt;0,IF(R239="Làm việc",WORKDAY(IFERROR(IF(INDEX(SK_D,MATCH(O239,SK_A,0))="",B239,INDEX(SK_D,MATCH(O239,SK_A,0))),B239),Q239,HOLI),IFERROR(IF(INDEX(SK_D,MATCH(O239,SK_A,0))="",B239,INDEX(SK_D,MATCH(O239,SK_A,0))),B239)+Q239),B239+Q239))</f>
        <v/>
      </c>
      <c r="J239" s="14" t="n"/>
      <c r="K239" s="13" t="n"/>
      <c r="L239" s="12" t="n"/>
      <c r="M239" s="48">
        <f>IF(E239="","",IF(J239="Bỏ qua","—",IF(J239="Xong",IF(AND(ISNUMBER(K239),ISNUMBER(I239),K239&gt;I239),"Xong trễ","Xong"),MID(IF(G239=""," · CHƯA GIAO","")&amp;IF(NOT(ISNUMBER(I239)),"",IF(TODAY()&gt;I239," · QUÁ HẠN "&amp;(TODAY()-I239)&amp;" ngày",IF(I239-TODAY()&lt;=3," · Đến hạn "&amp;IF(I239=TODAY(),"hôm nay","trong "&amp;(I239-TODAY())&amp;" ngày"),"")))&amp;IF(J239="Chờ đối tác"," · Chờ đối tác"&amp;IF(ISNUMBER(N239)," "&amp;(TODAY()-INT(N239))&amp;" ngày",""),""),4,200))))</f>
        <v/>
      </c>
      <c r="N239" s="49" t="n"/>
      <c r="S239">
        <f>IF(AND(E239&lt;&gt;"",T239="Có",J239&lt;&gt;"Xong",J239&lt;&gt;"Bỏ qua",ISNUMBER(I239)),I239+ROW()/100000,"")</f>
        <v/>
      </c>
      <c r="T239">
        <f>IF(O239="","",IFERROR(INDEX(SK_TD,MATCH(O239,SK_A,0)),""))</f>
        <v/>
      </c>
      <c r="V239">
        <f>IF(AND(O239&lt;&gt;"",O239=SEL_K,J239&lt;&gt;"Xong",J239&lt;&gt;"Bỏ qua"),IF(ISNUMBER(I239),I239,99999)+ROW()/100000,"")</f>
        <v/>
      </c>
    </row>
    <row r="240">
      <c r="A240" s="12">
        <f>IF(O240="","",IFERROR(INDEX(SK_B,MATCH(O240,SK_A,0))&amp;"",""))</f>
        <v/>
      </c>
      <c r="B240" s="45">
        <f>IF(O240="","",IFERROR(INDEX(SK_C,MATCH(O240,SK_A,0)),""))</f>
        <v/>
      </c>
      <c r="C240" s="46">
        <f>IF(Q240="","",IF(Q240=0,"D",IF(Q240&lt;0,"D"&amp;Q240,"D+"&amp;Q240)))</f>
        <v/>
      </c>
      <c r="D240" s="14" t="n"/>
      <c r="E240" s="12" t="n"/>
      <c r="F240" s="46" t="n"/>
      <c r="G240" s="47" t="n"/>
      <c r="H240" s="14" t="n"/>
      <c r="I240" s="13">
        <f>IF(OR(B240="",Q240=""),"",IF(Q240&gt;0,IF(R240="Làm việc",WORKDAY(IFERROR(IF(INDEX(SK_D,MATCH(O240,SK_A,0))="",B240,INDEX(SK_D,MATCH(O240,SK_A,0))),B240),Q240,HOLI),IFERROR(IF(INDEX(SK_D,MATCH(O240,SK_A,0))="",B240,INDEX(SK_D,MATCH(O240,SK_A,0))),B240)+Q240),B240+Q240))</f>
        <v/>
      </c>
      <c r="J240" s="14" t="n"/>
      <c r="K240" s="13" t="n"/>
      <c r="L240" s="12" t="n"/>
      <c r="M240" s="48">
        <f>IF(E240="","",IF(J240="Bỏ qua","—",IF(J240="Xong",IF(AND(ISNUMBER(K240),ISNUMBER(I240),K240&gt;I240),"Xong trễ","Xong"),MID(IF(G240=""," · CHƯA GIAO","")&amp;IF(NOT(ISNUMBER(I240)),"",IF(TODAY()&gt;I240," · QUÁ HẠN "&amp;(TODAY()-I240)&amp;" ngày",IF(I240-TODAY()&lt;=3," · Đến hạn "&amp;IF(I240=TODAY(),"hôm nay","trong "&amp;(I240-TODAY())&amp;" ngày"),"")))&amp;IF(J240="Chờ đối tác"," · Chờ đối tác"&amp;IF(ISNUMBER(N240)," "&amp;(TODAY()-INT(N240))&amp;" ngày",""),""),4,200))))</f>
        <v/>
      </c>
      <c r="N240" s="49" t="n"/>
      <c r="S240">
        <f>IF(AND(E240&lt;&gt;"",T240="Có",J240&lt;&gt;"Xong",J240&lt;&gt;"Bỏ qua",ISNUMBER(I240)),I240+ROW()/100000,"")</f>
        <v/>
      </c>
      <c r="T240">
        <f>IF(O240="","",IFERROR(INDEX(SK_TD,MATCH(O240,SK_A,0)),""))</f>
        <v/>
      </c>
      <c r="V240">
        <f>IF(AND(O240&lt;&gt;"",O240=SEL_K,J240&lt;&gt;"Xong",J240&lt;&gt;"Bỏ qua"),IF(ISNUMBER(I240),I240,99999)+ROW()/100000,"")</f>
        <v/>
      </c>
    </row>
    <row r="241">
      <c r="A241" s="12">
        <f>IF(O241="","",IFERROR(INDEX(SK_B,MATCH(O241,SK_A,0))&amp;"",""))</f>
        <v/>
      </c>
      <c r="B241" s="45">
        <f>IF(O241="","",IFERROR(INDEX(SK_C,MATCH(O241,SK_A,0)),""))</f>
        <v/>
      </c>
      <c r="C241" s="46">
        <f>IF(Q241="","",IF(Q241=0,"D",IF(Q241&lt;0,"D"&amp;Q241,"D+"&amp;Q241)))</f>
        <v/>
      </c>
      <c r="D241" s="14" t="n"/>
      <c r="E241" s="12" t="n"/>
      <c r="F241" s="46" t="n"/>
      <c r="G241" s="47" t="n"/>
      <c r="H241" s="14" t="n"/>
      <c r="I241" s="13">
        <f>IF(OR(B241="",Q241=""),"",IF(Q241&gt;0,IF(R241="Làm việc",WORKDAY(IFERROR(IF(INDEX(SK_D,MATCH(O241,SK_A,0))="",B241,INDEX(SK_D,MATCH(O241,SK_A,0))),B241),Q241,HOLI),IFERROR(IF(INDEX(SK_D,MATCH(O241,SK_A,0))="",B241,INDEX(SK_D,MATCH(O241,SK_A,0))),B241)+Q241),B241+Q241))</f>
        <v/>
      </c>
      <c r="J241" s="14" t="n"/>
      <c r="K241" s="13" t="n"/>
      <c r="L241" s="12" t="n"/>
      <c r="M241" s="48">
        <f>IF(E241="","",IF(J241="Bỏ qua","—",IF(J241="Xong",IF(AND(ISNUMBER(K241),ISNUMBER(I241),K241&gt;I241),"Xong trễ","Xong"),MID(IF(G241=""," · CHƯA GIAO","")&amp;IF(NOT(ISNUMBER(I241)),"",IF(TODAY()&gt;I241," · QUÁ HẠN "&amp;(TODAY()-I241)&amp;" ngày",IF(I241-TODAY()&lt;=3," · Đến hạn "&amp;IF(I241=TODAY(),"hôm nay","trong "&amp;(I241-TODAY())&amp;" ngày"),"")))&amp;IF(J241="Chờ đối tác"," · Chờ đối tác"&amp;IF(ISNUMBER(N241)," "&amp;(TODAY()-INT(N241))&amp;" ngày",""),""),4,200))))</f>
        <v/>
      </c>
      <c r="N241" s="49" t="n"/>
      <c r="S241">
        <f>IF(AND(E241&lt;&gt;"",T241="Có",J241&lt;&gt;"Xong",J241&lt;&gt;"Bỏ qua",ISNUMBER(I241)),I241+ROW()/100000,"")</f>
        <v/>
      </c>
      <c r="T241">
        <f>IF(O241="","",IFERROR(INDEX(SK_TD,MATCH(O241,SK_A,0)),""))</f>
        <v/>
      </c>
      <c r="V241">
        <f>IF(AND(O241&lt;&gt;"",O241=SEL_K,J241&lt;&gt;"Xong",J241&lt;&gt;"Bỏ qua"),IF(ISNUMBER(I241),I241,99999)+ROW()/100000,"")</f>
        <v/>
      </c>
    </row>
    <row r="242">
      <c r="A242" s="12">
        <f>IF(O242="","",IFERROR(INDEX(SK_B,MATCH(O242,SK_A,0))&amp;"",""))</f>
        <v/>
      </c>
      <c r="B242" s="45">
        <f>IF(O242="","",IFERROR(INDEX(SK_C,MATCH(O242,SK_A,0)),""))</f>
        <v/>
      </c>
      <c r="C242" s="46">
        <f>IF(Q242="","",IF(Q242=0,"D",IF(Q242&lt;0,"D"&amp;Q242,"D+"&amp;Q242)))</f>
        <v/>
      </c>
      <c r="D242" s="14" t="n"/>
      <c r="E242" s="12" t="n"/>
      <c r="F242" s="46" t="n"/>
      <c r="G242" s="47" t="n"/>
      <c r="H242" s="14" t="n"/>
      <c r="I242" s="13">
        <f>IF(OR(B242="",Q242=""),"",IF(Q242&gt;0,IF(R242="Làm việc",WORKDAY(IFERROR(IF(INDEX(SK_D,MATCH(O242,SK_A,0))="",B242,INDEX(SK_D,MATCH(O242,SK_A,0))),B242),Q242,HOLI),IFERROR(IF(INDEX(SK_D,MATCH(O242,SK_A,0))="",B242,INDEX(SK_D,MATCH(O242,SK_A,0))),B242)+Q242),B242+Q242))</f>
        <v/>
      </c>
      <c r="J242" s="14" t="n"/>
      <c r="K242" s="13" t="n"/>
      <c r="L242" s="12" t="n"/>
      <c r="M242" s="48">
        <f>IF(E242="","",IF(J242="Bỏ qua","—",IF(J242="Xong",IF(AND(ISNUMBER(K242),ISNUMBER(I242),K242&gt;I242),"Xong trễ","Xong"),MID(IF(G242=""," · CHƯA GIAO","")&amp;IF(NOT(ISNUMBER(I242)),"",IF(TODAY()&gt;I242," · QUÁ HẠN "&amp;(TODAY()-I242)&amp;" ngày",IF(I242-TODAY()&lt;=3," · Đến hạn "&amp;IF(I242=TODAY(),"hôm nay","trong "&amp;(I242-TODAY())&amp;" ngày"),"")))&amp;IF(J242="Chờ đối tác"," · Chờ đối tác"&amp;IF(ISNUMBER(N242)," "&amp;(TODAY()-INT(N242))&amp;" ngày",""),""),4,200))))</f>
        <v/>
      </c>
      <c r="N242" s="49" t="n"/>
      <c r="S242">
        <f>IF(AND(E242&lt;&gt;"",T242="Có",J242&lt;&gt;"Xong",J242&lt;&gt;"Bỏ qua",ISNUMBER(I242)),I242+ROW()/100000,"")</f>
        <v/>
      </c>
      <c r="T242">
        <f>IF(O242="","",IFERROR(INDEX(SK_TD,MATCH(O242,SK_A,0)),""))</f>
        <v/>
      </c>
      <c r="V242">
        <f>IF(AND(O242&lt;&gt;"",O242=SEL_K,J242&lt;&gt;"Xong",J242&lt;&gt;"Bỏ qua"),IF(ISNUMBER(I242),I242,99999)+ROW()/100000,"")</f>
        <v/>
      </c>
    </row>
    <row r="243">
      <c r="A243" s="12">
        <f>IF(O243="","",IFERROR(INDEX(SK_B,MATCH(O243,SK_A,0))&amp;"",""))</f>
        <v/>
      </c>
      <c r="B243" s="45">
        <f>IF(O243="","",IFERROR(INDEX(SK_C,MATCH(O243,SK_A,0)),""))</f>
        <v/>
      </c>
      <c r="C243" s="46">
        <f>IF(Q243="","",IF(Q243=0,"D",IF(Q243&lt;0,"D"&amp;Q243,"D+"&amp;Q243)))</f>
        <v/>
      </c>
      <c r="D243" s="14" t="n"/>
      <c r="E243" s="12" t="n"/>
      <c r="F243" s="46" t="n"/>
      <c r="G243" s="47" t="n"/>
      <c r="H243" s="14" t="n"/>
      <c r="I243" s="13">
        <f>IF(OR(B243="",Q243=""),"",IF(Q243&gt;0,IF(R243="Làm việc",WORKDAY(IFERROR(IF(INDEX(SK_D,MATCH(O243,SK_A,0))="",B243,INDEX(SK_D,MATCH(O243,SK_A,0))),B243),Q243,HOLI),IFERROR(IF(INDEX(SK_D,MATCH(O243,SK_A,0))="",B243,INDEX(SK_D,MATCH(O243,SK_A,0))),B243)+Q243),B243+Q243))</f>
        <v/>
      </c>
      <c r="J243" s="14" t="n"/>
      <c r="K243" s="13" t="n"/>
      <c r="L243" s="12" t="n"/>
      <c r="M243" s="48">
        <f>IF(E243="","",IF(J243="Bỏ qua","—",IF(J243="Xong",IF(AND(ISNUMBER(K243),ISNUMBER(I243),K243&gt;I243),"Xong trễ","Xong"),MID(IF(G243=""," · CHƯA GIAO","")&amp;IF(NOT(ISNUMBER(I243)),"",IF(TODAY()&gt;I243," · QUÁ HẠN "&amp;(TODAY()-I243)&amp;" ngày",IF(I243-TODAY()&lt;=3," · Đến hạn "&amp;IF(I243=TODAY(),"hôm nay","trong "&amp;(I243-TODAY())&amp;" ngày"),"")))&amp;IF(J243="Chờ đối tác"," · Chờ đối tác"&amp;IF(ISNUMBER(N243)," "&amp;(TODAY()-INT(N243))&amp;" ngày",""),""),4,200))))</f>
        <v/>
      </c>
      <c r="N243" s="49" t="n"/>
      <c r="S243">
        <f>IF(AND(E243&lt;&gt;"",T243="Có",J243&lt;&gt;"Xong",J243&lt;&gt;"Bỏ qua",ISNUMBER(I243)),I243+ROW()/100000,"")</f>
        <v/>
      </c>
      <c r="T243">
        <f>IF(O243="","",IFERROR(INDEX(SK_TD,MATCH(O243,SK_A,0)),""))</f>
        <v/>
      </c>
      <c r="V243">
        <f>IF(AND(O243&lt;&gt;"",O243=SEL_K,J243&lt;&gt;"Xong",J243&lt;&gt;"Bỏ qua"),IF(ISNUMBER(I243),I243,99999)+ROW()/100000,"")</f>
        <v/>
      </c>
    </row>
    <row r="244">
      <c r="A244" s="12">
        <f>IF(O244="","",IFERROR(INDEX(SK_B,MATCH(O244,SK_A,0))&amp;"",""))</f>
        <v/>
      </c>
      <c r="B244" s="45">
        <f>IF(O244="","",IFERROR(INDEX(SK_C,MATCH(O244,SK_A,0)),""))</f>
        <v/>
      </c>
      <c r="C244" s="46">
        <f>IF(Q244="","",IF(Q244=0,"D",IF(Q244&lt;0,"D"&amp;Q244,"D+"&amp;Q244)))</f>
        <v/>
      </c>
      <c r="D244" s="14" t="n"/>
      <c r="E244" s="12" t="n"/>
      <c r="F244" s="46" t="n"/>
      <c r="G244" s="47" t="n"/>
      <c r="H244" s="14" t="n"/>
      <c r="I244" s="13">
        <f>IF(OR(B244="",Q244=""),"",IF(Q244&gt;0,IF(R244="Làm việc",WORKDAY(IFERROR(IF(INDEX(SK_D,MATCH(O244,SK_A,0))="",B244,INDEX(SK_D,MATCH(O244,SK_A,0))),B244),Q244,HOLI),IFERROR(IF(INDEX(SK_D,MATCH(O244,SK_A,0))="",B244,INDEX(SK_D,MATCH(O244,SK_A,0))),B244)+Q244),B244+Q244))</f>
        <v/>
      </c>
      <c r="J244" s="14" t="n"/>
      <c r="K244" s="13" t="n"/>
      <c r="L244" s="12" t="n"/>
      <c r="M244" s="48">
        <f>IF(E244="","",IF(J244="Bỏ qua","—",IF(J244="Xong",IF(AND(ISNUMBER(K244),ISNUMBER(I244),K244&gt;I244),"Xong trễ","Xong"),MID(IF(G244=""," · CHƯA GIAO","")&amp;IF(NOT(ISNUMBER(I244)),"",IF(TODAY()&gt;I244," · QUÁ HẠN "&amp;(TODAY()-I244)&amp;" ngày",IF(I244-TODAY()&lt;=3," · Đến hạn "&amp;IF(I244=TODAY(),"hôm nay","trong "&amp;(I244-TODAY())&amp;" ngày"),"")))&amp;IF(J244="Chờ đối tác"," · Chờ đối tác"&amp;IF(ISNUMBER(N244)," "&amp;(TODAY()-INT(N244))&amp;" ngày",""),""),4,200))))</f>
        <v/>
      </c>
      <c r="N244" s="49" t="n"/>
      <c r="S244">
        <f>IF(AND(E244&lt;&gt;"",T244="Có",J244&lt;&gt;"Xong",J244&lt;&gt;"Bỏ qua",ISNUMBER(I244)),I244+ROW()/100000,"")</f>
        <v/>
      </c>
      <c r="T244">
        <f>IF(O244="","",IFERROR(INDEX(SK_TD,MATCH(O244,SK_A,0)),""))</f>
        <v/>
      </c>
      <c r="V244">
        <f>IF(AND(O244&lt;&gt;"",O244=SEL_K,J244&lt;&gt;"Xong",J244&lt;&gt;"Bỏ qua"),IF(ISNUMBER(I244),I244,99999)+ROW()/100000,"")</f>
        <v/>
      </c>
    </row>
    <row r="245">
      <c r="A245" s="12">
        <f>IF(O245="","",IFERROR(INDEX(SK_B,MATCH(O245,SK_A,0))&amp;"",""))</f>
        <v/>
      </c>
      <c r="B245" s="45">
        <f>IF(O245="","",IFERROR(INDEX(SK_C,MATCH(O245,SK_A,0)),""))</f>
        <v/>
      </c>
      <c r="C245" s="46">
        <f>IF(Q245="","",IF(Q245=0,"D",IF(Q245&lt;0,"D"&amp;Q245,"D+"&amp;Q245)))</f>
        <v/>
      </c>
      <c r="D245" s="14" t="n"/>
      <c r="E245" s="12" t="n"/>
      <c r="F245" s="46" t="n"/>
      <c r="G245" s="47" t="n"/>
      <c r="H245" s="14" t="n"/>
      <c r="I245" s="13">
        <f>IF(OR(B245="",Q245=""),"",IF(Q245&gt;0,IF(R245="Làm việc",WORKDAY(IFERROR(IF(INDEX(SK_D,MATCH(O245,SK_A,0))="",B245,INDEX(SK_D,MATCH(O245,SK_A,0))),B245),Q245,HOLI),IFERROR(IF(INDEX(SK_D,MATCH(O245,SK_A,0))="",B245,INDEX(SK_D,MATCH(O245,SK_A,0))),B245)+Q245),B245+Q245))</f>
        <v/>
      </c>
      <c r="J245" s="14" t="n"/>
      <c r="K245" s="13" t="n"/>
      <c r="L245" s="12" t="n"/>
      <c r="M245" s="48">
        <f>IF(E245="","",IF(J245="Bỏ qua","—",IF(J245="Xong",IF(AND(ISNUMBER(K245),ISNUMBER(I245),K245&gt;I245),"Xong trễ","Xong"),MID(IF(G245=""," · CHƯA GIAO","")&amp;IF(NOT(ISNUMBER(I245)),"",IF(TODAY()&gt;I245," · QUÁ HẠN "&amp;(TODAY()-I245)&amp;" ngày",IF(I245-TODAY()&lt;=3," · Đến hạn "&amp;IF(I245=TODAY(),"hôm nay","trong "&amp;(I245-TODAY())&amp;" ngày"),"")))&amp;IF(J245="Chờ đối tác"," · Chờ đối tác"&amp;IF(ISNUMBER(N245)," "&amp;(TODAY()-INT(N245))&amp;" ngày",""),""),4,200))))</f>
        <v/>
      </c>
      <c r="N245" s="49" t="n"/>
      <c r="S245">
        <f>IF(AND(E245&lt;&gt;"",T245="Có",J245&lt;&gt;"Xong",J245&lt;&gt;"Bỏ qua",ISNUMBER(I245)),I245+ROW()/100000,"")</f>
        <v/>
      </c>
      <c r="T245">
        <f>IF(O245="","",IFERROR(INDEX(SK_TD,MATCH(O245,SK_A,0)),""))</f>
        <v/>
      </c>
      <c r="V245">
        <f>IF(AND(O245&lt;&gt;"",O245=SEL_K,J245&lt;&gt;"Xong",J245&lt;&gt;"Bỏ qua"),IF(ISNUMBER(I245),I245,99999)+ROW()/100000,"")</f>
        <v/>
      </c>
    </row>
    <row r="246">
      <c r="A246" s="12">
        <f>IF(O246="","",IFERROR(INDEX(SK_B,MATCH(O246,SK_A,0))&amp;"",""))</f>
        <v/>
      </c>
      <c r="B246" s="45">
        <f>IF(O246="","",IFERROR(INDEX(SK_C,MATCH(O246,SK_A,0)),""))</f>
        <v/>
      </c>
      <c r="C246" s="46">
        <f>IF(Q246="","",IF(Q246=0,"D",IF(Q246&lt;0,"D"&amp;Q246,"D+"&amp;Q246)))</f>
        <v/>
      </c>
      <c r="D246" s="14" t="n"/>
      <c r="E246" s="12" t="n"/>
      <c r="F246" s="46" t="n"/>
      <c r="G246" s="47" t="n"/>
      <c r="H246" s="14" t="n"/>
      <c r="I246" s="13">
        <f>IF(OR(B246="",Q246=""),"",IF(Q246&gt;0,IF(R246="Làm việc",WORKDAY(IFERROR(IF(INDEX(SK_D,MATCH(O246,SK_A,0))="",B246,INDEX(SK_D,MATCH(O246,SK_A,0))),B246),Q246,HOLI),IFERROR(IF(INDEX(SK_D,MATCH(O246,SK_A,0))="",B246,INDEX(SK_D,MATCH(O246,SK_A,0))),B246)+Q246),B246+Q246))</f>
        <v/>
      </c>
      <c r="J246" s="14" t="n"/>
      <c r="K246" s="13" t="n"/>
      <c r="L246" s="12" t="n"/>
      <c r="M246" s="48">
        <f>IF(E246="","",IF(J246="Bỏ qua","—",IF(J246="Xong",IF(AND(ISNUMBER(K246),ISNUMBER(I246),K246&gt;I246),"Xong trễ","Xong"),MID(IF(G246=""," · CHƯA GIAO","")&amp;IF(NOT(ISNUMBER(I246)),"",IF(TODAY()&gt;I246," · QUÁ HẠN "&amp;(TODAY()-I246)&amp;" ngày",IF(I246-TODAY()&lt;=3," · Đến hạn "&amp;IF(I246=TODAY(),"hôm nay","trong "&amp;(I246-TODAY())&amp;" ngày"),"")))&amp;IF(J246="Chờ đối tác"," · Chờ đối tác"&amp;IF(ISNUMBER(N246)," "&amp;(TODAY()-INT(N246))&amp;" ngày",""),""),4,200))))</f>
        <v/>
      </c>
      <c r="N246" s="49" t="n"/>
      <c r="S246">
        <f>IF(AND(E246&lt;&gt;"",T246="Có",J246&lt;&gt;"Xong",J246&lt;&gt;"Bỏ qua",ISNUMBER(I246)),I246+ROW()/100000,"")</f>
        <v/>
      </c>
      <c r="T246">
        <f>IF(O246="","",IFERROR(INDEX(SK_TD,MATCH(O246,SK_A,0)),""))</f>
        <v/>
      </c>
      <c r="V246">
        <f>IF(AND(O246&lt;&gt;"",O246=SEL_K,J246&lt;&gt;"Xong",J246&lt;&gt;"Bỏ qua"),IF(ISNUMBER(I246),I246,99999)+ROW()/100000,"")</f>
        <v/>
      </c>
    </row>
    <row r="247">
      <c r="A247" s="12">
        <f>IF(O247="","",IFERROR(INDEX(SK_B,MATCH(O247,SK_A,0))&amp;"",""))</f>
        <v/>
      </c>
      <c r="B247" s="45">
        <f>IF(O247="","",IFERROR(INDEX(SK_C,MATCH(O247,SK_A,0)),""))</f>
        <v/>
      </c>
      <c r="C247" s="46">
        <f>IF(Q247="","",IF(Q247=0,"D",IF(Q247&lt;0,"D"&amp;Q247,"D+"&amp;Q247)))</f>
        <v/>
      </c>
      <c r="D247" s="14" t="n"/>
      <c r="E247" s="12" t="n"/>
      <c r="F247" s="46" t="n"/>
      <c r="G247" s="47" t="n"/>
      <c r="H247" s="14" t="n"/>
      <c r="I247" s="13">
        <f>IF(OR(B247="",Q247=""),"",IF(Q247&gt;0,IF(R247="Làm việc",WORKDAY(IFERROR(IF(INDEX(SK_D,MATCH(O247,SK_A,0))="",B247,INDEX(SK_D,MATCH(O247,SK_A,0))),B247),Q247,HOLI),IFERROR(IF(INDEX(SK_D,MATCH(O247,SK_A,0))="",B247,INDEX(SK_D,MATCH(O247,SK_A,0))),B247)+Q247),B247+Q247))</f>
        <v/>
      </c>
      <c r="J247" s="14" t="n"/>
      <c r="K247" s="13" t="n"/>
      <c r="L247" s="12" t="n"/>
      <c r="M247" s="48">
        <f>IF(E247="","",IF(J247="Bỏ qua","—",IF(J247="Xong",IF(AND(ISNUMBER(K247),ISNUMBER(I247),K247&gt;I247),"Xong trễ","Xong"),MID(IF(G247=""," · CHƯA GIAO","")&amp;IF(NOT(ISNUMBER(I247)),"",IF(TODAY()&gt;I247," · QUÁ HẠN "&amp;(TODAY()-I247)&amp;" ngày",IF(I247-TODAY()&lt;=3," · Đến hạn "&amp;IF(I247=TODAY(),"hôm nay","trong "&amp;(I247-TODAY())&amp;" ngày"),"")))&amp;IF(J247="Chờ đối tác"," · Chờ đối tác"&amp;IF(ISNUMBER(N247)," "&amp;(TODAY()-INT(N247))&amp;" ngày",""),""),4,200))))</f>
        <v/>
      </c>
      <c r="N247" s="49" t="n"/>
      <c r="S247">
        <f>IF(AND(E247&lt;&gt;"",T247="Có",J247&lt;&gt;"Xong",J247&lt;&gt;"Bỏ qua",ISNUMBER(I247)),I247+ROW()/100000,"")</f>
        <v/>
      </c>
      <c r="T247">
        <f>IF(O247="","",IFERROR(INDEX(SK_TD,MATCH(O247,SK_A,0)),""))</f>
        <v/>
      </c>
      <c r="V247">
        <f>IF(AND(O247&lt;&gt;"",O247=SEL_K,J247&lt;&gt;"Xong",J247&lt;&gt;"Bỏ qua"),IF(ISNUMBER(I247),I247,99999)+ROW()/100000,"")</f>
        <v/>
      </c>
    </row>
    <row r="248">
      <c r="A248" s="12">
        <f>IF(O248="","",IFERROR(INDEX(SK_B,MATCH(O248,SK_A,0))&amp;"",""))</f>
        <v/>
      </c>
      <c r="B248" s="45">
        <f>IF(O248="","",IFERROR(INDEX(SK_C,MATCH(O248,SK_A,0)),""))</f>
        <v/>
      </c>
      <c r="C248" s="46">
        <f>IF(Q248="","",IF(Q248=0,"D",IF(Q248&lt;0,"D"&amp;Q248,"D+"&amp;Q248)))</f>
        <v/>
      </c>
      <c r="D248" s="14" t="n"/>
      <c r="E248" s="12" t="n"/>
      <c r="F248" s="46" t="n"/>
      <c r="G248" s="47" t="n"/>
      <c r="H248" s="14" t="n"/>
      <c r="I248" s="13">
        <f>IF(OR(B248="",Q248=""),"",IF(Q248&gt;0,IF(R248="Làm việc",WORKDAY(IFERROR(IF(INDEX(SK_D,MATCH(O248,SK_A,0))="",B248,INDEX(SK_D,MATCH(O248,SK_A,0))),B248),Q248,HOLI),IFERROR(IF(INDEX(SK_D,MATCH(O248,SK_A,0))="",B248,INDEX(SK_D,MATCH(O248,SK_A,0))),B248)+Q248),B248+Q248))</f>
        <v/>
      </c>
      <c r="J248" s="14" t="n"/>
      <c r="K248" s="13" t="n"/>
      <c r="L248" s="12" t="n"/>
      <c r="M248" s="48">
        <f>IF(E248="","",IF(J248="Bỏ qua","—",IF(J248="Xong",IF(AND(ISNUMBER(K248),ISNUMBER(I248),K248&gt;I248),"Xong trễ","Xong"),MID(IF(G248=""," · CHƯA GIAO","")&amp;IF(NOT(ISNUMBER(I248)),"",IF(TODAY()&gt;I248," · QUÁ HẠN "&amp;(TODAY()-I248)&amp;" ngày",IF(I248-TODAY()&lt;=3," · Đến hạn "&amp;IF(I248=TODAY(),"hôm nay","trong "&amp;(I248-TODAY())&amp;" ngày"),"")))&amp;IF(J248="Chờ đối tác"," · Chờ đối tác"&amp;IF(ISNUMBER(N248)," "&amp;(TODAY()-INT(N248))&amp;" ngày",""),""),4,200))))</f>
        <v/>
      </c>
      <c r="N248" s="49" t="n"/>
      <c r="S248">
        <f>IF(AND(E248&lt;&gt;"",T248="Có",J248&lt;&gt;"Xong",J248&lt;&gt;"Bỏ qua",ISNUMBER(I248)),I248+ROW()/100000,"")</f>
        <v/>
      </c>
      <c r="T248">
        <f>IF(O248="","",IFERROR(INDEX(SK_TD,MATCH(O248,SK_A,0)),""))</f>
        <v/>
      </c>
      <c r="V248">
        <f>IF(AND(O248&lt;&gt;"",O248=SEL_K,J248&lt;&gt;"Xong",J248&lt;&gt;"Bỏ qua"),IF(ISNUMBER(I248),I248,99999)+ROW()/100000,"")</f>
        <v/>
      </c>
    </row>
    <row r="249">
      <c r="A249" s="12">
        <f>IF(O249="","",IFERROR(INDEX(SK_B,MATCH(O249,SK_A,0))&amp;"",""))</f>
        <v/>
      </c>
      <c r="B249" s="45">
        <f>IF(O249="","",IFERROR(INDEX(SK_C,MATCH(O249,SK_A,0)),""))</f>
        <v/>
      </c>
      <c r="C249" s="46">
        <f>IF(Q249="","",IF(Q249=0,"D",IF(Q249&lt;0,"D"&amp;Q249,"D+"&amp;Q249)))</f>
        <v/>
      </c>
      <c r="D249" s="14" t="n"/>
      <c r="E249" s="12" t="n"/>
      <c r="F249" s="46" t="n"/>
      <c r="G249" s="47" t="n"/>
      <c r="H249" s="14" t="n"/>
      <c r="I249" s="13">
        <f>IF(OR(B249="",Q249=""),"",IF(Q249&gt;0,IF(R249="Làm việc",WORKDAY(IFERROR(IF(INDEX(SK_D,MATCH(O249,SK_A,0))="",B249,INDEX(SK_D,MATCH(O249,SK_A,0))),B249),Q249,HOLI),IFERROR(IF(INDEX(SK_D,MATCH(O249,SK_A,0))="",B249,INDEX(SK_D,MATCH(O249,SK_A,0))),B249)+Q249),B249+Q249))</f>
        <v/>
      </c>
      <c r="J249" s="14" t="n"/>
      <c r="K249" s="13" t="n"/>
      <c r="L249" s="12" t="n"/>
      <c r="M249" s="48">
        <f>IF(E249="","",IF(J249="Bỏ qua","—",IF(J249="Xong",IF(AND(ISNUMBER(K249),ISNUMBER(I249),K249&gt;I249),"Xong trễ","Xong"),MID(IF(G249=""," · CHƯA GIAO","")&amp;IF(NOT(ISNUMBER(I249)),"",IF(TODAY()&gt;I249," · QUÁ HẠN "&amp;(TODAY()-I249)&amp;" ngày",IF(I249-TODAY()&lt;=3," · Đến hạn "&amp;IF(I249=TODAY(),"hôm nay","trong "&amp;(I249-TODAY())&amp;" ngày"),"")))&amp;IF(J249="Chờ đối tác"," · Chờ đối tác"&amp;IF(ISNUMBER(N249)," "&amp;(TODAY()-INT(N249))&amp;" ngày",""),""),4,200))))</f>
        <v/>
      </c>
      <c r="N249" s="49" t="n"/>
      <c r="S249">
        <f>IF(AND(E249&lt;&gt;"",T249="Có",J249&lt;&gt;"Xong",J249&lt;&gt;"Bỏ qua",ISNUMBER(I249)),I249+ROW()/100000,"")</f>
        <v/>
      </c>
      <c r="T249">
        <f>IF(O249="","",IFERROR(INDEX(SK_TD,MATCH(O249,SK_A,0)),""))</f>
        <v/>
      </c>
      <c r="V249">
        <f>IF(AND(O249&lt;&gt;"",O249=SEL_K,J249&lt;&gt;"Xong",J249&lt;&gt;"Bỏ qua"),IF(ISNUMBER(I249),I249,99999)+ROW()/100000,"")</f>
        <v/>
      </c>
    </row>
    <row r="250">
      <c r="A250" s="12">
        <f>IF(O250="","",IFERROR(INDEX(SK_B,MATCH(O250,SK_A,0))&amp;"",""))</f>
        <v/>
      </c>
      <c r="B250" s="45">
        <f>IF(O250="","",IFERROR(INDEX(SK_C,MATCH(O250,SK_A,0)),""))</f>
        <v/>
      </c>
      <c r="C250" s="46">
        <f>IF(Q250="","",IF(Q250=0,"D",IF(Q250&lt;0,"D"&amp;Q250,"D+"&amp;Q250)))</f>
        <v/>
      </c>
      <c r="D250" s="14" t="n"/>
      <c r="E250" s="12" t="n"/>
      <c r="F250" s="46" t="n"/>
      <c r="G250" s="47" t="n"/>
      <c r="H250" s="14" t="n"/>
      <c r="I250" s="13">
        <f>IF(OR(B250="",Q250=""),"",IF(Q250&gt;0,IF(R250="Làm việc",WORKDAY(IFERROR(IF(INDEX(SK_D,MATCH(O250,SK_A,0))="",B250,INDEX(SK_D,MATCH(O250,SK_A,0))),B250),Q250,HOLI),IFERROR(IF(INDEX(SK_D,MATCH(O250,SK_A,0))="",B250,INDEX(SK_D,MATCH(O250,SK_A,0))),B250)+Q250),B250+Q250))</f>
        <v/>
      </c>
      <c r="J250" s="14" t="n"/>
      <c r="K250" s="13" t="n"/>
      <c r="L250" s="12" t="n"/>
      <c r="M250" s="48">
        <f>IF(E250="","",IF(J250="Bỏ qua","—",IF(J250="Xong",IF(AND(ISNUMBER(K250),ISNUMBER(I250),K250&gt;I250),"Xong trễ","Xong"),MID(IF(G250=""," · CHƯA GIAO","")&amp;IF(NOT(ISNUMBER(I250)),"",IF(TODAY()&gt;I250," · QUÁ HẠN "&amp;(TODAY()-I250)&amp;" ngày",IF(I250-TODAY()&lt;=3," · Đến hạn "&amp;IF(I250=TODAY(),"hôm nay","trong "&amp;(I250-TODAY())&amp;" ngày"),"")))&amp;IF(J250="Chờ đối tác"," · Chờ đối tác"&amp;IF(ISNUMBER(N250)," "&amp;(TODAY()-INT(N250))&amp;" ngày",""),""),4,200))))</f>
        <v/>
      </c>
      <c r="N250" s="49" t="n"/>
      <c r="S250">
        <f>IF(AND(E250&lt;&gt;"",T250="Có",J250&lt;&gt;"Xong",J250&lt;&gt;"Bỏ qua",ISNUMBER(I250)),I250+ROW()/100000,"")</f>
        <v/>
      </c>
      <c r="T250">
        <f>IF(O250="","",IFERROR(INDEX(SK_TD,MATCH(O250,SK_A,0)),""))</f>
        <v/>
      </c>
      <c r="V250">
        <f>IF(AND(O250&lt;&gt;"",O250=SEL_K,J250&lt;&gt;"Xong",J250&lt;&gt;"Bỏ qua"),IF(ISNUMBER(I250),I250,99999)+ROW()/100000,"")</f>
        <v/>
      </c>
    </row>
    <row r="251">
      <c r="A251" s="12">
        <f>IF(O251="","",IFERROR(INDEX(SK_B,MATCH(O251,SK_A,0))&amp;"",""))</f>
        <v/>
      </c>
      <c r="B251" s="45">
        <f>IF(O251="","",IFERROR(INDEX(SK_C,MATCH(O251,SK_A,0)),""))</f>
        <v/>
      </c>
      <c r="C251" s="46">
        <f>IF(Q251="","",IF(Q251=0,"D",IF(Q251&lt;0,"D"&amp;Q251,"D+"&amp;Q251)))</f>
        <v/>
      </c>
      <c r="D251" s="14" t="n"/>
      <c r="E251" s="12" t="n"/>
      <c r="F251" s="46" t="n"/>
      <c r="G251" s="47" t="n"/>
      <c r="H251" s="14" t="n"/>
      <c r="I251" s="13">
        <f>IF(OR(B251="",Q251=""),"",IF(Q251&gt;0,IF(R251="Làm việc",WORKDAY(IFERROR(IF(INDEX(SK_D,MATCH(O251,SK_A,0))="",B251,INDEX(SK_D,MATCH(O251,SK_A,0))),B251),Q251,HOLI),IFERROR(IF(INDEX(SK_D,MATCH(O251,SK_A,0))="",B251,INDEX(SK_D,MATCH(O251,SK_A,0))),B251)+Q251),B251+Q251))</f>
        <v/>
      </c>
      <c r="J251" s="14" t="n"/>
      <c r="K251" s="13" t="n"/>
      <c r="L251" s="12" t="n"/>
      <c r="M251" s="48">
        <f>IF(E251="","",IF(J251="Bỏ qua","—",IF(J251="Xong",IF(AND(ISNUMBER(K251),ISNUMBER(I251),K251&gt;I251),"Xong trễ","Xong"),MID(IF(G251=""," · CHƯA GIAO","")&amp;IF(NOT(ISNUMBER(I251)),"",IF(TODAY()&gt;I251," · QUÁ HẠN "&amp;(TODAY()-I251)&amp;" ngày",IF(I251-TODAY()&lt;=3," · Đến hạn "&amp;IF(I251=TODAY(),"hôm nay","trong "&amp;(I251-TODAY())&amp;" ngày"),"")))&amp;IF(J251="Chờ đối tác"," · Chờ đối tác"&amp;IF(ISNUMBER(N251)," "&amp;(TODAY()-INT(N251))&amp;" ngày",""),""),4,200))))</f>
        <v/>
      </c>
      <c r="N251" s="49" t="n"/>
      <c r="S251">
        <f>IF(AND(E251&lt;&gt;"",T251="Có",J251&lt;&gt;"Xong",J251&lt;&gt;"Bỏ qua",ISNUMBER(I251)),I251+ROW()/100000,"")</f>
        <v/>
      </c>
      <c r="T251">
        <f>IF(O251="","",IFERROR(INDEX(SK_TD,MATCH(O251,SK_A,0)),""))</f>
        <v/>
      </c>
      <c r="V251">
        <f>IF(AND(O251&lt;&gt;"",O251=SEL_K,J251&lt;&gt;"Xong",J251&lt;&gt;"Bỏ qua"),IF(ISNUMBER(I251),I251,99999)+ROW()/100000,"")</f>
        <v/>
      </c>
    </row>
    <row r="252">
      <c r="A252" s="12">
        <f>IF(O252="","",IFERROR(INDEX(SK_B,MATCH(O252,SK_A,0))&amp;"",""))</f>
        <v/>
      </c>
      <c r="B252" s="45">
        <f>IF(O252="","",IFERROR(INDEX(SK_C,MATCH(O252,SK_A,0)),""))</f>
        <v/>
      </c>
      <c r="C252" s="46">
        <f>IF(Q252="","",IF(Q252=0,"D",IF(Q252&lt;0,"D"&amp;Q252,"D+"&amp;Q252)))</f>
        <v/>
      </c>
      <c r="D252" s="14" t="n"/>
      <c r="E252" s="12" t="n"/>
      <c r="F252" s="46" t="n"/>
      <c r="G252" s="47" t="n"/>
      <c r="H252" s="14" t="n"/>
      <c r="I252" s="13">
        <f>IF(OR(B252="",Q252=""),"",IF(Q252&gt;0,IF(R252="Làm việc",WORKDAY(IFERROR(IF(INDEX(SK_D,MATCH(O252,SK_A,0))="",B252,INDEX(SK_D,MATCH(O252,SK_A,0))),B252),Q252,HOLI),IFERROR(IF(INDEX(SK_D,MATCH(O252,SK_A,0))="",B252,INDEX(SK_D,MATCH(O252,SK_A,0))),B252)+Q252),B252+Q252))</f>
        <v/>
      </c>
      <c r="J252" s="14" t="n"/>
      <c r="K252" s="13" t="n"/>
      <c r="L252" s="12" t="n"/>
      <c r="M252" s="48">
        <f>IF(E252="","",IF(J252="Bỏ qua","—",IF(J252="Xong",IF(AND(ISNUMBER(K252),ISNUMBER(I252),K252&gt;I252),"Xong trễ","Xong"),MID(IF(G252=""," · CHƯA GIAO","")&amp;IF(NOT(ISNUMBER(I252)),"",IF(TODAY()&gt;I252," · QUÁ HẠN "&amp;(TODAY()-I252)&amp;" ngày",IF(I252-TODAY()&lt;=3," · Đến hạn "&amp;IF(I252=TODAY(),"hôm nay","trong "&amp;(I252-TODAY())&amp;" ngày"),"")))&amp;IF(J252="Chờ đối tác"," · Chờ đối tác"&amp;IF(ISNUMBER(N252)," "&amp;(TODAY()-INT(N252))&amp;" ngày",""),""),4,200))))</f>
        <v/>
      </c>
      <c r="N252" s="49" t="n"/>
      <c r="S252">
        <f>IF(AND(E252&lt;&gt;"",T252="Có",J252&lt;&gt;"Xong",J252&lt;&gt;"Bỏ qua",ISNUMBER(I252)),I252+ROW()/100000,"")</f>
        <v/>
      </c>
      <c r="T252">
        <f>IF(O252="","",IFERROR(INDEX(SK_TD,MATCH(O252,SK_A,0)),""))</f>
        <v/>
      </c>
      <c r="V252">
        <f>IF(AND(O252&lt;&gt;"",O252=SEL_K,J252&lt;&gt;"Xong",J252&lt;&gt;"Bỏ qua"),IF(ISNUMBER(I252),I252,99999)+ROW()/100000,"")</f>
        <v/>
      </c>
    </row>
    <row r="253">
      <c r="A253" s="12">
        <f>IF(O253="","",IFERROR(INDEX(SK_B,MATCH(O253,SK_A,0))&amp;"",""))</f>
        <v/>
      </c>
      <c r="B253" s="45">
        <f>IF(O253="","",IFERROR(INDEX(SK_C,MATCH(O253,SK_A,0)),""))</f>
        <v/>
      </c>
      <c r="C253" s="46">
        <f>IF(Q253="","",IF(Q253=0,"D",IF(Q253&lt;0,"D"&amp;Q253,"D+"&amp;Q253)))</f>
        <v/>
      </c>
      <c r="D253" s="14" t="n"/>
      <c r="E253" s="12" t="n"/>
      <c r="F253" s="46" t="n"/>
      <c r="G253" s="47" t="n"/>
      <c r="H253" s="14" t="n"/>
      <c r="I253" s="13">
        <f>IF(OR(B253="",Q253=""),"",IF(Q253&gt;0,IF(R253="Làm việc",WORKDAY(IFERROR(IF(INDEX(SK_D,MATCH(O253,SK_A,0))="",B253,INDEX(SK_D,MATCH(O253,SK_A,0))),B253),Q253,HOLI),IFERROR(IF(INDEX(SK_D,MATCH(O253,SK_A,0))="",B253,INDEX(SK_D,MATCH(O253,SK_A,0))),B253)+Q253),B253+Q253))</f>
        <v/>
      </c>
      <c r="J253" s="14" t="n"/>
      <c r="K253" s="13" t="n"/>
      <c r="L253" s="12" t="n"/>
      <c r="M253" s="48">
        <f>IF(E253="","",IF(J253="Bỏ qua","—",IF(J253="Xong",IF(AND(ISNUMBER(K253),ISNUMBER(I253),K253&gt;I253),"Xong trễ","Xong"),MID(IF(G253=""," · CHƯA GIAO","")&amp;IF(NOT(ISNUMBER(I253)),"",IF(TODAY()&gt;I253," · QUÁ HẠN "&amp;(TODAY()-I253)&amp;" ngày",IF(I253-TODAY()&lt;=3," · Đến hạn "&amp;IF(I253=TODAY(),"hôm nay","trong "&amp;(I253-TODAY())&amp;" ngày"),"")))&amp;IF(J253="Chờ đối tác"," · Chờ đối tác"&amp;IF(ISNUMBER(N253)," "&amp;(TODAY()-INT(N253))&amp;" ngày",""),""),4,200))))</f>
        <v/>
      </c>
      <c r="N253" s="49" t="n"/>
      <c r="S253">
        <f>IF(AND(E253&lt;&gt;"",T253="Có",J253&lt;&gt;"Xong",J253&lt;&gt;"Bỏ qua",ISNUMBER(I253)),I253+ROW()/100000,"")</f>
        <v/>
      </c>
      <c r="T253">
        <f>IF(O253="","",IFERROR(INDEX(SK_TD,MATCH(O253,SK_A,0)),""))</f>
        <v/>
      </c>
      <c r="V253">
        <f>IF(AND(O253&lt;&gt;"",O253=SEL_K,J253&lt;&gt;"Xong",J253&lt;&gt;"Bỏ qua"),IF(ISNUMBER(I253),I253,99999)+ROW()/100000,"")</f>
        <v/>
      </c>
    </row>
    <row r="254">
      <c r="A254" s="12">
        <f>IF(O254="","",IFERROR(INDEX(SK_B,MATCH(O254,SK_A,0))&amp;"",""))</f>
        <v/>
      </c>
      <c r="B254" s="45">
        <f>IF(O254="","",IFERROR(INDEX(SK_C,MATCH(O254,SK_A,0)),""))</f>
        <v/>
      </c>
      <c r="C254" s="46">
        <f>IF(Q254="","",IF(Q254=0,"D",IF(Q254&lt;0,"D"&amp;Q254,"D+"&amp;Q254)))</f>
        <v/>
      </c>
      <c r="D254" s="14" t="n"/>
      <c r="E254" s="12" t="n"/>
      <c r="F254" s="46" t="n"/>
      <c r="G254" s="47" t="n"/>
      <c r="H254" s="14" t="n"/>
      <c r="I254" s="13">
        <f>IF(OR(B254="",Q254=""),"",IF(Q254&gt;0,IF(R254="Làm việc",WORKDAY(IFERROR(IF(INDEX(SK_D,MATCH(O254,SK_A,0))="",B254,INDEX(SK_D,MATCH(O254,SK_A,0))),B254),Q254,HOLI),IFERROR(IF(INDEX(SK_D,MATCH(O254,SK_A,0))="",B254,INDEX(SK_D,MATCH(O254,SK_A,0))),B254)+Q254),B254+Q254))</f>
        <v/>
      </c>
      <c r="J254" s="14" t="n"/>
      <c r="K254" s="13" t="n"/>
      <c r="L254" s="12" t="n"/>
      <c r="M254" s="48">
        <f>IF(E254="","",IF(J254="Bỏ qua","—",IF(J254="Xong",IF(AND(ISNUMBER(K254),ISNUMBER(I254),K254&gt;I254),"Xong trễ","Xong"),MID(IF(G254=""," · CHƯA GIAO","")&amp;IF(NOT(ISNUMBER(I254)),"",IF(TODAY()&gt;I254," · QUÁ HẠN "&amp;(TODAY()-I254)&amp;" ngày",IF(I254-TODAY()&lt;=3," · Đến hạn "&amp;IF(I254=TODAY(),"hôm nay","trong "&amp;(I254-TODAY())&amp;" ngày"),"")))&amp;IF(J254="Chờ đối tác"," · Chờ đối tác"&amp;IF(ISNUMBER(N254)," "&amp;(TODAY()-INT(N254))&amp;" ngày",""),""),4,200))))</f>
        <v/>
      </c>
      <c r="N254" s="49" t="n"/>
      <c r="S254">
        <f>IF(AND(E254&lt;&gt;"",T254="Có",J254&lt;&gt;"Xong",J254&lt;&gt;"Bỏ qua",ISNUMBER(I254)),I254+ROW()/100000,"")</f>
        <v/>
      </c>
      <c r="T254">
        <f>IF(O254="","",IFERROR(INDEX(SK_TD,MATCH(O254,SK_A,0)),""))</f>
        <v/>
      </c>
      <c r="V254">
        <f>IF(AND(O254&lt;&gt;"",O254=SEL_K,J254&lt;&gt;"Xong",J254&lt;&gt;"Bỏ qua"),IF(ISNUMBER(I254),I254,99999)+ROW()/100000,"")</f>
        <v/>
      </c>
    </row>
    <row r="255">
      <c r="A255" s="12">
        <f>IF(O255="","",IFERROR(INDEX(SK_B,MATCH(O255,SK_A,0))&amp;"",""))</f>
        <v/>
      </c>
      <c r="B255" s="45">
        <f>IF(O255="","",IFERROR(INDEX(SK_C,MATCH(O255,SK_A,0)),""))</f>
        <v/>
      </c>
      <c r="C255" s="46">
        <f>IF(Q255="","",IF(Q255=0,"D",IF(Q255&lt;0,"D"&amp;Q255,"D+"&amp;Q255)))</f>
        <v/>
      </c>
      <c r="D255" s="14" t="n"/>
      <c r="E255" s="12" t="n"/>
      <c r="F255" s="46" t="n"/>
      <c r="G255" s="47" t="n"/>
      <c r="H255" s="14" t="n"/>
      <c r="I255" s="13">
        <f>IF(OR(B255="",Q255=""),"",IF(Q255&gt;0,IF(R255="Làm việc",WORKDAY(IFERROR(IF(INDEX(SK_D,MATCH(O255,SK_A,0))="",B255,INDEX(SK_D,MATCH(O255,SK_A,0))),B255),Q255,HOLI),IFERROR(IF(INDEX(SK_D,MATCH(O255,SK_A,0))="",B255,INDEX(SK_D,MATCH(O255,SK_A,0))),B255)+Q255),B255+Q255))</f>
        <v/>
      </c>
      <c r="J255" s="14" t="n"/>
      <c r="K255" s="13" t="n"/>
      <c r="L255" s="12" t="n"/>
      <c r="M255" s="48">
        <f>IF(E255="","",IF(J255="Bỏ qua","—",IF(J255="Xong",IF(AND(ISNUMBER(K255),ISNUMBER(I255),K255&gt;I255),"Xong trễ","Xong"),MID(IF(G255=""," · CHƯA GIAO","")&amp;IF(NOT(ISNUMBER(I255)),"",IF(TODAY()&gt;I255," · QUÁ HẠN "&amp;(TODAY()-I255)&amp;" ngày",IF(I255-TODAY()&lt;=3," · Đến hạn "&amp;IF(I255=TODAY(),"hôm nay","trong "&amp;(I255-TODAY())&amp;" ngày"),"")))&amp;IF(J255="Chờ đối tác"," · Chờ đối tác"&amp;IF(ISNUMBER(N255)," "&amp;(TODAY()-INT(N255))&amp;" ngày",""),""),4,200))))</f>
        <v/>
      </c>
      <c r="N255" s="49" t="n"/>
      <c r="S255">
        <f>IF(AND(E255&lt;&gt;"",T255="Có",J255&lt;&gt;"Xong",J255&lt;&gt;"Bỏ qua",ISNUMBER(I255)),I255+ROW()/100000,"")</f>
        <v/>
      </c>
      <c r="T255">
        <f>IF(O255="","",IFERROR(INDEX(SK_TD,MATCH(O255,SK_A,0)),""))</f>
        <v/>
      </c>
      <c r="V255">
        <f>IF(AND(O255&lt;&gt;"",O255=SEL_K,J255&lt;&gt;"Xong",J255&lt;&gt;"Bỏ qua"),IF(ISNUMBER(I255),I255,99999)+ROW()/100000,"")</f>
        <v/>
      </c>
    </row>
    <row r="256">
      <c r="A256" s="12">
        <f>IF(O256="","",IFERROR(INDEX(SK_B,MATCH(O256,SK_A,0))&amp;"",""))</f>
        <v/>
      </c>
      <c r="B256" s="45">
        <f>IF(O256="","",IFERROR(INDEX(SK_C,MATCH(O256,SK_A,0)),""))</f>
        <v/>
      </c>
      <c r="C256" s="46">
        <f>IF(Q256="","",IF(Q256=0,"D",IF(Q256&lt;0,"D"&amp;Q256,"D+"&amp;Q256)))</f>
        <v/>
      </c>
      <c r="D256" s="14" t="n"/>
      <c r="E256" s="12" t="n"/>
      <c r="F256" s="46" t="n"/>
      <c r="G256" s="47" t="n"/>
      <c r="H256" s="14" t="n"/>
      <c r="I256" s="13">
        <f>IF(OR(B256="",Q256=""),"",IF(Q256&gt;0,IF(R256="Làm việc",WORKDAY(IFERROR(IF(INDEX(SK_D,MATCH(O256,SK_A,0))="",B256,INDEX(SK_D,MATCH(O256,SK_A,0))),B256),Q256,HOLI),IFERROR(IF(INDEX(SK_D,MATCH(O256,SK_A,0))="",B256,INDEX(SK_D,MATCH(O256,SK_A,0))),B256)+Q256),B256+Q256))</f>
        <v/>
      </c>
      <c r="J256" s="14" t="n"/>
      <c r="K256" s="13" t="n"/>
      <c r="L256" s="12" t="n"/>
      <c r="M256" s="48">
        <f>IF(E256="","",IF(J256="Bỏ qua","—",IF(J256="Xong",IF(AND(ISNUMBER(K256),ISNUMBER(I256),K256&gt;I256),"Xong trễ","Xong"),MID(IF(G256=""," · CHƯA GIAO","")&amp;IF(NOT(ISNUMBER(I256)),"",IF(TODAY()&gt;I256," · QUÁ HẠN "&amp;(TODAY()-I256)&amp;" ngày",IF(I256-TODAY()&lt;=3," · Đến hạn "&amp;IF(I256=TODAY(),"hôm nay","trong "&amp;(I256-TODAY())&amp;" ngày"),"")))&amp;IF(J256="Chờ đối tác"," · Chờ đối tác"&amp;IF(ISNUMBER(N256)," "&amp;(TODAY()-INT(N256))&amp;" ngày",""),""),4,200))))</f>
        <v/>
      </c>
      <c r="N256" s="49" t="n"/>
      <c r="S256">
        <f>IF(AND(E256&lt;&gt;"",T256="Có",J256&lt;&gt;"Xong",J256&lt;&gt;"Bỏ qua",ISNUMBER(I256)),I256+ROW()/100000,"")</f>
        <v/>
      </c>
      <c r="T256">
        <f>IF(O256="","",IFERROR(INDEX(SK_TD,MATCH(O256,SK_A,0)),""))</f>
        <v/>
      </c>
      <c r="V256">
        <f>IF(AND(O256&lt;&gt;"",O256=SEL_K,J256&lt;&gt;"Xong",J256&lt;&gt;"Bỏ qua"),IF(ISNUMBER(I256),I256,99999)+ROW()/100000,"")</f>
        <v/>
      </c>
    </row>
    <row r="257">
      <c r="A257" s="12">
        <f>IF(O257="","",IFERROR(INDEX(SK_B,MATCH(O257,SK_A,0))&amp;"",""))</f>
        <v/>
      </c>
      <c r="B257" s="45">
        <f>IF(O257="","",IFERROR(INDEX(SK_C,MATCH(O257,SK_A,0)),""))</f>
        <v/>
      </c>
      <c r="C257" s="46">
        <f>IF(Q257="","",IF(Q257=0,"D",IF(Q257&lt;0,"D"&amp;Q257,"D+"&amp;Q257)))</f>
        <v/>
      </c>
      <c r="D257" s="14" t="n"/>
      <c r="E257" s="12" t="n"/>
      <c r="F257" s="46" t="n"/>
      <c r="G257" s="47" t="n"/>
      <c r="H257" s="14" t="n"/>
      <c r="I257" s="13">
        <f>IF(OR(B257="",Q257=""),"",IF(Q257&gt;0,IF(R257="Làm việc",WORKDAY(IFERROR(IF(INDEX(SK_D,MATCH(O257,SK_A,0))="",B257,INDEX(SK_D,MATCH(O257,SK_A,0))),B257),Q257,HOLI),IFERROR(IF(INDEX(SK_D,MATCH(O257,SK_A,0))="",B257,INDEX(SK_D,MATCH(O257,SK_A,0))),B257)+Q257),B257+Q257))</f>
        <v/>
      </c>
      <c r="J257" s="14" t="n"/>
      <c r="K257" s="13" t="n"/>
      <c r="L257" s="12" t="n"/>
      <c r="M257" s="48">
        <f>IF(E257="","",IF(J257="Bỏ qua","—",IF(J257="Xong",IF(AND(ISNUMBER(K257),ISNUMBER(I257),K257&gt;I257),"Xong trễ","Xong"),MID(IF(G257=""," · CHƯA GIAO","")&amp;IF(NOT(ISNUMBER(I257)),"",IF(TODAY()&gt;I257," · QUÁ HẠN "&amp;(TODAY()-I257)&amp;" ngày",IF(I257-TODAY()&lt;=3," · Đến hạn "&amp;IF(I257=TODAY(),"hôm nay","trong "&amp;(I257-TODAY())&amp;" ngày"),"")))&amp;IF(J257="Chờ đối tác"," · Chờ đối tác"&amp;IF(ISNUMBER(N257)," "&amp;(TODAY()-INT(N257))&amp;" ngày",""),""),4,200))))</f>
        <v/>
      </c>
      <c r="N257" s="49" t="n"/>
      <c r="S257">
        <f>IF(AND(E257&lt;&gt;"",T257="Có",J257&lt;&gt;"Xong",J257&lt;&gt;"Bỏ qua",ISNUMBER(I257)),I257+ROW()/100000,"")</f>
        <v/>
      </c>
      <c r="T257">
        <f>IF(O257="","",IFERROR(INDEX(SK_TD,MATCH(O257,SK_A,0)),""))</f>
        <v/>
      </c>
      <c r="V257">
        <f>IF(AND(O257&lt;&gt;"",O257=SEL_K,J257&lt;&gt;"Xong",J257&lt;&gt;"Bỏ qua"),IF(ISNUMBER(I257),I257,99999)+ROW()/100000,"")</f>
        <v/>
      </c>
    </row>
    <row r="258">
      <c r="A258" s="12">
        <f>IF(O258="","",IFERROR(INDEX(SK_B,MATCH(O258,SK_A,0))&amp;"",""))</f>
        <v/>
      </c>
      <c r="B258" s="45">
        <f>IF(O258="","",IFERROR(INDEX(SK_C,MATCH(O258,SK_A,0)),""))</f>
        <v/>
      </c>
      <c r="C258" s="46">
        <f>IF(Q258="","",IF(Q258=0,"D",IF(Q258&lt;0,"D"&amp;Q258,"D+"&amp;Q258)))</f>
        <v/>
      </c>
      <c r="D258" s="14" t="n"/>
      <c r="E258" s="12" t="n"/>
      <c r="F258" s="46" t="n"/>
      <c r="G258" s="47" t="n"/>
      <c r="H258" s="14" t="n"/>
      <c r="I258" s="13">
        <f>IF(OR(B258="",Q258=""),"",IF(Q258&gt;0,IF(R258="Làm việc",WORKDAY(IFERROR(IF(INDEX(SK_D,MATCH(O258,SK_A,0))="",B258,INDEX(SK_D,MATCH(O258,SK_A,0))),B258),Q258,HOLI),IFERROR(IF(INDEX(SK_D,MATCH(O258,SK_A,0))="",B258,INDEX(SK_D,MATCH(O258,SK_A,0))),B258)+Q258),B258+Q258))</f>
        <v/>
      </c>
      <c r="J258" s="14" t="n"/>
      <c r="K258" s="13" t="n"/>
      <c r="L258" s="12" t="n"/>
      <c r="M258" s="48">
        <f>IF(E258="","",IF(J258="Bỏ qua","—",IF(J258="Xong",IF(AND(ISNUMBER(K258),ISNUMBER(I258),K258&gt;I258),"Xong trễ","Xong"),MID(IF(G258=""," · CHƯA GIAO","")&amp;IF(NOT(ISNUMBER(I258)),"",IF(TODAY()&gt;I258," · QUÁ HẠN "&amp;(TODAY()-I258)&amp;" ngày",IF(I258-TODAY()&lt;=3," · Đến hạn "&amp;IF(I258=TODAY(),"hôm nay","trong "&amp;(I258-TODAY())&amp;" ngày"),"")))&amp;IF(J258="Chờ đối tác"," · Chờ đối tác"&amp;IF(ISNUMBER(N258)," "&amp;(TODAY()-INT(N258))&amp;" ngày",""),""),4,200))))</f>
        <v/>
      </c>
      <c r="N258" s="49" t="n"/>
      <c r="S258">
        <f>IF(AND(E258&lt;&gt;"",T258="Có",J258&lt;&gt;"Xong",J258&lt;&gt;"Bỏ qua",ISNUMBER(I258)),I258+ROW()/100000,"")</f>
        <v/>
      </c>
      <c r="T258">
        <f>IF(O258="","",IFERROR(INDEX(SK_TD,MATCH(O258,SK_A,0)),""))</f>
        <v/>
      </c>
      <c r="V258">
        <f>IF(AND(O258&lt;&gt;"",O258=SEL_K,J258&lt;&gt;"Xong",J258&lt;&gt;"Bỏ qua"),IF(ISNUMBER(I258),I258,99999)+ROW()/100000,"")</f>
        <v/>
      </c>
    </row>
    <row r="259">
      <c r="A259" s="12">
        <f>IF(O259="","",IFERROR(INDEX(SK_B,MATCH(O259,SK_A,0))&amp;"",""))</f>
        <v/>
      </c>
      <c r="B259" s="45">
        <f>IF(O259="","",IFERROR(INDEX(SK_C,MATCH(O259,SK_A,0)),""))</f>
        <v/>
      </c>
      <c r="C259" s="46">
        <f>IF(Q259="","",IF(Q259=0,"D",IF(Q259&lt;0,"D"&amp;Q259,"D+"&amp;Q259)))</f>
        <v/>
      </c>
      <c r="D259" s="14" t="n"/>
      <c r="E259" s="12" t="n"/>
      <c r="F259" s="46" t="n"/>
      <c r="G259" s="47" t="n"/>
      <c r="H259" s="14" t="n"/>
      <c r="I259" s="13">
        <f>IF(OR(B259="",Q259=""),"",IF(Q259&gt;0,IF(R259="Làm việc",WORKDAY(IFERROR(IF(INDEX(SK_D,MATCH(O259,SK_A,0))="",B259,INDEX(SK_D,MATCH(O259,SK_A,0))),B259),Q259,HOLI),IFERROR(IF(INDEX(SK_D,MATCH(O259,SK_A,0))="",B259,INDEX(SK_D,MATCH(O259,SK_A,0))),B259)+Q259),B259+Q259))</f>
        <v/>
      </c>
      <c r="J259" s="14" t="n"/>
      <c r="K259" s="13" t="n"/>
      <c r="L259" s="12" t="n"/>
      <c r="M259" s="48">
        <f>IF(E259="","",IF(J259="Bỏ qua","—",IF(J259="Xong",IF(AND(ISNUMBER(K259),ISNUMBER(I259),K259&gt;I259),"Xong trễ","Xong"),MID(IF(G259=""," · CHƯA GIAO","")&amp;IF(NOT(ISNUMBER(I259)),"",IF(TODAY()&gt;I259," · QUÁ HẠN "&amp;(TODAY()-I259)&amp;" ngày",IF(I259-TODAY()&lt;=3," · Đến hạn "&amp;IF(I259=TODAY(),"hôm nay","trong "&amp;(I259-TODAY())&amp;" ngày"),"")))&amp;IF(J259="Chờ đối tác"," · Chờ đối tác"&amp;IF(ISNUMBER(N259)," "&amp;(TODAY()-INT(N259))&amp;" ngày",""),""),4,200))))</f>
        <v/>
      </c>
      <c r="N259" s="49" t="n"/>
      <c r="S259">
        <f>IF(AND(E259&lt;&gt;"",T259="Có",J259&lt;&gt;"Xong",J259&lt;&gt;"Bỏ qua",ISNUMBER(I259)),I259+ROW()/100000,"")</f>
        <v/>
      </c>
      <c r="T259">
        <f>IF(O259="","",IFERROR(INDEX(SK_TD,MATCH(O259,SK_A,0)),""))</f>
        <v/>
      </c>
      <c r="V259">
        <f>IF(AND(O259&lt;&gt;"",O259=SEL_K,J259&lt;&gt;"Xong",J259&lt;&gt;"Bỏ qua"),IF(ISNUMBER(I259),I259,99999)+ROW()/100000,"")</f>
        <v/>
      </c>
    </row>
    <row r="260">
      <c r="A260" s="12">
        <f>IF(O260="","",IFERROR(INDEX(SK_B,MATCH(O260,SK_A,0))&amp;"",""))</f>
        <v/>
      </c>
      <c r="B260" s="45">
        <f>IF(O260="","",IFERROR(INDEX(SK_C,MATCH(O260,SK_A,0)),""))</f>
        <v/>
      </c>
      <c r="C260" s="46">
        <f>IF(Q260="","",IF(Q260=0,"D",IF(Q260&lt;0,"D"&amp;Q260,"D+"&amp;Q260)))</f>
        <v/>
      </c>
      <c r="D260" s="14" t="n"/>
      <c r="E260" s="12" t="n"/>
      <c r="F260" s="46" t="n"/>
      <c r="G260" s="47" t="n"/>
      <c r="H260" s="14" t="n"/>
      <c r="I260" s="13">
        <f>IF(OR(B260="",Q260=""),"",IF(Q260&gt;0,IF(R260="Làm việc",WORKDAY(IFERROR(IF(INDEX(SK_D,MATCH(O260,SK_A,0))="",B260,INDEX(SK_D,MATCH(O260,SK_A,0))),B260),Q260,HOLI),IFERROR(IF(INDEX(SK_D,MATCH(O260,SK_A,0))="",B260,INDEX(SK_D,MATCH(O260,SK_A,0))),B260)+Q260),B260+Q260))</f>
        <v/>
      </c>
      <c r="J260" s="14" t="n"/>
      <c r="K260" s="13" t="n"/>
      <c r="L260" s="12" t="n"/>
      <c r="M260" s="48">
        <f>IF(E260="","",IF(J260="Bỏ qua","—",IF(J260="Xong",IF(AND(ISNUMBER(K260),ISNUMBER(I260),K260&gt;I260),"Xong trễ","Xong"),MID(IF(G260=""," · CHƯA GIAO","")&amp;IF(NOT(ISNUMBER(I260)),"",IF(TODAY()&gt;I260," · QUÁ HẠN "&amp;(TODAY()-I260)&amp;" ngày",IF(I260-TODAY()&lt;=3," · Đến hạn "&amp;IF(I260=TODAY(),"hôm nay","trong "&amp;(I260-TODAY())&amp;" ngày"),"")))&amp;IF(J260="Chờ đối tác"," · Chờ đối tác"&amp;IF(ISNUMBER(N260)," "&amp;(TODAY()-INT(N260))&amp;" ngày",""),""),4,200))))</f>
        <v/>
      </c>
      <c r="N260" s="49" t="n"/>
      <c r="S260">
        <f>IF(AND(E260&lt;&gt;"",T260="Có",J260&lt;&gt;"Xong",J260&lt;&gt;"Bỏ qua",ISNUMBER(I260)),I260+ROW()/100000,"")</f>
        <v/>
      </c>
      <c r="T260">
        <f>IF(O260="","",IFERROR(INDEX(SK_TD,MATCH(O260,SK_A,0)),""))</f>
        <v/>
      </c>
      <c r="V260">
        <f>IF(AND(O260&lt;&gt;"",O260=SEL_K,J260&lt;&gt;"Xong",J260&lt;&gt;"Bỏ qua"),IF(ISNUMBER(I260),I260,99999)+ROW()/100000,"")</f>
        <v/>
      </c>
    </row>
    <row r="261">
      <c r="A261" s="12">
        <f>IF(O261="","",IFERROR(INDEX(SK_B,MATCH(O261,SK_A,0))&amp;"",""))</f>
        <v/>
      </c>
      <c r="B261" s="45">
        <f>IF(O261="","",IFERROR(INDEX(SK_C,MATCH(O261,SK_A,0)),""))</f>
        <v/>
      </c>
      <c r="C261" s="46">
        <f>IF(Q261="","",IF(Q261=0,"D",IF(Q261&lt;0,"D"&amp;Q261,"D+"&amp;Q261)))</f>
        <v/>
      </c>
      <c r="D261" s="14" t="n"/>
      <c r="E261" s="12" t="n"/>
      <c r="F261" s="46" t="n"/>
      <c r="G261" s="47" t="n"/>
      <c r="H261" s="14" t="n"/>
      <c r="I261" s="13">
        <f>IF(OR(B261="",Q261=""),"",IF(Q261&gt;0,IF(R261="Làm việc",WORKDAY(IFERROR(IF(INDEX(SK_D,MATCH(O261,SK_A,0))="",B261,INDEX(SK_D,MATCH(O261,SK_A,0))),B261),Q261,HOLI),IFERROR(IF(INDEX(SK_D,MATCH(O261,SK_A,0))="",B261,INDEX(SK_D,MATCH(O261,SK_A,0))),B261)+Q261),B261+Q261))</f>
        <v/>
      </c>
      <c r="J261" s="14" t="n"/>
      <c r="K261" s="13" t="n"/>
      <c r="L261" s="12" t="n"/>
      <c r="M261" s="48">
        <f>IF(E261="","",IF(J261="Bỏ qua","—",IF(J261="Xong",IF(AND(ISNUMBER(K261),ISNUMBER(I261),K261&gt;I261),"Xong trễ","Xong"),MID(IF(G261=""," · CHƯA GIAO","")&amp;IF(NOT(ISNUMBER(I261)),"",IF(TODAY()&gt;I261," · QUÁ HẠN "&amp;(TODAY()-I261)&amp;" ngày",IF(I261-TODAY()&lt;=3," · Đến hạn "&amp;IF(I261=TODAY(),"hôm nay","trong "&amp;(I261-TODAY())&amp;" ngày"),"")))&amp;IF(J261="Chờ đối tác"," · Chờ đối tác"&amp;IF(ISNUMBER(N261)," "&amp;(TODAY()-INT(N261))&amp;" ngày",""),""),4,200))))</f>
        <v/>
      </c>
      <c r="N261" s="49" t="n"/>
      <c r="S261">
        <f>IF(AND(E261&lt;&gt;"",T261="Có",J261&lt;&gt;"Xong",J261&lt;&gt;"Bỏ qua",ISNUMBER(I261)),I261+ROW()/100000,"")</f>
        <v/>
      </c>
      <c r="T261">
        <f>IF(O261="","",IFERROR(INDEX(SK_TD,MATCH(O261,SK_A,0)),""))</f>
        <v/>
      </c>
      <c r="V261">
        <f>IF(AND(O261&lt;&gt;"",O261=SEL_K,J261&lt;&gt;"Xong",J261&lt;&gt;"Bỏ qua"),IF(ISNUMBER(I261),I261,99999)+ROW()/100000,"")</f>
        <v/>
      </c>
    </row>
    <row r="262">
      <c r="A262" s="12">
        <f>IF(O262="","",IFERROR(INDEX(SK_B,MATCH(O262,SK_A,0))&amp;"",""))</f>
        <v/>
      </c>
      <c r="B262" s="45">
        <f>IF(O262="","",IFERROR(INDEX(SK_C,MATCH(O262,SK_A,0)),""))</f>
        <v/>
      </c>
      <c r="C262" s="46">
        <f>IF(Q262="","",IF(Q262=0,"D",IF(Q262&lt;0,"D"&amp;Q262,"D+"&amp;Q262)))</f>
        <v/>
      </c>
      <c r="D262" s="14" t="n"/>
      <c r="E262" s="12" t="n"/>
      <c r="F262" s="46" t="n"/>
      <c r="G262" s="47" t="n"/>
      <c r="H262" s="14" t="n"/>
      <c r="I262" s="13">
        <f>IF(OR(B262="",Q262=""),"",IF(Q262&gt;0,IF(R262="Làm việc",WORKDAY(IFERROR(IF(INDEX(SK_D,MATCH(O262,SK_A,0))="",B262,INDEX(SK_D,MATCH(O262,SK_A,0))),B262),Q262,HOLI),IFERROR(IF(INDEX(SK_D,MATCH(O262,SK_A,0))="",B262,INDEX(SK_D,MATCH(O262,SK_A,0))),B262)+Q262),B262+Q262))</f>
        <v/>
      </c>
      <c r="J262" s="14" t="n"/>
      <c r="K262" s="13" t="n"/>
      <c r="L262" s="12" t="n"/>
      <c r="M262" s="48">
        <f>IF(E262="","",IF(J262="Bỏ qua","—",IF(J262="Xong",IF(AND(ISNUMBER(K262),ISNUMBER(I262),K262&gt;I262),"Xong trễ","Xong"),MID(IF(G262=""," · CHƯA GIAO","")&amp;IF(NOT(ISNUMBER(I262)),"",IF(TODAY()&gt;I262," · QUÁ HẠN "&amp;(TODAY()-I262)&amp;" ngày",IF(I262-TODAY()&lt;=3," · Đến hạn "&amp;IF(I262=TODAY(),"hôm nay","trong "&amp;(I262-TODAY())&amp;" ngày"),"")))&amp;IF(J262="Chờ đối tác"," · Chờ đối tác"&amp;IF(ISNUMBER(N262)," "&amp;(TODAY()-INT(N262))&amp;" ngày",""),""),4,200))))</f>
        <v/>
      </c>
      <c r="N262" s="49" t="n"/>
      <c r="S262">
        <f>IF(AND(E262&lt;&gt;"",T262="Có",J262&lt;&gt;"Xong",J262&lt;&gt;"Bỏ qua",ISNUMBER(I262)),I262+ROW()/100000,"")</f>
        <v/>
      </c>
      <c r="T262">
        <f>IF(O262="","",IFERROR(INDEX(SK_TD,MATCH(O262,SK_A,0)),""))</f>
        <v/>
      </c>
      <c r="V262">
        <f>IF(AND(O262&lt;&gt;"",O262=SEL_K,J262&lt;&gt;"Xong",J262&lt;&gt;"Bỏ qua"),IF(ISNUMBER(I262),I262,99999)+ROW()/100000,"")</f>
        <v/>
      </c>
    </row>
    <row r="263">
      <c r="A263" s="12">
        <f>IF(O263="","",IFERROR(INDEX(SK_B,MATCH(O263,SK_A,0))&amp;"",""))</f>
        <v/>
      </c>
      <c r="B263" s="45">
        <f>IF(O263="","",IFERROR(INDEX(SK_C,MATCH(O263,SK_A,0)),""))</f>
        <v/>
      </c>
      <c r="C263" s="46">
        <f>IF(Q263="","",IF(Q263=0,"D",IF(Q263&lt;0,"D"&amp;Q263,"D+"&amp;Q263)))</f>
        <v/>
      </c>
      <c r="D263" s="14" t="n"/>
      <c r="E263" s="12" t="n"/>
      <c r="F263" s="46" t="n"/>
      <c r="G263" s="47" t="n"/>
      <c r="H263" s="14" t="n"/>
      <c r="I263" s="13">
        <f>IF(OR(B263="",Q263=""),"",IF(Q263&gt;0,IF(R263="Làm việc",WORKDAY(IFERROR(IF(INDEX(SK_D,MATCH(O263,SK_A,0))="",B263,INDEX(SK_D,MATCH(O263,SK_A,0))),B263),Q263,HOLI),IFERROR(IF(INDEX(SK_D,MATCH(O263,SK_A,0))="",B263,INDEX(SK_D,MATCH(O263,SK_A,0))),B263)+Q263),B263+Q263))</f>
        <v/>
      </c>
      <c r="J263" s="14" t="n"/>
      <c r="K263" s="13" t="n"/>
      <c r="L263" s="12" t="n"/>
      <c r="M263" s="48">
        <f>IF(E263="","",IF(J263="Bỏ qua","—",IF(J263="Xong",IF(AND(ISNUMBER(K263),ISNUMBER(I263),K263&gt;I263),"Xong trễ","Xong"),MID(IF(G263=""," · CHƯA GIAO","")&amp;IF(NOT(ISNUMBER(I263)),"",IF(TODAY()&gt;I263," · QUÁ HẠN "&amp;(TODAY()-I263)&amp;" ngày",IF(I263-TODAY()&lt;=3," · Đến hạn "&amp;IF(I263=TODAY(),"hôm nay","trong "&amp;(I263-TODAY())&amp;" ngày"),"")))&amp;IF(J263="Chờ đối tác"," · Chờ đối tác"&amp;IF(ISNUMBER(N263)," "&amp;(TODAY()-INT(N263))&amp;" ngày",""),""),4,200))))</f>
        <v/>
      </c>
      <c r="N263" s="49" t="n"/>
      <c r="S263">
        <f>IF(AND(E263&lt;&gt;"",T263="Có",J263&lt;&gt;"Xong",J263&lt;&gt;"Bỏ qua",ISNUMBER(I263)),I263+ROW()/100000,"")</f>
        <v/>
      </c>
      <c r="T263">
        <f>IF(O263="","",IFERROR(INDEX(SK_TD,MATCH(O263,SK_A,0)),""))</f>
        <v/>
      </c>
      <c r="V263">
        <f>IF(AND(O263&lt;&gt;"",O263=SEL_K,J263&lt;&gt;"Xong",J263&lt;&gt;"Bỏ qua"),IF(ISNUMBER(I263),I263,99999)+ROW()/100000,"")</f>
        <v/>
      </c>
    </row>
    <row r="264">
      <c r="A264" s="12">
        <f>IF(O264="","",IFERROR(INDEX(SK_B,MATCH(O264,SK_A,0))&amp;"",""))</f>
        <v/>
      </c>
      <c r="B264" s="45">
        <f>IF(O264="","",IFERROR(INDEX(SK_C,MATCH(O264,SK_A,0)),""))</f>
        <v/>
      </c>
      <c r="C264" s="46">
        <f>IF(Q264="","",IF(Q264=0,"D",IF(Q264&lt;0,"D"&amp;Q264,"D+"&amp;Q264)))</f>
        <v/>
      </c>
      <c r="D264" s="14" t="n"/>
      <c r="E264" s="12" t="n"/>
      <c r="F264" s="46" t="n"/>
      <c r="G264" s="47" t="n"/>
      <c r="H264" s="14" t="n"/>
      <c r="I264" s="13">
        <f>IF(OR(B264="",Q264=""),"",IF(Q264&gt;0,IF(R264="Làm việc",WORKDAY(IFERROR(IF(INDEX(SK_D,MATCH(O264,SK_A,0))="",B264,INDEX(SK_D,MATCH(O264,SK_A,0))),B264),Q264,HOLI),IFERROR(IF(INDEX(SK_D,MATCH(O264,SK_A,0))="",B264,INDEX(SK_D,MATCH(O264,SK_A,0))),B264)+Q264),B264+Q264))</f>
        <v/>
      </c>
      <c r="J264" s="14" t="n"/>
      <c r="K264" s="13" t="n"/>
      <c r="L264" s="12" t="n"/>
      <c r="M264" s="48">
        <f>IF(E264="","",IF(J264="Bỏ qua","—",IF(J264="Xong",IF(AND(ISNUMBER(K264),ISNUMBER(I264),K264&gt;I264),"Xong trễ","Xong"),MID(IF(G264=""," · CHƯA GIAO","")&amp;IF(NOT(ISNUMBER(I264)),"",IF(TODAY()&gt;I264," · QUÁ HẠN "&amp;(TODAY()-I264)&amp;" ngày",IF(I264-TODAY()&lt;=3," · Đến hạn "&amp;IF(I264=TODAY(),"hôm nay","trong "&amp;(I264-TODAY())&amp;" ngày"),"")))&amp;IF(J264="Chờ đối tác"," · Chờ đối tác"&amp;IF(ISNUMBER(N264)," "&amp;(TODAY()-INT(N264))&amp;" ngày",""),""),4,200))))</f>
        <v/>
      </c>
      <c r="N264" s="49" t="n"/>
      <c r="S264">
        <f>IF(AND(E264&lt;&gt;"",T264="Có",J264&lt;&gt;"Xong",J264&lt;&gt;"Bỏ qua",ISNUMBER(I264)),I264+ROW()/100000,"")</f>
        <v/>
      </c>
      <c r="T264">
        <f>IF(O264="","",IFERROR(INDEX(SK_TD,MATCH(O264,SK_A,0)),""))</f>
        <v/>
      </c>
      <c r="V264">
        <f>IF(AND(O264&lt;&gt;"",O264=SEL_K,J264&lt;&gt;"Xong",J264&lt;&gt;"Bỏ qua"),IF(ISNUMBER(I264),I264,99999)+ROW()/100000,"")</f>
        <v/>
      </c>
    </row>
    <row r="265">
      <c r="A265" s="12">
        <f>IF(O265="","",IFERROR(INDEX(SK_B,MATCH(O265,SK_A,0))&amp;"",""))</f>
        <v/>
      </c>
      <c r="B265" s="45">
        <f>IF(O265="","",IFERROR(INDEX(SK_C,MATCH(O265,SK_A,0)),""))</f>
        <v/>
      </c>
      <c r="C265" s="46">
        <f>IF(Q265="","",IF(Q265=0,"D",IF(Q265&lt;0,"D"&amp;Q265,"D+"&amp;Q265)))</f>
        <v/>
      </c>
      <c r="D265" s="14" t="n"/>
      <c r="E265" s="12" t="n"/>
      <c r="F265" s="46" t="n"/>
      <c r="G265" s="47" t="n"/>
      <c r="H265" s="14" t="n"/>
      <c r="I265" s="13">
        <f>IF(OR(B265="",Q265=""),"",IF(Q265&gt;0,IF(R265="Làm việc",WORKDAY(IFERROR(IF(INDEX(SK_D,MATCH(O265,SK_A,0))="",B265,INDEX(SK_D,MATCH(O265,SK_A,0))),B265),Q265,HOLI),IFERROR(IF(INDEX(SK_D,MATCH(O265,SK_A,0))="",B265,INDEX(SK_D,MATCH(O265,SK_A,0))),B265)+Q265),B265+Q265))</f>
        <v/>
      </c>
      <c r="J265" s="14" t="n"/>
      <c r="K265" s="13" t="n"/>
      <c r="L265" s="12" t="n"/>
      <c r="M265" s="48">
        <f>IF(E265="","",IF(J265="Bỏ qua","—",IF(J265="Xong",IF(AND(ISNUMBER(K265),ISNUMBER(I265),K265&gt;I265),"Xong trễ","Xong"),MID(IF(G265=""," · CHƯA GIAO","")&amp;IF(NOT(ISNUMBER(I265)),"",IF(TODAY()&gt;I265," · QUÁ HẠN "&amp;(TODAY()-I265)&amp;" ngày",IF(I265-TODAY()&lt;=3," · Đến hạn "&amp;IF(I265=TODAY(),"hôm nay","trong "&amp;(I265-TODAY())&amp;" ngày"),"")))&amp;IF(J265="Chờ đối tác"," · Chờ đối tác"&amp;IF(ISNUMBER(N265)," "&amp;(TODAY()-INT(N265))&amp;" ngày",""),""),4,200))))</f>
        <v/>
      </c>
      <c r="N265" s="49" t="n"/>
      <c r="S265">
        <f>IF(AND(E265&lt;&gt;"",T265="Có",J265&lt;&gt;"Xong",J265&lt;&gt;"Bỏ qua",ISNUMBER(I265)),I265+ROW()/100000,"")</f>
        <v/>
      </c>
      <c r="T265">
        <f>IF(O265="","",IFERROR(INDEX(SK_TD,MATCH(O265,SK_A,0)),""))</f>
        <v/>
      </c>
      <c r="V265">
        <f>IF(AND(O265&lt;&gt;"",O265=SEL_K,J265&lt;&gt;"Xong",J265&lt;&gt;"Bỏ qua"),IF(ISNUMBER(I265),I265,99999)+ROW()/100000,"")</f>
        <v/>
      </c>
    </row>
    <row r="266">
      <c r="A266" s="12">
        <f>IF(O266="","",IFERROR(INDEX(SK_B,MATCH(O266,SK_A,0))&amp;"",""))</f>
        <v/>
      </c>
      <c r="B266" s="45">
        <f>IF(O266="","",IFERROR(INDEX(SK_C,MATCH(O266,SK_A,0)),""))</f>
        <v/>
      </c>
      <c r="C266" s="46">
        <f>IF(Q266="","",IF(Q266=0,"D",IF(Q266&lt;0,"D"&amp;Q266,"D+"&amp;Q266)))</f>
        <v/>
      </c>
      <c r="D266" s="14" t="n"/>
      <c r="E266" s="12" t="n"/>
      <c r="F266" s="46" t="n"/>
      <c r="G266" s="47" t="n"/>
      <c r="H266" s="14" t="n"/>
      <c r="I266" s="13">
        <f>IF(OR(B266="",Q266=""),"",IF(Q266&gt;0,IF(R266="Làm việc",WORKDAY(IFERROR(IF(INDEX(SK_D,MATCH(O266,SK_A,0))="",B266,INDEX(SK_D,MATCH(O266,SK_A,0))),B266),Q266,HOLI),IFERROR(IF(INDEX(SK_D,MATCH(O266,SK_A,0))="",B266,INDEX(SK_D,MATCH(O266,SK_A,0))),B266)+Q266),B266+Q266))</f>
        <v/>
      </c>
      <c r="J266" s="14" t="n"/>
      <c r="K266" s="13" t="n"/>
      <c r="L266" s="12" t="n"/>
      <c r="M266" s="48">
        <f>IF(E266="","",IF(J266="Bỏ qua","—",IF(J266="Xong",IF(AND(ISNUMBER(K266),ISNUMBER(I266),K266&gt;I266),"Xong trễ","Xong"),MID(IF(G266=""," · CHƯA GIAO","")&amp;IF(NOT(ISNUMBER(I266)),"",IF(TODAY()&gt;I266," · QUÁ HẠN "&amp;(TODAY()-I266)&amp;" ngày",IF(I266-TODAY()&lt;=3," · Đến hạn "&amp;IF(I266=TODAY(),"hôm nay","trong "&amp;(I266-TODAY())&amp;" ngày"),"")))&amp;IF(J266="Chờ đối tác"," · Chờ đối tác"&amp;IF(ISNUMBER(N266)," "&amp;(TODAY()-INT(N266))&amp;" ngày",""),""),4,200))))</f>
        <v/>
      </c>
      <c r="N266" s="49" t="n"/>
      <c r="S266">
        <f>IF(AND(E266&lt;&gt;"",T266="Có",J266&lt;&gt;"Xong",J266&lt;&gt;"Bỏ qua",ISNUMBER(I266)),I266+ROW()/100000,"")</f>
        <v/>
      </c>
      <c r="T266">
        <f>IF(O266="","",IFERROR(INDEX(SK_TD,MATCH(O266,SK_A,0)),""))</f>
        <v/>
      </c>
      <c r="V266">
        <f>IF(AND(O266&lt;&gt;"",O266=SEL_K,J266&lt;&gt;"Xong",J266&lt;&gt;"Bỏ qua"),IF(ISNUMBER(I266),I266,99999)+ROW()/100000,"")</f>
        <v/>
      </c>
    </row>
    <row r="267">
      <c r="A267" s="12">
        <f>IF(O267="","",IFERROR(INDEX(SK_B,MATCH(O267,SK_A,0))&amp;"",""))</f>
        <v/>
      </c>
      <c r="B267" s="45">
        <f>IF(O267="","",IFERROR(INDEX(SK_C,MATCH(O267,SK_A,0)),""))</f>
        <v/>
      </c>
      <c r="C267" s="46">
        <f>IF(Q267="","",IF(Q267=0,"D",IF(Q267&lt;0,"D"&amp;Q267,"D+"&amp;Q267)))</f>
        <v/>
      </c>
      <c r="D267" s="14" t="n"/>
      <c r="E267" s="12" t="n"/>
      <c r="F267" s="46" t="n"/>
      <c r="G267" s="47" t="n"/>
      <c r="H267" s="14" t="n"/>
      <c r="I267" s="13">
        <f>IF(OR(B267="",Q267=""),"",IF(Q267&gt;0,IF(R267="Làm việc",WORKDAY(IFERROR(IF(INDEX(SK_D,MATCH(O267,SK_A,0))="",B267,INDEX(SK_D,MATCH(O267,SK_A,0))),B267),Q267,HOLI),IFERROR(IF(INDEX(SK_D,MATCH(O267,SK_A,0))="",B267,INDEX(SK_D,MATCH(O267,SK_A,0))),B267)+Q267),B267+Q267))</f>
        <v/>
      </c>
      <c r="J267" s="14" t="n"/>
      <c r="K267" s="13" t="n"/>
      <c r="L267" s="12" t="n"/>
      <c r="M267" s="48">
        <f>IF(E267="","",IF(J267="Bỏ qua","—",IF(J267="Xong",IF(AND(ISNUMBER(K267),ISNUMBER(I267),K267&gt;I267),"Xong trễ","Xong"),MID(IF(G267=""," · CHƯA GIAO","")&amp;IF(NOT(ISNUMBER(I267)),"",IF(TODAY()&gt;I267," · QUÁ HẠN "&amp;(TODAY()-I267)&amp;" ngày",IF(I267-TODAY()&lt;=3," · Đến hạn "&amp;IF(I267=TODAY(),"hôm nay","trong "&amp;(I267-TODAY())&amp;" ngày"),"")))&amp;IF(J267="Chờ đối tác"," · Chờ đối tác"&amp;IF(ISNUMBER(N267)," "&amp;(TODAY()-INT(N267))&amp;" ngày",""),""),4,200))))</f>
        <v/>
      </c>
      <c r="N267" s="49" t="n"/>
      <c r="S267">
        <f>IF(AND(E267&lt;&gt;"",T267="Có",J267&lt;&gt;"Xong",J267&lt;&gt;"Bỏ qua",ISNUMBER(I267)),I267+ROW()/100000,"")</f>
        <v/>
      </c>
      <c r="T267">
        <f>IF(O267="","",IFERROR(INDEX(SK_TD,MATCH(O267,SK_A,0)),""))</f>
        <v/>
      </c>
      <c r="V267">
        <f>IF(AND(O267&lt;&gt;"",O267=SEL_K,J267&lt;&gt;"Xong",J267&lt;&gt;"Bỏ qua"),IF(ISNUMBER(I267),I267,99999)+ROW()/100000,"")</f>
        <v/>
      </c>
    </row>
    <row r="268">
      <c r="A268" s="12">
        <f>IF(O268="","",IFERROR(INDEX(SK_B,MATCH(O268,SK_A,0))&amp;"",""))</f>
        <v/>
      </c>
      <c r="B268" s="45">
        <f>IF(O268="","",IFERROR(INDEX(SK_C,MATCH(O268,SK_A,0)),""))</f>
        <v/>
      </c>
      <c r="C268" s="46">
        <f>IF(Q268="","",IF(Q268=0,"D",IF(Q268&lt;0,"D"&amp;Q268,"D+"&amp;Q268)))</f>
        <v/>
      </c>
      <c r="D268" s="14" t="n"/>
      <c r="E268" s="12" t="n"/>
      <c r="F268" s="46" t="n"/>
      <c r="G268" s="47" t="n"/>
      <c r="H268" s="14" t="n"/>
      <c r="I268" s="13">
        <f>IF(OR(B268="",Q268=""),"",IF(Q268&gt;0,IF(R268="Làm việc",WORKDAY(IFERROR(IF(INDEX(SK_D,MATCH(O268,SK_A,0))="",B268,INDEX(SK_D,MATCH(O268,SK_A,0))),B268),Q268,HOLI),IFERROR(IF(INDEX(SK_D,MATCH(O268,SK_A,0))="",B268,INDEX(SK_D,MATCH(O268,SK_A,0))),B268)+Q268),B268+Q268))</f>
        <v/>
      </c>
      <c r="J268" s="14" t="n"/>
      <c r="K268" s="13" t="n"/>
      <c r="L268" s="12" t="n"/>
      <c r="M268" s="48">
        <f>IF(E268="","",IF(J268="Bỏ qua","—",IF(J268="Xong",IF(AND(ISNUMBER(K268),ISNUMBER(I268),K268&gt;I268),"Xong trễ","Xong"),MID(IF(G268=""," · CHƯA GIAO","")&amp;IF(NOT(ISNUMBER(I268)),"",IF(TODAY()&gt;I268," · QUÁ HẠN "&amp;(TODAY()-I268)&amp;" ngày",IF(I268-TODAY()&lt;=3," · Đến hạn "&amp;IF(I268=TODAY(),"hôm nay","trong "&amp;(I268-TODAY())&amp;" ngày"),"")))&amp;IF(J268="Chờ đối tác"," · Chờ đối tác"&amp;IF(ISNUMBER(N268)," "&amp;(TODAY()-INT(N268))&amp;" ngày",""),""),4,200))))</f>
        <v/>
      </c>
      <c r="N268" s="49" t="n"/>
      <c r="S268">
        <f>IF(AND(E268&lt;&gt;"",T268="Có",J268&lt;&gt;"Xong",J268&lt;&gt;"Bỏ qua",ISNUMBER(I268)),I268+ROW()/100000,"")</f>
        <v/>
      </c>
      <c r="T268">
        <f>IF(O268="","",IFERROR(INDEX(SK_TD,MATCH(O268,SK_A,0)),""))</f>
        <v/>
      </c>
      <c r="V268">
        <f>IF(AND(O268&lt;&gt;"",O268=SEL_K,J268&lt;&gt;"Xong",J268&lt;&gt;"Bỏ qua"),IF(ISNUMBER(I268),I268,99999)+ROW()/100000,"")</f>
        <v/>
      </c>
    </row>
    <row r="269">
      <c r="A269" s="12">
        <f>IF(O269="","",IFERROR(INDEX(SK_B,MATCH(O269,SK_A,0))&amp;"",""))</f>
        <v/>
      </c>
      <c r="B269" s="45">
        <f>IF(O269="","",IFERROR(INDEX(SK_C,MATCH(O269,SK_A,0)),""))</f>
        <v/>
      </c>
      <c r="C269" s="46">
        <f>IF(Q269="","",IF(Q269=0,"D",IF(Q269&lt;0,"D"&amp;Q269,"D+"&amp;Q269)))</f>
        <v/>
      </c>
      <c r="D269" s="14" t="n"/>
      <c r="E269" s="12" t="n"/>
      <c r="F269" s="46" t="n"/>
      <c r="G269" s="47" t="n"/>
      <c r="H269" s="14" t="n"/>
      <c r="I269" s="13">
        <f>IF(OR(B269="",Q269=""),"",IF(Q269&gt;0,IF(R269="Làm việc",WORKDAY(IFERROR(IF(INDEX(SK_D,MATCH(O269,SK_A,0))="",B269,INDEX(SK_D,MATCH(O269,SK_A,0))),B269),Q269,HOLI),IFERROR(IF(INDEX(SK_D,MATCH(O269,SK_A,0))="",B269,INDEX(SK_D,MATCH(O269,SK_A,0))),B269)+Q269),B269+Q269))</f>
        <v/>
      </c>
      <c r="J269" s="14" t="n"/>
      <c r="K269" s="13" t="n"/>
      <c r="L269" s="12" t="n"/>
      <c r="M269" s="48">
        <f>IF(E269="","",IF(J269="Bỏ qua","—",IF(J269="Xong",IF(AND(ISNUMBER(K269),ISNUMBER(I269),K269&gt;I269),"Xong trễ","Xong"),MID(IF(G269=""," · CHƯA GIAO","")&amp;IF(NOT(ISNUMBER(I269)),"",IF(TODAY()&gt;I269," · QUÁ HẠN "&amp;(TODAY()-I269)&amp;" ngày",IF(I269-TODAY()&lt;=3," · Đến hạn "&amp;IF(I269=TODAY(),"hôm nay","trong "&amp;(I269-TODAY())&amp;" ngày"),"")))&amp;IF(J269="Chờ đối tác"," · Chờ đối tác"&amp;IF(ISNUMBER(N269)," "&amp;(TODAY()-INT(N269))&amp;" ngày",""),""),4,200))))</f>
        <v/>
      </c>
      <c r="N269" s="49" t="n"/>
      <c r="S269">
        <f>IF(AND(E269&lt;&gt;"",T269="Có",J269&lt;&gt;"Xong",J269&lt;&gt;"Bỏ qua",ISNUMBER(I269)),I269+ROW()/100000,"")</f>
        <v/>
      </c>
      <c r="T269">
        <f>IF(O269="","",IFERROR(INDEX(SK_TD,MATCH(O269,SK_A,0)),""))</f>
        <v/>
      </c>
      <c r="V269">
        <f>IF(AND(O269&lt;&gt;"",O269=SEL_K,J269&lt;&gt;"Xong",J269&lt;&gt;"Bỏ qua"),IF(ISNUMBER(I269),I269,99999)+ROW()/100000,"")</f>
        <v/>
      </c>
    </row>
    <row r="270">
      <c r="A270" s="12">
        <f>IF(O270="","",IFERROR(INDEX(SK_B,MATCH(O270,SK_A,0))&amp;"",""))</f>
        <v/>
      </c>
      <c r="B270" s="45">
        <f>IF(O270="","",IFERROR(INDEX(SK_C,MATCH(O270,SK_A,0)),""))</f>
        <v/>
      </c>
      <c r="C270" s="46">
        <f>IF(Q270="","",IF(Q270=0,"D",IF(Q270&lt;0,"D"&amp;Q270,"D+"&amp;Q270)))</f>
        <v/>
      </c>
      <c r="D270" s="14" t="n"/>
      <c r="E270" s="12" t="n"/>
      <c r="F270" s="46" t="n"/>
      <c r="G270" s="47" t="n"/>
      <c r="H270" s="14" t="n"/>
      <c r="I270" s="13">
        <f>IF(OR(B270="",Q270=""),"",IF(Q270&gt;0,IF(R270="Làm việc",WORKDAY(IFERROR(IF(INDEX(SK_D,MATCH(O270,SK_A,0))="",B270,INDEX(SK_D,MATCH(O270,SK_A,0))),B270),Q270,HOLI),IFERROR(IF(INDEX(SK_D,MATCH(O270,SK_A,0))="",B270,INDEX(SK_D,MATCH(O270,SK_A,0))),B270)+Q270),B270+Q270))</f>
        <v/>
      </c>
      <c r="J270" s="14" t="n"/>
      <c r="K270" s="13" t="n"/>
      <c r="L270" s="12" t="n"/>
      <c r="M270" s="48">
        <f>IF(E270="","",IF(J270="Bỏ qua","—",IF(J270="Xong",IF(AND(ISNUMBER(K270),ISNUMBER(I270),K270&gt;I270),"Xong trễ","Xong"),MID(IF(G270=""," · CHƯA GIAO","")&amp;IF(NOT(ISNUMBER(I270)),"",IF(TODAY()&gt;I270," · QUÁ HẠN "&amp;(TODAY()-I270)&amp;" ngày",IF(I270-TODAY()&lt;=3," · Đến hạn "&amp;IF(I270=TODAY(),"hôm nay","trong "&amp;(I270-TODAY())&amp;" ngày"),"")))&amp;IF(J270="Chờ đối tác"," · Chờ đối tác"&amp;IF(ISNUMBER(N270)," "&amp;(TODAY()-INT(N270))&amp;" ngày",""),""),4,200))))</f>
        <v/>
      </c>
      <c r="N270" s="49" t="n"/>
      <c r="S270">
        <f>IF(AND(E270&lt;&gt;"",T270="Có",J270&lt;&gt;"Xong",J270&lt;&gt;"Bỏ qua",ISNUMBER(I270)),I270+ROW()/100000,"")</f>
        <v/>
      </c>
      <c r="T270">
        <f>IF(O270="","",IFERROR(INDEX(SK_TD,MATCH(O270,SK_A,0)),""))</f>
        <v/>
      </c>
      <c r="V270">
        <f>IF(AND(O270&lt;&gt;"",O270=SEL_K,J270&lt;&gt;"Xong",J270&lt;&gt;"Bỏ qua"),IF(ISNUMBER(I270),I270,99999)+ROW()/100000,"")</f>
        <v/>
      </c>
    </row>
    <row r="271">
      <c r="A271" s="12">
        <f>IF(O271="","",IFERROR(INDEX(SK_B,MATCH(O271,SK_A,0))&amp;"",""))</f>
        <v/>
      </c>
      <c r="B271" s="45">
        <f>IF(O271="","",IFERROR(INDEX(SK_C,MATCH(O271,SK_A,0)),""))</f>
        <v/>
      </c>
      <c r="C271" s="46">
        <f>IF(Q271="","",IF(Q271=0,"D",IF(Q271&lt;0,"D"&amp;Q271,"D+"&amp;Q271)))</f>
        <v/>
      </c>
      <c r="D271" s="14" t="n"/>
      <c r="E271" s="12" t="n"/>
      <c r="F271" s="46" t="n"/>
      <c r="G271" s="47" t="n"/>
      <c r="H271" s="14" t="n"/>
      <c r="I271" s="13">
        <f>IF(OR(B271="",Q271=""),"",IF(Q271&gt;0,IF(R271="Làm việc",WORKDAY(IFERROR(IF(INDEX(SK_D,MATCH(O271,SK_A,0))="",B271,INDEX(SK_D,MATCH(O271,SK_A,0))),B271),Q271,HOLI),IFERROR(IF(INDEX(SK_D,MATCH(O271,SK_A,0))="",B271,INDEX(SK_D,MATCH(O271,SK_A,0))),B271)+Q271),B271+Q271))</f>
        <v/>
      </c>
      <c r="J271" s="14" t="n"/>
      <c r="K271" s="13" t="n"/>
      <c r="L271" s="12" t="n"/>
      <c r="M271" s="48">
        <f>IF(E271="","",IF(J271="Bỏ qua","—",IF(J271="Xong",IF(AND(ISNUMBER(K271),ISNUMBER(I271),K271&gt;I271),"Xong trễ","Xong"),MID(IF(G271=""," · CHƯA GIAO","")&amp;IF(NOT(ISNUMBER(I271)),"",IF(TODAY()&gt;I271," · QUÁ HẠN "&amp;(TODAY()-I271)&amp;" ngày",IF(I271-TODAY()&lt;=3," · Đến hạn "&amp;IF(I271=TODAY(),"hôm nay","trong "&amp;(I271-TODAY())&amp;" ngày"),"")))&amp;IF(J271="Chờ đối tác"," · Chờ đối tác"&amp;IF(ISNUMBER(N271)," "&amp;(TODAY()-INT(N271))&amp;" ngày",""),""),4,200))))</f>
        <v/>
      </c>
      <c r="N271" s="49" t="n"/>
      <c r="S271">
        <f>IF(AND(E271&lt;&gt;"",T271="Có",J271&lt;&gt;"Xong",J271&lt;&gt;"Bỏ qua",ISNUMBER(I271)),I271+ROW()/100000,"")</f>
        <v/>
      </c>
      <c r="T271">
        <f>IF(O271="","",IFERROR(INDEX(SK_TD,MATCH(O271,SK_A,0)),""))</f>
        <v/>
      </c>
      <c r="V271">
        <f>IF(AND(O271&lt;&gt;"",O271=SEL_K,J271&lt;&gt;"Xong",J271&lt;&gt;"Bỏ qua"),IF(ISNUMBER(I271),I271,99999)+ROW()/100000,"")</f>
        <v/>
      </c>
    </row>
    <row r="272">
      <c r="A272" s="12">
        <f>IF(O272="","",IFERROR(INDEX(SK_B,MATCH(O272,SK_A,0))&amp;"",""))</f>
        <v/>
      </c>
      <c r="B272" s="45">
        <f>IF(O272="","",IFERROR(INDEX(SK_C,MATCH(O272,SK_A,0)),""))</f>
        <v/>
      </c>
      <c r="C272" s="46">
        <f>IF(Q272="","",IF(Q272=0,"D",IF(Q272&lt;0,"D"&amp;Q272,"D+"&amp;Q272)))</f>
        <v/>
      </c>
      <c r="D272" s="14" t="n"/>
      <c r="E272" s="12" t="n"/>
      <c r="F272" s="46" t="n"/>
      <c r="G272" s="47" t="n"/>
      <c r="H272" s="14" t="n"/>
      <c r="I272" s="13">
        <f>IF(OR(B272="",Q272=""),"",IF(Q272&gt;0,IF(R272="Làm việc",WORKDAY(IFERROR(IF(INDEX(SK_D,MATCH(O272,SK_A,0))="",B272,INDEX(SK_D,MATCH(O272,SK_A,0))),B272),Q272,HOLI),IFERROR(IF(INDEX(SK_D,MATCH(O272,SK_A,0))="",B272,INDEX(SK_D,MATCH(O272,SK_A,0))),B272)+Q272),B272+Q272))</f>
        <v/>
      </c>
      <c r="J272" s="14" t="n"/>
      <c r="K272" s="13" t="n"/>
      <c r="L272" s="12" t="n"/>
      <c r="M272" s="48">
        <f>IF(E272="","",IF(J272="Bỏ qua","—",IF(J272="Xong",IF(AND(ISNUMBER(K272),ISNUMBER(I272),K272&gt;I272),"Xong trễ","Xong"),MID(IF(G272=""," · CHƯA GIAO","")&amp;IF(NOT(ISNUMBER(I272)),"",IF(TODAY()&gt;I272," · QUÁ HẠN "&amp;(TODAY()-I272)&amp;" ngày",IF(I272-TODAY()&lt;=3," · Đến hạn "&amp;IF(I272=TODAY(),"hôm nay","trong "&amp;(I272-TODAY())&amp;" ngày"),"")))&amp;IF(J272="Chờ đối tác"," · Chờ đối tác"&amp;IF(ISNUMBER(N272)," "&amp;(TODAY()-INT(N272))&amp;" ngày",""),""),4,200))))</f>
        <v/>
      </c>
      <c r="N272" s="49" t="n"/>
      <c r="S272">
        <f>IF(AND(E272&lt;&gt;"",T272="Có",J272&lt;&gt;"Xong",J272&lt;&gt;"Bỏ qua",ISNUMBER(I272)),I272+ROW()/100000,"")</f>
        <v/>
      </c>
      <c r="T272">
        <f>IF(O272="","",IFERROR(INDEX(SK_TD,MATCH(O272,SK_A,0)),""))</f>
        <v/>
      </c>
      <c r="V272">
        <f>IF(AND(O272&lt;&gt;"",O272=SEL_K,J272&lt;&gt;"Xong",J272&lt;&gt;"Bỏ qua"),IF(ISNUMBER(I272),I272,99999)+ROW()/100000,"")</f>
        <v/>
      </c>
    </row>
    <row r="273">
      <c r="A273" s="12">
        <f>IF(O273="","",IFERROR(INDEX(SK_B,MATCH(O273,SK_A,0))&amp;"",""))</f>
        <v/>
      </c>
      <c r="B273" s="45">
        <f>IF(O273="","",IFERROR(INDEX(SK_C,MATCH(O273,SK_A,0)),""))</f>
        <v/>
      </c>
      <c r="C273" s="46">
        <f>IF(Q273="","",IF(Q273=0,"D",IF(Q273&lt;0,"D"&amp;Q273,"D+"&amp;Q273)))</f>
        <v/>
      </c>
      <c r="D273" s="14" t="n"/>
      <c r="E273" s="12" t="n"/>
      <c r="F273" s="46" t="n"/>
      <c r="G273" s="47" t="n"/>
      <c r="H273" s="14" t="n"/>
      <c r="I273" s="13">
        <f>IF(OR(B273="",Q273=""),"",IF(Q273&gt;0,IF(R273="Làm việc",WORKDAY(IFERROR(IF(INDEX(SK_D,MATCH(O273,SK_A,0))="",B273,INDEX(SK_D,MATCH(O273,SK_A,0))),B273),Q273,HOLI),IFERROR(IF(INDEX(SK_D,MATCH(O273,SK_A,0))="",B273,INDEX(SK_D,MATCH(O273,SK_A,0))),B273)+Q273),B273+Q273))</f>
        <v/>
      </c>
      <c r="J273" s="14" t="n"/>
      <c r="K273" s="13" t="n"/>
      <c r="L273" s="12" t="n"/>
      <c r="M273" s="48">
        <f>IF(E273="","",IF(J273="Bỏ qua","—",IF(J273="Xong",IF(AND(ISNUMBER(K273),ISNUMBER(I273),K273&gt;I273),"Xong trễ","Xong"),MID(IF(G273=""," · CHƯA GIAO","")&amp;IF(NOT(ISNUMBER(I273)),"",IF(TODAY()&gt;I273," · QUÁ HẠN "&amp;(TODAY()-I273)&amp;" ngày",IF(I273-TODAY()&lt;=3," · Đến hạn "&amp;IF(I273=TODAY(),"hôm nay","trong "&amp;(I273-TODAY())&amp;" ngày"),"")))&amp;IF(J273="Chờ đối tác"," · Chờ đối tác"&amp;IF(ISNUMBER(N273)," "&amp;(TODAY()-INT(N273))&amp;" ngày",""),""),4,200))))</f>
        <v/>
      </c>
      <c r="N273" s="49" t="n"/>
      <c r="S273">
        <f>IF(AND(E273&lt;&gt;"",T273="Có",J273&lt;&gt;"Xong",J273&lt;&gt;"Bỏ qua",ISNUMBER(I273)),I273+ROW()/100000,"")</f>
        <v/>
      </c>
      <c r="T273">
        <f>IF(O273="","",IFERROR(INDEX(SK_TD,MATCH(O273,SK_A,0)),""))</f>
        <v/>
      </c>
      <c r="V273">
        <f>IF(AND(O273&lt;&gt;"",O273=SEL_K,J273&lt;&gt;"Xong",J273&lt;&gt;"Bỏ qua"),IF(ISNUMBER(I273),I273,99999)+ROW()/100000,"")</f>
        <v/>
      </c>
    </row>
    <row r="274">
      <c r="A274" s="12">
        <f>IF(O274="","",IFERROR(INDEX(SK_B,MATCH(O274,SK_A,0))&amp;"",""))</f>
        <v/>
      </c>
      <c r="B274" s="45">
        <f>IF(O274="","",IFERROR(INDEX(SK_C,MATCH(O274,SK_A,0)),""))</f>
        <v/>
      </c>
      <c r="C274" s="46">
        <f>IF(Q274="","",IF(Q274=0,"D",IF(Q274&lt;0,"D"&amp;Q274,"D+"&amp;Q274)))</f>
        <v/>
      </c>
      <c r="D274" s="14" t="n"/>
      <c r="E274" s="12" t="n"/>
      <c r="F274" s="46" t="n"/>
      <c r="G274" s="47" t="n"/>
      <c r="H274" s="14" t="n"/>
      <c r="I274" s="13">
        <f>IF(OR(B274="",Q274=""),"",IF(Q274&gt;0,IF(R274="Làm việc",WORKDAY(IFERROR(IF(INDEX(SK_D,MATCH(O274,SK_A,0))="",B274,INDEX(SK_D,MATCH(O274,SK_A,0))),B274),Q274,HOLI),IFERROR(IF(INDEX(SK_D,MATCH(O274,SK_A,0))="",B274,INDEX(SK_D,MATCH(O274,SK_A,0))),B274)+Q274),B274+Q274))</f>
        <v/>
      </c>
      <c r="J274" s="14" t="n"/>
      <c r="K274" s="13" t="n"/>
      <c r="L274" s="12" t="n"/>
      <c r="M274" s="48">
        <f>IF(E274="","",IF(J274="Bỏ qua","—",IF(J274="Xong",IF(AND(ISNUMBER(K274),ISNUMBER(I274),K274&gt;I274),"Xong trễ","Xong"),MID(IF(G274=""," · CHƯA GIAO","")&amp;IF(NOT(ISNUMBER(I274)),"",IF(TODAY()&gt;I274," · QUÁ HẠN "&amp;(TODAY()-I274)&amp;" ngày",IF(I274-TODAY()&lt;=3," · Đến hạn "&amp;IF(I274=TODAY(),"hôm nay","trong "&amp;(I274-TODAY())&amp;" ngày"),"")))&amp;IF(J274="Chờ đối tác"," · Chờ đối tác"&amp;IF(ISNUMBER(N274)," "&amp;(TODAY()-INT(N274))&amp;" ngày",""),""),4,200))))</f>
        <v/>
      </c>
      <c r="N274" s="49" t="n"/>
      <c r="S274">
        <f>IF(AND(E274&lt;&gt;"",T274="Có",J274&lt;&gt;"Xong",J274&lt;&gt;"Bỏ qua",ISNUMBER(I274)),I274+ROW()/100000,"")</f>
        <v/>
      </c>
      <c r="T274">
        <f>IF(O274="","",IFERROR(INDEX(SK_TD,MATCH(O274,SK_A,0)),""))</f>
        <v/>
      </c>
      <c r="V274">
        <f>IF(AND(O274&lt;&gt;"",O274=SEL_K,J274&lt;&gt;"Xong",J274&lt;&gt;"Bỏ qua"),IF(ISNUMBER(I274),I274,99999)+ROW()/100000,"")</f>
        <v/>
      </c>
    </row>
    <row r="275">
      <c r="A275" s="12">
        <f>IF(O275="","",IFERROR(INDEX(SK_B,MATCH(O275,SK_A,0))&amp;"",""))</f>
        <v/>
      </c>
      <c r="B275" s="45">
        <f>IF(O275="","",IFERROR(INDEX(SK_C,MATCH(O275,SK_A,0)),""))</f>
        <v/>
      </c>
      <c r="C275" s="46">
        <f>IF(Q275="","",IF(Q275=0,"D",IF(Q275&lt;0,"D"&amp;Q275,"D+"&amp;Q275)))</f>
        <v/>
      </c>
      <c r="D275" s="14" t="n"/>
      <c r="E275" s="12" t="n"/>
      <c r="F275" s="46" t="n"/>
      <c r="G275" s="47" t="n"/>
      <c r="H275" s="14" t="n"/>
      <c r="I275" s="13">
        <f>IF(OR(B275="",Q275=""),"",IF(Q275&gt;0,IF(R275="Làm việc",WORKDAY(IFERROR(IF(INDEX(SK_D,MATCH(O275,SK_A,0))="",B275,INDEX(SK_D,MATCH(O275,SK_A,0))),B275),Q275,HOLI),IFERROR(IF(INDEX(SK_D,MATCH(O275,SK_A,0))="",B275,INDEX(SK_D,MATCH(O275,SK_A,0))),B275)+Q275),B275+Q275))</f>
        <v/>
      </c>
      <c r="J275" s="14" t="n"/>
      <c r="K275" s="13" t="n"/>
      <c r="L275" s="12" t="n"/>
      <c r="M275" s="48">
        <f>IF(E275="","",IF(J275="Bỏ qua","—",IF(J275="Xong",IF(AND(ISNUMBER(K275),ISNUMBER(I275),K275&gt;I275),"Xong trễ","Xong"),MID(IF(G275=""," · CHƯA GIAO","")&amp;IF(NOT(ISNUMBER(I275)),"",IF(TODAY()&gt;I275," · QUÁ HẠN "&amp;(TODAY()-I275)&amp;" ngày",IF(I275-TODAY()&lt;=3," · Đến hạn "&amp;IF(I275=TODAY(),"hôm nay","trong "&amp;(I275-TODAY())&amp;" ngày"),"")))&amp;IF(J275="Chờ đối tác"," · Chờ đối tác"&amp;IF(ISNUMBER(N275)," "&amp;(TODAY()-INT(N275))&amp;" ngày",""),""),4,200))))</f>
        <v/>
      </c>
      <c r="N275" s="49" t="n"/>
      <c r="S275">
        <f>IF(AND(E275&lt;&gt;"",T275="Có",J275&lt;&gt;"Xong",J275&lt;&gt;"Bỏ qua",ISNUMBER(I275)),I275+ROW()/100000,"")</f>
        <v/>
      </c>
      <c r="T275">
        <f>IF(O275="","",IFERROR(INDEX(SK_TD,MATCH(O275,SK_A,0)),""))</f>
        <v/>
      </c>
      <c r="V275">
        <f>IF(AND(O275&lt;&gt;"",O275=SEL_K,J275&lt;&gt;"Xong",J275&lt;&gt;"Bỏ qua"),IF(ISNUMBER(I275),I275,99999)+ROW()/100000,"")</f>
        <v/>
      </c>
    </row>
    <row r="276">
      <c r="A276" s="12">
        <f>IF(O276="","",IFERROR(INDEX(SK_B,MATCH(O276,SK_A,0))&amp;"",""))</f>
        <v/>
      </c>
      <c r="B276" s="45">
        <f>IF(O276="","",IFERROR(INDEX(SK_C,MATCH(O276,SK_A,0)),""))</f>
        <v/>
      </c>
      <c r="C276" s="46">
        <f>IF(Q276="","",IF(Q276=0,"D",IF(Q276&lt;0,"D"&amp;Q276,"D+"&amp;Q276)))</f>
        <v/>
      </c>
      <c r="D276" s="14" t="n"/>
      <c r="E276" s="12" t="n"/>
      <c r="F276" s="46" t="n"/>
      <c r="G276" s="47" t="n"/>
      <c r="H276" s="14" t="n"/>
      <c r="I276" s="13">
        <f>IF(OR(B276="",Q276=""),"",IF(Q276&gt;0,IF(R276="Làm việc",WORKDAY(IFERROR(IF(INDEX(SK_D,MATCH(O276,SK_A,0))="",B276,INDEX(SK_D,MATCH(O276,SK_A,0))),B276),Q276,HOLI),IFERROR(IF(INDEX(SK_D,MATCH(O276,SK_A,0))="",B276,INDEX(SK_D,MATCH(O276,SK_A,0))),B276)+Q276),B276+Q276))</f>
        <v/>
      </c>
      <c r="J276" s="14" t="n"/>
      <c r="K276" s="13" t="n"/>
      <c r="L276" s="12" t="n"/>
      <c r="M276" s="48">
        <f>IF(E276="","",IF(J276="Bỏ qua","—",IF(J276="Xong",IF(AND(ISNUMBER(K276),ISNUMBER(I276),K276&gt;I276),"Xong trễ","Xong"),MID(IF(G276=""," · CHƯA GIAO","")&amp;IF(NOT(ISNUMBER(I276)),"",IF(TODAY()&gt;I276," · QUÁ HẠN "&amp;(TODAY()-I276)&amp;" ngày",IF(I276-TODAY()&lt;=3," · Đến hạn "&amp;IF(I276=TODAY(),"hôm nay","trong "&amp;(I276-TODAY())&amp;" ngày"),"")))&amp;IF(J276="Chờ đối tác"," · Chờ đối tác"&amp;IF(ISNUMBER(N276)," "&amp;(TODAY()-INT(N276))&amp;" ngày",""),""),4,200))))</f>
        <v/>
      </c>
      <c r="N276" s="49" t="n"/>
      <c r="S276">
        <f>IF(AND(E276&lt;&gt;"",T276="Có",J276&lt;&gt;"Xong",J276&lt;&gt;"Bỏ qua",ISNUMBER(I276)),I276+ROW()/100000,"")</f>
        <v/>
      </c>
      <c r="T276">
        <f>IF(O276="","",IFERROR(INDEX(SK_TD,MATCH(O276,SK_A,0)),""))</f>
        <v/>
      </c>
      <c r="V276">
        <f>IF(AND(O276&lt;&gt;"",O276=SEL_K,J276&lt;&gt;"Xong",J276&lt;&gt;"Bỏ qua"),IF(ISNUMBER(I276),I276,99999)+ROW()/100000,"")</f>
        <v/>
      </c>
    </row>
    <row r="277">
      <c r="A277" s="12">
        <f>IF(O277="","",IFERROR(INDEX(SK_B,MATCH(O277,SK_A,0))&amp;"",""))</f>
        <v/>
      </c>
      <c r="B277" s="45">
        <f>IF(O277="","",IFERROR(INDEX(SK_C,MATCH(O277,SK_A,0)),""))</f>
        <v/>
      </c>
      <c r="C277" s="46">
        <f>IF(Q277="","",IF(Q277=0,"D",IF(Q277&lt;0,"D"&amp;Q277,"D+"&amp;Q277)))</f>
        <v/>
      </c>
      <c r="D277" s="14" t="n"/>
      <c r="E277" s="12" t="n"/>
      <c r="F277" s="46" t="n"/>
      <c r="G277" s="47" t="n"/>
      <c r="H277" s="14" t="n"/>
      <c r="I277" s="13">
        <f>IF(OR(B277="",Q277=""),"",IF(Q277&gt;0,IF(R277="Làm việc",WORKDAY(IFERROR(IF(INDEX(SK_D,MATCH(O277,SK_A,0))="",B277,INDEX(SK_D,MATCH(O277,SK_A,0))),B277),Q277,HOLI),IFERROR(IF(INDEX(SK_D,MATCH(O277,SK_A,0))="",B277,INDEX(SK_D,MATCH(O277,SK_A,0))),B277)+Q277),B277+Q277))</f>
        <v/>
      </c>
      <c r="J277" s="14" t="n"/>
      <c r="K277" s="13" t="n"/>
      <c r="L277" s="12" t="n"/>
      <c r="M277" s="48">
        <f>IF(E277="","",IF(J277="Bỏ qua","—",IF(J277="Xong",IF(AND(ISNUMBER(K277),ISNUMBER(I277),K277&gt;I277),"Xong trễ","Xong"),MID(IF(G277=""," · CHƯA GIAO","")&amp;IF(NOT(ISNUMBER(I277)),"",IF(TODAY()&gt;I277," · QUÁ HẠN "&amp;(TODAY()-I277)&amp;" ngày",IF(I277-TODAY()&lt;=3," · Đến hạn "&amp;IF(I277=TODAY(),"hôm nay","trong "&amp;(I277-TODAY())&amp;" ngày"),"")))&amp;IF(J277="Chờ đối tác"," · Chờ đối tác"&amp;IF(ISNUMBER(N277)," "&amp;(TODAY()-INT(N277))&amp;" ngày",""),""),4,200))))</f>
        <v/>
      </c>
      <c r="N277" s="49" t="n"/>
      <c r="S277">
        <f>IF(AND(E277&lt;&gt;"",T277="Có",J277&lt;&gt;"Xong",J277&lt;&gt;"Bỏ qua",ISNUMBER(I277)),I277+ROW()/100000,"")</f>
        <v/>
      </c>
      <c r="T277">
        <f>IF(O277="","",IFERROR(INDEX(SK_TD,MATCH(O277,SK_A,0)),""))</f>
        <v/>
      </c>
      <c r="V277">
        <f>IF(AND(O277&lt;&gt;"",O277=SEL_K,J277&lt;&gt;"Xong",J277&lt;&gt;"Bỏ qua"),IF(ISNUMBER(I277),I277,99999)+ROW()/100000,"")</f>
        <v/>
      </c>
    </row>
    <row r="278">
      <c r="A278" s="12">
        <f>IF(O278="","",IFERROR(INDEX(SK_B,MATCH(O278,SK_A,0))&amp;"",""))</f>
        <v/>
      </c>
      <c r="B278" s="45">
        <f>IF(O278="","",IFERROR(INDEX(SK_C,MATCH(O278,SK_A,0)),""))</f>
        <v/>
      </c>
      <c r="C278" s="46">
        <f>IF(Q278="","",IF(Q278=0,"D",IF(Q278&lt;0,"D"&amp;Q278,"D+"&amp;Q278)))</f>
        <v/>
      </c>
      <c r="D278" s="14" t="n"/>
      <c r="E278" s="12" t="n"/>
      <c r="F278" s="46" t="n"/>
      <c r="G278" s="47" t="n"/>
      <c r="H278" s="14" t="n"/>
      <c r="I278" s="13">
        <f>IF(OR(B278="",Q278=""),"",IF(Q278&gt;0,IF(R278="Làm việc",WORKDAY(IFERROR(IF(INDEX(SK_D,MATCH(O278,SK_A,0))="",B278,INDEX(SK_D,MATCH(O278,SK_A,0))),B278),Q278,HOLI),IFERROR(IF(INDEX(SK_D,MATCH(O278,SK_A,0))="",B278,INDEX(SK_D,MATCH(O278,SK_A,0))),B278)+Q278),B278+Q278))</f>
        <v/>
      </c>
      <c r="J278" s="14" t="n"/>
      <c r="K278" s="13" t="n"/>
      <c r="L278" s="12" t="n"/>
      <c r="M278" s="48">
        <f>IF(E278="","",IF(J278="Bỏ qua","—",IF(J278="Xong",IF(AND(ISNUMBER(K278),ISNUMBER(I278),K278&gt;I278),"Xong trễ","Xong"),MID(IF(G278=""," · CHƯA GIAO","")&amp;IF(NOT(ISNUMBER(I278)),"",IF(TODAY()&gt;I278," · QUÁ HẠN "&amp;(TODAY()-I278)&amp;" ngày",IF(I278-TODAY()&lt;=3," · Đến hạn "&amp;IF(I278=TODAY(),"hôm nay","trong "&amp;(I278-TODAY())&amp;" ngày"),"")))&amp;IF(J278="Chờ đối tác"," · Chờ đối tác"&amp;IF(ISNUMBER(N278)," "&amp;(TODAY()-INT(N278))&amp;" ngày",""),""),4,200))))</f>
        <v/>
      </c>
      <c r="N278" s="49" t="n"/>
      <c r="S278">
        <f>IF(AND(E278&lt;&gt;"",T278="Có",J278&lt;&gt;"Xong",J278&lt;&gt;"Bỏ qua",ISNUMBER(I278)),I278+ROW()/100000,"")</f>
        <v/>
      </c>
      <c r="T278">
        <f>IF(O278="","",IFERROR(INDEX(SK_TD,MATCH(O278,SK_A,0)),""))</f>
        <v/>
      </c>
      <c r="V278">
        <f>IF(AND(O278&lt;&gt;"",O278=SEL_K,J278&lt;&gt;"Xong",J278&lt;&gt;"Bỏ qua"),IF(ISNUMBER(I278),I278,99999)+ROW()/100000,"")</f>
        <v/>
      </c>
    </row>
    <row r="279">
      <c r="A279" s="12">
        <f>IF(O279="","",IFERROR(INDEX(SK_B,MATCH(O279,SK_A,0))&amp;"",""))</f>
        <v/>
      </c>
      <c r="B279" s="45">
        <f>IF(O279="","",IFERROR(INDEX(SK_C,MATCH(O279,SK_A,0)),""))</f>
        <v/>
      </c>
      <c r="C279" s="46">
        <f>IF(Q279="","",IF(Q279=0,"D",IF(Q279&lt;0,"D"&amp;Q279,"D+"&amp;Q279)))</f>
        <v/>
      </c>
      <c r="D279" s="14" t="n"/>
      <c r="E279" s="12" t="n"/>
      <c r="F279" s="46" t="n"/>
      <c r="G279" s="47" t="n"/>
      <c r="H279" s="14" t="n"/>
      <c r="I279" s="13">
        <f>IF(OR(B279="",Q279=""),"",IF(Q279&gt;0,IF(R279="Làm việc",WORKDAY(IFERROR(IF(INDEX(SK_D,MATCH(O279,SK_A,0))="",B279,INDEX(SK_D,MATCH(O279,SK_A,0))),B279),Q279,HOLI),IFERROR(IF(INDEX(SK_D,MATCH(O279,SK_A,0))="",B279,INDEX(SK_D,MATCH(O279,SK_A,0))),B279)+Q279),B279+Q279))</f>
        <v/>
      </c>
      <c r="J279" s="14" t="n"/>
      <c r="K279" s="13" t="n"/>
      <c r="L279" s="12" t="n"/>
      <c r="M279" s="48">
        <f>IF(E279="","",IF(J279="Bỏ qua","—",IF(J279="Xong",IF(AND(ISNUMBER(K279),ISNUMBER(I279),K279&gt;I279),"Xong trễ","Xong"),MID(IF(G279=""," · CHƯA GIAO","")&amp;IF(NOT(ISNUMBER(I279)),"",IF(TODAY()&gt;I279," · QUÁ HẠN "&amp;(TODAY()-I279)&amp;" ngày",IF(I279-TODAY()&lt;=3," · Đến hạn "&amp;IF(I279=TODAY(),"hôm nay","trong "&amp;(I279-TODAY())&amp;" ngày"),"")))&amp;IF(J279="Chờ đối tác"," · Chờ đối tác"&amp;IF(ISNUMBER(N279)," "&amp;(TODAY()-INT(N279))&amp;" ngày",""),""),4,200))))</f>
        <v/>
      </c>
      <c r="N279" s="49" t="n"/>
      <c r="S279">
        <f>IF(AND(E279&lt;&gt;"",T279="Có",J279&lt;&gt;"Xong",J279&lt;&gt;"Bỏ qua",ISNUMBER(I279)),I279+ROW()/100000,"")</f>
        <v/>
      </c>
      <c r="T279">
        <f>IF(O279="","",IFERROR(INDEX(SK_TD,MATCH(O279,SK_A,0)),""))</f>
        <v/>
      </c>
      <c r="V279">
        <f>IF(AND(O279&lt;&gt;"",O279=SEL_K,J279&lt;&gt;"Xong",J279&lt;&gt;"Bỏ qua"),IF(ISNUMBER(I279),I279,99999)+ROW()/100000,"")</f>
        <v/>
      </c>
    </row>
    <row r="280">
      <c r="A280" s="12">
        <f>IF(O280="","",IFERROR(INDEX(SK_B,MATCH(O280,SK_A,0))&amp;"",""))</f>
        <v/>
      </c>
      <c r="B280" s="45">
        <f>IF(O280="","",IFERROR(INDEX(SK_C,MATCH(O280,SK_A,0)),""))</f>
        <v/>
      </c>
      <c r="C280" s="46">
        <f>IF(Q280="","",IF(Q280=0,"D",IF(Q280&lt;0,"D"&amp;Q280,"D+"&amp;Q280)))</f>
        <v/>
      </c>
      <c r="D280" s="14" t="n"/>
      <c r="E280" s="12" t="n"/>
      <c r="F280" s="46" t="n"/>
      <c r="G280" s="47" t="n"/>
      <c r="H280" s="14" t="n"/>
      <c r="I280" s="13">
        <f>IF(OR(B280="",Q280=""),"",IF(Q280&gt;0,IF(R280="Làm việc",WORKDAY(IFERROR(IF(INDEX(SK_D,MATCH(O280,SK_A,0))="",B280,INDEX(SK_D,MATCH(O280,SK_A,0))),B280),Q280,HOLI),IFERROR(IF(INDEX(SK_D,MATCH(O280,SK_A,0))="",B280,INDEX(SK_D,MATCH(O280,SK_A,0))),B280)+Q280),B280+Q280))</f>
        <v/>
      </c>
      <c r="J280" s="14" t="n"/>
      <c r="K280" s="13" t="n"/>
      <c r="L280" s="12" t="n"/>
      <c r="M280" s="48">
        <f>IF(E280="","",IF(J280="Bỏ qua","—",IF(J280="Xong",IF(AND(ISNUMBER(K280),ISNUMBER(I280),K280&gt;I280),"Xong trễ","Xong"),MID(IF(G280=""," · CHƯA GIAO","")&amp;IF(NOT(ISNUMBER(I280)),"",IF(TODAY()&gt;I280," · QUÁ HẠN "&amp;(TODAY()-I280)&amp;" ngày",IF(I280-TODAY()&lt;=3," · Đến hạn "&amp;IF(I280=TODAY(),"hôm nay","trong "&amp;(I280-TODAY())&amp;" ngày"),"")))&amp;IF(J280="Chờ đối tác"," · Chờ đối tác"&amp;IF(ISNUMBER(N280)," "&amp;(TODAY()-INT(N280))&amp;" ngày",""),""),4,200))))</f>
        <v/>
      </c>
      <c r="N280" s="49" t="n"/>
      <c r="S280">
        <f>IF(AND(E280&lt;&gt;"",T280="Có",J280&lt;&gt;"Xong",J280&lt;&gt;"Bỏ qua",ISNUMBER(I280)),I280+ROW()/100000,"")</f>
        <v/>
      </c>
      <c r="T280">
        <f>IF(O280="","",IFERROR(INDEX(SK_TD,MATCH(O280,SK_A,0)),""))</f>
        <v/>
      </c>
      <c r="V280">
        <f>IF(AND(O280&lt;&gt;"",O280=SEL_K,J280&lt;&gt;"Xong",J280&lt;&gt;"Bỏ qua"),IF(ISNUMBER(I280),I280,99999)+ROW()/100000,"")</f>
        <v/>
      </c>
    </row>
    <row r="281">
      <c r="A281" s="12">
        <f>IF(O281="","",IFERROR(INDEX(SK_B,MATCH(O281,SK_A,0))&amp;"",""))</f>
        <v/>
      </c>
      <c r="B281" s="45">
        <f>IF(O281="","",IFERROR(INDEX(SK_C,MATCH(O281,SK_A,0)),""))</f>
        <v/>
      </c>
      <c r="C281" s="46">
        <f>IF(Q281="","",IF(Q281=0,"D",IF(Q281&lt;0,"D"&amp;Q281,"D+"&amp;Q281)))</f>
        <v/>
      </c>
      <c r="D281" s="14" t="n"/>
      <c r="E281" s="12" t="n"/>
      <c r="F281" s="46" t="n"/>
      <c r="G281" s="47" t="n"/>
      <c r="H281" s="14" t="n"/>
      <c r="I281" s="13">
        <f>IF(OR(B281="",Q281=""),"",IF(Q281&gt;0,IF(R281="Làm việc",WORKDAY(IFERROR(IF(INDEX(SK_D,MATCH(O281,SK_A,0))="",B281,INDEX(SK_D,MATCH(O281,SK_A,0))),B281),Q281,HOLI),IFERROR(IF(INDEX(SK_D,MATCH(O281,SK_A,0))="",B281,INDEX(SK_D,MATCH(O281,SK_A,0))),B281)+Q281),B281+Q281))</f>
        <v/>
      </c>
      <c r="J281" s="14" t="n"/>
      <c r="K281" s="13" t="n"/>
      <c r="L281" s="12" t="n"/>
      <c r="M281" s="48">
        <f>IF(E281="","",IF(J281="Bỏ qua","—",IF(J281="Xong",IF(AND(ISNUMBER(K281),ISNUMBER(I281),K281&gt;I281),"Xong trễ","Xong"),MID(IF(G281=""," · CHƯA GIAO","")&amp;IF(NOT(ISNUMBER(I281)),"",IF(TODAY()&gt;I281," · QUÁ HẠN "&amp;(TODAY()-I281)&amp;" ngày",IF(I281-TODAY()&lt;=3," · Đến hạn "&amp;IF(I281=TODAY(),"hôm nay","trong "&amp;(I281-TODAY())&amp;" ngày"),"")))&amp;IF(J281="Chờ đối tác"," · Chờ đối tác"&amp;IF(ISNUMBER(N281)," "&amp;(TODAY()-INT(N281))&amp;" ngày",""),""),4,200))))</f>
        <v/>
      </c>
      <c r="N281" s="49" t="n"/>
      <c r="S281">
        <f>IF(AND(E281&lt;&gt;"",T281="Có",J281&lt;&gt;"Xong",J281&lt;&gt;"Bỏ qua",ISNUMBER(I281)),I281+ROW()/100000,"")</f>
        <v/>
      </c>
      <c r="T281">
        <f>IF(O281="","",IFERROR(INDEX(SK_TD,MATCH(O281,SK_A,0)),""))</f>
        <v/>
      </c>
      <c r="V281">
        <f>IF(AND(O281&lt;&gt;"",O281=SEL_K,J281&lt;&gt;"Xong",J281&lt;&gt;"Bỏ qua"),IF(ISNUMBER(I281),I281,99999)+ROW()/100000,"")</f>
        <v/>
      </c>
    </row>
    <row r="282">
      <c r="A282" s="12">
        <f>IF(O282="","",IFERROR(INDEX(SK_B,MATCH(O282,SK_A,0))&amp;"",""))</f>
        <v/>
      </c>
      <c r="B282" s="45">
        <f>IF(O282="","",IFERROR(INDEX(SK_C,MATCH(O282,SK_A,0)),""))</f>
        <v/>
      </c>
      <c r="C282" s="46">
        <f>IF(Q282="","",IF(Q282=0,"D",IF(Q282&lt;0,"D"&amp;Q282,"D+"&amp;Q282)))</f>
        <v/>
      </c>
      <c r="D282" s="14" t="n"/>
      <c r="E282" s="12" t="n"/>
      <c r="F282" s="46" t="n"/>
      <c r="G282" s="47" t="n"/>
      <c r="H282" s="14" t="n"/>
      <c r="I282" s="13">
        <f>IF(OR(B282="",Q282=""),"",IF(Q282&gt;0,IF(R282="Làm việc",WORKDAY(IFERROR(IF(INDEX(SK_D,MATCH(O282,SK_A,0))="",B282,INDEX(SK_D,MATCH(O282,SK_A,0))),B282),Q282,HOLI),IFERROR(IF(INDEX(SK_D,MATCH(O282,SK_A,0))="",B282,INDEX(SK_D,MATCH(O282,SK_A,0))),B282)+Q282),B282+Q282))</f>
        <v/>
      </c>
      <c r="J282" s="14" t="n"/>
      <c r="K282" s="13" t="n"/>
      <c r="L282" s="12" t="n"/>
      <c r="M282" s="48">
        <f>IF(E282="","",IF(J282="Bỏ qua","—",IF(J282="Xong",IF(AND(ISNUMBER(K282),ISNUMBER(I282),K282&gt;I282),"Xong trễ","Xong"),MID(IF(G282=""," · CHƯA GIAO","")&amp;IF(NOT(ISNUMBER(I282)),"",IF(TODAY()&gt;I282," · QUÁ HẠN "&amp;(TODAY()-I282)&amp;" ngày",IF(I282-TODAY()&lt;=3," · Đến hạn "&amp;IF(I282=TODAY(),"hôm nay","trong "&amp;(I282-TODAY())&amp;" ngày"),"")))&amp;IF(J282="Chờ đối tác"," · Chờ đối tác"&amp;IF(ISNUMBER(N282)," "&amp;(TODAY()-INT(N282))&amp;" ngày",""),""),4,200))))</f>
        <v/>
      </c>
      <c r="N282" s="49" t="n"/>
      <c r="S282">
        <f>IF(AND(E282&lt;&gt;"",T282="Có",J282&lt;&gt;"Xong",J282&lt;&gt;"Bỏ qua",ISNUMBER(I282)),I282+ROW()/100000,"")</f>
        <v/>
      </c>
      <c r="T282">
        <f>IF(O282="","",IFERROR(INDEX(SK_TD,MATCH(O282,SK_A,0)),""))</f>
        <v/>
      </c>
      <c r="V282">
        <f>IF(AND(O282&lt;&gt;"",O282=SEL_K,J282&lt;&gt;"Xong",J282&lt;&gt;"Bỏ qua"),IF(ISNUMBER(I282),I282,99999)+ROW()/100000,"")</f>
        <v/>
      </c>
    </row>
    <row r="283">
      <c r="A283" s="12">
        <f>IF(O283="","",IFERROR(INDEX(SK_B,MATCH(O283,SK_A,0))&amp;"",""))</f>
        <v/>
      </c>
      <c r="B283" s="45">
        <f>IF(O283="","",IFERROR(INDEX(SK_C,MATCH(O283,SK_A,0)),""))</f>
        <v/>
      </c>
      <c r="C283" s="46">
        <f>IF(Q283="","",IF(Q283=0,"D",IF(Q283&lt;0,"D"&amp;Q283,"D+"&amp;Q283)))</f>
        <v/>
      </c>
      <c r="D283" s="14" t="n"/>
      <c r="E283" s="12" t="n"/>
      <c r="F283" s="46" t="n"/>
      <c r="G283" s="47" t="n"/>
      <c r="H283" s="14" t="n"/>
      <c r="I283" s="13">
        <f>IF(OR(B283="",Q283=""),"",IF(Q283&gt;0,IF(R283="Làm việc",WORKDAY(IFERROR(IF(INDEX(SK_D,MATCH(O283,SK_A,0))="",B283,INDEX(SK_D,MATCH(O283,SK_A,0))),B283),Q283,HOLI),IFERROR(IF(INDEX(SK_D,MATCH(O283,SK_A,0))="",B283,INDEX(SK_D,MATCH(O283,SK_A,0))),B283)+Q283),B283+Q283))</f>
        <v/>
      </c>
      <c r="J283" s="14" t="n"/>
      <c r="K283" s="13" t="n"/>
      <c r="L283" s="12" t="n"/>
      <c r="M283" s="48">
        <f>IF(E283="","",IF(J283="Bỏ qua","—",IF(J283="Xong",IF(AND(ISNUMBER(K283),ISNUMBER(I283),K283&gt;I283),"Xong trễ","Xong"),MID(IF(G283=""," · CHƯA GIAO","")&amp;IF(NOT(ISNUMBER(I283)),"",IF(TODAY()&gt;I283," · QUÁ HẠN "&amp;(TODAY()-I283)&amp;" ngày",IF(I283-TODAY()&lt;=3," · Đến hạn "&amp;IF(I283=TODAY(),"hôm nay","trong "&amp;(I283-TODAY())&amp;" ngày"),"")))&amp;IF(J283="Chờ đối tác"," · Chờ đối tác"&amp;IF(ISNUMBER(N283)," "&amp;(TODAY()-INT(N283))&amp;" ngày",""),""),4,200))))</f>
        <v/>
      </c>
      <c r="N283" s="49" t="n"/>
      <c r="S283">
        <f>IF(AND(E283&lt;&gt;"",T283="Có",J283&lt;&gt;"Xong",J283&lt;&gt;"Bỏ qua",ISNUMBER(I283)),I283+ROW()/100000,"")</f>
        <v/>
      </c>
      <c r="T283">
        <f>IF(O283="","",IFERROR(INDEX(SK_TD,MATCH(O283,SK_A,0)),""))</f>
        <v/>
      </c>
      <c r="V283">
        <f>IF(AND(O283&lt;&gt;"",O283=SEL_K,J283&lt;&gt;"Xong",J283&lt;&gt;"Bỏ qua"),IF(ISNUMBER(I283),I283,99999)+ROW()/100000,"")</f>
        <v/>
      </c>
    </row>
    <row r="284">
      <c r="A284" s="12">
        <f>IF(O284="","",IFERROR(INDEX(SK_B,MATCH(O284,SK_A,0))&amp;"",""))</f>
        <v/>
      </c>
      <c r="B284" s="45">
        <f>IF(O284="","",IFERROR(INDEX(SK_C,MATCH(O284,SK_A,0)),""))</f>
        <v/>
      </c>
      <c r="C284" s="46">
        <f>IF(Q284="","",IF(Q284=0,"D",IF(Q284&lt;0,"D"&amp;Q284,"D+"&amp;Q284)))</f>
        <v/>
      </c>
      <c r="D284" s="14" t="n"/>
      <c r="E284" s="12" t="n"/>
      <c r="F284" s="46" t="n"/>
      <c r="G284" s="47" t="n"/>
      <c r="H284" s="14" t="n"/>
      <c r="I284" s="13">
        <f>IF(OR(B284="",Q284=""),"",IF(Q284&gt;0,IF(R284="Làm việc",WORKDAY(IFERROR(IF(INDEX(SK_D,MATCH(O284,SK_A,0))="",B284,INDEX(SK_D,MATCH(O284,SK_A,0))),B284),Q284,HOLI),IFERROR(IF(INDEX(SK_D,MATCH(O284,SK_A,0))="",B284,INDEX(SK_D,MATCH(O284,SK_A,0))),B284)+Q284),B284+Q284))</f>
        <v/>
      </c>
      <c r="J284" s="14" t="n"/>
      <c r="K284" s="13" t="n"/>
      <c r="L284" s="12" t="n"/>
      <c r="M284" s="48">
        <f>IF(E284="","",IF(J284="Bỏ qua","—",IF(J284="Xong",IF(AND(ISNUMBER(K284),ISNUMBER(I284),K284&gt;I284),"Xong trễ","Xong"),MID(IF(G284=""," · CHƯA GIAO","")&amp;IF(NOT(ISNUMBER(I284)),"",IF(TODAY()&gt;I284," · QUÁ HẠN "&amp;(TODAY()-I284)&amp;" ngày",IF(I284-TODAY()&lt;=3," · Đến hạn "&amp;IF(I284=TODAY(),"hôm nay","trong "&amp;(I284-TODAY())&amp;" ngày"),"")))&amp;IF(J284="Chờ đối tác"," · Chờ đối tác"&amp;IF(ISNUMBER(N284)," "&amp;(TODAY()-INT(N284))&amp;" ngày",""),""),4,200))))</f>
        <v/>
      </c>
      <c r="N284" s="49" t="n"/>
      <c r="S284">
        <f>IF(AND(E284&lt;&gt;"",T284="Có",J284&lt;&gt;"Xong",J284&lt;&gt;"Bỏ qua",ISNUMBER(I284)),I284+ROW()/100000,"")</f>
        <v/>
      </c>
      <c r="T284">
        <f>IF(O284="","",IFERROR(INDEX(SK_TD,MATCH(O284,SK_A,0)),""))</f>
        <v/>
      </c>
      <c r="V284">
        <f>IF(AND(O284&lt;&gt;"",O284=SEL_K,J284&lt;&gt;"Xong",J284&lt;&gt;"Bỏ qua"),IF(ISNUMBER(I284),I284,99999)+ROW()/100000,"")</f>
        <v/>
      </c>
    </row>
    <row r="285">
      <c r="A285" s="12">
        <f>IF(O285="","",IFERROR(INDEX(SK_B,MATCH(O285,SK_A,0))&amp;"",""))</f>
        <v/>
      </c>
      <c r="B285" s="45">
        <f>IF(O285="","",IFERROR(INDEX(SK_C,MATCH(O285,SK_A,0)),""))</f>
        <v/>
      </c>
      <c r="C285" s="46">
        <f>IF(Q285="","",IF(Q285=0,"D",IF(Q285&lt;0,"D"&amp;Q285,"D+"&amp;Q285)))</f>
        <v/>
      </c>
      <c r="D285" s="14" t="n"/>
      <c r="E285" s="12" t="n"/>
      <c r="F285" s="46" t="n"/>
      <c r="G285" s="47" t="n"/>
      <c r="H285" s="14" t="n"/>
      <c r="I285" s="13">
        <f>IF(OR(B285="",Q285=""),"",IF(Q285&gt;0,IF(R285="Làm việc",WORKDAY(IFERROR(IF(INDEX(SK_D,MATCH(O285,SK_A,0))="",B285,INDEX(SK_D,MATCH(O285,SK_A,0))),B285),Q285,HOLI),IFERROR(IF(INDEX(SK_D,MATCH(O285,SK_A,0))="",B285,INDEX(SK_D,MATCH(O285,SK_A,0))),B285)+Q285),B285+Q285))</f>
        <v/>
      </c>
      <c r="J285" s="14" t="n"/>
      <c r="K285" s="13" t="n"/>
      <c r="L285" s="12" t="n"/>
      <c r="M285" s="48">
        <f>IF(E285="","",IF(J285="Bỏ qua","—",IF(J285="Xong",IF(AND(ISNUMBER(K285),ISNUMBER(I285),K285&gt;I285),"Xong trễ","Xong"),MID(IF(G285=""," · CHƯA GIAO","")&amp;IF(NOT(ISNUMBER(I285)),"",IF(TODAY()&gt;I285," · QUÁ HẠN "&amp;(TODAY()-I285)&amp;" ngày",IF(I285-TODAY()&lt;=3," · Đến hạn "&amp;IF(I285=TODAY(),"hôm nay","trong "&amp;(I285-TODAY())&amp;" ngày"),"")))&amp;IF(J285="Chờ đối tác"," · Chờ đối tác"&amp;IF(ISNUMBER(N285)," "&amp;(TODAY()-INT(N285))&amp;" ngày",""),""),4,200))))</f>
        <v/>
      </c>
      <c r="N285" s="49" t="n"/>
      <c r="S285">
        <f>IF(AND(E285&lt;&gt;"",T285="Có",J285&lt;&gt;"Xong",J285&lt;&gt;"Bỏ qua",ISNUMBER(I285)),I285+ROW()/100000,"")</f>
        <v/>
      </c>
      <c r="T285">
        <f>IF(O285="","",IFERROR(INDEX(SK_TD,MATCH(O285,SK_A,0)),""))</f>
        <v/>
      </c>
      <c r="V285">
        <f>IF(AND(O285&lt;&gt;"",O285=SEL_K,J285&lt;&gt;"Xong",J285&lt;&gt;"Bỏ qua"),IF(ISNUMBER(I285),I285,99999)+ROW()/100000,"")</f>
        <v/>
      </c>
    </row>
    <row r="286">
      <c r="A286" s="12">
        <f>IF(O286="","",IFERROR(INDEX(SK_B,MATCH(O286,SK_A,0))&amp;"",""))</f>
        <v/>
      </c>
      <c r="B286" s="45">
        <f>IF(O286="","",IFERROR(INDEX(SK_C,MATCH(O286,SK_A,0)),""))</f>
        <v/>
      </c>
      <c r="C286" s="46">
        <f>IF(Q286="","",IF(Q286=0,"D",IF(Q286&lt;0,"D"&amp;Q286,"D+"&amp;Q286)))</f>
        <v/>
      </c>
      <c r="D286" s="14" t="n"/>
      <c r="E286" s="12" t="n"/>
      <c r="F286" s="46" t="n"/>
      <c r="G286" s="47" t="n"/>
      <c r="H286" s="14" t="n"/>
      <c r="I286" s="13">
        <f>IF(OR(B286="",Q286=""),"",IF(Q286&gt;0,IF(R286="Làm việc",WORKDAY(IFERROR(IF(INDEX(SK_D,MATCH(O286,SK_A,0))="",B286,INDEX(SK_D,MATCH(O286,SK_A,0))),B286),Q286,HOLI),IFERROR(IF(INDEX(SK_D,MATCH(O286,SK_A,0))="",B286,INDEX(SK_D,MATCH(O286,SK_A,0))),B286)+Q286),B286+Q286))</f>
        <v/>
      </c>
      <c r="J286" s="14" t="n"/>
      <c r="K286" s="13" t="n"/>
      <c r="L286" s="12" t="n"/>
      <c r="M286" s="48">
        <f>IF(E286="","",IF(J286="Bỏ qua","—",IF(J286="Xong",IF(AND(ISNUMBER(K286),ISNUMBER(I286),K286&gt;I286),"Xong trễ","Xong"),MID(IF(G286=""," · CHƯA GIAO","")&amp;IF(NOT(ISNUMBER(I286)),"",IF(TODAY()&gt;I286," · QUÁ HẠN "&amp;(TODAY()-I286)&amp;" ngày",IF(I286-TODAY()&lt;=3," · Đến hạn "&amp;IF(I286=TODAY(),"hôm nay","trong "&amp;(I286-TODAY())&amp;" ngày"),"")))&amp;IF(J286="Chờ đối tác"," · Chờ đối tác"&amp;IF(ISNUMBER(N286)," "&amp;(TODAY()-INT(N286))&amp;" ngày",""),""),4,200))))</f>
        <v/>
      </c>
      <c r="N286" s="49" t="n"/>
      <c r="S286">
        <f>IF(AND(E286&lt;&gt;"",T286="Có",J286&lt;&gt;"Xong",J286&lt;&gt;"Bỏ qua",ISNUMBER(I286)),I286+ROW()/100000,"")</f>
        <v/>
      </c>
      <c r="T286">
        <f>IF(O286="","",IFERROR(INDEX(SK_TD,MATCH(O286,SK_A,0)),""))</f>
        <v/>
      </c>
      <c r="V286">
        <f>IF(AND(O286&lt;&gt;"",O286=SEL_K,J286&lt;&gt;"Xong",J286&lt;&gt;"Bỏ qua"),IF(ISNUMBER(I286),I286,99999)+ROW()/100000,"")</f>
        <v/>
      </c>
    </row>
    <row r="287">
      <c r="A287" s="12">
        <f>IF(O287="","",IFERROR(INDEX(SK_B,MATCH(O287,SK_A,0))&amp;"",""))</f>
        <v/>
      </c>
      <c r="B287" s="45">
        <f>IF(O287="","",IFERROR(INDEX(SK_C,MATCH(O287,SK_A,0)),""))</f>
        <v/>
      </c>
      <c r="C287" s="46">
        <f>IF(Q287="","",IF(Q287=0,"D",IF(Q287&lt;0,"D"&amp;Q287,"D+"&amp;Q287)))</f>
        <v/>
      </c>
      <c r="D287" s="14" t="n"/>
      <c r="E287" s="12" t="n"/>
      <c r="F287" s="46" t="n"/>
      <c r="G287" s="47" t="n"/>
      <c r="H287" s="14" t="n"/>
      <c r="I287" s="13">
        <f>IF(OR(B287="",Q287=""),"",IF(Q287&gt;0,IF(R287="Làm việc",WORKDAY(IFERROR(IF(INDEX(SK_D,MATCH(O287,SK_A,0))="",B287,INDEX(SK_D,MATCH(O287,SK_A,0))),B287),Q287,HOLI),IFERROR(IF(INDEX(SK_D,MATCH(O287,SK_A,0))="",B287,INDEX(SK_D,MATCH(O287,SK_A,0))),B287)+Q287),B287+Q287))</f>
        <v/>
      </c>
      <c r="J287" s="14" t="n"/>
      <c r="K287" s="13" t="n"/>
      <c r="L287" s="12" t="n"/>
      <c r="M287" s="48">
        <f>IF(E287="","",IF(J287="Bỏ qua","—",IF(J287="Xong",IF(AND(ISNUMBER(K287),ISNUMBER(I287),K287&gt;I287),"Xong trễ","Xong"),MID(IF(G287=""," · CHƯA GIAO","")&amp;IF(NOT(ISNUMBER(I287)),"",IF(TODAY()&gt;I287," · QUÁ HẠN "&amp;(TODAY()-I287)&amp;" ngày",IF(I287-TODAY()&lt;=3," · Đến hạn "&amp;IF(I287=TODAY(),"hôm nay","trong "&amp;(I287-TODAY())&amp;" ngày"),"")))&amp;IF(J287="Chờ đối tác"," · Chờ đối tác"&amp;IF(ISNUMBER(N287)," "&amp;(TODAY()-INT(N287))&amp;" ngày",""),""),4,200))))</f>
        <v/>
      </c>
      <c r="N287" s="49" t="n"/>
      <c r="S287">
        <f>IF(AND(E287&lt;&gt;"",T287="Có",J287&lt;&gt;"Xong",J287&lt;&gt;"Bỏ qua",ISNUMBER(I287)),I287+ROW()/100000,"")</f>
        <v/>
      </c>
      <c r="T287">
        <f>IF(O287="","",IFERROR(INDEX(SK_TD,MATCH(O287,SK_A,0)),""))</f>
        <v/>
      </c>
      <c r="V287">
        <f>IF(AND(O287&lt;&gt;"",O287=SEL_K,J287&lt;&gt;"Xong",J287&lt;&gt;"Bỏ qua"),IF(ISNUMBER(I287),I287,99999)+ROW()/100000,"")</f>
        <v/>
      </c>
    </row>
    <row r="288">
      <c r="A288" s="12">
        <f>IF(O288="","",IFERROR(INDEX(SK_B,MATCH(O288,SK_A,0))&amp;"",""))</f>
        <v/>
      </c>
      <c r="B288" s="45">
        <f>IF(O288="","",IFERROR(INDEX(SK_C,MATCH(O288,SK_A,0)),""))</f>
        <v/>
      </c>
      <c r="C288" s="46">
        <f>IF(Q288="","",IF(Q288=0,"D",IF(Q288&lt;0,"D"&amp;Q288,"D+"&amp;Q288)))</f>
        <v/>
      </c>
      <c r="D288" s="14" t="n"/>
      <c r="E288" s="12" t="n"/>
      <c r="F288" s="46" t="n"/>
      <c r="G288" s="47" t="n"/>
      <c r="H288" s="14" t="n"/>
      <c r="I288" s="13">
        <f>IF(OR(B288="",Q288=""),"",IF(Q288&gt;0,IF(R288="Làm việc",WORKDAY(IFERROR(IF(INDEX(SK_D,MATCH(O288,SK_A,0))="",B288,INDEX(SK_D,MATCH(O288,SK_A,0))),B288),Q288,HOLI),IFERROR(IF(INDEX(SK_D,MATCH(O288,SK_A,0))="",B288,INDEX(SK_D,MATCH(O288,SK_A,0))),B288)+Q288),B288+Q288))</f>
        <v/>
      </c>
      <c r="J288" s="14" t="n"/>
      <c r="K288" s="13" t="n"/>
      <c r="L288" s="12" t="n"/>
      <c r="M288" s="48">
        <f>IF(E288="","",IF(J288="Bỏ qua","—",IF(J288="Xong",IF(AND(ISNUMBER(K288),ISNUMBER(I288),K288&gt;I288),"Xong trễ","Xong"),MID(IF(G288=""," · CHƯA GIAO","")&amp;IF(NOT(ISNUMBER(I288)),"",IF(TODAY()&gt;I288," · QUÁ HẠN "&amp;(TODAY()-I288)&amp;" ngày",IF(I288-TODAY()&lt;=3," · Đến hạn "&amp;IF(I288=TODAY(),"hôm nay","trong "&amp;(I288-TODAY())&amp;" ngày"),"")))&amp;IF(J288="Chờ đối tác"," · Chờ đối tác"&amp;IF(ISNUMBER(N288)," "&amp;(TODAY()-INT(N288))&amp;" ngày",""),""),4,200))))</f>
        <v/>
      </c>
      <c r="N288" s="49" t="n"/>
      <c r="S288">
        <f>IF(AND(E288&lt;&gt;"",T288="Có",J288&lt;&gt;"Xong",J288&lt;&gt;"Bỏ qua",ISNUMBER(I288)),I288+ROW()/100000,"")</f>
        <v/>
      </c>
      <c r="T288">
        <f>IF(O288="","",IFERROR(INDEX(SK_TD,MATCH(O288,SK_A,0)),""))</f>
        <v/>
      </c>
      <c r="V288">
        <f>IF(AND(O288&lt;&gt;"",O288=SEL_K,J288&lt;&gt;"Xong",J288&lt;&gt;"Bỏ qua"),IF(ISNUMBER(I288),I288,99999)+ROW()/100000,"")</f>
        <v/>
      </c>
    </row>
    <row r="289">
      <c r="A289" s="12">
        <f>IF(O289="","",IFERROR(INDEX(SK_B,MATCH(O289,SK_A,0))&amp;"",""))</f>
        <v/>
      </c>
      <c r="B289" s="45">
        <f>IF(O289="","",IFERROR(INDEX(SK_C,MATCH(O289,SK_A,0)),""))</f>
        <v/>
      </c>
      <c r="C289" s="46">
        <f>IF(Q289="","",IF(Q289=0,"D",IF(Q289&lt;0,"D"&amp;Q289,"D+"&amp;Q289)))</f>
        <v/>
      </c>
      <c r="D289" s="14" t="n"/>
      <c r="E289" s="12" t="n"/>
      <c r="F289" s="46" t="n"/>
      <c r="G289" s="47" t="n"/>
      <c r="H289" s="14" t="n"/>
      <c r="I289" s="13">
        <f>IF(OR(B289="",Q289=""),"",IF(Q289&gt;0,IF(R289="Làm việc",WORKDAY(IFERROR(IF(INDEX(SK_D,MATCH(O289,SK_A,0))="",B289,INDEX(SK_D,MATCH(O289,SK_A,0))),B289),Q289,HOLI),IFERROR(IF(INDEX(SK_D,MATCH(O289,SK_A,0))="",B289,INDEX(SK_D,MATCH(O289,SK_A,0))),B289)+Q289),B289+Q289))</f>
        <v/>
      </c>
      <c r="J289" s="14" t="n"/>
      <c r="K289" s="13" t="n"/>
      <c r="L289" s="12" t="n"/>
      <c r="M289" s="48">
        <f>IF(E289="","",IF(J289="Bỏ qua","—",IF(J289="Xong",IF(AND(ISNUMBER(K289),ISNUMBER(I289),K289&gt;I289),"Xong trễ","Xong"),MID(IF(G289=""," · CHƯA GIAO","")&amp;IF(NOT(ISNUMBER(I289)),"",IF(TODAY()&gt;I289," · QUÁ HẠN "&amp;(TODAY()-I289)&amp;" ngày",IF(I289-TODAY()&lt;=3," · Đến hạn "&amp;IF(I289=TODAY(),"hôm nay","trong "&amp;(I289-TODAY())&amp;" ngày"),"")))&amp;IF(J289="Chờ đối tác"," · Chờ đối tác"&amp;IF(ISNUMBER(N289)," "&amp;(TODAY()-INT(N289))&amp;" ngày",""),""),4,200))))</f>
        <v/>
      </c>
      <c r="N289" s="49" t="n"/>
      <c r="S289">
        <f>IF(AND(E289&lt;&gt;"",T289="Có",J289&lt;&gt;"Xong",J289&lt;&gt;"Bỏ qua",ISNUMBER(I289)),I289+ROW()/100000,"")</f>
        <v/>
      </c>
      <c r="T289">
        <f>IF(O289="","",IFERROR(INDEX(SK_TD,MATCH(O289,SK_A,0)),""))</f>
        <v/>
      </c>
      <c r="V289">
        <f>IF(AND(O289&lt;&gt;"",O289=SEL_K,J289&lt;&gt;"Xong",J289&lt;&gt;"Bỏ qua"),IF(ISNUMBER(I289),I289,99999)+ROW()/100000,"")</f>
        <v/>
      </c>
    </row>
    <row r="290">
      <c r="A290" s="12">
        <f>IF(O290="","",IFERROR(INDEX(SK_B,MATCH(O290,SK_A,0))&amp;"",""))</f>
        <v/>
      </c>
      <c r="B290" s="45">
        <f>IF(O290="","",IFERROR(INDEX(SK_C,MATCH(O290,SK_A,0)),""))</f>
        <v/>
      </c>
      <c r="C290" s="46">
        <f>IF(Q290="","",IF(Q290=0,"D",IF(Q290&lt;0,"D"&amp;Q290,"D+"&amp;Q290)))</f>
        <v/>
      </c>
      <c r="D290" s="14" t="n"/>
      <c r="E290" s="12" t="n"/>
      <c r="F290" s="46" t="n"/>
      <c r="G290" s="47" t="n"/>
      <c r="H290" s="14" t="n"/>
      <c r="I290" s="13">
        <f>IF(OR(B290="",Q290=""),"",IF(Q290&gt;0,IF(R290="Làm việc",WORKDAY(IFERROR(IF(INDEX(SK_D,MATCH(O290,SK_A,0))="",B290,INDEX(SK_D,MATCH(O290,SK_A,0))),B290),Q290,HOLI),IFERROR(IF(INDEX(SK_D,MATCH(O290,SK_A,0))="",B290,INDEX(SK_D,MATCH(O290,SK_A,0))),B290)+Q290),B290+Q290))</f>
        <v/>
      </c>
      <c r="J290" s="14" t="n"/>
      <c r="K290" s="13" t="n"/>
      <c r="L290" s="12" t="n"/>
      <c r="M290" s="48">
        <f>IF(E290="","",IF(J290="Bỏ qua","—",IF(J290="Xong",IF(AND(ISNUMBER(K290),ISNUMBER(I290),K290&gt;I290),"Xong trễ","Xong"),MID(IF(G290=""," · CHƯA GIAO","")&amp;IF(NOT(ISNUMBER(I290)),"",IF(TODAY()&gt;I290," · QUÁ HẠN "&amp;(TODAY()-I290)&amp;" ngày",IF(I290-TODAY()&lt;=3," · Đến hạn "&amp;IF(I290=TODAY(),"hôm nay","trong "&amp;(I290-TODAY())&amp;" ngày"),"")))&amp;IF(J290="Chờ đối tác"," · Chờ đối tác"&amp;IF(ISNUMBER(N290)," "&amp;(TODAY()-INT(N290))&amp;" ngày",""),""),4,200))))</f>
        <v/>
      </c>
      <c r="N290" s="49" t="n"/>
      <c r="S290">
        <f>IF(AND(E290&lt;&gt;"",T290="Có",J290&lt;&gt;"Xong",J290&lt;&gt;"Bỏ qua",ISNUMBER(I290)),I290+ROW()/100000,"")</f>
        <v/>
      </c>
      <c r="T290">
        <f>IF(O290="","",IFERROR(INDEX(SK_TD,MATCH(O290,SK_A,0)),""))</f>
        <v/>
      </c>
      <c r="V290">
        <f>IF(AND(O290&lt;&gt;"",O290=SEL_K,J290&lt;&gt;"Xong",J290&lt;&gt;"Bỏ qua"),IF(ISNUMBER(I290),I290,99999)+ROW()/100000,"")</f>
        <v/>
      </c>
    </row>
    <row r="291">
      <c r="A291" s="12">
        <f>IF(O291="","",IFERROR(INDEX(SK_B,MATCH(O291,SK_A,0))&amp;"",""))</f>
        <v/>
      </c>
      <c r="B291" s="45">
        <f>IF(O291="","",IFERROR(INDEX(SK_C,MATCH(O291,SK_A,0)),""))</f>
        <v/>
      </c>
      <c r="C291" s="46">
        <f>IF(Q291="","",IF(Q291=0,"D",IF(Q291&lt;0,"D"&amp;Q291,"D+"&amp;Q291)))</f>
        <v/>
      </c>
      <c r="D291" s="14" t="n"/>
      <c r="E291" s="12" t="n"/>
      <c r="F291" s="46" t="n"/>
      <c r="G291" s="47" t="n"/>
      <c r="H291" s="14" t="n"/>
      <c r="I291" s="13">
        <f>IF(OR(B291="",Q291=""),"",IF(Q291&gt;0,IF(R291="Làm việc",WORKDAY(IFERROR(IF(INDEX(SK_D,MATCH(O291,SK_A,0))="",B291,INDEX(SK_D,MATCH(O291,SK_A,0))),B291),Q291,HOLI),IFERROR(IF(INDEX(SK_D,MATCH(O291,SK_A,0))="",B291,INDEX(SK_D,MATCH(O291,SK_A,0))),B291)+Q291),B291+Q291))</f>
        <v/>
      </c>
      <c r="J291" s="14" t="n"/>
      <c r="K291" s="13" t="n"/>
      <c r="L291" s="12" t="n"/>
      <c r="M291" s="48">
        <f>IF(E291="","",IF(J291="Bỏ qua","—",IF(J291="Xong",IF(AND(ISNUMBER(K291),ISNUMBER(I291),K291&gt;I291),"Xong trễ","Xong"),MID(IF(G291=""," · CHƯA GIAO","")&amp;IF(NOT(ISNUMBER(I291)),"",IF(TODAY()&gt;I291," · QUÁ HẠN "&amp;(TODAY()-I291)&amp;" ngày",IF(I291-TODAY()&lt;=3," · Đến hạn "&amp;IF(I291=TODAY(),"hôm nay","trong "&amp;(I291-TODAY())&amp;" ngày"),"")))&amp;IF(J291="Chờ đối tác"," · Chờ đối tác"&amp;IF(ISNUMBER(N291)," "&amp;(TODAY()-INT(N291))&amp;" ngày",""),""),4,200))))</f>
        <v/>
      </c>
      <c r="N291" s="49" t="n"/>
      <c r="S291">
        <f>IF(AND(E291&lt;&gt;"",T291="Có",J291&lt;&gt;"Xong",J291&lt;&gt;"Bỏ qua",ISNUMBER(I291)),I291+ROW()/100000,"")</f>
        <v/>
      </c>
      <c r="T291">
        <f>IF(O291="","",IFERROR(INDEX(SK_TD,MATCH(O291,SK_A,0)),""))</f>
        <v/>
      </c>
      <c r="V291">
        <f>IF(AND(O291&lt;&gt;"",O291=SEL_K,J291&lt;&gt;"Xong",J291&lt;&gt;"Bỏ qua"),IF(ISNUMBER(I291),I291,99999)+ROW()/100000,"")</f>
        <v/>
      </c>
    </row>
    <row r="292">
      <c r="A292" s="12">
        <f>IF(O292="","",IFERROR(INDEX(SK_B,MATCH(O292,SK_A,0))&amp;"",""))</f>
        <v/>
      </c>
      <c r="B292" s="45">
        <f>IF(O292="","",IFERROR(INDEX(SK_C,MATCH(O292,SK_A,0)),""))</f>
        <v/>
      </c>
      <c r="C292" s="46">
        <f>IF(Q292="","",IF(Q292=0,"D",IF(Q292&lt;0,"D"&amp;Q292,"D+"&amp;Q292)))</f>
        <v/>
      </c>
      <c r="D292" s="14" t="n"/>
      <c r="E292" s="12" t="n"/>
      <c r="F292" s="46" t="n"/>
      <c r="G292" s="47" t="n"/>
      <c r="H292" s="14" t="n"/>
      <c r="I292" s="13">
        <f>IF(OR(B292="",Q292=""),"",IF(Q292&gt;0,IF(R292="Làm việc",WORKDAY(IFERROR(IF(INDEX(SK_D,MATCH(O292,SK_A,0))="",B292,INDEX(SK_D,MATCH(O292,SK_A,0))),B292),Q292,HOLI),IFERROR(IF(INDEX(SK_D,MATCH(O292,SK_A,0))="",B292,INDEX(SK_D,MATCH(O292,SK_A,0))),B292)+Q292),B292+Q292))</f>
        <v/>
      </c>
      <c r="J292" s="14" t="n"/>
      <c r="K292" s="13" t="n"/>
      <c r="L292" s="12" t="n"/>
      <c r="M292" s="48">
        <f>IF(E292="","",IF(J292="Bỏ qua","—",IF(J292="Xong",IF(AND(ISNUMBER(K292),ISNUMBER(I292),K292&gt;I292),"Xong trễ","Xong"),MID(IF(G292=""," · CHƯA GIAO","")&amp;IF(NOT(ISNUMBER(I292)),"",IF(TODAY()&gt;I292," · QUÁ HẠN "&amp;(TODAY()-I292)&amp;" ngày",IF(I292-TODAY()&lt;=3," · Đến hạn "&amp;IF(I292=TODAY(),"hôm nay","trong "&amp;(I292-TODAY())&amp;" ngày"),"")))&amp;IF(J292="Chờ đối tác"," · Chờ đối tác"&amp;IF(ISNUMBER(N292)," "&amp;(TODAY()-INT(N292))&amp;" ngày",""),""),4,200))))</f>
        <v/>
      </c>
      <c r="N292" s="49" t="n"/>
      <c r="S292">
        <f>IF(AND(E292&lt;&gt;"",T292="Có",J292&lt;&gt;"Xong",J292&lt;&gt;"Bỏ qua",ISNUMBER(I292)),I292+ROW()/100000,"")</f>
        <v/>
      </c>
      <c r="T292">
        <f>IF(O292="","",IFERROR(INDEX(SK_TD,MATCH(O292,SK_A,0)),""))</f>
        <v/>
      </c>
      <c r="V292">
        <f>IF(AND(O292&lt;&gt;"",O292=SEL_K,J292&lt;&gt;"Xong",J292&lt;&gt;"Bỏ qua"),IF(ISNUMBER(I292),I292,99999)+ROW()/100000,"")</f>
        <v/>
      </c>
    </row>
    <row r="293">
      <c r="A293" s="12">
        <f>IF(O293="","",IFERROR(INDEX(SK_B,MATCH(O293,SK_A,0))&amp;"",""))</f>
        <v/>
      </c>
      <c r="B293" s="45">
        <f>IF(O293="","",IFERROR(INDEX(SK_C,MATCH(O293,SK_A,0)),""))</f>
        <v/>
      </c>
      <c r="C293" s="46">
        <f>IF(Q293="","",IF(Q293=0,"D",IF(Q293&lt;0,"D"&amp;Q293,"D+"&amp;Q293)))</f>
        <v/>
      </c>
      <c r="D293" s="14" t="n"/>
      <c r="E293" s="12" t="n"/>
      <c r="F293" s="46" t="n"/>
      <c r="G293" s="47" t="n"/>
      <c r="H293" s="14" t="n"/>
      <c r="I293" s="13">
        <f>IF(OR(B293="",Q293=""),"",IF(Q293&gt;0,IF(R293="Làm việc",WORKDAY(IFERROR(IF(INDEX(SK_D,MATCH(O293,SK_A,0))="",B293,INDEX(SK_D,MATCH(O293,SK_A,0))),B293),Q293,HOLI),IFERROR(IF(INDEX(SK_D,MATCH(O293,SK_A,0))="",B293,INDEX(SK_D,MATCH(O293,SK_A,0))),B293)+Q293),B293+Q293))</f>
        <v/>
      </c>
      <c r="J293" s="14" t="n"/>
      <c r="K293" s="13" t="n"/>
      <c r="L293" s="12" t="n"/>
      <c r="M293" s="48">
        <f>IF(E293="","",IF(J293="Bỏ qua","—",IF(J293="Xong",IF(AND(ISNUMBER(K293),ISNUMBER(I293),K293&gt;I293),"Xong trễ","Xong"),MID(IF(G293=""," · CHƯA GIAO","")&amp;IF(NOT(ISNUMBER(I293)),"",IF(TODAY()&gt;I293," · QUÁ HẠN "&amp;(TODAY()-I293)&amp;" ngày",IF(I293-TODAY()&lt;=3," · Đến hạn "&amp;IF(I293=TODAY(),"hôm nay","trong "&amp;(I293-TODAY())&amp;" ngày"),"")))&amp;IF(J293="Chờ đối tác"," · Chờ đối tác"&amp;IF(ISNUMBER(N293)," "&amp;(TODAY()-INT(N293))&amp;" ngày",""),""),4,200))))</f>
        <v/>
      </c>
      <c r="N293" s="49" t="n"/>
      <c r="S293">
        <f>IF(AND(E293&lt;&gt;"",T293="Có",J293&lt;&gt;"Xong",J293&lt;&gt;"Bỏ qua",ISNUMBER(I293)),I293+ROW()/100000,"")</f>
        <v/>
      </c>
      <c r="T293">
        <f>IF(O293="","",IFERROR(INDEX(SK_TD,MATCH(O293,SK_A,0)),""))</f>
        <v/>
      </c>
      <c r="V293">
        <f>IF(AND(O293&lt;&gt;"",O293=SEL_K,J293&lt;&gt;"Xong",J293&lt;&gt;"Bỏ qua"),IF(ISNUMBER(I293),I293,99999)+ROW()/100000,"")</f>
        <v/>
      </c>
    </row>
    <row r="294">
      <c r="A294" s="12">
        <f>IF(O294="","",IFERROR(INDEX(SK_B,MATCH(O294,SK_A,0))&amp;"",""))</f>
        <v/>
      </c>
      <c r="B294" s="45">
        <f>IF(O294="","",IFERROR(INDEX(SK_C,MATCH(O294,SK_A,0)),""))</f>
        <v/>
      </c>
      <c r="C294" s="46">
        <f>IF(Q294="","",IF(Q294=0,"D",IF(Q294&lt;0,"D"&amp;Q294,"D+"&amp;Q294)))</f>
        <v/>
      </c>
      <c r="D294" s="14" t="n"/>
      <c r="E294" s="12" t="n"/>
      <c r="F294" s="46" t="n"/>
      <c r="G294" s="47" t="n"/>
      <c r="H294" s="14" t="n"/>
      <c r="I294" s="13">
        <f>IF(OR(B294="",Q294=""),"",IF(Q294&gt;0,IF(R294="Làm việc",WORKDAY(IFERROR(IF(INDEX(SK_D,MATCH(O294,SK_A,0))="",B294,INDEX(SK_D,MATCH(O294,SK_A,0))),B294),Q294,HOLI),IFERROR(IF(INDEX(SK_D,MATCH(O294,SK_A,0))="",B294,INDEX(SK_D,MATCH(O294,SK_A,0))),B294)+Q294),B294+Q294))</f>
        <v/>
      </c>
      <c r="J294" s="14" t="n"/>
      <c r="K294" s="13" t="n"/>
      <c r="L294" s="12" t="n"/>
      <c r="M294" s="48">
        <f>IF(E294="","",IF(J294="Bỏ qua","—",IF(J294="Xong",IF(AND(ISNUMBER(K294),ISNUMBER(I294),K294&gt;I294),"Xong trễ","Xong"),MID(IF(G294=""," · CHƯA GIAO","")&amp;IF(NOT(ISNUMBER(I294)),"",IF(TODAY()&gt;I294," · QUÁ HẠN "&amp;(TODAY()-I294)&amp;" ngày",IF(I294-TODAY()&lt;=3," · Đến hạn "&amp;IF(I294=TODAY(),"hôm nay","trong "&amp;(I294-TODAY())&amp;" ngày"),"")))&amp;IF(J294="Chờ đối tác"," · Chờ đối tác"&amp;IF(ISNUMBER(N294)," "&amp;(TODAY()-INT(N294))&amp;" ngày",""),""),4,200))))</f>
        <v/>
      </c>
      <c r="N294" s="49" t="n"/>
      <c r="S294">
        <f>IF(AND(E294&lt;&gt;"",T294="Có",J294&lt;&gt;"Xong",J294&lt;&gt;"Bỏ qua",ISNUMBER(I294)),I294+ROW()/100000,"")</f>
        <v/>
      </c>
      <c r="T294">
        <f>IF(O294="","",IFERROR(INDEX(SK_TD,MATCH(O294,SK_A,0)),""))</f>
        <v/>
      </c>
      <c r="V294">
        <f>IF(AND(O294&lt;&gt;"",O294=SEL_K,J294&lt;&gt;"Xong",J294&lt;&gt;"Bỏ qua"),IF(ISNUMBER(I294),I294,99999)+ROW()/100000,"")</f>
        <v/>
      </c>
    </row>
    <row r="295">
      <c r="A295" s="12">
        <f>IF(O295="","",IFERROR(INDEX(SK_B,MATCH(O295,SK_A,0))&amp;"",""))</f>
        <v/>
      </c>
      <c r="B295" s="45">
        <f>IF(O295="","",IFERROR(INDEX(SK_C,MATCH(O295,SK_A,0)),""))</f>
        <v/>
      </c>
      <c r="C295" s="46">
        <f>IF(Q295="","",IF(Q295=0,"D",IF(Q295&lt;0,"D"&amp;Q295,"D+"&amp;Q295)))</f>
        <v/>
      </c>
      <c r="D295" s="14" t="n"/>
      <c r="E295" s="12" t="n"/>
      <c r="F295" s="46" t="n"/>
      <c r="G295" s="47" t="n"/>
      <c r="H295" s="14" t="n"/>
      <c r="I295" s="13">
        <f>IF(OR(B295="",Q295=""),"",IF(Q295&gt;0,IF(R295="Làm việc",WORKDAY(IFERROR(IF(INDEX(SK_D,MATCH(O295,SK_A,0))="",B295,INDEX(SK_D,MATCH(O295,SK_A,0))),B295),Q295,HOLI),IFERROR(IF(INDEX(SK_D,MATCH(O295,SK_A,0))="",B295,INDEX(SK_D,MATCH(O295,SK_A,0))),B295)+Q295),B295+Q295))</f>
        <v/>
      </c>
      <c r="J295" s="14" t="n"/>
      <c r="K295" s="13" t="n"/>
      <c r="L295" s="12" t="n"/>
      <c r="M295" s="48">
        <f>IF(E295="","",IF(J295="Bỏ qua","—",IF(J295="Xong",IF(AND(ISNUMBER(K295),ISNUMBER(I295),K295&gt;I295),"Xong trễ","Xong"),MID(IF(G295=""," · CHƯA GIAO","")&amp;IF(NOT(ISNUMBER(I295)),"",IF(TODAY()&gt;I295," · QUÁ HẠN "&amp;(TODAY()-I295)&amp;" ngày",IF(I295-TODAY()&lt;=3," · Đến hạn "&amp;IF(I295=TODAY(),"hôm nay","trong "&amp;(I295-TODAY())&amp;" ngày"),"")))&amp;IF(J295="Chờ đối tác"," · Chờ đối tác"&amp;IF(ISNUMBER(N295)," "&amp;(TODAY()-INT(N295))&amp;" ngày",""),""),4,200))))</f>
        <v/>
      </c>
      <c r="N295" s="49" t="n"/>
      <c r="S295">
        <f>IF(AND(E295&lt;&gt;"",T295="Có",J295&lt;&gt;"Xong",J295&lt;&gt;"Bỏ qua",ISNUMBER(I295)),I295+ROW()/100000,"")</f>
        <v/>
      </c>
      <c r="T295">
        <f>IF(O295="","",IFERROR(INDEX(SK_TD,MATCH(O295,SK_A,0)),""))</f>
        <v/>
      </c>
      <c r="V295">
        <f>IF(AND(O295&lt;&gt;"",O295=SEL_K,J295&lt;&gt;"Xong",J295&lt;&gt;"Bỏ qua"),IF(ISNUMBER(I295),I295,99999)+ROW()/100000,"")</f>
        <v/>
      </c>
    </row>
    <row r="296">
      <c r="A296" s="12">
        <f>IF(O296="","",IFERROR(INDEX(SK_B,MATCH(O296,SK_A,0))&amp;"",""))</f>
        <v/>
      </c>
      <c r="B296" s="45">
        <f>IF(O296="","",IFERROR(INDEX(SK_C,MATCH(O296,SK_A,0)),""))</f>
        <v/>
      </c>
      <c r="C296" s="46">
        <f>IF(Q296="","",IF(Q296=0,"D",IF(Q296&lt;0,"D"&amp;Q296,"D+"&amp;Q296)))</f>
        <v/>
      </c>
      <c r="D296" s="14" t="n"/>
      <c r="E296" s="12" t="n"/>
      <c r="F296" s="46" t="n"/>
      <c r="G296" s="47" t="n"/>
      <c r="H296" s="14" t="n"/>
      <c r="I296" s="13">
        <f>IF(OR(B296="",Q296=""),"",IF(Q296&gt;0,IF(R296="Làm việc",WORKDAY(IFERROR(IF(INDEX(SK_D,MATCH(O296,SK_A,0))="",B296,INDEX(SK_D,MATCH(O296,SK_A,0))),B296),Q296,HOLI),IFERROR(IF(INDEX(SK_D,MATCH(O296,SK_A,0))="",B296,INDEX(SK_D,MATCH(O296,SK_A,0))),B296)+Q296),B296+Q296))</f>
        <v/>
      </c>
      <c r="J296" s="14" t="n"/>
      <c r="K296" s="13" t="n"/>
      <c r="L296" s="12" t="n"/>
      <c r="M296" s="48">
        <f>IF(E296="","",IF(J296="Bỏ qua","—",IF(J296="Xong",IF(AND(ISNUMBER(K296),ISNUMBER(I296),K296&gt;I296),"Xong trễ","Xong"),MID(IF(G296=""," · CHƯA GIAO","")&amp;IF(NOT(ISNUMBER(I296)),"",IF(TODAY()&gt;I296," · QUÁ HẠN "&amp;(TODAY()-I296)&amp;" ngày",IF(I296-TODAY()&lt;=3," · Đến hạn "&amp;IF(I296=TODAY(),"hôm nay","trong "&amp;(I296-TODAY())&amp;" ngày"),"")))&amp;IF(J296="Chờ đối tác"," · Chờ đối tác"&amp;IF(ISNUMBER(N296)," "&amp;(TODAY()-INT(N296))&amp;" ngày",""),""),4,200))))</f>
        <v/>
      </c>
      <c r="N296" s="49" t="n"/>
      <c r="S296">
        <f>IF(AND(E296&lt;&gt;"",T296="Có",J296&lt;&gt;"Xong",J296&lt;&gt;"Bỏ qua",ISNUMBER(I296)),I296+ROW()/100000,"")</f>
        <v/>
      </c>
      <c r="T296">
        <f>IF(O296="","",IFERROR(INDEX(SK_TD,MATCH(O296,SK_A,0)),""))</f>
        <v/>
      </c>
      <c r="V296">
        <f>IF(AND(O296&lt;&gt;"",O296=SEL_K,J296&lt;&gt;"Xong",J296&lt;&gt;"Bỏ qua"),IF(ISNUMBER(I296),I296,99999)+ROW()/100000,"")</f>
        <v/>
      </c>
    </row>
    <row r="297">
      <c r="A297" s="12">
        <f>IF(O297="","",IFERROR(INDEX(SK_B,MATCH(O297,SK_A,0))&amp;"",""))</f>
        <v/>
      </c>
      <c r="B297" s="45">
        <f>IF(O297="","",IFERROR(INDEX(SK_C,MATCH(O297,SK_A,0)),""))</f>
        <v/>
      </c>
      <c r="C297" s="46">
        <f>IF(Q297="","",IF(Q297=0,"D",IF(Q297&lt;0,"D"&amp;Q297,"D+"&amp;Q297)))</f>
        <v/>
      </c>
      <c r="D297" s="14" t="n"/>
      <c r="E297" s="12" t="n"/>
      <c r="F297" s="46" t="n"/>
      <c r="G297" s="47" t="n"/>
      <c r="H297" s="14" t="n"/>
      <c r="I297" s="13">
        <f>IF(OR(B297="",Q297=""),"",IF(Q297&gt;0,IF(R297="Làm việc",WORKDAY(IFERROR(IF(INDEX(SK_D,MATCH(O297,SK_A,0))="",B297,INDEX(SK_D,MATCH(O297,SK_A,0))),B297),Q297,HOLI),IFERROR(IF(INDEX(SK_D,MATCH(O297,SK_A,0))="",B297,INDEX(SK_D,MATCH(O297,SK_A,0))),B297)+Q297),B297+Q297))</f>
        <v/>
      </c>
      <c r="J297" s="14" t="n"/>
      <c r="K297" s="13" t="n"/>
      <c r="L297" s="12" t="n"/>
      <c r="M297" s="48">
        <f>IF(E297="","",IF(J297="Bỏ qua","—",IF(J297="Xong",IF(AND(ISNUMBER(K297),ISNUMBER(I297),K297&gt;I297),"Xong trễ","Xong"),MID(IF(G297=""," · CHƯA GIAO","")&amp;IF(NOT(ISNUMBER(I297)),"",IF(TODAY()&gt;I297," · QUÁ HẠN "&amp;(TODAY()-I297)&amp;" ngày",IF(I297-TODAY()&lt;=3," · Đến hạn "&amp;IF(I297=TODAY(),"hôm nay","trong "&amp;(I297-TODAY())&amp;" ngày"),"")))&amp;IF(J297="Chờ đối tác"," · Chờ đối tác"&amp;IF(ISNUMBER(N297)," "&amp;(TODAY()-INT(N297))&amp;" ngày",""),""),4,200))))</f>
        <v/>
      </c>
      <c r="N297" s="49" t="n"/>
      <c r="S297">
        <f>IF(AND(E297&lt;&gt;"",T297="Có",J297&lt;&gt;"Xong",J297&lt;&gt;"Bỏ qua",ISNUMBER(I297)),I297+ROW()/100000,"")</f>
        <v/>
      </c>
      <c r="T297">
        <f>IF(O297="","",IFERROR(INDEX(SK_TD,MATCH(O297,SK_A,0)),""))</f>
        <v/>
      </c>
      <c r="V297">
        <f>IF(AND(O297&lt;&gt;"",O297=SEL_K,J297&lt;&gt;"Xong",J297&lt;&gt;"Bỏ qua"),IF(ISNUMBER(I297),I297,99999)+ROW()/100000,"")</f>
        <v/>
      </c>
    </row>
    <row r="298">
      <c r="A298" s="12">
        <f>IF(O298="","",IFERROR(INDEX(SK_B,MATCH(O298,SK_A,0))&amp;"",""))</f>
        <v/>
      </c>
      <c r="B298" s="45">
        <f>IF(O298="","",IFERROR(INDEX(SK_C,MATCH(O298,SK_A,0)),""))</f>
        <v/>
      </c>
      <c r="C298" s="46">
        <f>IF(Q298="","",IF(Q298=0,"D",IF(Q298&lt;0,"D"&amp;Q298,"D+"&amp;Q298)))</f>
        <v/>
      </c>
      <c r="D298" s="14" t="n"/>
      <c r="E298" s="12" t="n"/>
      <c r="F298" s="46" t="n"/>
      <c r="G298" s="47" t="n"/>
      <c r="H298" s="14" t="n"/>
      <c r="I298" s="13">
        <f>IF(OR(B298="",Q298=""),"",IF(Q298&gt;0,IF(R298="Làm việc",WORKDAY(IFERROR(IF(INDEX(SK_D,MATCH(O298,SK_A,0))="",B298,INDEX(SK_D,MATCH(O298,SK_A,0))),B298),Q298,HOLI),IFERROR(IF(INDEX(SK_D,MATCH(O298,SK_A,0))="",B298,INDEX(SK_D,MATCH(O298,SK_A,0))),B298)+Q298),B298+Q298))</f>
        <v/>
      </c>
      <c r="J298" s="14" t="n"/>
      <c r="K298" s="13" t="n"/>
      <c r="L298" s="12" t="n"/>
      <c r="M298" s="48">
        <f>IF(E298="","",IF(J298="Bỏ qua","—",IF(J298="Xong",IF(AND(ISNUMBER(K298),ISNUMBER(I298),K298&gt;I298),"Xong trễ","Xong"),MID(IF(G298=""," · CHƯA GIAO","")&amp;IF(NOT(ISNUMBER(I298)),"",IF(TODAY()&gt;I298," · QUÁ HẠN "&amp;(TODAY()-I298)&amp;" ngày",IF(I298-TODAY()&lt;=3," · Đến hạn "&amp;IF(I298=TODAY(),"hôm nay","trong "&amp;(I298-TODAY())&amp;" ngày"),"")))&amp;IF(J298="Chờ đối tác"," · Chờ đối tác"&amp;IF(ISNUMBER(N298)," "&amp;(TODAY()-INT(N298))&amp;" ngày",""),""),4,200))))</f>
        <v/>
      </c>
      <c r="N298" s="49" t="n"/>
      <c r="S298">
        <f>IF(AND(E298&lt;&gt;"",T298="Có",J298&lt;&gt;"Xong",J298&lt;&gt;"Bỏ qua",ISNUMBER(I298)),I298+ROW()/100000,"")</f>
        <v/>
      </c>
      <c r="T298">
        <f>IF(O298="","",IFERROR(INDEX(SK_TD,MATCH(O298,SK_A,0)),""))</f>
        <v/>
      </c>
      <c r="V298">
        <f>IF(AND(O298&lt;&gt;"",O298=SEL_K,J298&lt;&gt;"Xong",J298&lt;&gt;"Bỏ qua"),IF(ISNUMBER(I298),I298,99999)+ROW()/100000,"")</f>
        <v/>
      </c>
    </row>
    <row r="299">
      <c r="A299" s="12">
        <f>IF(O299="","",IFERROR(INDEX(SK_B,MATCH(O299,SK_A,0))&amp;"",""))</f>
        <v/>
      </c>
      <c r="B299" s="45">
        <f>IF(O299="","",IFERROR(INDEX(SK_C,MATCH(O299,SK_A,0)),""))</f>
        <v/>
      </c>
      <c r="C299" s="46">
        <f>IF(Q299="","",IF(Q299=0,"D",IF(Q299&lt;0,"D"&amp;Q299,"D+"&amp;Q299)))</f>
        <v/>
      </c>
      <c r="D299" s="14" t="n"/>
      <c r="E299" s="12" t="n"/>
      <c r="F299" s="46" t="n"/>
      <c r="G299" s="47" t="n"/>
      <c r="H299" s="14" t="n"/>
      <c r="I299" s="13">
        <f>IF(OR(B299="",Q299=""),"",IF(Q299&gt;0,IF(R299="Làm việc",WORKDAY(IFERROR(IF(INDEX(SK_D,MATCH(O299,SK_A,0))="",B299,INDEX(SK_D,MATCH(O299,SK_A,0))),B299),Q299,HOLI),IFERROR(IF(INDEX(SK_D,MATCH(O299,SK_A,0))="",B299,INDEX(SK_D,MATCH(O299,SK_A,0))),B299)+Q299),B299+Q299))</f>
        <v/>
      </c>
      <c r="J299" s="14" t="n"/>
      <c r="K299" s="13" t="n"/>
      <c r="L299" s="12" t="n"/>
      <c r="M299" s="48">
        <f>IF(E299="","",IF(J299="Bỏ qua","—",IF(J299="Xong",IF(AND(ISNUMBER(K299),ISNUMBER(I299),K299&gt;I299),"Xong trễ","Xong"),MID(IF(G299=""," · CHƯA GIAO","")&amp;IF(NOT(ISNUMBER(I299)),"",IF(TODAY()&gt;I299," · QUÁ HẠN "&amp;(TODAY()-I299)&amp;" ngày",IF(I299-TODAY()&lt;=3," · Đến hạn "&amp;IF(I299=TODAY(),"hôm nay","trong "&amp;(I299-TODAY())&amp;" ngày"),"")))&amp;IF(J299="Chờ đối tác"," · Chờ đối tác"&amp;IF(ISNUMBER(N299)," "&amp;(TODAY()-INT(N299))&amp;" ngày",""),""),4,200))))</f>
        <v/>
      </c>
      <c r="N299" s="49" t="n"/>
      <c r="S299">
        <f>IF(AND(E299&lt;&gt;"",T299="Có",J299&lt;&gt;"Xong",J299&lt;&gt;"Bỏ qua",ISNUMBER(I299)),I299+ROW()/100000,"")</f>
        <v/>
      </c>
      <c r="T299">
        <f>IF(O299="","",IFERROR(INDEX(SK_TD,MATCH(O299,SK_A,0)),""))</f>
        <v/>
      </c>
      <c r="V299">
        <f>IF(AND(O299&lt;&gt;"",O299=SEL_K,J299&lt;&gt;"Xong",J299&lt;&gt;"Bỏ qua"),IF(ISNUMBER(I299),I299,99999)+ROW()/100000,"")</f>
        <v/>
      </c>
    </row>
    <row r="300">
      <c r="A300" s="12">
        <f>IF(O300="","",IFERROR(INDEX(SK_B,MATCH(O300,SK_A,0))&amp;"",""))</f>
        <v/>
      </c>
      <c r="B300" s="45">
        <f>IF(O300="","",IFERROR(INDEX(SK_C,MATCH(O300,SK_A,0)),""))</f>
        <v/>
      </c>
      <c r="C300" s="46">
        <f>IF(Q300="","",IF(Q300=0,"D",IF(Q300&lt;0,"D"&amp;Q300,"D+"&amp;Q300)))</f>
        <v/>
      </c>
      <c r="D300" s="14" t="n"/>
      <c r="E300" s="12" t="n"/>
      <c r="F300" s="46" t="n"/>
      <c r="G300" s="47" t="n"/>
      <c r="H300" s="14" t="n"/>
      <c r="I300" s="13">
        <f>IF(OR(B300="",Q300=""),"",IF(Q300&gt;0,IF(R300="Làm việc",WORKDAY(IFERROR(IF(INDEX(SK_D,MATCH(O300,SK_A,0))="",B300,INDEX(SK_D,MATCH(O300,SK_A,0))),B300),Q300,HOLI),IFERROR(IF(INDEX(SK_D,MATCH(O300,SK_A,0))="",B300,INDEX(SK_D,MATCH(O300,SK_A,0))),B300)+Q300),B300+Q300))</f>
        <v/>
      </c>
      <c r="J300" s="14" t="n"/>
      <c r="K300" s="13" t="n"/>
      <c r="L300" s="12" t="n"/>
      <c r="M300" s="48">
        <f>IF(E300="","",IF(J300="Bỏ qua","—",IF(J300="Xong",IF(AND(ISNUMBER(K300),ISNUMBER(I300),K300&gt;I300),"Xong trễ","Xong"),MID(IF(G300=""," · CHƯA GIAO","")&amp;IF(NOT(ISNUMBER(I300)),"",IF(TODAY()&gt;I300," · QUÁ HẠN "&amp;(TODAY()-I300)&amp;" ngày",IF(I300-TODAY()&lt;=3," · Đến hạn "&amp;IF(I300=TODAY(),"hôm nay","trong "&amp;(I300-TODAY())&amp;" ngày"),"")))&amp;IF(J300="Chờ đối tác"," · Chờ đối tác"&amp;IF(ISNUMBER(N300)," "&amp;(TODAY()-INT(N300))&amp;" ngày",""),""),4,200))))</f>
        <v/>
      </c>
      <c r="N300" s="49" t="n"/>
      <c r="S300">
        <f>IF(AND(E300&lt;&gt;"",T300="Có",J300&lt;&gt;"Xong",J300&lt;&gt;"Bỏ qua",ISNUMBER(I300)),I300+ROW()/100000,"")</f>
        <v/>
      </c>
      <c r="T300">
        <f>IF(O300="","",IFERROR(INDEX(SK_TD,MATCH(O300,SK_A,0)),""))</f>
        <v/>
      </c>
      <c r="V300">
        <f>IF(AND(O300&lt;&gt;"",O300=SEL_K,J300&lt;&gt;"Xong",J300&lt;&gt;"Bỏ qua"),IF(ISNUMBER(I300),I300,99999)+ROW()/100000,"")</f>
        <v/>
      </c>
    </row>
    <row r="301">
      <c r="A301" s="12">
        <f>IF(O301="","",IFERROR(INDEX(SK_B,MATCH(O301,SK_A,0))&amp;"",""))</f>
        <v/>
      </c>
      <c r="B301" s="45">
        <f>IF(O301="","",IFERROR(INDEX(SK_C,MATCH(O301,SK_A,0)),""))</f>
        <v/>
      </c>
      <c r="C301" s="46">
        <f>IF(Q301="","",IF(Q301=0,"D",IF(Q301&lt;0,"D"&amp;Q301,"D+"&amp;Q301)))</f>
        <v/>
      </c>
      <c r="D301" s="14" t="n"/>
      <c r="E301" s="12" t="n"/>
      <c r="F301" s="46" t="n"/>
      <c r="G301" s="47" t="n"/>
      <c r="H301" s="14" t="n"/>
      <c r="I301" s="13">
        <f>IF(OR(B301="",Q301=""),"",IF(Q301&gt;0,IF(R301="Làm việc",WORKDAY(IFERROR(IF(INDEX(SK_D,MATCH(O301,SK_A,0))="",B301,INDEX(SK_D,MATCH(O301,SK_A,0))),B301),Q301,HOLI),IFERROR(IF(INDEX(SK_D,MATCH(O301,SK_A,0))="",B301,INDEX(SK_D,MATCH(O301,SK_A,0))),B301)+Q301),B301+Q301))</f>
        <v/>
      </c>
      <c r="J301" s="14" t="n"/>
      <c r="K301" s="13" t="n"/>
      <c r="L301" s="12" t="n"/>
      <c r="M301" s="48">
        <f>IF(E301="","",IF(J301="Bỏ qua","—",IF(J301="Xong",IF(AND(ISNUMBER(K301),ISNUMBER(I301),K301&gt;I301),"Xong trễ","Xong"),MID(IF(G301=""," · CHƯA GIAO","")&amp;IF(NOT(ISNUMBER(I301)),"",IF(TODAY()&gt;I301," · QUÁ HẠN "&amp;(TODAY()-I301)&amp;" ngày",IF(I301-TODAY()&lt;=3," · Đến hạn "&amp;IF(I301=TODAY(),"hôm nay","trong "&amp;(I301-TODAY())&amp;" ngày"),"")))&amp;IF(J301="Chờ đối tác"," · Chờ đối tác"&amp;IF(ISNUMBER(N301)," "&amp;(TODAY()-INT(N301))&amp;" ngày",""),""),4,200))))</f>
        <v/>
      </c>
      <c r="N301" s="49" t="n"/>
      <c r="S301">
        <f>IF(AND(E301&lt;&gt;"",T301="Có",J301&lt;&gt;"Xong",J301&lt;&gt;"Bỏ qua",ISNUMBER(I301)),I301+ROW()/100000,"")</f>
        <v/>
      </c>
      <c r="T301">
        <f>IF(O301="","",IFERROR(INDEX(SK_TD,MATCH(O301,SK_A,0)),""))</f>
        <v/>
      </c>
      <c r="V301">
        <f>IF(AND(O301&lt;&gt;"",O301=SEL_K,J301&lt;&gt;"Xong",J301&lt;&gt;"Bỏ qua"),IF(ISNUMBER(I301),I301,99999)+ROW()/100000,"")</f>
        <v/>
      </c>
    </row>
    <row r="302">
      <c r="A302" s="12">
        <f>IF(O302="","",IFERROR(INDEX(SK_B,MATCH(O302,SK_A,0))&amp;"",""))</f>
        <v/>
      </c>
      <c r="B302" s="45">
        <f>IF(O302="","",IFERROR(INDEX(SK_C,MATCH(O302,SK_A,0)),""))</f>
        <v/>
      </c>
      <c r="C302" s="46">
        <f>IF(Q302="","",IF(Q302=0,"D",IF(Q302&lt;0,"D"&amp;Q302,"D+"&amp;Q302)))</f>
        <v/>
      </c>
      <c r="D302" s="14" t="n"/>
      <c r="E302" s="12" t="n"/>
      <c r="F302" s="46" t="n"/>
      <c r="G302" s="47" t="n"/>
      <c r="H302" s="14" t="n"/>
      <c r="I302" s="13">
        <f>IF(OR(B302="",Q302=""),"",IF(Q302&gt;0,IF(R302="Làm việc",WORKDAY(IFERROR(IF(INDEX(SK_D,MATCH(O302,SK_A,0))="",B302,INDEX(SK_D,MATCH(O302,SK_A,0))),B302),Q302,HOLI),IFERROR(IF(INDEX(SK_D,MATCH(O302,SK_A,0))="",B302,INDEX(SK_D,MATCH(O302,SK_A,0))),B302)+Q302),B302+Q302))</f>
        <v/>
      </c>
      <c r="J302" s="14" t="n"/>
      <c r="K302" s="13" t="n"/>
      <c r="L302" s="12" t="n"/>
      <c r="M302" s="48">
        <f>IF(E302="","",IF(J302="Bỏ qua","—",IF(J302="Xong",IF(AND(ISNUMBER(K302),ISNUMBER(I302),K302&gt;I302),"Xong trễ","Xong"),MID(IF(G302=""," · CHƯA GIAO","")&amp;IF(NOT(ISNUMBER(I302)),"",IF(TODAY()&gt;I302," · QUÁ HẠN "&amp;(TODAY()-I302)&amp;" ngày",IF(I302-TODAY()&lt;=3," · Đến hạn "&amp;IF(I302=TODAY(),"hôm nay","trong "&amp;(I302-TODAY())&amp;" ngày"),"")))&amp;IF(J302="Chờ đối tác"," · Chờ đối tác"&amp;IF(ISNUMBER(N302)," "&amp;(TODAY()-INT(N302))&amp;" ngày",""),""),4,200))))</f>
        <v/>
      </c>
      <c r="N302" s="49" t="n"/>
      <c r="S302">
        <f>IF(AND(E302&lt;&gt;"",T302="Có",J302&lt;&gt;"Xong",J302&lt;&gt;"Bỏ qua",ISNUMBER(I302)),I302+ROW()/100000,"")</f>
        <v/>
      </c>
      <c r="T302">
        <f>IF(O302="","",IFERROR(INDEX(SK_TD,MATCH(O302,SK_A,0)),""))</f>
        <v/>
      </c>
      <c r="V302">
        <f>IF(AND(O302&lt;&gt;"",O302=SEL_K,J302&lt;&gt;"Xong",J302&lt;&gt;"Bỏ qua"),IF(ISNUMBER(I302),I302,99999)+ROW()/100000,"")</f>
        <v/>
      </c>
    </row>
    <row r="303">
      <c r="A303" s="12">
        <f>IF(O303="","",IFERROR(INDEX(SK_B,MATCH(O303,SK_A,0))&amp;"",""))</f>
        <v/>
      </c>
      <c r="B303" s="45">
        <f>IF(O303="","",IFERROR(INDEX(SK_C,MATCH(O303,SK_A,0)),""))</f>
        <v/>
      </c>
      <c r="C303" s="46">
        <f>IF(Q303="","",IF(Q303=0,"D",IF(Q303&lt;0,"D"&amp;Q303,"D+"&amp;Q303)))</f>
        <v/>
      </c>
      <c r="D303" s="14" t="n"/>
      <c r="E303" s="12" t="n"/>
      <c r="F303" s="46" t="n"/>
      <c r="G303" s="47" t="n"/>
      <c r="H303" s="14" t="n"/>
      <c r="I303" s="13">
        <f>IF(OR(B303="",Q303=""),"",IF(Q303&gt;0,IF(R303="Làm việc",WORKDAY(IFERROR(IF(INDEX(SK_D,MATCH(O303,SK_A,0))="",B303,INDEX(SK_D,MATCH(O303,SK_A,0))),B303),Q303,HOLI),IFERROR(IF(INDEX(SK_D,MATCH(O303,SK_A,0))="",B303,INDEX(SK_D,MATCH(O303,SK_A,0))),B303)+Q303),B303+Q303))</f>
        <v/>
      </c>
      <c r="J303" s="14" t="n"/>
      <c r="K303" s="13" t="n"/>
      <c r="L303" s="12" t="n"/>
      <c r="M303" s="48">
        <f>IF(E303="","",IF(J303="Bỏ qua","—",IF(J303="Xong",IF(AND(ISNUMBER(K303),ISNUMBER(I303),K303&gt;I303),"Xong trễ","Xong"),MID(IF(G303=""," · CHƯA GIAO","")&amp;IF(NOT(ISNUMBER(I303)),"",IF(TODAY()&gt;I303," · QUÁ HẠN "&amp;(TODAY()-I303)&amp;" ngày",IF(I303-TODAY()&lt;=3," · Đến hạn "&amp;IF(I303=TODAY(),"hôm nay","trong "&amp;(I303-TODAY())&amp;" ngày"),"")))&amp;IF(J303="Chờ đối tác"," · Chờ đối tác"&amp;IF(ISNUMBER(N303)," "&amp;(TODAY()-INT(N303))&amp;" ngày",""),""),4,200))))</f>
        <v/>
      </c>
      <c r="N303" s="49" t="n"/>
      <c r="S303">
        <f>IF(AND(E303&lt;&gt;"",T303="Có",J303&lt;&gt;"Xong",J303&lt;&gt;"Bỏ qua",ISNUMBER(I303)),I303+ROW()/100000,"")</f>
        <v/>
      </c>
      <c r="T303">
        <f>IF(O303="","",IFERROR(INDEX(SK_TD,MATCH(O303,SK_A,0)),""))</f>
        <v/>
      </c>
      <c r="V303">
        <f>IF(AND(O303&lt;&gt;"",O303=SEL_K,J303&lt;&gt;"Xong",J303&lt;&gt;"Bỏ qua"),IF(ISNUMBER(I303),I303,99999)+ROW()/100000,"")</f>
        <v/>
      </c>
    </row>
    <row r="304">
      <c r="A304" s="12">
        <f>IF(O304="","",IFERROR(INDEX(SK_B,MATCH(O304,SK_A,0))&amp;"",""))</f>
        <v/>
      </c>
      <c r="B304" s="45">
        <f>IF(O304="","",IFERROR(INDEX(SK_C,MATCH(O304,SK_A,0)),""))</f>
        <v/>
      </c>
      <c r="C304" s="46">
        <f>IF(Q304="","",IF(Q304=0,"D",IF(Q304&lt;0,"D"&amp;Q304,"D+"&amp;Q304)))</f>
        <v/>
      </c>
      <c r="D304" s="14" t="n"/>
      <c r="E304" s="12" t="n"/>
      <c r="F304" s="46" t="n"/>
      <c r="G304" s="47" t="n"/>
      <c r="H304" s="14" t="n"/>
      <c r="I304" s="13">
        <f>IF(OR(B304="",Q304=""),"",IF(Q304&gt;0,IF(R304="Làm việc",WORKDAY(IFERROR(IF(INDEX(SK_D,MATCH(O304,SK_A,0))="",B304,INDEX(SK_D,MATCH(O304,SK_A,0))),B304),Q304,HOLI),IFERROR(IF(INDEX(SK_D,MATCH(O304,SK_A,0))="",B304,INDEX(SK_D,MATCH(O304,SK_A,0))),B304)+Q304),B304+Q304))</f>
        <v/>
      </c>
      <c r="J304" s="14" t="n"/>
      <c r="K304" s="13" t="n"/>
      <c r="L304" s="12" t="n"/>
      <c r="M304" s="48">
        <f>IF(E304="","",IF(J304="Bỏ qua","—",IF(J304="Xong",IF(AND(ISNUMBER(K304),ISNUMBER(I304),K304&gt;I304),"Xong trễ","Xong"),MID(IF(G304=""," · CHƯA GIAO","")&amp;IF(NOT(ISNUMBER(I304)),"",IF(TODAY()&gt;I304," · QUÁ HẠN "&amp;(TODAY()-I304)&amp;" ngày",IF(I304-TODAY()&lt;=3," · Đến hạn "&amp;IF(I304=TODAY(),"hôm nay","trong "&amp;(I304-TODAY())&amp;" ngày"),"")))&amp;IF(J304="Chờ đối tác"," · Chờ đối tác"&amp;IF(ISNUMBER(N304)," "&amp;(TODAY()-INT(N304))&amp;" ngày",""),""),4,200))))</f>
        <v/>
      </c>
      <c r="N304" s="49" t="n"/>
      <c r="S304">
        <f>IF(AND(E304&lt;&gt;"",T304="Có",J304&lt;&gt;"Xong",J304&lt;&gt;"Bỏ qua",ISNUMBER(I304)),I304+ROW()/100000,"")</f>
        <v/>
      </c>
      <c r="T304">
        <f>IF(O304="","",IFERROR(INDEX(SK_TD,MATCH(O304,SK_A,0)),""))</f>
        <v/>
      </c>
      <c r="V304">
        <f>IF(AND(O304&lt;&gt;"",O304=SEL_K,J304&lt;&gt;"Xong",J304&lt;&gt;"Bỏ qua"),IF(ISNUMBER(I304),I304,99999)+ROW()/100000,"")</f>
        <v/>
      </c>
    </row>
    <row r="305">
      <c r="A305" s="12">
        <f>IF(O305="","",IFERROR(INDEX(SK_B,MATCH(O305,SK_A,0))&amp;"",""))</f>
        <v/>
      </c>
      <c r="B305" s="45">
        <f>IF(O305="","",IFERROR(INDEX(SK_C,MATCH(O305,SK_A,0)),""))</f>
        <v/>
      </c>
      <c r="C305" s="46">
        <f>IF(Q305="","",IF(Q305=0,"D",IF(Q305&lt;0,"D"&amp;Q305,"D+"&amp;Q305)))</f>
        <v/>
      </c>
      <c r="D305" s="14" t="n"/>
      <c r="E305" s="12" t="n"/>
      <c r="F305" s="46" t="n"/>
      <c r="G305" s="47" t="n"/>
      <c r="H305" s="14" t="n"/>
      <c r="I305" s="13">
        <f>IF(OR(B305="",Q305=""),"",IF(Q305&gt;0,IF(R305="Làm việc",WORKDAY(IFERROR(IF(INDEX(SK_D,MATCH(O305,SK_A,0))="",B305,INDEX(SK_D,MATCH(O305,SK_A,0))),B305),Q305,HOLI),IFERROR(IF(INDEX(SK_D,MATCH(O305,SK_A,0))="",B305,INDEX(SK_D,MATCH(O305,SK_A,0))),B305)+Q305),B305+Q305))</f>
        <v/>
      </c>
      <c r="J305" s="14" t="n"/>
      <c r="K305" s="13" t="n"/>
      <c r="L305" s="12" t="n"/>
      <c r="M305" s="48">
        <f>IF(E305="","",IF(J305="Bỏ qua","—",IF(J305="Xong",IF(AND(ISNUMBER(K305),ISNUMBER(I305),K305&gt;I305),"Xong trễ","Xong"),MID(IF(G305=""," · CHƯA GIAO","")&amp;IF(NOT(ISNUMBER(I305)),"",IF(TODAY()&gt;I305," · QUÁ HẠN "&amp;(TODAY()-I305)&amp;" ngày",IF(I305-TODAY()&lt;=3," · Đến hạn "&amp;IF(I305=TODAY(),"hôm nay","trong "&amp;(I305-TODAY())&amp;" ngày"),"")))&amp;IF(J305="Chờ đối tác"," · Chờ đối tác"&amp;IF(ISNUMBER(N305)," "&amp;(TODAY()-INT(N305))&amp;" ngày",""),""),4,200))))</f>
        <v/>
      </c>
      <c r="N305" s="49" t="n"/>
      <c r="S305">
        <f>IF(AND(E305&lt;&gt;"",T305="Có",J305&lt;&gt;"Xong",J305&lt;&gt;"Bỏ qua",ISNUMBER(I305)),I305+ROW()/100000,"")</f>
        <v/>
      </c>
      <c r="T305">
        <f>IF(O305="","",IFERROR(INDEX(SK_TD,MATCH(O305,SK_A,0)),""))</f>
        <v/>
      </c>
      <c r="V305">
        <f>IF(AND(O305&lt;&gt;"",O305=SEL_K,J305&lt;&gt;"Xong",J305&lt;&gt;"Bỏ qua"),IF(ISNUMBER(I305),I305,99999)+ROW()/100000,"")</f>
        <v/>
      </c>
    </row>
    <row r="306">
      <c r="A306" s="12">
        <f>IF(O306="","",IFERROR(INDEX(SK_B,MATCH(O306,SK_A,0))&amp;"",""))</f>
        <v/>
      </c>
      <c r="B306" s="45">
        <f>IF(O306="","",IFERROR(INDEX(SK_C,MATCH(O306,SK_A,0)),""))</f>
        <v/>
      </c>
      <c r="C306" s="46">
        <f>IF(Q306="","",IF(Q306=0,"D",IF(Q306&lt;0,"D"&amp;Q306,"D+"&amp;Q306)))</f>
        <v/>
      </c>
      <c r="D306" s="14" t="n"/>
      <c r="E306" s="12" t="n"/>
      <c r="F306" s="46" t="n"/>
      <c r="G306" s="47" t="n"/>
      <c r="H306" s="14" t="n"/>
      <c r="I306" s="13">
        <f>IF(OR(B306="",Q306=""),"",IF(Q306&gt;0,IF(R306="Làm việc",WORKDAY(IFERROR(IF(INDEX(SK_D,MATCH(O306,SK_A,0))="",B306,INDEX(SK_D,MATCH(O306,SK_A,0))),B306),Q306,HOLI),IFERROR(IF(INDEX(SK_D,MATCH(O306,SK_A,0))="",B306,INDEX(SK_D,MATCH(O306,SK_A,0))),B306)+Q306),B306+Q306))</f>
        <v/>
      </c>
      <c r="J306" s="14" t="n"/>
      <c r="K306" s="13" t="n"/>
      <c r="L306" s="12" t="n"/>
      <c r="M306" s="48">
        <f>IF(E306="","",IF(J306="Bỏ qua","—",IF(J306="Xong",IF(AND(ISNUMBER(K306),ISNUMBER(I306),K306&gt;I306),"Xong trễ","Xong"),MID(IF(G306=""," · CHƯA GIAO","")&amp;IF(NOT(ISNUMBER(I306)),"",IF(TODAY()&gt;I306," · QUÁ HẠN "&amp;(TODAY()-I306)&amp;" ngày",IF(I306-TODAY()&lt;=3," · Đến hạn "&amp;IF(I306=TODAY(),"hôm nay","trong "&amp;(I306-TODAY())&amp;" ngày"),"")))&amp;IF(J306="Chờ đối tác"," · Chờ đối tác"&amp;IF(ISNUMBER(N306)," "&amp;(TODAY()-INT(N306))&amp;" ngày",""),""),4,200))))</f>
        <v/>
      </c>
      <c r="N306" s="49" t="n"/>
      <c r="S306">
        <f>IF(AND(E306&lt;&gt;"",T306="Có",J306&lt;&gt;"Xong",J306&lt;&gt;"Bỏ qua",ISNUMBER(I306)),I306+ROW()/100000,"")</f>
        <v/>
      </c>
      <c r="T306">
        <f>IF(O306="","",IFERROR(INDEX(SK_TD,MATCH(O306,SK_A,0)),""))</f>
        <v/>
      </c>
      <c r="V306">
        <f>IF(AND(O306&lt;&gt;"",O306=SEL_K,J306&lt;&gt;"Xong",J306&lt;&gt;"Bỏ qua"),IF(ISNUMBER(I306),I306,99999)+ROW()/100000,"")</f>
        <v/>
      </c>
    </row>
    <row r="307">
      <c r="A307" s="12">
        <f>IF(O307="","",IFERROR(INDEX(SK_B,MATCH(O307,SK_A,0))&amp;"",""))</f>
        <v/>
      </c>
      <c r="B307" s="45">
        <f>IF(O307="","",IFERROR(INDEX(SK_C,MATCH(O307,SK_A,0)),""))</f>
        <v/>
      </c>
      <c r="C307" s="46">
        <f>IF(Q307="","",IF(Q307=0,"D",IF(Q307&lt;0,"D"&amp;Q307,"D+"&amp;Q307)))</f>
        <v/>
      </c>
      <c r="D307" s="14" t="n"/>
      <c r="E307" s="12" t="n"/>
      <c r="F307" s="46" t="n"/>
      <c r="G307" s="47" t="n"/>
      <c r="H307" s="14" t="n"/>
      <c r="I307" s="13">
        <f>IF(OR(B307="",Q307=""),"",IF(Q307&gt;0,IF(R307="Làm việc",WORKDAY(IFERROR(IF(INDEX(SK_D,MATCH(O307,SK_A,0))="",B307,INDEX(SK_D,MATCH(O307,SK_A,0))),B307),Q307,HOLI),IFERROR(IF(INDEX(SK_D,MATCH(O307,SK_A,0))="",B307,INDEX(SK_D,MATCH(O307,SK_A,0))),B307)+Q307),B307+Q307))</f>
        <v/>
      </c>
      <c r="J307" s="14" t="n"/>
      <c r="K307" s="13" t="n"/>
      <c r="L307" s="12" t="n"/>
      <c r="M307" s="48">
        <f>IF(E307="","",IF(J307="Bỏ qua","—",IF(J307="Xong",IF(AND(ISNUMBER(K307),ISNUMBER(I307),K307&gt;I307),"Xong trễ","Xong"),MID(IF(G307=""," · CHƯA GIAO","")&amp;IF(NOT(ISNUMBER(I307)),"",IF(TODAY()&gt;I307," · QUÁ HẠN "&amp;(TODAY()-I307)&amp;" ngày",IF(I307-TODAY()&lt;=3," · Đến hạn "&amp;IF(I307=TODAY(),"hôm nay","trong "&amp;(I307-TODAY())&amp;" ngày"),"")))&amp;IF(J307="Chờ đối tác"," · Chờ đối tác"&amp;IF(ISNUMBER(N307)," "&amp;(TODAY()-INT(N307))&amp;" ngày",""),""),4,200))))</f>
        <v/>
      </c>
      <c r="N307" s="49" t="n"/>
      <c r="S307">
        <f>IF(AND(E307&lt;&gt;"",T307="Có",J307&lt;&gt;"Xong",J307&lt;&gt;"Bỏ qua",ISNUMBER(I307)),I307+ROW()/100000,"")</f>
        <v/>
      </c>
      <c r="T307">
        <f>IF(O307="","",IFERROR(INDEX(SK_TD,MATCH(O307,SK_A,0)),""))</f>
        <v/>
      </c>
      <c r="V307">
        <f>IF(AND(O307&lt;&gt;"",O307=SEL_K,J307&lt;&gt;"Xong",J307&lt;&gt;"Bỏ qua"),IF(ISNUMBER(I307),I307,99999)+ROW()/100000,"")</f>
        <v/>
      </c>
    </row>
    <row r="308">
      <c r="A308" s="12">
        <f>IF(O308="","",IFERROR(INDEX(SK_B,MATCH(O308,SK_A,0))&amp;"",""))</f>
        <v/>
      </c>
      <c r="B308" s="45">
        <f>IF(O308="","",IFERROR(INDEX(SK_C,MATCH(O308,SK_A,0)),""))</f>
        <v/>
      </c>
      <c r="C308" s="46">
        <f>IF(Q308="","",IF(Q308=0,"D",IF(Q308&lt;0,"D"&amp;Q308,"D+"&amp;Q308)))</f>
        <v/>
      </c>
      <c r="D308" s="14" t="n"/>
      <c r="E308" s="12" t="n"/>
      <c r="F308" s="46" t="n"/>
      <c r="G308" s="47" t="n"/>
      <c r="H308" s="14" t="n"/>
      <c r="I308" s="13">
        <f>IF(OR(B308="",Q308=""),"",IF(Q308&gt;0,IF(R308="Làm việc",WORKDAY(IFERROR(IF(INDEX(SK_D,MATCH(O308,SK_A,0))="",B308,INDEX(SK_D,MATCH(O308,SK_A,0))),B308),Q308,HOLI),IFERROR(IF(INDEX(SK_D,MATCH(O308,SK_A,0))="",B308,INDEX(SK_D,MATCH(O308,SK_A,0))),B308)+Q308),B308+Q308))</f>
        <v/>
      </c>
      <c r="J308" s="14" t="n"/>
      <c r="K308" s="13" t="n"/>
      <c r="L308" s="12" t="n"/>
      <c r="M308" s="48">
        <f>IF(E308="","",IF(J308="Bỏ qua","—",IF(J308="Xong",IF(AND(ISNUMBER(K308),ISNUMBER(I308),K308&gt;I308),"Xong trễ","Xong"),MID(IF(G308=""," · CHƯA GIAO","")&amp;IF(NOT(ISNUMBER(I308)),"",IF(TODAY()&gt;I308," · QUÁ HẠN "&amp;(TODAY()-I308)&amp;" ngày",IF(I308-TODAY()&lt;=3," · Đến hạn "&amp;IF(I308=TODAY(),"hôm nay","trong "&amp;(I308-TODAY())&amp;" ngày"),"")))&amp;IF(J308="Chờ đối tác"," · Chờ đối tác"&amp;IF(ISNUMBER(N308)," "&amp;(TODAY()-INT(N308))&amp;" ngày",""),""),4,200))))</f>
        <v/>
      </c>
      <c r="N308" s="49" t="n"/>
      <c r="S308">
        <f>IF(AND(E308&lt;&gt;"",T308="Có",J308&lt;&gt;"Xong",J308&lt;&gt;"Bỏ qua",ISNUMBER(I308)),I308+ROW()/100000,"")</f>
        <v/>
      </c>
      <c r="T308">
        <f>IF(O308="","",IFERROR(INDEX(SK_TD,MATCH(O308,SK_A,0)),""))</f>
        <v/>
      </c>
      <c r="V308">
        <f>IF(AND(O308&lt;&gt;"",O308=SEL_K,J308&lt;&gt;"Xong",J308&lt;&gt;"Bỏ qua"),IF(ISNUMBER(I308),I308,99999)+ROW()/100000,"")</f>
        <v/>
      </c>
    </row>
    <row r="309">
      <c r="A309" s="12">
        <f>IF(O309="","",IFERROR(INDEX(SK_B,MATCH(O309,SK_A,0))&amp;"",""))</f>
        <v/>
      </c>
      <c r="B309" s="45">
        <f>IF(O309="","",IFERROR(INDEX(SK_C,MATCH(O309,SK_A,0)),""))</f>
        <v/>
      </c>
      <c r="C309" s="46">
        <f>IF(Q309="","",IF(Q309=0,"D",IF(Q309&lt;0,"D"&amp;Q309,"D+"&amp;Q309)))</f>
        <v/>
      </c>
      <c r="D309" s="14" t="n"/>
      <c r="E309" s="12" t="n"/>
      <c r="F309" s="46" t="n"/>
      <c r="G309" s="47" t="n"/>
      <c r="H309" s="14" t="n"/>
      <c r="I309" s="13">
        <f>IF(OR(B309="",Q309=""),"",IF(Q309&gt;0,IF(R309="Làm việc",WORKDAY(IFERROR(IF(INDEX(SK_D,MATCH(O309,SK_A,0))="",B309,INDEX(SK_D,MATCH(O309,SK_A,0))),B309),Q309,HOLI),IFERROR(IF(INDEX(SK_D,MATCH(O309,SK_A,0))="",B309,INDEX(SK_D,MATCH(O309,SK_A,0))),B309)+Q309),B309+Q309))</f>
        <v/>
      </c>
      <c r="J309" s="14" t="n"/>
      <c r="K309" s="13" t="n"/>
      <c r="L309" s="12" t="n"/>
      <c r="M309" s="48">
        <f>IF(E309="","",IF(J309="Bỏ qua","—",IF(J309="Xong",IF(AND(ISNUMBER(K309),ISNUMBER(I309),K309&gt;I309),"Xong trễ","Xong"),MID(IF(G309=""," · CHƯA GIAO","")&amp;IF(NOT(ISNUMBER(I309)),"",IF(TODAY()&gt;I309," · QUÁ HẠN "&amp;(TODAY()-I309)&amp;" ngày",IF(I309-TODAY()&lt;=3," · Đến hạn "&amp;IF(I309=TODAY(),"hôm nay","trong "&amp;(I309-TODAY())&amp;" ngày"),"")))&amp;IF(J309="Chờ đối tác"," · Chờ đối tác"&amp;IF(ISNUMBER(N309)," "&amp;(TODAY()-INT(N309))&amp;" ngày",""),""),4,200))))</f>
        <v/>
      </c>
      <c r="N309" s="49" t="n"/>
      <c r="S309">
        <f>IF(AND(E309&lt;&gt;"",T309="Có",J309&lt;&gt;"Xong",J309&lt;&gt;"Bỏ qua",ISNUMBER(I309)),I309+ROW()/100000,"")</f>
        <v/>
      </c>
      <c r="T309">
        <f>IF(O309="","",IFERROR(INDEX(SK_TD,MATCH(O309,SK_A,0)),""))</f>
        <v/>
      </c>
      <c r="V309">
        <f>IF(AND(O309&lt;&gt;"",O309=SEL_K,J309&lt;&gt;"Xong",J309&lt;&gt;"Bỏ qua"),IF(ISNUMBER(I309),I309,99999)+ROW()/100000,"")</f>
        <v/>
      </c>
    </row>
    <row r="310">
      <c r="A310" s="12">
        <f>IF(O310="","",IFERROR(INDEX(SK_B,MATCH(O310,SK_A,0))&amp;"",""))</f>
        <v/>
      </c>
      <c r="B310" s="45">
        <f>IF(O310="","",IFERROR(INDEX(SK_C,MATCH(O310,SK_A,0)),""))</f>
        <v/>
      </c>
      <c r="C310" s="46">
        <f>IF(Q310="","",IF(Q310=0,"D",IF(Q310&lt;0,"D"&amp;Q310,"D+"&amp;Q310)))</f>
        <v/>
      </c>
      <c r="D310" s="14" t="n"/>
      <c r="E310" s="12" t="n"/>
      <c r="F310" s="46" t="n"/>
      <c r="G310" s="47" t="n"/>
      <c r="H310" s="14" t="n"/>
      <c r="I310" s="13">
        <f>IF(OR(B310="",Q310=""),"",IF(Q310&gt;0,IF(R310="Làm việc",WORKDAY(IFERROR(IF(INDEX(SK_D,MATCH(O310,SK_A,0))="",B310,INDEX(SK_D,MATCH(O310,SK_A,0))),B310),Q310,HOLI),IFERROR(IF(INDEX(SK_D,MATCH(O310,SK_A,0))="",B310,INDEX(SK_D,MATCH(O310,SK_A,0))),B310)+Q310),B310+Q310))</f>
        <v/>
      </c>
      <c r="J310" s="14" t="n"/>
      <c r="K310" s="13" t="n"/>
      <c r="L310" s="12" t="n"/>
      <c r="M310" s="48">
        <f>IF(E310="","",IF(J310="Bỏ qua","—",IF(J310="Xong",IF(AND(ISNUMBER(K310),ISNUMBER(I310),K310&gt;I310),"Xong trễ","Xong"),MID(IF(G310=""," · CHƯA GIAO","")&amp;IF(NOT(ISNUMBER(I310)),"",IF(TODAY()&gt;I310," · QUÁ HẠN "&amp;(TODAY()-I310)&amp;" ngày",IF(I310-TODAY()&lt;=3," · Đến hạn "&amp;IF(I310=TODAY(),"hôm nay","trong "&amp;(I310-TODAY())&amp;" ngày"),"")))&amp;IF(J310="Chờ đối tác"," · Chờ đối tác"&amp;IF(ISNUMBER(N310)," "&amp;(TODAY()-INT(N310))&amp;" ngày",""),""),4,200))))</f>
        <v/>
      </c>
      <c r="N310" s="49" t="n"/>
      <c r="S310">
        <f>IF(AND(E310&lt;&gt;"",T310="Có",J310&lt;&gt;"Xong",J310&lt;&gt;"Bỏ qua",ISNUMBER(I310)),I310+ROW()/100000,"")</f>
        <v/>
      </c>
      <c r="T310">
        <f>IF(O310="","",IFERROR(INDEX(SK_TD,MATCH(O310,SK_A,0)),""))</f>
        <v/>
      </c>
      <c r="V310">
        <f>IF(AND(O310&lt;&gt;"",O310=SEL_K,J310&lt;&gt;"Xong",J310&lt;&gt;"Bỏ qua"),IF(ISNUMBER(I310),I310,99999)+ROW()/100000,"")</f>
        <v/>
      </c>
    </row>
    <row r="311">
      <c r="A311" s="12">
        <f>IF(O311="","",IFERROR(INDEX(SK_B,MATCH(O311,SK_A,0))&amp;"",""))</f>
        <v/>
      </c>
      <c r="B311" s="45">
        <f>IF(O311="","",IFERROR(INDEX(SK_C,MATCH(O311,SK_A,0)),""))</f>
        <v/>
      </c>
      <c r="C311" s="46">
        <f>IF(Q311="","",IF(Q311=0,"D",IF(Q311&lt;0,"D"&amp;Q311,"D+"&amp;Q311)))</f>
        <v/>
      </c>
      <c r="D311" s="14" t="n"/>
      <c r="E311" s="12" t="n"/>
      <c r="F311" s="46" t="n"/>
      <c r="G311" s="47" t="n"/>
      <c r="H311" s="14" t="n"/>
      <c r="I311" s="13">
        <f>IF(OR(B311="",Q311=""),"",IF(Q311&gt;0,IF(R311="Làm việc",WORKDAY(IFERROR(IF(INDEX(SK_D,MATCH(O311,SK_A,0))="",B311,INDEX(SK_D,MATCH(O311,SK_A,0))),B311),Q311,HOLI),IFERROR(IF(INDEX(SK_D,MATCH(O311,SK_A,0))="",B311,INDEX(SK_D,MATCH(O311,SK_A,0))),B311)+Q311),B311+Q311))</f>
        <v/>
      </c>
      <c r="J311" s="14" t="n"/>
      <c r="K311" s="13" t="n"/>
      <c r="L311" s="12" t="n"/>
      <c r="M311" s="48">
        <f>IF(E311="","",IF(J311="Bỏ qua","—",IF(J311="Xong",IF(AND(ISNUMBER(K311),ISNUMBER(I311),K311&gt;I311),"Xong trễ","Xong"),MID(IF(G311=""," · CHƯA GIAO","")&amp;IF(NOT(ISNUMBER(I311)),"",IF(TODAY()&gt;I311," · QUÁ HẠN "&amp;(TODAY()-I311)&amp;" ngày",IF(I311-TODAY()&lt;=3," · Đến hạn "&amp;IF(I311=TODAY(),"hôm nay","trong "&amp;(I311-TODAY())&amp;" ngày"),"")))&amp;IF(J311="Chờ đối tác"," · Chờ đối tác"&amp;IF(ISNUMBER(N311)," "&amp;(TODAY()-INT(N311))&amp;" ngày",""),""),4,200))))</f>
        <v/>
      </c>
      <c r="N311" s="49" t="n"/>
      <c r="S311">
        <f>IF(AND(E311&lt;&gt;"",T311="Có",J311&lt;&gt;"Xong",J311&lt;&gt;"Bỏ qua",ISNUMBER(I311)),I311+ROW()/100000,"")</f>
        <v/>
      </c>
      <c r="T311">
        <f>IF(O311="","",IFERROR(INDEX(SK_TD,MATCH(O311,SK_A,0)),""))</f>
        <v/>
      </c>
      <c r="V311">
        <f>IF(AND(O311&lt;&gt;"",O311=SEL_K,J311&lt;&gt;"Xong",J311&lt;&gt;"Bỏ qua"),IF(ISNUMBER(I311),I311,99999)+ROW()/100000,"")</f>
        <v/>
      </c>
    </row>
    <row r="312">
      <c r="A312" s="12">
        <f>IF(O312="","",IFERROR(INDEX(SK_B,MATCH(O312,SK_A,0))&amp;"",""))</f>
        <v/>
      </c>
      <c r="B312" s="45">
        <f>IF(O312="","",IFERROR(INDEX(SK_C,MATCH(O312,SK_A,0)),""))</f>
        <v/>
      </c>
      <c r="C312" s="46">
        <f>IF(Q312="","",IF(Q312=0,"D",IF(Q312&lt;0,"D"&amp;Q312,"D+"&amp;Q312)))</f>
        <v/>
      </c>
      <c r="D312" s="14" t="n"/>
      <c r="E312" s="12" t="n"/>
      <c r="F312" s="46" t="n"/>
      <c r="G312" s="47" t="n"/>
      <c r="H312" s="14" t="n"/>
      <c r="I312" s="13">
        <f>IF(OR(B312="",Q312=""),"",IF(Q312&gt;0,IF(R312="Làm việc",WORKDAY(IFERROR(IF(INDEX(SK_D,MATCH(O312,SK_A,0))="",B312,INDEX(SK_D,MATCH(O312,SK_A,0))),B312),Q312,HOLI),IFERROR(IF(INDEX(SK_D,MATCH(O312,SK_A,0))="",B312,INDEX(SK_D,MATCH(O312,SK_A,0))),B312)+Q312),B312+Q312))</f>
        <v/>
      </c>
      <c r="J312" s="14" t="n"/>
      <c r="K312" s="13" t="n"/>
      <c r="L312" s="12" t="n"/>
      <c r="M312" s="48">
        <f>IF(E312="","",IF(J312="Bỏ qua","—",IF(J312="Xong",IF(AND(ISNUMBER(K312),ISNUMBER(I312),K312&gt;I312),"Xong trễ","Xong"),MID(IF(G312=""," · CHƯA GIAO","")&amp;IF(NOT(ISNUMBER(I312)),"",IF(TODAY()&gt;I312," · QUÁ HẠN "&amp;(TODAY()-I312)&amp;" ngày",IF(I312-TODAY()&lt;=3," · Đến hạn "&amp;IF(I312=TODAY(),"hôm nay","trong "&amp;(I312-TODAY())&amp;" ngày"),"")))&amp;IF(J312="Chờ đối tác"," · Chờ đối tác"&amp;IF(ISNUMBER(N312)," "&amp;(TODAY()-INT(N312))&amp;" ngày",""),""),4,200))))</f>
        <v/>
      </c>
      <c r="N312" s="49" t="n"/>
      <c r="S312">
        <f>IF(AND(E312&lt;&gt;"",T312="Có",J312&lt;&gt;"Xong",J312&lt;&gt;"Bỏ qua",ISNUMBER(I312)),I312+ROW()/100000,"")</f>
        <v/>
      </c>
      <c r="T312">
        <f>IF(O312="","",IFERROR(INDEX(SK_TD,MATCH(O312,SK_A,0)),""))</f>
        <v/>
      </c>
      <c r="V312">
        <f>IF(AND(O312&lt;&gt;"",O312=SEL_K,J312&lt;&gt;"Xong",J312&lt;&gt;"Bỏ qua"),IF(ISNUMBER(I312),I312,99999)+ROW()/100000,"")</f>
        <v/>
      </c>
    </row>
    <row r="313">
      <c r="A313" s="12">
        <f>IF(O313="","",IFERROR(INDEX(SK_B,MATCH(O313,SK_A,0))&amp;"",""))</f>
        <v/>
      </c>
      <c r="B313" s="45">
        <f>IF(O313="","",IFERROR(INDEX(SK_C,MATCH(O313,SK_A,0)),""))</f>
        <v/>
      </c>
      <c r="C313" s="46">
        <f>IF(Q313="","",IF(Q313=0,"D",IF(Q313&lt;0,"D"&amp;Q313,"D+"&amp;Q313)))</f>
        <v/>
      </c>
      <c r="D313" s="14" t="n"/>
      <c r="E313" s="12" t="n"/>
      <c r="F313" s="46" t="n"/>
      <c r="G313" s="47" t="n"/>
      <c r="H313" s="14" t="n"/>
      <c r="I313" s="13">
        <f>IF(OR(B313="",Q313=""),"",IF(Q313&gt;0,IF(R313="Làm việc",WORKDAY(IFERROR(IF(INDEX(SK_D,MATCH(O313,SK_A,0))="",B313,INDEX(SK_D,MATCH(O313,SK_A,0))),B313),Q313,HOLI),IFERROR(IF(INDEX(SK_D,MATCH(O313,SK_A,0))="",B313,INDEX(SK_D,MATCH(O313,SK_A,0))),B313)+Q313),B313+Q313))</f>
        <v/>
      </c>
      <c r="J313" s="14" t="n"/>
      <c r="K313" s="13" t="n"/>
      <c r="L313" s="12" t="n"/>
      <c r="M313" s="48">
        <f>IF(E313="","",IF(J313="Bỏ qua","—",IF(J313="Xong",IF(AND(ISNUMBER(K313),ISNUMBER(I313),K313&gt;I313),"Xong trễ","Xong"),MID(IF(G313=""," · CHƯA GIAO","")&amp;IF(NOT(ISNUMBER(I313)),"",IF(TODAY()&gt;I313," · QUÁ HẠN "&amp;(TODAY()-I313)&amp;" ngày",IF(I313-TODAY()&lt;=3," · Đến hạn "&amp;IF(I313=TODAY(),"hôm nay","trong "&amp;(I313-TODAY())&amp;" ngày"),"")))&amp;IF(J313="Chờ đối tác"," · Chờ đối tác"&amp;IF(ISNUMBER(N313)," "&amp;(TODAY()-INT(N313))&amp;" ngày",""),""),4,200))))</f>
        <v/>
      </c>
      <c r="N313" s="49" t="n"/>
      <c r="S313">
        <f>IF(AND(E313&lt;&gt;"",T313="Có",J313&lt;&gt;"Xong",J313&lt;&gt;"Bỏ qua",ISNUMBER(I313)),I313+ROW()/100000,"")</f>
        <v/>
      </c>
      <c r="T313">
        <f>IF(O313="","",IFERROR(INDEX(SK_TD,MATCH(O313,SK_A,0)),""))</f>
        <v/>
      </c>
      <c r="V313">
        <f>IF(AND(O313&lt;&gt;"",O313=SEL_K,J313&lt;&gt;"Xong",J313&lt;&gt;"Bỏ qua"),IF(ISNUMBER(I313),I313,99999)+ROW()/100000,"")</f>
        <v/>
      </c>
    </row>
    <row r="314">
      <c r="A314" s="12">
        <f>IF(O314="","",IFERROR(INDEX(SK_B,MATCH(O314,SK_A,0))&amp;"",""))</f>
        <v/>
      </c>
      <c r="B314" s="45">
        <f>IF(O314="","",IFERROR(INDEX(SK_C,MATCH(O314,SK_A,0)),""))</f>
        <v/>
      </c>
      <c r="C314" s="46">
        <f>IF(Q314="","",IF(Q314=0,"D",IF(Q314&lt;0,"D"&amp;Q314,"D+"&amp;Q314)))</f>
        <v/>
      </c>
      <c r="D314" s="14" t="n"/>
      <c r="E314" s="12" t="n"/>
      <c r="F314" s="46" t="n"/>
      <c r="G314" s="47" t="n"/>
      <c r="H314" s="14" t="n"/>
      <c r="I314" s="13">
        <f>IF(OR(B314="",Q314=""),"",IF(Q314&gt;0,IF(R314="Làm việc",WORKDAY(IFERROR(IF(INDEX(SK_D,MATCH(O314,SK_A,0))="",B314,INDEX(SK_D,MATCH(O314,SK_A,0))),B314),Q314,HOLI),IFERROR(IF(INDEX(SK_D,MATCH(O314,SK_A,0))="",B314,INDEX(SK_D,MATCH(O314,SK_A,0))),B314)+Q314),B314+Q314))</f>
        <v/>
      </c>
      <c r="J314" s="14" t="n"/>
      <c r="K314" s="13" t="n"/>
      <c r="L314" s="12" t="n"/>
      <c r="M314" s="48">
        <f>IF(E314="","",IF(J314="Bỏ qua","—",IF(J314="Xong",IF(AND(ISNUMBER(K314),ISNUMBER(I314),K314&gt;I314),"Xong trễ","Xong"),MID(IF(G314=""," · CHƯA GIAO","")&amp;IF(NOT(ISNUMBER(I314)),"",IF(TODAY()&gt;I314," · QUÁ HẠN "&amp;(TODAY()-I314)&amp;" ngày",IF(I314-TODAY()&lt;=3," · Đến hạn "&amp;IF(I314=TODAY(),"hôm nay","trong "&amp;(I314-TODAY())&amp;" ngày"),"")))&amp;IF(J314="Chờ đối tác"," · Chờ đối tác"&amp;IF(ISNUMBER(N314)," "&amp;(TODAY()-INT(N314))&amp;" ngày",""),""),4,200))))</f>
        <v/>
      </c>
      <c r="N314" s="49" t="n"/>
      <c r="S314">
        <f>IF(AND(E314&lt;&gt;"",T314="Có",J314&lt;&gt;"Xong",J314&lt;&gt;"Bỏ qua",ISNUMBER(I314)),I314+ROW()/100000,"")</f>
        <v/>
      </c>
      <c r="T314">
        <f>IF(O314="","",IFERROR(INDEX(SK_TD,MATCH(O314,SK_A,0)),""))</f>
        <v/>
      </c>
      <c r="V314">
        <f>IF(AND(O314&lt;&gt;"",O314=SEL_K,J314&lt;&gt;"Xong",J314&lt;&gt;"Bỏ qua"),IF(ISNUMBER(I314),I314,99999)+ROW()/100000,"")</f>
        <v/>
      </c>
    </row>
    <row r="315">
      <c r="A315" s="12">
        <f>IF(O315="","",IFERROR(INDEX(SK_B,MATCH(O315,SK_A,0))&amp;"",""))</f>
        <v/>
      </c>
      <c r="B315" s="45">
        <f>IF(O315="","",IFERROR(INDEX(SK_C,MATCH(O315,SK_A,0)),""))</f>
        <v/>
      </c>
      <c r="C315" s="46">
        <f>IF(Q315="","",IF(Q315=0,"D",IF(Q315&lt;0,"D"&amp;Q315,"D+"&amp;Q315)))</f>
        <v/>
      </c>
      <c r="D315" s="14" t="n"/>
      <c r="E315" s="12" t="n"/>
      <c r="F315" s="46" t="n"/>
      <c r="G315" s="47" t="n"/>
      <c r="H315" s="14" t="n"/>
      <c r="I315" s="13">
        <f>IF(OR(B315="",Q315=""),"",IF(Q315&gt;0,IF(R315="Làm việc",WORKDAY(IFERROR(IF(INDEX(SK_D,MATCH(O315,SK_A,0))="",B315,INDEX(SK_D,MATCH(O315,SK_A,0))),B315),Q315,HOLI),IFERROR(IF(INDEX(SK_D,MATCH(O315,SK_A,0))="",B315,INDEX(SK_D,MATCH(O315,SK_A,0))),B315)+Q315),B315+Q315))</f>
        <v/>
      </c>
      <c r="J315" s="14" t="n"/>
      <c r="K315" s="13" t="n"/>
      <c r="L315" s="12" t="n"/>
      <c r="M315" s="48">
        <f>IF(E315="","",IF(J315="Bỏ qua","—",IF(J315="Xong",IF(AND(ISNUMBER(K315),ISNUMBER(I315),K315&gt;I315),"Xong trễ","Xong"),MID(IF(G315=""," · CHƯA GIAO","")&amp;IF(NOT(ISNUMBER(I315)),"",IF(TODAY()&gt;I315," · QUÁ HẠN "&amp;(TODAY()-I315)&amp;" ngày",IF(I315-TODAY()&lt;=3," · Đến hạn "&amp;IF(I315=TODAY(),"hôm nay","trong "&amp;(I315-TODAY())&amp;" ngày"),"")))&amp;IF(J315="Chờ đối tác"," · Chờ đối tác"&amp;IF(ISNUMBER(N315)," "&amp;(TODAY()-INT(N315))&amp;" ngày",""),""),4,200))))</f>
        <v/>
      </c>
      <c r="N315" s="49" t="n"/>
      <c r="S315">
        <f>IF(AND(E315&lt;&gt;"",T315="Có",J315&lt;&gt;"Xong",J315&lt;&gt;"Bỏ qua",ISNUMBER(I315)),I315+ROW()/100000,"")</f>
        <v/>
      </c>
      <c r="T315">
        <f>IF(O315="","",IFERROR(INDEX(SK_TD,MATCH(O315,SK_A,0)),""))</f>
        <v/>
      </c>
      <c r="V315">
        <f>IF(AND(O315&lt;&gt;"",O315=SEL_K,J315&lt;&gt;"Xong",J315&lt;&gt;"Bỏ qua"),IF(ISNUMBER(I315),I315,99999)+ROW()/100000,"")</f>
        <v/>
      </c>
    </row>
    <row r="316">
      <c r="A316" s="12">
        <f>IF(O316="","",IFERROR(INDEX(SK_B,MATCH(O316,SK_A,0))&amp;"",""))</f>
        <v/>
      </c>
      <c r="B316" s="45">
        <f>IF(O316="","",IFERROR(INDEX(SK_C,MATCH(O316,SK_A,0)),""))</f>
        <v/>
      </c>
      <c r="C316" s="46">
        <f>IF(Q316="","",IF(Q316=0,"D",IF(Q316&lt;0,"D"&amp;Q316,"D+"&amp;Q316)))</f>
        <v/>
      </c>
      <c r="D316" s="14" t="n"/>
      <c r="E316" s="12" t="n"/>
      <c r="F316" s="46" t="n"/>
      <c r="G316" s="47" t="n"/>
      <c r="H316" s="14" t="n"/>
      <c r="I316" s="13">
        <f>IF(OR(B316="",Q316=""),"",IF(Q316&gt;0,IF(R316="Làm việc",WORKDAY(IFERROR(IF(INDEX(SK_D,MATCH(O316,SK_A,0))="",B316,INDEX(SK_D,MATCH(O316,SK_A,0))),B316),Q316,HOLI),IFERROR(IF(INDEX(SK_D,MATCH(O316,SK_A,0))="",B316,INDEX(SK_D,MATCH(O316,SK_A,0))),B316)+Q316),B316+Q316))</f>
        <v/>
      </c>
      <c r="J316" s="14" t="n"/>
      <c r="K316" s="13" t="n"/>
      <c r="L316" s="12" t="n"/>
      <c r="M316" s="48">
        <f>IF(E316="","",IF(J316="Bỏ qua","—",IF(J316="Xong",IF(AND(ISNUMBER(K316),ISNUMBER(I316),K316&gt;I316),"Xong trễ","Xong"),MID(IF(G316=""," · CHƯA GIAO","")&amp;IF(NOT(ISNUMBER(I316)),"",IF(TODAY()&gt;I316," · QUÁ HẠN "&amp;(TODAY()-I316)&amp;" ngày",IF(I316-TODAY()&lt;=3," · Đến hạn "&amp;IF(I316=TODAY(),"hôm nay","trong "&amp;(I316-TODAY())&amp;" ngày"),"")))&amp;IF(J316="Chờ đối tác"," · Chờ đối tác"&amp;IF(ISNUMBER(N316)," "&amp;(TODAY()-INT(N316))&amp;" ngày",""),""),4,200))))</f>
        <v/>
      </c>
      <c r="N316" s="49" t="n"/>
      <c r="S316">
        <f>IF(AND(E316&lt;&gt;"",T316="Có",J316&lt;&gt;"Xong",J316&lt;&gt;"Bỏ qua",ISNUMBER(I316)),I316+ROW()/100000,"")</f>
        <v/>
      </c>
      <c r="T316">
        <f>IF(O316="","",IFERROR(INDEX(SK_TD,MATCH(O316,SK_A,0)),""))</f>
        <v/>
      </c>
      <c r="V316">
        <f>IF(AND(O316&lt;&gt;"",O316=SEL_K,J316&lt;&gt;"Xong",J316&lt;&gt;"Bỏ qua"),IF(ISNUMBER(I316),I316,99999)+ROW()/100000,"")</f>
        <v/>
      </c>
    </row>
    <row r="317">
      <c r="A317" s="12">
        <f>IF(O317="","",IFERROR(INDEX(SK_B,MATCH(O317,SK_A,0))&amp;"",""))</f>
        <v/>
      </c>
      <c r="B317" s="45">
        <f>IF(O317="","",IFERROR(INDEX(SK_C,MATCH(O317,SK_A,0)),""))</f>
        <v/>
      </c>
      <c r="C317" s="46">
        <f>IF(Q317="","",IF(Q317=0,"D",IF(Q317&lt;0,"D"&amp;Q317,"D+"&amp;Q317)))</f>
        <v/>
      </c>
      <c r="D317" s="14" t="n"/>
      <c r="E317" s="12" t="n"/>
      <c r="F317" s="46" t="n"/>
      <c r="G317" s="47" t="n"/>
      <c r="H317" s="14" t="n"/>
      <c r="I317" s="13">
        <f>IF(OR(B317="",Q317=""),"",IF(Q317&gt;0,IF(R317="Làm việc",WORKDAY(IFERROR(IF(INDEX(SK_D,MATCH(O317,SK_A,0))="",B317,INDEX(SK_D,MATCH(O317,SK_A,0))),B317),Q317,HOLI),IFERROR(IF(INDEX(SK_D,MATCH(O317,SK_A,0))="",B317,INDEX(SK_D,MATCH(O317,SK_A,0))),B317)+Q317),B317+Q317))</f>
        <v/>
      </c>
      <c r="J317" s="14" t="n"/>
      <c r="K317" s="13" t="n"/>
      <c r="L317" s="12" t="n"/>
      <c r="M317" s="48">
        <f>IF(E317="","",IF(J317="Bỏ qua","—",IF(J317="Xong",IF(AND(ISNUMBER(K317),ISNUMBER(I317),K317&gt;I317),"Xong trễ","Xong"),MID(IF(G317=""," · CHƯA GIAO","")&amp;IF(NOT(ISNUMBER(I317)),"",IF(TODAY()&gt;I317," · QUÁ HẠN "&amp;(TODAY()-I317)&amp;" ngày",IF(I317-TODAY()&lt;=3," · Đến hạn "&amp;IF(I317=TODAY(),"hôm nay","trong "&amp;(I317-TODAY())&amp;" ngày"),"")))&amp;IF(J317="Chờ đối tác"," · Chờ đối tác"&amp;IF(ISNUMBER(N317)," "&amp;(TODAY()-INT(N317))&amp;" ngày",""),""),4,200))))</f>
        <v/>
      </c>
      <c r="N317" s="49" t="n"/>
      <c r="S317">
        <f>IF(AND(E317&lt;&gt;"",T317="Có",J317&lt;&gt;"Xong",J317&lt;&gt;"Bỏ qua",ISNUMBER(I317)),I317+ROW()/100000,"")</f>
        <v/>
      </c>
      <c r="T317">
        <f>IF(O317="","",IFERROR(INDEX(SK_TD,MATCH(O317,SK_A,0)),""))</f>
        <v/>
      </c>
      <c r="V317">
        <f>IF(AND(O317&lt;&gt;"",O317=SEL_K,J317&lt;&gt;"Xong",J317&lt;&gt;"Bỏ qua"),IF(ISNUMBER(I317),I317,99999)+ROW()/100000,"")</f>
        <v/>
      </c>
    </row>
    <row r="318">
      <c r="A318" s="12">
        <f>IF(O318="","",IFERROR(INDEX(SK_B,MATCH(O318,SK_A,0))&amp;"",""))</f>
        <v/>
      </c>
      <c r="B318" s="45">
        <f>IF(O318="","",IFERROR(INDEX(SK_C,MATCH(O318,SK_A,0)),""))</f>
        <v/>
      </c>
      <c r="C318" s="46">
        <f>IF(Q318="","",IF(Q318=0,"D",IF(Q318&lt;0,"D"&amp;Q318,"D+"&amp;Q318)))</f>
        <v/>
      </c>
      <c r="D318" s="14" t="n"/>
      <c r="E318" s="12" t="n"/>
      <c r="F318" s="46" t="n"/>
      <c r="G318" s="47" t="n"/>
      <c r="H318" s="14" t="n"/>
      <c r="I318" s="13">
        <f>IF(OR(B318="",Q318=""),"",IF(Q318&gt;0,IF(R318="Làm việc",WORKDAY(IFERROR(IF(INDEX(SK_D,MATCH(O318,SK_A,0))="",B318,INDEX(SK_D,MATCH(O318,SK_A,0))),B318),Q318,HOLI),IFERROR(IF(INDEX(SK_D,MATCH(O318,SK_A,0))="",B318,INDEX(SK_D,MATCH(O318,SK_A,0))),B318)+Q318),B318+Q318))</f>
        <v/>
      </c>
      <c r="J318" s="14" t="n"/>
      <c r="K318" s="13" t="n"/>
      <c r="L318" s="12" t="n"/>
      <c r="M318" s="48">
        <f>IF(E318="","",IF(J318="Bỏ qua","—",IF(J318="Xong",IF(AND(ISNUMBER(K318),ISNUMBER(I318),K318&gt;I318),"Xong trễ","Xong"),MID(IF(G318=""," · CHƯA GIAO","")&amp;IF(NOT(ISNUMBER(I318)),"",IF(TODAY()&gt;I318," · QUÁ HẠN "&amp;(TODAY()-I318)&amp;" ngày",IF(I318-TODAY()&lt;=3," · Đến hạn "&amp;IF(I318=TODAY(),"hôm nay","trong "&amp;(I318-TODAY())&amp;" ngày"),"")))&amp;IF(J318="Chờ đối tác"," · Chờ đối tác"&amp;IF(ISNUMBER(N318)," "&amp;(TODAY()-INT(N318))&amp;" ngày",""),""),4,200))))</f>
        <v/>
      </c>
      <c r="N318" s="49" t="n"/>
      <c r="S318">
        <f>IF(AND(E318&lt;&gt;"",T318="Có",J318&lt;&gt;"Xong",J318&lt;&gt;"Bỏ qua",ISNUMBER(I318)),I318+ROW()/100000,"")</f>
        <v/>
      </c>
      <c r="T318">
        <f>IF(O318="","",IFERROR(INDEX(SK_TD,MATCH(O318,SK_A,0)),""))</f>
        <v/>
      </c>
      <c r="V318">
        <f>IF(AND(O318&lt;&gt;"",O318=SEL_K,J318&lt;&gt;"Xong",J318&lt;&gt;"Bỏ qua"),IF(ISNUMBER(I318),I318,99999)+ROW()/100000,"")</f>
        <v/>
      </c>
    </row>
    <row r="319">
      <c r="A319" s="12">
        <f>IF(O319="","",IFERROR(INDEX(SK_B,MATCH(O319,SK_A,0))&amp;"",""))</f>
        <v/>
      </c>
      <c r="B319" s="45">
        <f>IF(O319="","",IFERROR(INDEX(SK_C,MATCH(O319,SK_A,0)),""))</f>
        <v/>
      </c>
      <c r="C319" s="46">
        <f>IF(Q319="","",IF(Q319=0,"D",IF(Q319&lt;0,"D"&amp;Q319,"D+"&amp;Q319)))</f>
        <v/>
      </c>
      <c r="D319" s="14" t="n"/>
      <c r="E319" s="12" t="n"/>
      <c r="F319" s="46" t="n"/>
      <c r="G319" s="47" t="n"/>
      <c r="H319" s="14" t="n"/>
      <c r="I319" s="13">
        <f>IF(OR(B319="",Q319=""),"",IF(Q319&gt;0,IF(R319="Làm việc",WORKDAY(IFERROR(IF(INDEX(SK_D,MATCH(O319,SK_A,0))="",B319,INDEX(SK_D,MATCH(O319,SK_A,0))),B319),Q319,HOLI),IFERROR(IF(INDEX(SK_D,MATCH(O319,SK_A,0))="",B319,INDEX(SK_D,MATCH(O319,SK_A,0))),B319)+Q319),B319+Q319))</f>
        <v/>
      </c>
      <c r="J319" s="14" t="n"/>
      <c r="K319" s="13" t="n"/>
      <c r="L319" s="12" t="n"/>
      <c r="M319" s="48">
        <f>IF(E319="","",IF(J319="Bỏ qua","—",IF(J319="Xong",IF(AND(ISNUMBER(K319),ISNUMBER(I319),K319&gt;I319),"Xong trễ","Xong"),MID(IF(G319=""," · CHƯA GIAO","")&amp;IF(NOT(ISNUMBER(I319)),"",IF(TODAY()&gt;I319," · QUÁ HẠN "&amp;(TODAY()-I319)&amp;" ngày",IF(I319-TODAY()&lt;=3," · Đến hạn "&amp;IF(I319=TODAY(),"hôm nay","trong "&amp;(I319-TODAY())&amp;" ngày"),"")))&amp;IF(J319="Chờ đối tác"," · Chờ đối tác"&amp;IF(ISNUMBER(N319)," "&amp;(TODAY()-INT(N319))&amp;" ngày",""),""),4,200))))</f>
        <v/>
      </c>
      <c r="N319" s="49" t="n"/>
      <c r="S319">
        <f>IF(AND(E319&lt;&gt;"",T319="Có",J319&lt;&gt;"Xong",J319&lt;&gt;"Bỏ qua",ISNUMBER(I319)),I319+ROW()/100000,"")</f>
        <v/>
      </c>
      <c r="T319">
        <f>IF(O319="","",IFERROR(INDEX(SK_TD,MATCH(O319,SK_A,0)),""))</f>
        <v/>
      </c>
      <c r="V319">
        <f>IF(AND(O319&lt;&gt;"",O319=SEL_K,J319&lt;&gt;"Xong",J319&lt;&gt;"Bỏ qua"),IF(ISNUMBER(I319),I319,99999)+ROW()/100000,"")</f>
        <v/>
      </c>
    </row>
    <row r="320">
      <c r="A320" s="12">
        <f>IF(O320="","",IFERROR(INDEX(SK_B,MATCH(O320,SK_A,0))&amp;"",""))</f>
        <v/>
      </c>
      <c r="B320" s="45">
        <f>IF(O320="","",IFERROR(INDEX(SK_C,MATCH(O320,SK_A,0)),""))</f>
        <v/>
      </c>
      <c r="C320" s="46">
        <f>IF(Q320="","",IF(Q320=0,"D",IF(Q320&lt;0,"D"&amp;Q320,"D+"&amp;Q320)))</f>
        <v/>
      </c>
      <c r="D320" s="14" t="n"/>
      <c r="E320" s="12" t="n"/>
      <c r="F320" s="46" t="n"/>
      <c r="G320" s="47" t="n"/>
      <c r="H320" s="14" t="n"/>
      <c r="I320" s="13">
        <f>IF(OR(B320="",Q320=""),"",IF(Q320&gt;0,IF(R320="Làm việc",WORKDAY(IFERROR(IF(INDEX(SK_D,MATCH(O320,SK_A,0))="",B320,INDEX(SK_D,MATCH(O320,SK_A,0))),B320),Q320,HOLI),IFERROR(IF(INDEX(SK_D,MATCH(O320,SK_A,0))="",B320,INDEX(SK_D,MATCH(O320,SK_A,0))),B320)+Q320),B320+Q320))</f>
        <v/>
      </c>
      <c r="J320" s="14" t="n"/>
      <c r="K320" s="13" t="n"/>
      <c r="L320" s="12" t="n"/>
      <c r="M320" s="48">
        <f>IF(E320="","",IF(J320="Bỏ qua","—",IF(J320="Xong",IF(AND(ISNUMBER(K320),ISNUMBER(I320),K320&gt;I320),"Xong trễ","Xong"),MID(IF(G320=""," · CHƯA GIAO","")&amp;IF(NOT(ISNUMBER(I320)),"",IF(TODAY()&gt;I320," · QUÁ HẠN "&amp;(TODAY()-I320)&amp;" ngày",IF(I320-TODAY()&lt;=3," · Đến hạn "&amp;IF(I320=TODAY(),"hôm nay","trong "&amp;(I320-TODAY())&amp;" ngày"),"")))&amp;IF(J320="Chờ đối tác"," · Chờ đối tác"&amp;IF(ISNUMBER(N320)," "&amp;(TODAY()-INT(N320))&amp;" ngày",""),""),4,200))))</f>
        <v/>
      </c>
      <c r="N320" s="49" t="n"/>
      <c r="S320">
        <f>IF(AND(E320&lt;&gt;"",T320="Có",J320&lt;&gt;"Xong",J320&lt;&gt;"Bỏ qua",ISNUMBER(I320)),I320+ROW()/100000,"")</f>
        <v/>
      </c>
      <c r="T320">
        <f>IF(O320="","",IFERROR(INDEX(SK_TD,MATCH(O320,SK_A,0)),""))</f>
        <v/>
      </c>
      <c r="V320">
        <f>IF(AND(O320&lt;&gt;"",O320=SEL_K,J320&lt;&gt;"Xong",J320&lt;&gt;"Bỏ qua"),IF(ISNUMBER(I320),I320,99999)+ROW()/100000,"")</f>
        <v/>
      </c>
    </row>
    <row r="321">
      <c r="A321" s="12">
        <f>IF(O321="","",IFERROR(INDEX(SK_B,MATCH(O321,SK_A,0))&amp;"",""))</f>
        <v/>
      </c>
      <c r="B321" s="45">
        <f>IF(O321="","",IFERROR(INDEX(SK_C,MATCH(O321,SK_A,0)),""))</f>
        <v/>
      </c>
      <c r="C321" s="46">
        <f>IF(Q321="","",IF(Q321=0,"D",IF(Q321&lt;0,"D"&amp;Q321,"D+"&amp;Q321)))</f>
        <v/>
      </c>
      <c r="D321" s="14" t="n"/>
      <c r="E321" s="12" t="n"/>
      <c r="F321" s="46" t="n"/>
      <c r="G321" s="47" t="n"/>
      <c r="H321" s="14" t="n"/>
      <c r="I321" s="13">
        <f>IF(OR(B321="",Q321=""),"",IF(Q321&gt;0,IF(R321="Làm việc",WORKDAY(IFERROR(IF(INDEX(SK_D,MATCH(O321,SK_A,0))="",B321,INDEX(SK_D,MATCH(O321,SK_A,0))),B321),Q321,HOLI),IFERROR(IF(INDEX(SK_D,MATCH(O321,SK_A,0))="",B321,INDEX(SK_D,MATCH(O321,SK_A,0))),B321)+Q321),B321+Q321))</f>
        <v/>
      </c>
      <c r="J321" s="14" t="n"/>
      <c r="K321" s="13" t="n"/>
      <c r="L321" s="12" t="n"/>
      <c r="M321" s="48">
        <f>IF(E321="","",IF(J321="Bỏ qua","—",IF(J321="Xong",IF(AND(ISNUMBER(K321),ISNUMBER(I321),K321&gt;I321),"Xong trễ","Xong"),MID(IF(G321=""," · CHƯA GIAO","")&amp;IF(NOT(ISNUMBER(I321)),"",IF(TODAY()&gt;I321," · QUÁ HẠN "&amp;(TODAY()-I321)&amp;" ngày",IF(I321-TODAY()&lt;=3," · Đến hạn "&amp;IF(I321=TODAY(),"hôm nay","trong "&amp;(I321-TODAY())&amp;" ngày"),"")))&amp;IF(J321="Chờ đối tác"," · Chờ đối tác"&amp;IF(ISNUMBER(N321)," "&amp;(TODAY()-INT(N321))&amp;" ngày",""),""),4,200))))</f>
        <v/>
      </c>
      <c r="N321" s="49" t="n"/>
      <c r="S321">
        <f>IF(AND(E321&lt;&gt;"",T321="Có",J321&lt;&gt;"Xong",J321&lt;&gt;"Bỏ qua",ISNUMBER(I321)),I321+ROW()/100000,"")</f>
        <v/>
      </c>
      <c r="T321">
        <f>IF(O321="","",IFERROR(INDEX(SK_TD,MATCH(O321,SK_A,0)),""))</f>
        <v/>
      </c>
      <c r="V321">
        <f>IF(AND(O321&lt;&gt;"",O321=SEL_K,J321&lt;&gt;"Xong",J321&lt;&gt;"Bỏ qua"),IF(ISNUMBER(I321),I321,99999)+ROW()/100000,"")</f>
        <v/>
      </c>
    </row>
    <row r="322">
      <c r="A322" s="12">
        <f>IF(O322="","",IFERROR(INDEX(SK_B,MATCH(O322,SK_A,0))&amp;"",""))</f>
        <v/>
      </c>
      <c r="B322" s="45">
        <f>IF(O322="","",IFERROR(INDEX(SK_C,MATCH(O322,SK_A,0)),""))</f>
        <v/>
      </c>
      <c r="C322" s="46">
        <f>IF(Q322="","",IF(Q322=0,"D",IF(Q322&lt;0,"D"&amp;Q322,"D+"&amp;Q322)))</f>
        <v/>
      </c>
      <c r="D322" s="14" t="n"/>
      <c r="E322" s="12" t="n"/>
      <c r="F322" s="46" t="n"/>
      <c r="G322" s="47" t="n"/>
      <c r="H322" s="14" t="n"/>
      <c r="I322" s="13">
        <f>IF(OR(B322="",Q322=""),"",IF(Q322&gt;0,IF(R322="Làm việc",WORKDAY(IFERROR(IF(INDEX(SK_D,MATCH(O322,SK_A,0))="",B322,INDEX(SK_D,MATCH(O322,SK_A,0))),B322),Q322,HOLI),IFERROR(IF(INDEX(SK_D,MATCH(O322,SK_A,0))="",B322,INDEX(SK_D,MATCH(O322,SK_A,0))),B322)+Q322),B322+Q322))</f>
        <v/>
      </c>
      <c r="J322" s="14" t="n"/>
      <c r="K322" s="13" t="n"/>
      <c r="L322" s="12" t="n"/>
      <c r="M322" s="48">
        <f>IF(E322="","",IF(J322="Bỏ qua","—",IF(J322="Xong",IF(AND(ISNUMBER(K322),ISNUMBER(I322),K322&gt;I322),"Xong trễ","Xong"),MID(IF(G322=""," · CHƯA GIAO","")&amp;IF(NOT(ISNUMBER(I322)),"",IF(TODAY()&gt;I322," · QUÁ HẠN "&amp;(TODAY()-I322)&amp;" ngày",IF(I322-TODAY()&lt;=3," · Đến hạn "&amp;IF(I322=TODAY(),"hôm nay","trong "&amp;(I322-TODAY())&amp;" ngày"),"")))&amp;IF(J322="Chờ đối tác"," · Chờ đối tác"&amp;IF(ISNUMBER(N322)," "&amp;(TODAY()-INT(N322))&amp;" ngày",""),""),4,200))))</f>
        <v/>
      </c>
      <c r="N322" s="49" t="n"/>
      <c r="S322">
        <f>IF(AND(E322&lt;&gt;"",T322="Có",J322&lt;&gt;"Xong",J322&lt;&gt;"Bỏ qua",ISNUMBER(I322)),I322+ROW()/100000,"")</f>
        <v/>
      </c>
      <c r="T322">
        <f>IF(O322="","",IFERROR(INDEX(SK_TD,MATCH(O322,SK_A,0)),""))</f>
        <v/>
      </c>
      <c r="V322">
        <f>IF(AND(O322&lt;&gt;"",O322=SEL_K,J322&lt;&gt;"Xong",J322&lt;&gt;"Bỏ qua"),IF(ISNUMBER(I322),I322,99999)+ROW()/100000,"")</f>
        <v/>
      </c>
    </row>
    <row r="323">
      <c r="A323" s="12">
        <f>IF(O323="","",IFERROR(INDEX(SK_B,MATCH(O323,SK_A,0))&amp;"",""))</f>
        <v/>
      </c>
      <c r="B323" s="45">
        <f>IF(O323="","",IFERROR(INDEX(SK_C,MATCH(O323,SK_A,0)),""))</f>
        <v/>
      </c>
      <c r="C323" s="46">
        <f>IF(Q323="","",IF(Q323=0,"D",IF(Q323&lt;0,"D"&amp;Q323,"D+"&amp;Q323)))</f>
        <v/>
      </c>
      <c r="D323" s="14" t="n"/>
      <c r="E323" s="12" t="n"/>
      <c r="F323" s="46" t="n"/>
      <c r="G323" s="47" t="n"/>
      <c r="H323" s="14" t="n"/>
      <c r="I323" s="13">
        <f>IF(OR(B323="",Q323=""),"",IF(Q323&gt;0,IF(R323="Làm việc",WORKDAY(IFERROR(IF(INDEX(SK_D,MATCH(O323,SK_A,0))="",B323,INDEX(SK_D,MATCH(O323,SK_A,0))),B323),Q323,HOLI),IFERROR(IF(INDEX(SK_D,MATCH(O323,SK_A,0))="",B323,INDEX(SK_D,MATCH(O323,SK_A,0))),B323)+Q323),B323+Q323))</f>
        <v/>
      </c>
      <c r="J323" s="14" t="n"/>
      <c r="K323" s="13" t="n"/>
      <c r="L323" s="12" t="n"/>
      <c r="M323" s="48">
        <f>IF(E323="","",IF(J323="Bỏ qua","—",IF(J323="Xong",IF(AND(ISNUMBER(K323),ISNUMBER(I323),K323&gt;I323),"Xong trễ","Xong"),MID(IF(G323=""," · CHƯA GIAO","")&amp;IF(NOT(ISNUMBER(I323)),"",IF(TODAY()&gt;I323," · QUÁ HẠN "&amp;(TODAY()-I323)&amp;" ngày",IF(I323-TODAY()&lt;=3," · Đến hạn "&amp;IF(I323=TODAY(),"hôm nay","trong "&amp;(I323-TODAY())&amp;" ngày"),"")))&amp;IF(J323="Chờ đối tác"," · Chờ đối tác"&amp;IF(ISNUMBER(N323)," "&amp;(TODAY()-INT(N323))&amp;" ngày",""),""),4,200))))</f>
        <v/>
      </c>
      <c r="N323" s="49" t="n"/>
      <c r="S323">
        <f>IF(AND(E323&lt;&gt;"",T323="Có",J323&lt;&gt;"Xong",J323&lt;&gt;"Bỏ qua",ISNUMBER(I323)),I323+ROW()/100000,"")</f>
        <v/>
      </c>
      <c r="T323">
        <f>IF(O323="","",IFERROR(INDEX(SK_TD,MATCH(O323,SK_A,0)),""))</f>
        <v/>
      </c>
      <c r="V323">
        <f>IF(AND(O323&lt;&gt;"",O323=SEL_K,J323&lt;&gt;"Xong",J323&lt;&gt;"Bỏ qua"),IF(ISNUMBER(I323),I323,99999)+ROW()/100000,"")</f>
        <v/>
      </c>
    </row>
    <row r="324">
      <c r="A324" s="12">
        <f>IF(O324="","",IFERROR(INDEX(SK_B,MATCH(O324,SK_A,0))&amp;"",""))</f>
        <v/>
      </c>
      <c r="B324" s="45">
        <f>IF(O324="","",IFERROR(INDEX(SK_C,MATCH(O324,SK_A,0)),""))</f>
        <v/>
      </c>
      <c r="C324" s="46">
        <f>IF(Q324="","",IF(Q324=0,"D",IF(Q324&lt;0,"D"&amp;Q324,"D+"&amp;Q324)))</f>
        <v/>
      </c>
      <c r="D324" s="14" t="n"/>
      <c r="E324" s="12" t="n"/>
      <c r="F324" s="46" t="n"/>
      <c r="G324" s="47" t="n"/>
      <c r="H324" s="14" t="n"/>
      <c r="I324" s="13">
        <f>IF(OR(B324="",Q324=""),"",IF(Q324&gt;0,IF(R324="Làm việc",WORKDAY(IFERROR(IF(INDEX(SK_D,MATCH(O324,SK_A,0))="",B324,INDEX(SK_D,MATCH(O324,SK_A,0))),B324),Q324,HOLI),IFERROR(IF(INDEX(SK_D,MATCH(O324,SK_A,0))="",B324,INDEX(SK_D,MATCH(O324,SK_A,0))),B324)+Q324),B324+Q324))</f>
        <v/>
      </c>
      <c r="J324" s="14" t="n"/>
      <c r="K324" s="13" t="n"/>
      <c r="L324" s="12" t="n"/>
      <c r="M324" s="48">
        <f>IF(E324="","",IF(J324="Bỏ qua","—",IF(J324="Xong",IF(AND(ISNUMBER(K324),ISNUMBER(I324),K324&gt;I324),"Xong trễ","Xong"),MID(IF(G324=""," · CHƯA GIAO","")&amp;IF(NOT(ISNUMBER(I324)),"",IF(TODAY()&gt;I324," · QUÁ HẠN "&amp;(TODAY()-I324)&amp;" ngày",IF(I324-TODAY()&lt;=3," · Đến hạn "&amp;IF(I324=TODAY(),"hôm nay","trong "&amp;(I324-TODAY())&amp;" ngày"),"")))&amp;IF(J324="Chờ đối tác"," · Chờ đối tác"&amp;IF(ISNUMBER(N324)," "&amp;(TODAY()-INT(N324))&amp;" ngày",""),""),4,200))))</f>
        <v/>
      </c>
      <c r="N324" s="49" t="n"/>
      <c r="S324">
        <f>IF(AND(E324&lt;&gt;"",T324="Có",J324&lt;&gt;"Xong",J324&lt;&gt;"Bỏ qua",ISNUMBER(I324)),I324+ROW()/100000,"")</f>
        <v/>
      </c>
      <c r="T324">
        <f>IF(O324="","",IFERROR(INDEX(SK_TD,MATCH(O324,SK_A,0)),""))</f>
        <v/>
      </c>
      <c r="V324">
        <f>IF(AND(O324&lt;&gt;"",O324=SEL_K,J324&lt;&gt;"Xong",J324&lt;&gt;"Bỏ qua"),IF(ISNUMBER(I324),I324,99999)+ROW()/100000,"")</f>
        <v/>
      </c>
    </row>
    <row r="325">
      <c r="A325" s="12">
        <f>IF(O325="","",IFERROR(INDEX(SK_B,MATCH(O325,SK_A,0))&amp;"",""))</f>
        <v/>
      </c>
      <c r="B325" s="45">
        <f>IF(O325="","",IFERROR(INDEX(SK_C,MATCH(O325,SK_A,0)),""))</f>
        <v/>
      </c>
      <c r="C325" s="46">
        <f>IF(Q325="","",IF(Q325=0,"D",IF(Q325&lt;0,"D"&amp;Q325,"D+"&amp;Q325)))</f>
        <v/>
      </c>
      <c r="D325" s="14" t="n"/>
      <c r="E325" s="12" t="n"/>
      <c r="F325" s="46" t="n"/>
      <c r="G325" s="47" t="n"/>
      <c r="H325" s="14" t="n"/>
      <c r="I325" s="13">
        <f>IF(OR(B325="",Q325=""),"",IF(Q325&gt;0,IF(R325="Làm việc",WORKDAY(IFERROR(IF(INDEX(SK_D,MATCH(O325,SK_A,0))="",B325,INDEX(SK_D,MATCH(O325,SK_A,0))),B325),Q325,HOLI),IFERROR(IF(INDEX(SK_D,MATCH(O325,SK_A,0))="",B325,INDEX(SK_D,MATCH(O325,SK_A,0))),B325)+Q325),B325+Q325))</f>
        <v/>
      </c>
      <c r="J325" s="14" t="n"/>
      <c r="K325" s="13" t="n"/>
      <c r="L325" s="12" t="n"/>
      <c r="M325" s="48">
        <f>IF(E325="","",IF(J325="Bỏ qua","—",IF(J325="Xong",IF(AND(ISNUMBER(K325),ISNUMBER(I325),K325&gt;I325),"Xong trễ","Xong"),MID(IF(G325=""," · CHƯA GIAO","")&amp;IF(NOT(ISNUMBER(I325)),"",IF(TODAY()&gt;I325," · QUÁ HẠN "&amp;(TODAY()-I325)&amp;" ngày",IF(I325-TODAY()&lt;=3," · Đến hạn "&amp;IF(I325=TODAY(),"hôm nay","trong "&amp;(I325-TODAY())&amp;" ngày"),"")))&amp;IF(J325="Chờ đối tác"," · Chờ đối tác"&amp;IF(ISNUMBER(N325)," "&amp;(TODAY()-INT(N325))&amp;" ngày",""),""),4,200))))</f>
        <v/>
      </c>
      <c r="N325" s="49" t="n"/>
      <c r="S325">
        <f>IF(AND(E325&lt;&gt;"",T325="Có",J325&lt;&gt;"Xong",J325&lt;&gt;"Bỏ qua",ISNUMBER(I325)),I325+ROW()/100000,"")</f>
        <v/>
      </c>
      <c r="T325">
        <f>IF(O325="","",IFERROR(INDEX(SK_TD,MATCH(O325,SK_A,0)),""))</f>
        <v/>
      </c>
      <c r="V325">
        <f>IF(AND(O325&lt;&gt;"",O325=SEL_K,J325&lt;&gt;"Xong",J325&lt;&gt;"Bỏ qua"),IF(ISNUMBER(I325),I325,99999)+ROW()/100000,"")</f>
        <v/>
      </c>
    </row>
    <row r="326">
      <c r="A326" s="12">
        <f>IF(O326="","",IFERROR(INDEX(SK_B,MATCH(O326,SK_A,0))&amp;"",""))</f>
        <v/>
      </c>
      <c r="B326" s="45">
        <f>IF(O326="","",IFERROR(INDEX(SK_C,MATCH(O326,SK_A,0)),""))</f>
        <v/>
      </c>
      <c r="C326" s="46">
        <f>IF(Q326="","",IF(Q326=0,"D",IF(Q326&lt;0,"D"&amp;Q326,"D+"&amp;Q326)))</f>
        <v/>
      </c>
      <c r="D326" s="14" t="n"/>
      <c r="E326" s="12" t="n"/>
      <c r="F326" s="46" t="n"/>
      <c r="G326" s="47" t="n"/>
      <c r="H326" s="14" t="n"/>
      <c r="I326" s="13">
        <f>IF(OR(B326="",Q326=""),"",IF(Q326&gt;0,IF(R326="Làm việc",WORKDAY(IFERROR(IF(INDEX(SK_D,MATCH(O326,SK_A,0))="",B326,INDEX(SK_D,MATCH(O326,SK_A,0))),B326),Q326,HOLI),IFERROR(IF(INDEX(SK_D,MATCH(O326,SK_A,0))="",B326,INDEX(SK_D,MATCH(O326,SK_A,0))),B326)+Q326),B326+Q326))</f>
        <v/>
      </c>
      <c r="J326" s="14" t="n"/>
      <c r="K326" s="13" t="n"/>
      <c r="L326" s="12" t="n"/>
      <c r="M326" s="48">
        <f>IF(E326="","",IF(J326="Bỏ qua","—",IF(J326="Xong",IF(AND(ISNUMBER(K326),ISNUMBER(I326),K326&gt;I326),"Xong trễ","Xong"),MID(IF(G326=""," · CHƯA GIAO","")&amp;IF(NOT(ISNUMBER(I326)),"",IF(TODAY()&gt;I326," · QUÁ HẠN "&amp;(TODAY()-I326)&amp;" ngày",IF(I326-TODAY()&lt;=3," · Đến hạn "&amp;IF(I326=TODAY(),"hôm nay","trong "&amp;(I326-TODAY())&amp;" ngày"),"")))&amp;IF(J326="Chờ đối tác"," · Chờ đối tác"&amp;IF(ISNUMBER(N326)," "&amp;(TODAY()-INT(N326))&amp;" ngày",""),""),4,200))))</f>
        <v/>
      </c>
      <c r="N326" s="49" t="n"/>
      <c r="S326">
        <f>IF(AND(E326&lt;&gt;"",T326="Có",J326&lt;&gt;"Xong",J326&lt;&gt;"Bỏ qua",ISNUMBER(I326)),I326+ROW()/100000,"")</f>
        <v/>
      </c>
      <c r="T326">
        <f>IF(O326="","",IFERROR(INDEX(SK_TD,MATCH(O326,SK_A,0)),""))</f>
        <v/>
      </c>
      <c r="V326">
        <f>IF(AND(O326&lt;&gt;"",O326=SEL_K,J326&lt;&gt;"Xong",J326&lt;&gt;"Bỏ qua"),IF(ISNUMBER(I326),I326,99999)+ROW()/100000,"")</f>
        <v/>
      </c>
    </row>
    <row r="327">
      <c r="A327" s="12">
        <f>IF(O327="","",IFERROR(INDEX(SK_B,MATCH(O327,SK_A,0))&amp;"",""))</f>
        <v/>
      </c>
      <c r="B327" s="45">
        <f>IF(O327="","",IFERROR(INDEX(SK_C,MATCH(O327,SK_A,0)),""))</f>
        <v/>
      </c>
      <c r="C327" s="46">
        <f>IF(Q327="","",IF(Q327=0,"D",IF(Q327&lt;0,"D"&amp;Q327,"D+"&amp;Q327)))</f>
        <v/>
      </c>
      <c r="D327" s="14" t="n"/>
      <c r="E327" s="12" t="n"/>
      <c r="F327" s="46" t="n"/>
      <c r="G327" s="47" t="n"/>
      <c r="H327" s="14" t="n"/>
      <c r="I327" s="13">
        <f>IF(OR(B327="",Q327=""),"",IF(Q327&gt;0,IF(R327="Làm việc",WORKDAY(IFERROR(IF(INDEX(SK_D,MATCH(O327,SK_A,0))="",B327,INDEX(SK_D,MATCH(O327,SK_A,0))),B327),Q327,HOLI),IFERROR(IF(INDEX(SK_D,MATCH(O327,SK_A,0))="",B327,INDEX(SK_D,MATCH(O327,SK_A,0))),B327)+Q327),B327+Q327))</f>
        <v/>
      </c>
      <c r="J327" s="14" t="n"/>
      <c r="K327" s="13" t="n"/>
      <c r="L327" s="12" t="n"/>
      <c r="M327" s="48">
        <f>IF(E327="","",IF(J327="Bỏ qua","—",IF(J327="Xong",IF(AND(ISNUMBER(K327),ISNUMBER(I327),K327&gt;I327),"Xong trễ","Xong"),MID(IF(G327=""," · CHƯA GIAO","")&amp;IF(NOT(ISNUMBER(I327)),"",IF(TODAY()&gt;I327," · QUÁ HẠN "&amp;(TODAY()-I327)&amp;" ngày",IF(I327-TODAY()&lt;=3," · Đến hạn "&amp;IF(I327=TODAY(),"hôm nay","trong "&amp;(I327-TODAY())&amp;" ngày"),"")))&amp;IF(J327="Chờ đối tác"," · Chờ đối tác"&amp;IF(ISNUMBER(N327)," "&amp;(TODAY()-INT(N327))&amp;" ngày",""),""),4,200))))</f>
        <v/>
      </c>
      <c r="N327" s="49" t="n"/>
      <c r="S327">
        <f>IF(AND(E327&lt;&gt;"",T327="Có",J327&lt;&gt;"Xong",J327&lt;&gt;"Bỏ qua",ISNUMBER(I327)),I327+ROW()/100000,"")</f>
        <v/>
      </c>
      <c r="T327">
        <f>IF(O327="","",IFERROR(INDEX(SK_TD,MATCH(O327,SK_A,0)),""))</f>
        <v/>
      </c>
      <c r="V327">
        <f>IF(AND(O327&lt;&gt;"",O327=SEL_K,J327&lt;&gt;"Xong",J327&lt;&gt;"Bỏ qua"),IF(ISNUMBER(I327),I327,99999)+ROW()/100000,"")</f>
        <v/>
      </c>
    </row>
    <row r="328">
      <c r="A328" s="12">
        <f>IF(O328="","",IFERROR(INDEX(SK_B,MATCH(O328,SK_A,0))&amp;"",""))</f>
        <v/>
      </c>
      <c r="B328" s="45">
        <f>IF(O328="","",IFERROR(INDEX(SK_C,MATCH(O328,SK_A,0)),""))</f>
        <v/>
      </c>
      <c r="C328" s="46">
        <f>IF(Q328="","",IF(Q328=0,"D",IF(Q328&lt;0,"D"&amp;Q328,"D+"&amp;Q328)))</f>
        <v/>
      </c>
      <c r="D328" s="14" t="n"/>
      <c r="E328" s="12" t="n"/>
      <c r="F328" s="46" t="n"/>
      <c r="G328" s="47" t="n"/>
      <c r="H328" s="14" t="n"/>
      <c r="I328" s="13">
        <f>IF(OR(B328="",Q328=""),"",IF(Q328&gt;0,IF(R328="Làm việc",WORKDAY(IFERROR(IF(INDEX(SK_D,MATCH(O328,SK_A,0))="",B328,INDEX(SK_D,MATCH(O328,SK_A,0))),B328),Q328,HOLI),IFERROR(IF(INDEX(SK_D,MATCH(O328,SK_A,0))="",B328,INDEX(SK_D,MATCH(O328,SK_A,0))),B328)+Q328),B328+Q328))</f>
        <v/>
      </c>
      <c r="J328" s="14" t="n"/>
      <c r="K328" s="13" t="n"/>
      <c r="L328" s="12" t="n"/>
      <c r="M328" s="48">
        <f>IF(E328="","",IF(J328="Bỏ qua","—",IF(J328="Xong",IF(AND(ISNUMBER(K328),ISNUMBER(I328),K328&gt;I328),"Xong trễ","Xong"),MID(IF(G328=""," · CHƯA GIAO","")&amp;IF(NOT(ISNUMBER(I328)),"",IF(TODAY()&gt;I328," · QUÁ HẠN "&amp;(TODAY()-I328)&amp;" ngày",IF(I328-TODAY()&lt;=3," · Đến hạn "&amp;IF(I328=TODAY(),"hôm nay","trong "&amp;(I328-TODAY())&amp;" ngày"),"")))&amp;IF(J328="Chờ đối tác"," · Chờ đối tác"&amp;IF(ISNUMBER(N328)," "&amp;(TODAY()-INT(N328))&amp;" ngày",""),""),4,200))))</f>
        <v/>
      </c>
      <c r="N328" s="49" t="n"/>
      <c r="S328">
        <f>IF(AND(E328&lt;&gt;"",T328="Có",J328&lt;&gt;"Xong",J328&lt;&gt;"Bỏ qua",ISNUMBER(I328)),I328+ROW()/100000,"")</f>
        <v/>
      </c>
      <c r="T328">
        <f>IF(O328="","",IFERROR(INDEX(SK_TD,MATCH(O328,SK_A,0)),""))</f>
        <v/>
      </c>
      <c r="V328">
        <f>IF(AND(O328&lt;&gt;"",O328=SEL_K,J328&lt;&gt;"Xong",J328&lt;&gt;"Bỏ qua"),IF(ISNUMBER(I328),I328,99999)+ROW()/100000,"")</f>
        <v/>
      </c>
    </row>
    <row r="329">
      <c r="A329" s="12">
        <f>IF(O329="","",IFERROR(INDEX(SK_B,MATCH(O329,SK_A,0))&amp;"",""))</f>
        <v/>
      </c>
      <c r="B329" s="45">
        <f>IF(O329="","",IFERROR(INDEX(SK_C,MATCH(O329,SK_A,0)),""))</f>
        <v/>
      </c>
      <c r="C329" s="46">
        <f>IF(Q329="","",IF(Q329=0,"D",IF(Q329&lt;0,"D"&amp;Q329,"D+"&amp;Q329)))</f>
        <v/>
      </c>
      <c r="D329" s="14" t="n"/>
      <c r="E329" s="12" t="n"/>
      <c r="F329" s="46" t="n"/>
      <c r="G329" s="47" t="n"/>
      <c r="H329" s="14" t="n"/>
      <c r="I329" s="13">
        <f>IF(OR(B329="",Q329=""),"",IF(Q329&gt;0,IF(R329="Làm việc",WORKDAY(IFERROR(IF(INDEX(SK_D,MATCH(O329,SK_A,0))="",B329,INDEX(SK_D,MATCH(O329,SK_A,0))),B329),Q329,HOLI),IFERROR(IF(INDEX(SK_D,MATCH(O329,SK_A,0))="",B329,INDEX(SK_D,MATCH(O329,SK_A,0))),B329)+Q329),B329+Q329))</f>
        <v/>
      </c>
      <c r="J329" s="14" t="n"/>
      <c r="K329" s="13" t="n"/>
      <c r="L329" s="12" t="n"/>
      <c r="M329" s="48">
        <f>IF(E329="","",IF(J329="Bỏ qua","—",IF(J329="Xong",IF(AND(ISNUMBER(K329),ISNUMBER(I329),K329&gt;I329),"Xong trễ","Xong"),MID(IF(G329=""," · CHƯA GIAO","")&amp;IF(NOT(ISNUMBER(I329)),"",IF(TODAY()&gt;I329," · QUÁ HẠN "&amp;(TODAY()-I329)&amp;" ngày",IF(I329-TODAY()&lt;=3," · Đến hạn "&amp;IF(I329=TODAY(),"hôm nay","trong "&amp;(I329-TODAY())&amp;" ngày"),"")))&amp;IF(J329="Chờ đối tác"," · Chờ đối tác"&amp;IF(ISNUMBER(N329)," "&amp;(TODAY()-INT(N329))&amp;" ngày",""),""),4,200))))</f>
        <v/>
      </c>
      <c r="N329" s="49" t="n"/>
      <c r="S329">
        <f>IF(AND(E329&lt;&gt;"",T329="Có",J329&lt;&gt;"Xong",J329&lt;&gt;"Bỏ qua",ISNUMBER(I329)),I329+ROW()/100000,"")</f>
        <v/>
      </c>
      <c r="T329">
        <f>IF(O329="","",IFERROR(INDEX(SK_TD,MATCH(O329,SK_A,0)),""))</f>
        <v/>
      </c>
      <c r="V329">
        <f>IF(AND(O329&lt;&gt;"",O329=SEL_K,J329&lt;&gt;"Xong",J329&lt;&gt;"Bỏ qua"),IF(ISNUMBER(I329),I329,99999)+ROW()/100000,"")</f>
        <v/>
      </c>
    </row>
    <row r="330">
      <c r="A330" s="12">
        <f>IF(O330="","",IFERROR(INDEX(SK_B,MATCH(O330,SK_A,0))&amp;"",""))</f>
        <v/>
      </c>
      <c r="B330" s="45">
        <f>IF(O330="","",IFERROR(INDEX(SK_C,MATCH(O330,SK_A,0)),""))</f>
        <v/>
      </c>
      <c r="C330" s="46">
        <f>IF(Q330="","",IF(Q330=0,"D",IF(Q330&lt;0,"D"&amp;Q330,"D+"&amp;Q330)))</f>
        <v/>
      </c>
      <c r="D330" s="14" t="n"/>
      <c r="E330" s="12" t="n"/>
      <c r="F330" s="46" t="n"/>
      <c r="G330" s="47" t="n"/>
      <c r="H330" s="14" t="n"/>
      <c r="I330" s="13">
        <f>IF(OR(B330="",Q330=""),"",IF(Q330&gt;0,IF(R330="Làm việc",WORKDAY(IFERROR(IF(INDEX(SK_D,MATCH(O330,SK_A,0))="",B330,INDEX(SK_D,MATCH(O330,SK_A,0))),B330),Q330,HOLI),IFERROR(IF(INDEX(SK_D,MATCH(O330,SK_A,0))="",B330,INDEX(SK_D,MATCH(O330,SK_A,0))),B330)+Q330),B330+Q330))</f>
        <v/>
      </c>
      <c r="J330" s="14" t="n"/>
      <c r="K330" s="13" t="n"/>
      <c r="L330" s="12" t="n"/>
      <c r="M330" s="48">
        <f>IF(E330="","",IF(J330="Bỏ qua","—",IF(J330="Xong",IF(AND(ISNUMBER(K330),ISNUMBER(I330),K330&gt;I330),"Xong trễ","Xong"),MID(IF(G330=""," · CHƯA GIAO","")&amp;IF(NOT(ISNUMBER(I330)),"",IF(TODAY()&gt;I330," · QUÁ HẠN "&amp;(TODAY()-I330)&amp;" ngày",IF(I330-TODAY()&lt;=3," · Đến hạn "&amp;IF(I330=TODAY(),"hôm nay","trong "&amp;(I330-TODAY())&amp;" ngày"),"")))&amp;IF(J330="Chờ đối tác"," · Chờ đối tác"&amp;IF(ISNUMBER(N330)," "&amp;(TODAY()-INT(N330))&amp;" ngày",""),""),4,200))))</f>
        <v/>
      </c>
      <c r="N330" s="49" t="n"/>
      <c r="S330">
        <f>IF(AND(E330&lt;&gt;"",T330="Có",J330&lt;&gt;"Xong",J330&lt;&gt;"Bỏ qua",ISNUMBER(I330)),I330+ROW()/100000,"")</f>
        <v/>
      </c>
      <c r="T330">
        <f>IF(O330="","",IFERROR(INDEX(SK_TD,MATCH(O330,SK_A,0)),""))</f>
        <v/>
      </c>
      <c r="V330">
        <f>IF(AND(O330&lt;&gt;"",O330=SEL_K,J330&lt;&gt;"Xong",J330&lt;&gt;"Bỏ qua"),IF(ISNUMBER(I330),I330,99999)+ROW()/100000,"")</f>
        <v/>
      </c>
    </row>
    <row r="331">
      <c r="A331" s="12">
        <f>IF(O331="","",IFERROR(INDEX(SK_B,MATCH(O331,SK_A,0))&amp;"",""))</f>
        <v/>
      </c>
      <c r="B331" s="45">
        <f>IF(O331="","",IFERROR(INDEX(SK_C,MATCH(O331,SK_A,0)),""))</f>
        <v/>
      </c>
      <c r="C331" s="46">
        <f>IF(Q331="","",IF(Q331=0,"D",IF(Q331&lt;0,"D"&amp;Q331,"D+"&amp;Q331)))</f>
        <v/>
      </c>
      <c r="D331" s="14" t="n"/>
      <c r="E331" s="12" t="n"/>
      <c r="F331" s="46" t="n"/>
      <c r="G331" s="47" t="n"/>
      <c r="H331" s="14" t="n"/>
      <c r="I331" s="13">
        <f>IF(OR(B331="",Q331=""),"",IF(Q331&gt;0,IF(R331="Làm việc",WORKDAY(IFERROR(IF(INDEX(SK_D,MATCH(O331,SK_A,0))="",B331,INDEX(SK_D,MATCH(O331,SK_A,0))),B331),Q331,HOLI),IFERROR(IF(INDEX(SK_D,MATCH(O331,SK_A,0))="",B331,INDEX(SK_D,MATCH(O331,SK_A,0))),B331)+Q331),B331+Q331))</f>
        <v/>
      </c>
      <c r="J331" s="14" t="n"/>
      <c r="K331" s="13" t="n"/>
      <c r="L331" s="12" t="n"/>
      <c r="M331" s="48">
        <f>IF(E331="","",IF(J331="Bỏ qua","—",IF(J331="Xong",IF(AND(ISNUMBER(K331),ISNUMBER(I331),K331&gt;I331),"Xong trễ","Xong"),MID(IF(G331=""," · CHƯA GIAO","")&amp;IF(NOT(ISNUMBER(I331)),"",IF(TODAY()&gt;I331," · QUÁ HẠN "&amp;(TODAY()-I331)&amp;" ngày",IF(I331-TODAY()&lt;=3," · Đến hạn "&amp;IF(I331=TODAY(),"hôm nay","trong "&amp;(I331-TODAY())&amp;" ngày"),"")))&amp;IF(J331="Chờ đối tác"," · Chờ đối tác"&amp;IF(ISNUMBER(N331)," "&amp;(TODAY()-INT(N331))&amp;" ngày",""),""),4,200))))</f>
        <v/>
      </c>
      <c r="N331" s="49" t="n"/>
      <c r="S331">
        <f>IF(AND(E331&lt;&gt;"",T331="Có",J331&lt;&gt;"Xong",J331&lt;&gt;"Bỏ qua",ISNUMBER(I331)),I331+ROW()/100000,"")</f>
        <v/>
      </c>
      <c r="T331">
        <f>IF(O331="","",IFERROR(INDEX(SK_TD,MATCH(O331,SK_A,0)),""))</f>
        <v/>
      </c>
      <c r="V331">
        <f>IF(AND(O331&lt;&gt;"",O331=SEL_K,J331&lt;&gt;"Xong",J331&lt;&gt;"Bỏ qua"),IF(ISNUMBER(I331),I331,99999)+ROW()/100000,"")</f>
        <v/>
      </c>
    </row>
    <row r="332">
      <c r="A332" s="12">
        <f>IF(O332="","",IFERROR(INDEX(SK_B,MATCH(O332,SK_A,0))&amp;"",""))</f>
        <v/>
      </c>
      <c r="B332" s="45">
        <f>IF(O332="","",IFERROR(INDEX(SK_C,MATCH(O332,SK_A,0)),""))</f>
        <v/>
      </c>
      <c r="C332" s="46">
        <f>IF(Q332="","",IF(Q332=0,"D",IF(Q332&lt;0,"D"&amp;Q332,"D+"&amp;Q332)))</f>
        <v/>
      </c>
      <c r="D332" s="14" t="n"/>
      <c r="E332" s="12" t="n"/>
      <c r="F332" s="46" t="n"/>
      <c r="G332" s="47" t="n"/>
      <c r="H332" s="14" t="n"/>
      <c r="I332" s="13">
        <f>IF(OR(B332="",Q332=""),"",IF(Q332&gt;0,IF(R332="Làm việc",WORKDAY(IFERROR(IF(INDEX(SK_D,MATCH(O332,SK_A,0))="",B332,INDEX(SK_D,MATCH(O332,SK_A,0))),B332),Q332,HOLI),IFERROR(IF(INDEX(SK_D,MATCH(O332,SK_A,0))="",B332,INDEX(SK_D,MATCH(O332,SK_A,0))),B332)+Q332),B332+Q332))</f>
        <v/>
      </c>
      <c r="J332" s="14" t="n"/>
      <c r="K332" s="13" t="n"/>
      <c r="L332" s="12" t="n"/>
      <c r="M332" s="48">
        <f>IF(E332="","",IF(J332="Bỏ qua","—",IF(J332="Xong",IF(AND(ISNUMBER(K332),ISNUMBER(I332),K332&gt;I332),"Xong trễ","Xong"),MID(IF(G332=""," · CHƯA GIAO","")&amp;IF(NOT(ISNUMBER(I332)),"",IF(TODAY()&gt;I332," · QUÁ HẠN "&amp;(TODAY()-I332)&amp;" ngày",IF(I332-TODAY()&lt;=3," · Đến hạn "&amp;IF(I332=TODAY(),"hôm nay","trong "&amp;(I332-TODAY())&amp;" ngày"),"")))&amp;IF(J332="Chờ đối tác"," · Chờ đối tác"&amp;IF(ISNUMBER(N332)," "&amp;(TODAY()-INT(N332))&amp;" ngày",""),""),4,200))))</f>
        <v/>
      </c>
      <c r="N332" s="49" t="n"/>
      <c r="S332">
        <f>IF(AND(E332&lt;&gt;"",T332="Có",J332&lt;&gt;"Xong",J332&lt;&gt;"Bỏ qua",ISNUMBER(I332)),I332+ROW()/100000,"")</f>
        <v/>
      </c>
      <c r="T332">
        <f>IF(O332="","",IFERROR(INDEX(SK_TD,MATCH(O332,SK_A,0)),""))</f>
        <v/>
      </c>
      <c r="V332">
        <f>IF(AND(O332&lt;&gt;"",O332=SEL_K,J332&lt;&gt;"Xong",J332&lt;&gt;"Bỏ qua"),IF(ISNUMBER(I332),I332,99999)+ROW()/100000,"")</f>
        <v/>
      </c>
    </row>
    <row r="333">
      <c r="A333" s="12">
        <f>IF(O333="","",IFERROR(INDEX(SK_B,MATCH(O333,SK_A,0))&amp;"",""))</f>
        <v/>
      </c>
      <c r="B333" s="45">
        <f>IF(O333="","",IFERROR(INDEX(SK_C,MATCH(O333,SK_A,0)),""))</f>
        <v/>
      </c>
      <c r="C333" s="46">
        <f>IF(Q333="","",IF(Q333=0,"D",IF(Q333&lt;0,"D"&amp;Q333,"D+"&amp;Q333)))</f>
        <v/>
      </c>
      <c r="D333" s="14" t="n"/>
      <c r="E333" s="12" t="n"/>
      <c r="F333" s="46" t="n"/>
      <c r="G333" s="47" t="n"/>
      <c r="H333" s="14" t="n"/>
      <c r="I333" s="13">
        <f>IF(OR(B333="",Q333=""),"",IF(Q333&gt;0,IF(R333="Làm việc",WORKDAY(IFERROR(IF(INDEX(SK_D,MATCH(O333,SK_A,0))="",B333,INDEX(SK_D,MATCH(O333,SK_A,0))),B333),Q333,HOLI),IFERROR(IF(INDEX(SK_D,MATCH(O333,SK_A,0))="",B333,INDEX(SK_D,MATCH(O333,SK_A,0))),B333)+Q333),B333+Q333))</f>
        <v/>
      </c>
      <c r="J333" s="14" t="n"/>
      <c r="K333" s="13" t="n"/>
      <c r="L333" s="12" t="n"/>
      <c r="M333" s="48">
        <f>IF(E333="","",IF(J333="Bỏ qua","—",IF(J333="Xong",IF(AND(ISNUMBER(K333),ISNUMBER(I333),K333&gt;I333),"Xong trễ","Xong"),MID(IF(G333=""," · CHƯA GIAO","")&amp;IF(NOT(ISNUMBER(I333)),"",IF(TODAY()&gt;I333," · QUÁ HẠN "&amp;(TODAY()-I333)&amp;" ngày",IF(I333-TODAY()&lt;=3," · Đến hạn "&amp;IF(I333=TODAY(),"hôm nay","trong "&amp;(I333-TODAY())&amp;" ngày"),"")))&amp;IF(J333="Chờ đối tác"," · Chờ đối tác"&amp;IF(ISNUMBER(N333)," "&amp;(TODAY()-INT(N333))&amp;" ngày",""),""),4,200))))</f>
        <v/>
      </c>
      <c r="N333" s="49" t="n"/>
      <c r="S333">
        <f>IF(AND(E333&lt;&gt;"",T333="Có",J333&lt;&gt;"Xong",J333&lt;&gt;"Bỏ qua",ISNUMBER(I333)),I333+ROW()/100000,"")</f>
        <v/>
      </c>
      <c r="T333">
        <f>IF(O333="","",IFERROR(INDEX(SK_TD,MATCH(O333,SK_A,0)),""))</f>
        <v/>
      </c>
      <c r="V333">
        <f>IF(AND(O333&lt;&gt;"",O333=SEL_K,J333&lt;&gt;"Xong",J333&lt;&gt;"Bỏ qua"),IF(ISNUMBER(I333),I333,99999)+ROW()/100000,"")</f>
        <v/>
      </c>
    </row>
    <row r="334">
      <c r="A334" s="12">
        <f>IF(O334="","",IFERROR(INDEX(SK_B,MATCH(O334,SK_A,0))&amp;"",""))</f>
        <v/>
      </c>
      <c r="B334" s="45">
        <f>IF(O334="","",IFERROR(INDEX(SK_C,MATCH(O334,SK_A,0)),""))</f>
        <v/>
      </c>
      <c r="C334" s="46">
        <f>IF(Q334="","",IF(Q334=0,"D",IF(Q334&lt;0,"D"&amp;Q334,"D+"&amp;Q334)))</f>
        <v/>
      </c>
      <c r="D334" s="14" t="n"/>
      <c r="E334" s="12" t="n"/>
      <c r="F334" s="46" t="n"/>
      <c r="G334" s="47" t="n"/>
      <c r="H334" s="14" t="n"/>
      <c r="I334" s="13">
        <f>IF(OR(B334="",Q334=""),"",IF(Q334&gt;0,IF(R334="Làm việc",WORKDAY(IFERROR(IF(INDEX(SK_D,MATCH(O334,SK_A,0))="",B334,INDEX(SK_D,MATCH(O334,SK_A,0))),B334),Q334,HOLI),IFERROR(IF(INDEX(SK_D,MATCH(O334,SK_A,0))="",B334,INDEX(SK_D,MATCH(O334,SK_A,0))),B334)+Q334),B334+Q334))</f>
        <v/>
      </c>
      <c r="J334" s="14" t="n"/>
      <c r="K334" s="13" t="n"/>
      <c r="L334" s="12" t="n"/>
      <c r="M334" s="48">
        <f>IF(E334="","",IF(J334="Bỏ qua","—",IF(J334="Xong",IF(AND(ISNUMBER(K334),ISNUMBER(I334),K334&gt;I334),"Xong trễ","Xong"),MID(IF(G334=""," · CHƯA GIAO","")&amp;IF(NOT(ISNUMBER(I334)),"",IF(TODAY()&gt;I334," · QUÁ HẠN "&amp;(TODAY()-I334)&amp;" ngày",IF(I334-TODAY()&lt;=3," · Đến hạn "&amp;IF(I334=TODAY(),"hôm nay","trong "&amp;(I334-TODAY())&amp;" ngày"),"")))&amp;IF(J334="Chờ đối tác"," · Chờ đối tác"&amp;IF(ISNUMBER(N334)," "&amp;(TODAY()-INT(N334))&amp;" ngày",""),""),4,200))))</f>
        <v/>
      </c>
      <c r="N334" s="49" t="n"/>
      <c r="S334">
        <f>IF(AND(E334&lt;&gt;"",T334="Có",J334&lt;&gt;"Xong",J334&lt;&gt;"Bỏ qua",ISNUMBER(I334)),I334+ROW()/100000,"")</f>
        <v/>
      </c>
      <c r="T334">
        <f>IF(O334="","",IFERROR(INDEX(SK_TD,MATCH(O334,SK_A,0)),""))</f>
        <v/>
      </c>
      <c r="V334">
        <f>IF(AND(O334&lt;&gt;"",O334=SEL_K,J334&lt;&gt;"Xong",J334&lt;&gt;"Bỏ qua"),IF(ISNUMBER(I334),I334,99999)+ROW()/100000,"")</f>
        <v/>
      </c>
    </row>
    <row r="335">
      <c r="A335" s="12">
        <f>IF(O335="","",IFERROR(INDEX(SK_B,MATCH(O335,SK_A,0))&amp;"",""))</f>
        <v/>
      </c>
      <c r="B335" s="45">
        <f>IF(O335="","",IFERROR(INDEX(SK_C,MATCH(O335,SK_A,0)),""))</f>
        <v/>
      </c>
      <c r="C335" s="46">
        <f>IF(Q335="","",IF(Q335=0,"D",IF(Q335&lt;0,"D"&amp;Q335,"D+"&amp;Q335)))</f>
        <v/>
      </c>
      <c r="D335" s="14" t="n"/>
      <c r="E335" s="12" t="n"/>
      <c r="F335" s="46" t="n"/>
      <c r="G335" s="47" t="n"/>
      <c r="H335" s="14" t="n"/>
      <c r="I335" s="13">
        <f>IF(OR(B335="",Q335=""),"",IF(Q335&gt;0,IF(R335="Làm việc",WORKDAY(IFERROR(IF(INDEX(SK_D,MATCH(O335,SK_A,0))="",B335,INDEX(SK_D,MATCH(O335,SK_A,0))),B335),Q335,HOLI),IFERROR(IF(INDEX(SK_D,MATCH(O335,SK_A,0))="",B335,INDEX(SK_D,MATCH(O335,SK_A,0))),B335)+Q335),B335+Q335))</f>
        <v/>
      </c>
      <c r="J335" s="14" t="n"/>
      <c r="K335" s="13" t="n"/>
      <c r="L335" s="12" t="n"/>
      <c r="M335" s="48">
        <f>IF(E335="","",IF(J335="Bỏ qua","—",IF(J335="Xong",IF(AND(ISNUMBER(K335),ISNUMBER(I335),K335&gt;I335),"Xong trễ","Xong"),MID(IF(G335=""," · CHƯA GIAO","")&amp;IF(NOT(ISNUMBER(I335)),"",IF(TODAY()&gt;I335," · QUÁ HẠN "&amp;(TODAY()-I335)&amp;" ngày",IF(I335-TODAY()&lt;=3," · Đến hạn "&amp;IF(I335=TODAY(),"hôm nay","trong "&amp;(I335-TODAY())&amp;" ngày"),"")))&amp;IF(J335="Chờ đối tác"," · Chờ đối tác"&amp;IF(ISNUMBER(N335)," "&amp;(TODAY()-INT(N335))&amp;" ngày",""),""),4,200))))</f>
        <v/>
      </c>
      <c r="N335" s="49" t="n"/>
      <c r="S335">
        <f>IF(AND(E335&lt;&gt;"",T335="Có",J335&lt;&gt;"Xong",J335&lt;&gt;"Bỏ qua",ISNUMBER(I335)),I335+ROW()/100000,"")</f>
        <v/>
      </c>
      <c r="T335">
        <f>IF(O335="","",IFERROR(INDEX(SK_TD,MATCH(O335,SK_A,0)),""))</f>
        <v/>
      </c>
      <c r="V335">
        <f>IF(AND(O335&lt;&gt;"",O335=SEL_K,J335&lt;&gt;"Xong",J335&lt;&gt;"Bỏ qua"),IF(ISNUMBER(I335),I335,99999)+ROW()/100000,"")</f>
        <v/>
      </c>
    </row>
    <row r="336">
      <c r="A336" s="12">
        <f>IF(O336="","",IFERROR(INDEX(SK_B,MATCH(O336,SK_A,0))&amp;"",""))</f>
        <v/>
      </c>
      <c r="B336" s="45">
        <f>IF(O336="","",IFERROR(INDEX(SK_C,MATCH(O336,SK_A,0)),""))</f>
        <v/>
      </c>
      <c r="C336" s="46">
        <f>IF(Q336="","",IF(Q336=0,"D",IF(Q336&lt;0,"D"&amp;Q336,"D+"&amp;Q336)))</f>
        <v/>
      </c>
      <c r="D336" s="14" t="n"/>
      <c r="E336" s="12" t="n"/>
      <c r="F336" s="46" t="n"/>
      <c r="G336" s="47" t="n"/>
      <c r="H336" s="14" t="n"/>
      <c r="I336" s="13">
        <f>IF(OR(B336="",Q336=""),"",IF(Q336&gt;0,IF(R336="Làm việc",WORKDAY(IFERROR(IF(INDEX(SK_D,MATCH(O336,SK_A,0))="",B336,INDEX(SK_D,MATCH(O336,SK_A,0))),B336),Q336,HOLI),IFERROR(IF(INDEX(SK_D,MATCH(O336,SK_A,0))="",B336,INDEX(SK_D,MATCH(O336,SK_A,0))),B336)+Q336),B336+Q336))</f>
        <v/>
      </c>
      <c r="J336" s="14" t="n"/>
      <c r="K336" s="13" t="n"/>
      <c r="L336" s="12" t="n"/>
      <c r="M336" s="48">
        <f>IF(E336="","",IF(J336="Bỏ qua","—",IF(J336="Xong",IF(AND(ISNUMBER(K336),ISNUMBER(I336),K336&gt;I336),"Xong trễ","Xong"),MID(IF(G336=""," · CHƯA GIAO","")&amp;IF(NOT(ISNUMBER(I336)),"",IF(TODAY()&gt;I336," · QUÁ HẠN "&amp;(TODAY()-I336)&amp;" ngày",IF(I336-TODAY()&lt;=3," · Đến hạn "&amp;IF(I336=TODAY(),"hôm nay","trong "&amp;(I336-TODAY())&amp;" ngày"),"")))&amp;IF(J336="Chờ đối tác"," · Chờ đối tác"&amp;IF(ISNUMBER(N336)," "&amp;(TODAY()-INT(N336))&amp;" ngày",""),""),4,200))))</f>
        <v/>
      </c>
      <c r="N336" s="49" t="n"/>
      <c r="S336">
        <f>IF(AND(E336&lt;&gt;"",T336="Có",J336&lt;&gt;"Xong",J336&lt;&gt;"Bỏ qua",ISNUMBER(I336)),I336+ROW()/100000,"")</f>
        <v/>
      </c>
      <c r="T336">
        <f>IF(O336="","",IFERROR(INDEX(SK_TD,MATCH(O336,SK_A,0)),""))</f>
        <v/>
      </c>
      <c r="V336">
        <f>IF(AND(O336&lt;&gt;"",O336=SEL_K,J336&lt;&gt;"Xong",J336&lt;&gt;"Bỏ qua"),IF(ISNUMBER(I336),I336,99999)+ROW()/100000,"")</f>
        <v/>
      </c>
    </row>
    <row r="337">
      <c r="A337" s="12">
        <f>IF(O337="","",IFERROR(INDEX(SK_B,MATCH(O337,SK_A,0))&amp;"",""))</f>
        <v/>
      </c>
      <c r="B337" s="45">
        <f>IF(O337="","",IFERROR(INDEX(SK_C,MATCH(O337,SK_A,0)),""))</f>
        <v/>
      </c>
      <c r="C337" s="46">
        <f>IF(Q337="","",IF(Q337=0,"D",IF(Q337&lt;0,"D"&amp;Q337,"D+"&amp;Q337)))</f>
        <v/>
      </c>
      <c r="D337" s="14" t="n"/>
      <c r="E337" s="12" t="n"/>
      <c r="F337" s="46" t="n"/>
      <c r="G337" s="47" t="n"/>
      <c r="H337" s="14" t="n"/>
      <c r="I337" s="13">
        <f>IF(OR(B337="",Q337=""),"",IF(Q337&gt;0,IF(R337="Làm việc",WORKDAY(IFERROR(IF(INDEX(SK_D,MATCH(O337,SK_A,0))="",B337,INDEX(SK_D,MATCH(O337,SK_A,0))),B337),Q337,HOLI),IFERROR(IF(INDEX(SK_D,MATCH(O337,SK_A,0))="",B337,INDEX(SK_D,MATCH(O337,SK_A,0))),B337)+Q337),B337+Q337))</f>
        <v/>
      </c>
      <c r="J337" s="14" t="n"/>
      <c r="K337" s="13" t="n"/>
      <c r="L337" s="12" t="n"/>
      <c r="M337" s="48">
        <f>IF(E337="","",IF(J337="Bỏ qua","—",IF(J337="Xong",IF(AND(ISNUMBER(K337),ISNUMBER(I337),K337&gt;I337),"Xong trễ","Xong"),MID(IF(G337=""," · CHƯA GIAO","")&amp;IF(NOT(ISNUMBER(I337)),"",IF(TODAY()&gt;I337," · QUÁ HẠN "&amp;(TODAY()-I337)&amp;" ngày",IF(I337-TODAY()&lt;=3," · Đến hạn "&amp;IF(I337=TODAY(),"hôm nay","trong "&amp;(I337-TODAY())&amp;" ngày"),"")))&amp;IF(J337="Chờ đối tác"," · Chờ đối tác"&amp;IF(ISNUMBER(N337)," "&amp;(TODAY()-INT(N337))&amp;" ngày",""),""),4,200))))</f>
        <v/>
      </c>
      <c r="N337" s="49" t="n"/>
      <c r="S337">
        <f>IF(AND(E337&lt;&gt;"",T337="Có",J337&lt;&gt;"Xong",J337&lt;&gt;"Bỏ qua",ISNUMBER(I337)),I337+ROW()/100000,"")</f>
        <v/>
      </c>
      <c r="T337">
        <f>IF(O337="","",IFERROR(INDEX(SK_TD,MATCH(O337,SK_A,0)),""))</f>
        <v/>
      </c>
      <c r="V337">
        <f>IF(AND(O337&lt;&gt;"",O337=SEL_K,J337&lt;&gt;"Xong",J337&lt;&gt;"Bỏ qua"),IF(ISNUMBER(I337),I337,99999)+ROW()/100000,"")</f>
        <v/>
      </c>
    </row>
    <row r="338">
      <c r="A338" s="12">
        <f>IF(O338="","",IFERROR(INDEX(SK_B,MATCH(O338,SK_A,0))&amp;"",""))</f>
        <v/>
      </c>
      <c r="B338" s="45">
        <f>IF(O338="","",IFERROR(INDEX(SK_C,MATCH(O338,SK_A,0)),""))</f>
        <v/>
      </c>
      <c r="C338" s="46">
        <f>IF(Q338="","",IF(Q338=0,"D",IF(Q338&lt;0,"D"&amp;Q338,"D+"&amp;Q338)))</f>
        <v/>
      </c>
      <c r="D338" s="14" t="n"/>
      <c r="E338" s="12" t="n"/>
      <c r="F338" s="46" t="n"/>
      <c r="G338" s="47" t="n"/>
      <c r="H338" s="14" t="n"/>
      <c r="I338" s="13">
        <f>IF(OR(B338="",Q338=""),"",IF(Q338&gt;0,IF(R338="Làm việc",WORKDAY(IFERROR(IF(INDEX(SK_D,MATCH(O338,SK_A,0))="",B338,INDEX(SK_D,MATCH(O338,SK_A,0))),B338),Q338,HOLI),IFERROR(IF(INDEX(SK_D,MATCH(O338,SK_A,0))="",B338,INDEX(SK_D,MATCH(O338,SK_A,0))),B338)+Q338),B338+Q338))</f>
        <v/>
      </c>
      <c r="J338" s="14" t="n"/>
      <c r="K338" s="13" t="n"/>
      <c r="L338" s="12" t="n"/>
      <c r="M338" s="48">
        <f>IF(E338="","",IF(J338="Bỏ qua","—",IF(J338="Xong",IF(AND(ISNUMBER(K338),ISNUMBER(I338),K338&gt;I338),"Xong trễ","Xong"),MID(IF(G338=""," · CHƯA GIAO","")&amp;IF(NOT(ISNUMBER(I338)),"",IF(TODAY()&gt;I338," · QUÁ HẠN "&amp;(TODAY()-I338)&amp;" ngày",IF(I338-TODAY()&lt;=3," · Đến hạn "&amp;IF(I338=TODAY(),"hôm nay","trong "&amp;(I338-TODAY())&amp;" ngày"),"")))&amp;IF(J338="Chờ đối tác"," · Chờ đối tác"&amp;IF(ISNUMBER(N338)," "&amp;(TODAY()-INT(N338))&amp;" ngày",""),""),4,200))))</f>
        <v/>
      </c>
      <c r="N338" s="49" t="n"/>
      <c r="S338">
        <f>IF(AND(E338&lt;&gt;"",T338="Có",J338&lt;&gt;"Xong",J338&lt;&gt;"Bỏ qua",ISNUMBER(I338)),I338+ROW()/100000,"")</f>
        <v/>
      </c>
      <c r="T338">
        <f>IF(O338="","",IFERROR(INDEX(SK_TD,MATCH(O338,SK_A,0)),""))</f>
        <v/>
      </c>
      <c r="V338">
        <f>IF(AND(O338&lt;&gt;"",O338=SEL_K,J338&lt;&gt;"Xong",J338&lt;&gt;"Bỏ qua"),IF(ISNUMBER(I338),I338,99999)+ROW()/100000,"")</f>
        <v/>
      </c>
    </row>
    <row r="339">
      <c r="A339" s="12">
        <f>IF(O339="","",IFERROR(INDEX(SK_B,MATCH(O339,SK_A,0))&amp;"",""))</f>
        <v/>
      </c>
      <c r="B339" s="45">
        <f>IF(O339="","",IFERROR(INDEX(SK_C,MATCH(O339,SK_A,0)),""))</f>
        <v/>
      </c>
      <c r="C339" s="46">
        <f>IF(Q339="","",IF(Q339=0,"D",IF(Q339&lt;0,"D"&amp;Q339,"D+"&amp;Q339)))</f>
        <v/>
      </c>
      <c r="D339" s="14" t="n"/>
      <c r="E339" s="12" t="n"/>
      <c r="F339" s="46" t="n"/>
      <c r="G339" s="47" t="n"/>
      <c r="H339" s="14" t="n"/>
      <c r="I339" s="13">
        <f>IF(OR(B339="",Q339=""),"",IF(Q339&gt;0,IF(R339="Làm việc",WORKDAY(IFERROR(IF(INDEX(SK_D,MATCH(O339,SK_A,0))="",B339,INDEX(SK_D,MATCH(O339,SK_A,0))),B339),Q339,HOLI),IFERROR(IF(INDEX(SK_D,MATCH(O339,SK_A,0))="",B339,INDEX(SK_D,MATCH(O339,SK_A,0))),B339)+Q339),B339+Q339))</f>
        <v/>
      </c>
      <c r="J339" s="14" t="n"/>
      <c r="K339" s="13" t="n"/>
      <c r="L339" s="12" t="n"/>
      <c r="M339" s="48">
        <f>IF(E339="","",IF(J339="Bỏ qua","—",IF(J339="Xong",IF(AND(ISNUMBER(K339),ISNUMBER(I339),K339&gt;I339),"Xong trễ","Xong"),MID(IF(G339=""," · CHƯA GIAO","")&amp;IF(NOT(ISNUMBER(I339)),"",IF(TODAY()&gt;I339," · QUÁ HẠN "&amp;(TODAY()-I339)&amp;" ngày",IF(I339-TODAY()&lt;=3," · Đến hạn "&amp;IF(I339=TODAY(),"hôm nay","trong "&amp;(I339-TODAY())&amp;" ngày"),"")))&amp;IF(J339="Chờ đối tác"," · Chờ đối tác"&amp;IF(ISNUMBER(N339)," "&amp;(TODAY()-INT(N339))&amp;" ngày",""),""),4,200))))</f>
        <v/>
      </c>
      <c r="N339" s="49" t="n"/>
      <c r="S339">
        <f>IF(AND(E339&lt;&gt;"",T339="Có",J339&lt;&gt;"Xong",J339&lt;&gt;"Bỏ qua",ISNUMBER(I339)),I339+ROW()/100000,"")</f>
        <v/>
      </c>
      <c r="T339">
        <f>IF(O339="","",IFERROR(INDEX(SK_TD,MATCH(O339,SK_A,0)),""))</f>
        <v/>
      </c>
      <c r="V339">
        <f>IF(AND(O339&lt;&gt;"",O339=SEL_K,J339&lt;&gt;"Xong",J339&lt;&gt;"Bỏ qua"),IF(ISNUMBER(I339),I339,99999)+ROW()/100000,"")</f>
        <v/>
      </c>
    </row>
    <row r="340">
      <c r="A340" s="12">
        <f>IF(O340="","",IFERROR(INDEX(SK_B,MATCH(O340,SK_A,0))&amp;"",""))</f>
        <v/>
      </c>
      <c r="B340" s="45">
        <f>IF(O340="","",IFERROR(INDEX(SK_C,MATCH(O340,SK_A,0)),""))</f>
        <v/>
      </c>
      <c r="C340" s="46">
        <f>IF(Q340="","",IF(Q340=0,"D",IF(Q340&lt;0,"D"&amp;Q340,"D+"&amp;Q340)))</f>
        <v/>
      </c>
      <c r="D340" s="14" t="n"/>
      <c r="E340" s="12" t="n"/>
      <c r="F340" s="46" t="n"/>
      <c r="G340" s="47" t="n"/>
      <c r="H340" s="14" t="n"/>
      <c r="I340" s="13">
        <f>IF(OR(B340="",Q340=""),"",IF(Q340&gt;0,IF(R340="Làm việc",WORKDAY(IFERROR(IF(INDEX(SK_D,MATCH(O340,SK_A,0))="",B340,INDEX(SK_D,MATCH(O340,SK_A,0))),B340),Q340,HOLI),IFERROR(IF(INDEX(SK_D,MATCH(O340,SK_A,0))="",B340,INDEX(SK_D,MATCH(O340,SK_A,0))),B340)+Q340),B340+Q340))</f>
        <v/>
      </c>
      <c r="J340" s="14" t="n"/>
      <c r="K340" s="13" t="n"/>
      <c r="L340" s="12" t="n"/>
      <c r="M340" s="48">
        <f>IF(E340="","",IF(J340="Bỏ qua","—",IF(J340="Xong",IF(AND(ISNUMBER(K340),ISNUMBER(I340),K340&gt;I340),"Xong trễ","Xong"),MID(IF(G340=""," · CHƯA GIAO","")&amp;IF(NOT(ISNUMBER(I340)),"",IF(TODAY()&gt;I340," · QUÁ HẠN "&amp;(TODAY()-I340)&amp;" ngày",IF(I340-TODAY()&lt;=3," · Đến hạn "&amp;IF(I340=TODAY(),"hôm nay","trong "&amp;(I340-TODAY())&amp;" ngày"),"")))&amp;IF(J340="Chờ đối tác"," · Chờ đối tác"&amp;IF(ISNUMBER(N340)," "&amp;(TODAY()-INT(N340))&amp;" ngày",""),""),4,200))))</f>
        <v/>
      </c>
      <c r="N340" s="49" t="n"/>
      <c r="S340">
        <f>IF(AND(E340&lt;&gt;"",T340="Có",J340&lt;&gt;"Xong",J340&lt;&gt;"Bỏ qua",ISNUMBER(I340)),I340+ROW()/100000,"")</f>
        <v/>
      </c>
      <c r="T340">
        <f>IF(O340="","",IFERROR(INDEX(SK_TD,MATCH(O340,SK_A,0)),""))</f>
        <v/>
      </c>
      <c r="V340">
        <f>IF(AND(O340&lt;&gt;"",O340=SEL_K,J340&lt;&gt;"Xong",J340&lt;&gt;"Bỏ qua"),IF(ISNUMBER(I340),I340,99999)+ROW()/100000,"")</f>
        <v/>
      </c>
    </row>
    <row r="341">
      <c r="A341" s="12">
        <f>IF(O341="","",IFERROR(INDEX(SK_B,MATCH(O341,SK_A,0))&amp;"",""))</f>
        <v/>
      </c>
      <c r="B341" s="45">
        <f>IF(O341="","",IFERROR(INDEX(SK_C,MATCH(O341,SK_A,0)),""))</f>
        <v/>
      </c>
      <c r="C341" s="46">
        <f>IF(Q341="","",IF(Q341=0,"D",IF(Q341&lt;0,"D"&amp;Q341,"D+"&amp;Q341)))</f>
        <v/>
      </c>
      <c r="D341" s="14" t="n"/>
      <c r="E341" s="12" t="n"/>
      <c r="F341" s="46" t="n"/>
      <c r="G341" s="47" t="n"/>
      <c r="H341" s="14" t="n"/>
      <c r="I341" s="13">
        <f>IF(OR(B341="",Q341=""),"",IF(Q341&gt;0,IF(R341="Làm việc",WORKDAY(IFERROR(IF(INDEX(SK_D,MATCH(O341,SK_A,0))="",B341,INDEX(SK_D,MATCH(O341,SK_A,0))),B341),Q341,HOLI),IFERROR(IF(INDEX(SK_D,MATCH(O341,SK_A,0))="",B341,INDEX(SK_D,MATCH(O341,SK_A,0))),B341)+Q341),B341+Q341))</f>
        <v/>
      </c>
      <c r="J341" s="14" t="n"/>
      <c r="K341" s="13" t="n"/>
      <c r="L341" s="12" t="n"/>
      <c r="M341" s="48">
        <f>IF(E341="","",IF(J341="Bỏ qua","—",IF(J341="Xong",IF(AND(ISNUMBER(K341),ISNUMBER(I341),K341&gt;I341),"Xong trễ","Xong"),MID(IF(G341=""," · CHƯA GIAO","")&amp;IF(NOT(ISNUMBER(I341)),"",IF(TODAY()&gt;I341," · QUÁ HẠN "&amp;(TODAY()-I341)&amp;" ngày",IF(I341-TODAY()&lt;=3," · Đến hạn "&amp;IF(I341=TODAY(),"hôm nay","trong "&amp;(I341-TODAY())&amp;" ngày"),"")))&amp;IF(J341="Chờ đối tác"," · Chờ đối tác"&amp;IF(ISNUMBER(N341)," "&amp;(TODAY()-INT(N341))&amp;" ngày",""),""),4,200))))</f>
        <v/>
      </c>
      <c r="N341" s="49" t="n"/>
      <c r="S341">
        <f>IF(AND(E341&lt;&gt;"",T341="Có",J341&lt;&gt;"Xong",J341&lt;&gt;"Bỏ qua",ISNUMBER(I341)),I341+ROW()/100000,"")</f>
        <v/>
      </c>
      <c r="T341">
        <f>IF(O341="","",IFERROR(INDEX(SK_TD,MATCH(O341,SK_A,0)),""))</f>
        <v/>
      </c>
      <c r="V341">
        <f>IF(AND(O341&lt;&gt;"",O341=SEL_K,J341&lt;&gt;"Xong",J341&lt;&gt;"Bỏ qua"),IF(ISNUMBER(I341),I341,99999)+ROW()/100000,"")</f>
        <v/>
      </c>
    </row>
    <row r="342">
      <c r="A342" s="12">
        <f>IF(O342="","",IFERROR(INDEX(SK_B,MATCH(O342,SK_A,0))&amp;"",""))</f>
        <v/>
      </c>
      <c r="B342" s="45">
        <f>IF(O342="","",IFERROR(INDEX(SK_C,MATCH(O342,SK_A,0)),""))</f>
        <v/>
      </c>
      <c r="C342" s="46">
        <f>IF(Q342="","",IF(Q342=0,"D",IF(Q342&lt;0,"D"&amp;Q342,"D+"&amp;Q342)))</f>
        <v/>
      </c>
      <c r="D342" s="14" t="n"/>
      <c r="E342" s="12" t="n"/>
      <c r="F342" s="46" t="n"/>
      <c r="G342" s="47" t="n"/>
      <c r="H342" s="14" t="n"/>
      <c r="I342" s="13">
        <f>IF(OR(B342="",Q342=""),"",IF(Q342&gt;0,IF(R342="Làm việc",WORKDAY(IFERROR(IF(INDEX(SK_D,MATCH(O342,SK_A,0))="",B342,INDEX(SK_D,MATCH(O342,SK_A,0))),B342),Q342,HOLI),IFERROR(IF(INDEX(SK_D,MATCH(O342,SK_A,0))="",B342,INDEX(SK_D,MATCH(O342,SK_A,0))),B342)+Q342),B342+Q342))</f>
        <v/>
      </c>
      <c r="J342" s="14" t="n"/>
      <c r="K342" s="13" t="n"/>
      <c r="L342" s="12" t="n"/>
      <c r="M342" s="48">
        <f>IF(E342="","",IF(J342="Bỏ qua","—",IF(J342="Xong",IF(AND(ISNUMBER(K342),ISNUMBER(I342),K342&gt;I342),"Xong trễ","Xong"),MID(IF(G342=""," · CHƯA GIAO","")&amp;IF(NOT(ISNUMBER(I342)),"",IF(TODAY()&gt;I342," · QUÁ HẠN "&amp;(TODAY()-I342)&amp;" ngày",IF(I342-TODAY()&lt;=3," · Đến hạn "&amp;IF(I342=TODAY(),"hôm nay","trong "&amp;(I342-TODAY())&amp;" ngày"),"")))&amp;IF(J342="Chờ đối tác"," · Chờ đối tác"&amp;IF(ISNUMBER(N342)," "&amp;(TODAY()-INT(N342))&amp;" ngày",""),""),4,200))))</f>
        <v/>
      </c>
      <c r="N342" s="49" t="n"/>
      <c r="S342">
        <f>IF(AND(E342&lt;&gt;"",T342="Có",J342&lt;&gt;"Xong",J342&lt;&gt;"Bỏ qua",ISNUMBER(I342)),I342+ROW()/100000,"")</f>
        <v/>
      </c>
      <c r="T342">
        <f>IF(O342="","",IFERROR(INDEX(SK_TD,MATCH(O342,SK_A,0)),""))</f>
        <v/>
      </c>
      <c r="V342">
        <f>IF(AND(O342&lt;&gt;"",O342=SEL_K,J342&lt;&gt;"Xong",J342&lt;&gt;"Bỏ qua"),IF(ISNUMBER(I342),I342,99999)+ROW()/100000,"")</f>
        <v/>
      </c>
    </row>
    <row r="343">
      <c r="A343" s="12">
        <f>IF(O343="","",IFERROR(INDEX(SK_B,MATCH(O343,SK_A,0))&amp;"",""))</f>
        <v/>
      </c>
      <c r="B343" s="45">
        <f>IF(O343="","",IFERROR(INDEX(SK_C,MATCH(O343,SK_A,0)),""))</f>
        <v/>
      </c>
      <c r="C343" s="46">
        <f>IF(Q343="","",IF(Q343=0,"D",IF(Q343&lt;0,"D"&amp;Q343,"D+"&amp;Q343)))</f>
        <v/>
      </c>
      <c r="D343" s="14" t="n"/>
      <c r="E343" s="12" t="n"/>
      <c r="F343" s="46" t="n"/>
      <c r="G343" s="47" t="n"/>
      <c r="H343" s="14" t="n"/>
      <c r="I343" s="13">
        <f>IF(OR(B343="",Q343=""),"",IF(Q343&gt;0,IF(R343="Làm việc",WORKDAY(IFERROR(IF(INDEX(SK_D,MATCH(O343,SK_A,0))="",B343,INDEX(SK_D,MATCH(O343,SK_A,0))),B343),Q343,HOLI),IFERROR(IF(INDEX(SK_D,MATCH(O343,SK_A,0))="",B343,INDEX(SK_D,MATCH(O343,SK_A,0))),B343)+Q343),B343+Q343))</f>
        <v/>
      </c>
      <c r="J343" s="14" t="n"/>
      <c r="K343" s="13" t="n"/>
      <c r="L343" s="12" t="n"/>
      <c r="M343" s="48">
        <f>IF(E343="","",IF(J343="Bỏ qua","—",IF(J343="Xong",IF(AND(ISNUMBER(K343),ISNUMBER(I343),K343&gt;I343),"Xong trễ","Xong"),MID(IF(G343=""," · CHƯA GIAO","")&amp;IF(NOT(ISNUMBER(I343)),"",IF(TODAY()&gt;I343," · QUÁ HẠN "&amp;(TODAY()-I343)&amp;" ngày",IF(I343-TODAY()&lt;=3," · Đến hạn "&amp;IF(I343=TODAY(),"hôm nay","trong "&amp;(I343-TODAY())&amp;" ngày"),"")))&amp;IF(J343="Chờ đối tác"," · Chờ đối tác"&amp;IF(ISNUMBER(N343)," "&amp;(TODAY()-INT(N343))&amp;" ngày",""),""),4,200))))</f>
        <v/>
      </c>
      <c r="N343" s="49" t="n"/>
      <c r="S343">
        <f>IF(AND(E343&lt;&gt;"",T343="Có",J343&lt;&gt;"Xong",J343&lt;&gt;"Bỏ qua",ISNUMBER(I343)),I343+ROW()/100000,"")</f>
        <v/>
      </c>
      <c r="T343">
        <f>IF(O343="","",IFERROR(INDEX(SK_TD,MATCH(O343,SK_A,0)),""))</f>
        <v/>
      </c>
      <c r="V343">
        <f>IF(AND(O343&lt;&gt;"",O343=SEL_K,J343&lt;&gt;"Xong",J343&lt;&gt;"Bỏ qua"),IF(ISNUMBER(I343),I343,99999)+ROW()/100000,"")</f>
        <v/>
      </c>
    </row>
    <row r="344">
      <c r="A344" s="12">
        <f>IF(O344="","",IFERROR(INDEX(SK_B,MATCH(O344,SK_A,0))&amp;"",""))</f>
        <v/>
      </c>
      <c r="B344" s="45">
        <f>IF(O344="","",IFERROR(INDEX(SK_C,MATCH(O344,SK_A,0)),""))</f>
        <v/>
      </c>
      <c r="C344" s="46">
        <f>IF(Q344="","",IF(Q344=0,"D",IF(Q344&lt;0,"D"&amp;Q344,"D+"&amp;Q344)))</f>
        <v/>
      </c>
      <c r="D344" s="14" t="n"/>
      <c r="E344" s="12" t="n"/>
      <c r="F344" s="46" t="n"/>
      <c r="G344" s="47" t="n"/>
      <c r="H344" s="14" t="n"/>
      <c r="I344" s="13">
        <f>IF(OR(B344="",Q344=""),"",IF(Q344&gt;0,IF(R344="Làm việc",WORKDAY(IFERROR(IF(INDEX(SK_D,MATCH(O344,SK_A,0))="",B344,INDEX(SK_D,MATCH(O344,SK_A,0))),B344),Q344,HOLI),IFERROR(IF(INDEX(SK_D,MATCH(O344,SK_A,0))="",B344,INDEX(SK_D,MATCH(O344,SK_A,0))),B344)+Q344),B344+Q344))</f>
        <v/>
      </c>
      <c r="J344" s="14" t="n"/>
      <c r="K344" s="13" t="n"/>
      <c r="L344" s="12" t="n"/>
      <c r="M344" s="48">
        <f>IF(E344="","",IF(J344="Bỏ qua","—",IF(J344="Xong",IF(AND(ISNUMBER(K344),ISNUMBER(I344),K344&gt;I344),"Xong trễ","Xong"),MID(IF(G344=""," · CHƯA GIAO","")&amp;IF(NOT(ISNUMBER(I344)),"",IF(TODAY()&gt;I344," · QUÁ HẠN "&amp;(TODAY()-I344)&amp;" ngày",IF(I344-TODAY()&lt;=3," · Đến hạn "&amp;IF(I344=TODAY(),"hôm nay","trong "&amp;(I344-TODAY())&amp;" ngày"),"")))&amp;IF(J344="Chờ đối tác"," · Chờ đối tác"&amp;IF(ISNUMBER(N344)," "&amp;(TODAY()-INT(N344))&amp;" ngày",""),""),4,200))))</f>
        <v/>
      </c>
      <c r="N344" s="49" t="n"/>
      <c r="S344">
        <f>IF(AND(E344&lt;&gt;"",T344="Có",J344&lt;&gt;"Xong",J344&lt;&gt;"Bỏ qua",ISNUMBER(I344)),I344+ROW()/100000,"")</f>
        <v/>
      </c>
      <c r="T344">
        <f>IF(O344="","",IFERROR(INDEX(SK_TD,MATCH(O344,SK_A,0)),""))</f>
        <v/>
      </c>
      <c r="V344">
        <f>IF(AND(O344&lt;&gt;"",O344=SEL_K,J344&lt;&gt;"Xong",J344&lt;&gt;"Bỏ qua"),IF(ISNUMBER(I344),I344,99999)+ROW()/100000,"")</f>
        <v/>
      </c>
    </row>
    <row r="345">
      <c r="A345" s="12">
        <f>IF(O345="","",IFERROR(INDEX(SK_B,MATCH(O345,SK_A,0))&amp;"",""))</f>
        <v/>
      </c>
      <c r="B345" s="45">
        <f>IF(O345="","",IFERROR(INDEX(SK_C,MATCH(O345,SK_A,0)),""))</f>
        <v/>
      </c>
      <c r="C345" s="46">
        <f>IF(Q345="","",IF(Q345=0,"D",IF(Q345&lt;0,"D"&amp;Q345,"D+"&amp;Q345)))</f>
        <v/>
      </c>
      <c r="D345" s="14" t="n"/>
      <c r="E345" s="12" t="n"/>
      <c r="F345" s="46" t="n"/>
      <c r="G345" s="47" t="n"/>
      <c r="H345" s="14" t="n"/>
      <c r="I345" s="13">
        <f>IF(OR(B345="",Q345=""),"",IF(Q345&gt;0,IF(R345="Làm việc",WORKDAY(IFERROR(IF(INDEX(SK_D,MATCH(O345,SK_A,0))="",B345,INDEX(SK_D,MATCH(O345,SK_A,0))),B345),Q345,HOLI),IFERROR(IF(INDEX(SK_D,MATCH(O345,SK_A,0))="",B345,INDEX(SK_D,MATCH(O345,SK_A,0))),B345)+Q345),B345+Q345))</f>
        <v/>
      </c>
      <c r="J345" s="14" t="n"/>
      <c r="K345" s="13" t="n"/>
      <c r="L345" s="12" t="n"/>
      <c r="M345" s="48">
        <f>IF(E345="","",IF(J345="Bỏ qua","—",IF(J345="Xong",IF(AND(ISNUMBER(K345),ISNUMBER(I345),K345&gt;I345),"Xong trễ","Xong"),MID(IF(G345=""," · CHƯA GIAO","")&amp;IF(NOT(ISNUMBER(I345)),"",IF(TODAY()&gt;I345," · QUÁ HẠN "&amp;(TODAY()-I345)&amp;" ngày",IF(I345-TODAY()&lt;=3," · Đến hạn "&amp;IF(I345=TODAY(),"hôm nay","trong "&amp;(I345-TODAY())&amp;" ngày"),"")))&amp;IF(J345="Chờ đối tác"," · Chờ đối tác"&amp;IF(ISNUMBER(N345)," "&amp;(TODAY()-INT(N345))&amp;" ngày",""),""),4,200))))</f>
        <v/>
      </c>
      <c r="N345" s="49" t="n"/>
      <c r="S345">
        <f>IF(AND(E345&lt;&gt;"",T345="Có",J345&lt;&gt;"Xong",J345&lt;&gt;"Bỏ qua",ISNUMBER(I345)),I345+ROW()/100000,"")</f>
        <v/>
      </c>
      <c r="T345">
        <f>IF(O345="","",IFERROR(INDEX(SK_TD,MATCH(O345,SK_A,0)),""))</f>
        <v/>
      </c>
      <c r="V345">
        <f>IF(AND(O345&lt;&gt;"",O345=SEL_K,J345&lt;&gt;"Xong",J345&lt;&gt;"Bỏ qua"),IF(ISNUMBER(I345),I345,99999)+ROW()/100000,"")</f>
        <v/>
      </c>
    </row>
    <row r="346">
      <c r="A346" s="12">
        <f>IF(O346="","",IFERROR(INDEX(SK_B,MATCH(O346,SK_A,0))&amp;"",""))</f>
        <v/>
      </c>
      <c r="B346" s="45">
        <f>IF(O346="","",IFERROR(INDEX(SK_C,MATCH(O346,SK_A,0)),""))</f>
        <v/>
      </c>
      <c r="C346" s="46">
        <f>IF(Q346="","",IF(Q346=0,"D",IF(Q346&lt;0,"D"&amp;Q346,"D+"&amp;Q346)))</f>
        <v/>
      </c>
      <c r="D346" s="14" t="n"/>
      <c r="E346" s="12" t="n"/>
      <c r="F346" s="46" t="n"/>
      <c r="G346" s="47" t="n"/>
      <c r="H346" s="14" t="n"/>
      <c r="I346" s="13">
        <f>IF(OR(B346="",Q346=""),"",IF(Q346&gt;0,IF(R346="Làm việc",WORKDAY(IFERROR(IF(INDEX(SK_D,MATCH(O346,SK_A,0))="",B346,INDEX(SK_D,MATCH(O346,SK_A,0))),B346),Q346,HOLI),IFERROR(IF(INDEX(SK_D,MATCH(O346,SK_A,0))="",B346,INDEX(SK_D,MATCH(O346,SK_A,0))),B346)+Q346),B346+Q346))</f>
        <v/>
      </c>
      <c r="J346" s="14" t="n"/>
      <c r="K346" s="13" t="n"/>
      <c r="L346" s="12" t="n"/>
      <c r="M346" s="48">
        <f>IF(E346="","",IF(J346="Bỏ qua","—",IF(J346="Xong",IF(AND(ISNUMBER(K346),ISNUMBER(I346),K346&gt;I346),"Xong trễ","Xong"),MID(IF(G346=""," · CHƯA GIAO","")&amp;IF(NOT(ISNUMBER(I346)),"",IF(TODAY()&gt;I346," · QUÁ HẠN "&amp;(TODAY()-I346)&amp;" ngày",IF(I346-TODAY()&lt;=3," · Đến hạn "&amp;IF(I346=TODAY(),"hôm nay","trong "&amp;(I346-TODAY())&amp;" ngày"),"")))&amp;IF(J346="Chờ đối tác"," · Chờ đối tác"&amp;IF(ISNUMBER(N346)," "&amp;(TODAY()-INT(N346))&amp;" ngày",""),""),4,200))))</f>
        <v/>
      </c>
      <c r="N346" s="49" t="n"/>
      <c r="S346">
        <f>IF(AND(E346&lt;&gt;"",T346="Có",J346&lt;&gt;"Xong",J346&lt;&gt;"Bỏ qua",ISNUMBER(I346)),I346+ROW()/100000,"")</f>
        <v/>
      </c>
      <c r="T346">
        <f>IF(O346="","",IFERROR(INDEX(SK_TD,MATCH(O346,SK_A,0)),""))</f>
        <v/>
      </c>
      <c r="V346">
        <f>IF(AND(O346&lt;&gt;"",O346=SEL_K,J346&lt;&gt;"Xong",J346&lt;&gt;"Bỏ qua"),IF(ISNUMBER(I346),I346,99999)+ROW()/100000,"")</f>
        <v/>
      </c>
    </row>
    <row r="347">
      <c r="A347" s="12">
        <f>IF(O347="","",IFERROR(INDEX(SK_B,MATCH(O347,SK_A,0))&amp;"",""))</f>
        <v/>
      </c>
      <c r="B347" s="45">
        <f>IF(O347="","",IFERROR(INDEX(SK_C,MATCH(O347,SK_A,0)),""))</f>
        <v/>
      </c>
      <c r="C347" s="46">
        <f>IF(Q347="","",IF(Q347=0,"D",IF(Q347&lt;0,"D"&amp;Q347,"D+"&amp;Q347)))</f>
        <v/>
      </c>
      <c r="D347" s="14" t="n"/>
      <c r="E347" s="12" t="n"/>
      <c r="F347" s="46" t="n"/>
      <c r="G347" s="47" t="n"/>
      <c r="H347" s="14" t="n"/>
      <c r="I347" s="13">
        <f>IF(OR(B347="",Q347=""),"",IF(Q347&gt;0,IF(R347="Làm việc",WORKDAY(IFERROR(IF(INDEX(SK_D,MATCH(O347,SK_A,0))="",B347,INDEX(SK_D,MATCH(O347,SK_A,0))),B347),Q347,HOLI),IFERROR(IF(INDEX(SK_D,MATCH(O347,SK_A,0))="",B347,INDEX(SK_D,MATCH(O347,SK_A,0))),B347)+Q347),B347+Q347))</f>
        <v/>
      </c>
      <c r="J347" s="14" t="n"/>
      <c r="K347" s="13" t="n"/>
      <c r="L347" s="12" t="n"/>
      <c r="M347" s="48">
        <f>IF(E347="","",IF(J347="Bỏ qua","—",IF(J347="Xong",IF(AND(ISNUMBER(K347),ISNUMBER(I347),K347&gt;I347),"Xong trễ","Xong"),MID(IF(G347=""," · CHƯA GIAO","")&amp;IF(NOT(ISNUMBER(I347)),"",IF(TODAY()&gt;I347," · QUÁ HẠN "&amp;(TODAY()-I347)&amp;" ngày",IF(I347-TODAY()&lt;=3," · Đến hạn "&amp;IF(I347=TODAY(),"hôm nay","trong "&amp;(I347-TODAY())&amp;" ngày"),"")))&amp;IF(J347="Chờ đối tác"," · Chờ đối tác"&amp;IF(ISNUMBER(N347)," "&amp;(TODAY()-INT(N347))&amp;" ngày",""),""),4,200))))</f>
        <v/>
      </c>
      <c r="N347" s="49" t="n"/>
      <c r="S347">
        <f>IF(AND(E347&lt;&gt;"",T347="Có",J347&lt;&gt;"Xong",J347&lt;&gt;"Bỏ qua",ISNUMBER(I347)),I347+ROW()/100000,"")</f>
        <v/>
      </c>
      <c r="T347">
        <f>IF(O347="","",IFERROR(INDEX(SK_TD,MATCH(O347,SK_A,0)),""))</f>
        <v/>
      </c>
      <c r="V347">
        <f>IF(AND(O347&lt;&gt;"",O347=SEL_K,J347&lt;&gt;"Xong",J347&lt;&gt;"Bỏ qua"),IF(ISNUMBER(I347),I347,99999)+ROW()/100000,"")</f>
        <v/>
      </c>
    </row>
    <row r="348">
      <c r="A348" s="12">
        <f>IF(O348="","",IFERROR(INDEX(SK_B,MATCH(O348,SK_A,0))&amp;"",""))</f>
        <v/>
      </c>
      <c r="B348" s="45">
        <f>IF(O348="","",IFERROR(INDEX(SK_C,MATCH(O348,SK_A,0)),""))</f>
        <v/>
      </c>
      <c r="C348" s="46">
        <f>IF(Q348="","",IF(Q348=0,"D",IF(Q348&lt;0,"D"&amp;Q348,"D+"&amp;Q348)))</f>
        <v/>
      </c>
      <c r="D348" s="14" t="n"/>
      <c r="E348" s="12" t="n"/>
      <c r="F348" s="46" t="n"/>
      <c r="G348" s="47" t="n"/>
      <c r="H348" s="14" t="n"/>
      <c r="I348" s="13">
        <f>IF(OR(B348="",Q348=""),"",IF(Q348&gt;0,IF(R348="Làm việc",WORKDAY(IFERROR(IF(INDEX(SK_D,MATCH(O348,SK_A,0))="",B348,INDEX(SK_D,MATCH(O348,SK_A,0))),B348),Q348,HOLI),IFERROR(IF(INDEX(SK_D,MATCH(O348,SK_A,0))="",B348,INDEX(SK_D,MATCH(O348,SK_A,0))),B348)+Q348),B348+Q348))</f>
        <v/>
      </c>
      <c r="J348" s="14" t="n"/>
      <c r="K348" s="13" t="n"/>
      <c r="L348" s="12" t="n"/>
      <c r="M348" s="48">
        <f>IF(E348="","",IF(J348="Bỏ qua","—",IF(J348="Xong",IF(AND(ISNUMBER(K348),ISNUMBER(I348),K348&gt;I348),"Xong trễ","Xong"),MID(IF(G348=""," · CHƯA GIAO","")&amp;IF(NOT(ISNUMBER(I348)),"",IF(TODAY()&gt;I348," · QUÁ HẠN "&amp;(TODAY()-I348)&amp;" ngày",IF(I348-TODAY()&lt;=3," · Đến hạn "&amp;IF(I348=TODAY(),"hôm nay","trong "&amp;(I348-TODAY())&amp;" ngày"),"")))&amp;IF(J348="Chờ đối tác"," · Chờ đối tác"&amp;IF(ISNUMBER(N348)," "&amp;(TODAY()-INT(N348))&amp;" ngày",""),""),4,200))))</f>
        <v/>
      </c>
      <c r="N348" s="49" t="n"/>
      <c r="S348">
        <f>IF(AND(E348&lt;&gt;"",T348="Có",J348&lt;&gt;"Xong",J348&lt;&gt;"Bỏ qua",ISNUMBER(I348)),I348+ROW()/100000,"")</f>
        <v/>
      </c>
      <c r="T348">
        <f>IF(O348="","",IFERROR(INDEX(SK_TD,MATCH(O348,SK_A,0)),""))</f>
        <v/>
      </c>
      <c r="V348">
        <f>IF(AND(O348&lt;&gt;"",O348=SEL_K,J348&lt;&gt;"Xong",J348&lt;&gt;"Bỏ qua"),IF(ISNUMBER(I348),I348,99999)+ROW()/100000,"")</f>
        <v/>
      </c>
    </row>
    <row r="349">
      <c r="A349" s="12">
        <f>IF(O349="","",IFERROR(INDEX(SK_B,MATCH(O349,SK_A,0))&amp;"",""))</f>
        <v/>
      </c>
      <c r="B349" s="45">
        <f>IF(O349="","",IFERROR(INDEX(SK_C,MATCH(O349,SK_A,0)),""))</f>
        <v/>
      </c>
      <c r="C349" s="46">
        <f>IF(Q349="","",IF(Q349=0,"D",IF(Q349&lt;0,"D"&amp;Q349,"D+"&amp;Q349)))</f>
        <v/>
      </c>
      <c r="D349" s="14" t="n"/>
      <c r="E349" s="12" t="n"/>
      <c r="F349" s="46" t="n"/>
      <c r="G349" s="47" t="n"/>
      <c r="H349" s="14" t="n"/>
      <c r="I349" s="13">
        <f>IF(OR(B349="",Q349=""),"",IF(Q349&gt;0,IF(R349="Làm việc",WORKDAY(IFERROR(IF(INDEX(SK_D,MATCH(O349,SK_A,0))="",B349,INDEX(SK_D,MATCH(O349,SK_A,0))),B349),Q349,HOLI),IFERROR(IF(INDEX(SK_D,MATCH(O349,SK_A,0))="",B349,INDEX(SK_D,MATCH(O349,SK_A,0))),B349)+Q349),B349+Q349))</f>
        <v/>
      </c>
      <c r="J349" s="14" t="n"/>
      <c r="K349" s="13" t="n"/>
      <c r="L349" s="12" t="n"/>
      <c r="M349" s="48">
        <f>IF(E349="","",IF(J349="Bỏ qua","—",IF(J349="Xong",IF(AND(ISNUMBER(K349),ISNUMBER(I349),K349&gt;I349),"Xong trễ","Xong"),MID(IF(G349=""," · CHƯA GIAO","")&amp;IF(NOT(ISNUMBER(I349)),"",IF(TODAY()&gt;I349," · QUÁ HẠN "&amp;(TODAY()-I349)&amp;" ngày",IF(I349-TODAY()&lt;=3," · Đến hạn "&amp;IF(I349=TODAY(),"hôm nay","trong "&amp;(I349-TODAY())&amp;" ngày"),"")))&amp;IF(J349="Chờ đối tác"," · Chờ đối tác"&amp;IF(ISNUMBER(N349)," "&amp;(TODAY()-INT(N349))&amp;" ngày",""),""),4,200))))</f>
        <v/>
      </c>
      <c r="N349" s="49" t="n"/>
      <c r="S349">
        <f>IF(AND(E349&lt;&gt;"",T349="Có",J349&lt;&gt;"Xong",J349&lt;&gt;"Bỏ qua",ISNUMBER(I349)),I349+ROW()/100000,"")</f>
        <v/>
      </c>
      <c r="T349">
        <f>IF(O349="","",IFERROR(INDEX(SK_TD,MATCH(O349,SK_A,0)),""))</f>
        <v/>
      </c>
      <c r="V349">
        <f>IF(AND(O349&lt;&gt;"",O349=SEL_K,J349&lt;&gt;"Xong",J349&lt;&gt;"Bỏ qua"),IF(ISNUMBER(I349),I349,99999)+ROW()/100000,"")</f>
        <v/>
      </c>
    </row>
    <row r="350">
      <c r="A350" s="12">
        <f>IF(O350="","",IFERROR(INDEX(SK_B,MATCH(O350,SK_A,0))&amp;"",""))</f>
        <v/>
      </c>
      <c r="B350" s="45">
        <f>IF(O350="","",IFERROR(INDEX(SK_C,MATCH(O350,SK_A,0)),""))</f>
        <v/>
      </c>
      <c r="C350" s="46">
        <f>IF(Q350="","",IF(Q350=0,"D",IF(Q350&lt;0,"D"&amp;Q350,"D+"&amp;Q350)))</f>
        <v/>
      </c>
      <c r="D350" s="14" t="n"/>
      <c r="E350" s="12" t="n"/>
      <c r="F350" s="46" t="n"/>
      <c r="G350" s="47" t="n"/>
      <c r="H350" s="14" t="n"/>
      <c r="I350" s="13">
        <f>IF(OR(B350="",Q350=""),"",IF(Q350&gt;0,IF(R350="Làm việc",WORKDAY(IFERROR(IF(INDEX(SK_D,MATCH(O350,SK_A,0))="",B350,INDEX(SK_D,MATCH(O350,SK_A,0))),B350),Q350,HOLI),IFERROR(IF(INDEX(SK_D,MATCH(O350,SK_A,0))="",B350,INDEX(SK_D,MATCH(O350,SK_A,0))),B350)+Q350),B350+Q350))</f>
        <v/>
      </c>
      <c r="J350" s="14" t="n"/>
      <c r="K350" s="13" t="n"/>
      <c r="L350" s="12" t="n"/>
      <c r="M350" s="48">
        <f>IF(E350="","",IF(J350="Bỏ qua","—",IF(J350="Xong",IF(AND(ISNUMBER(K350),ISNUMBER(I350),K350&gt;I350),"Xong trễ","Xong"),MID(IF(G350=""," · CHƯA GIAO","")&amp;IF(NOT(ISNUMBER(I350)),"",IF(TODAY()&gt;I350," · QUÁ HẠN "&amp;(TODAY()-I350)&amp;" ngày",IF(I350-TODAY()&lt;=3," · Đến hạn "&amp;IF(I350=TODAY(),"hôm nay","trong "&amp;(I350-TODAY())&amp;" ngày"),"")))&amp;IF(J350="Chờ đối tác"," · Chờ đối tác"&amp;IF(ISNUMBER(N350)," "&amp;(TODAY()-INT(N350))&amp;" ngày",""),""),4,200))))</f>
        <v/>
      </c>
      <c r="N350" s="49" t="n"/>
      <c r="S350">
        <f>IF(AND(E350&lt;&gt;"",T350="Có",J350&lt;&gt;"Xong",J350&lt;&gt;"Bỏ qua",ISNUMBER(I350)),I350+ROW()/100000,"")</f>
        <v/>
      </c>
      <c r="T350">
        <f>IF(O350="","",IFERROR(INDEX(SK_TD,MATCH(O350,SK_A,0)),""))</f>
        <v/>
      </c>
      <c r="V350">
        <f>IF(AND(O350&lt;&gt;"",O350=SEL_K,J350&lt;&gt;"Xong",J350&lt;&gt;"Bỏ qua"),IF(ISNUMBER(I350),I350,99999)+ROW()/100000,"")</f>
        <v/>
      </c>
    </row>
    <row r="351">
      <c r="A351" s="12">
        <f>IF(O351="","",IFERROR(INDEX(SK_B,MATCH(O351,SK_A,0))&amp;"",""))</f>
        <v/>
      </c>
      <c r="B351" s="45">
        <f>IF(O351="","",IFERROR(INDEX(SK_C,MATCH(O351,SK_A,0)),""))</f>
        <v/>
      </c>
      <c r="C351" s="46">
        <f>IF(Q351="","",IF(Q351=0,"D",IF(Q351&lt;0,"D"&amp;Q351,"D+"&amp;Q351)))</f>
        <v/>
      </c>
      <c r="D351" s="14" t="n"/>
      <c r="E351" s="12" t="n"/>
      <c r="F351" s="46" t="n"/>
      <c r="G351" s="47" t="n"/>
      <c r="H351" s="14" t="n"/>
      <c r="I351" s="13">
        <f>IF(OR(B351="",Q351=""),"",IF(Q351&gt;0,IF(R351="Làm việc",WORKDAY(IFERROR(IF(INDEX(SK_D,MATCH(O351,SK_A,0))="",B351,INDEX(SK_D,MATCH(O351,SK_A,0))),B351),Q351,HOLI),IFERROR(IF(INDEX(SK_D,MATCH(O351,SK_A,0))="",B351,INDEX(SK_D,MATCH(O351,SK_A,0))),B351)+Q351),B351+Q351))</f>
        <v/>
      </c>
      <c r="J351" s="14" t="n"/>
      <c r="K351" s="13" t="n"/>
      <c r="L351" s="12" t="n"/>
      <c r="M351" s="48">
        <f>IF(E351="","",IF(J351="Bỏ qua","—",IF(J351="Xong",IF(AND(ISNUMBER(K351),ISNUMBER(I351),K351&gt;I351),"Xong trễ","Xong"),MID(IF(G351=""," · CHƯA GIAO","")&amp;IF(NOT(ISNUMBER(I351)),"",IF(TODAY()&gt;I351," · QUÁ HẠN "&amp;(TODAY()-I351)&amp;" ngày",IF(I351-TODAY()&lt;=3," · Đến hạn "&amp;IF(I351=TODAY(),"hôm nay","trong "&amp;(I351-TODAY())&amp;" ngày"),"")))&amp;IF(J351="Chờ đối tác"," · Chờ đối tác"&amp;IF(ISNUMBER(N351)," "&amp;(TODAY()-INT(N351))&amp;" ngày",""),""),4,200))))</f>
        <v/>
      </c>
      <c r="N351" s="49" t="n"/>
      <c r="S351">
        <f>IF(AND(E351&lt;&gt;"",T351="Có",J351&lt;&gt;"Xong",J351&lt;&gt;"Bỏ qua",ISNUMBER(I351)),I351+ROW()/100000,"")</f>
        <v/>
      </c>
      <c r="T351">
        <f>IF(O351="","",IFERROR(INDEX(SK_TD,MATCH(O351,SK_A,0)),""))</f>
        <v/>
      </c>
      <c r="V351">
        <f>IF(AND(O351&lt;&gt;"",O351=SEL_K,J351&lt;&gt;"Xong",J351&lt;&gt;"Bỏ qua"),IF(ISNUMBER(I351),I351,99999)+ROW()/100000,"")</f>
        <v/>
      </c>
    </row>
    <row r="352">
      <c r="A352" s="12">
        <f>IF(O352="","",IFERROR(INDEX(SK_B,MATCH(O352,SK_A,0))&amp;"",""))</f>
        <v/>
      </c>
      <c r="B352" s="45">
        <f>IF(O352="","",IFERROR(INDEX(SK_C,MATCH(O352,SK_A,0)),""))</f>
        <v/>
      </c>
      <c r="C352" s="46">
        <f>IF(Q352="","",IF(Q352=0,"D",IF(Q352&lt;0,"D"&amp;Q352,"D+"&amp;Q352)))</f>
        <v/>
      </c>
      <c r="D352" s="14" t="n"/>
      <c r="E352" s="12" t="n"/>
      <c r="F352" s="46" t="n"/>
      <c r="G352" s="47" t="n"/>
      <c r="H352" s="14" t="n"/>
      <c r="I352" s="13">
        <f>IF(OR(B352="",Q352=""),"",IF(Q352&gt;0,IF(R352="Làm việc",WORKDAY(IFERROR(IF(INDEX(SK_D,MATCH(O352,SK_A,0))="",B352,INDEX(SK_D,MATCH(O352,SK_A,0))),B352),Q352,HOLI),IFERROR(IF(INDEX(SK_D,MATCH(O352,SK_A,0))="",B352,INDEX(SK_D,MATCH(O352,SK_A,0))),B352)+Q352),B352+Q352))</f>
        <v/>
      </c>
      <c r="J352" s="14" t="n"/>
      <c r="K352" s="13" t="n"/>
      <c r="L352" s="12" t="n"/>
      <c r="M352" s="48">
        <f>IF(E352="","",IF(J352="Bỏ qua","—",IF(J352="Xong",IF(AND(ISNUMBER(K352),ISNUMBER(I352),K352&gt;I352),"Xong trễ","Xong"),MID(IF(G352=""," · CHƯA GIAO","")&amp;IF(NOT(ISNUMBER(I352)),"",IF(TODAY()&gt;I352," · QUÁ HẠN "&amp;(TODAY()-I352)&amp;" ngày",IF(I352-TODAY()&lt;=3," · Đến hạn "&amp;IF(I352=TODAY(),"hôm nay","trong "&amp;(I352-TODAY())&amp;" ngày"),"")))&amp;IF(J352="Chờ đối tác"," · Chờ đối tác"&amp;IF(ISNUMBER(N352)," "&amp;(TODAY()-INT(N352))&amp;" ngày",""),""),4,200))))</f>
        <v/>
      </c>
      <c r="N352" s="49" t="n"/>
      <c r="S352">
        <f>IF(AND(E352&lt;&gt;"",T352="Có",J352&lt;&gt;"Xong",J352&lt;&gt;"Bỏ qua",ISNUMBER(I352)),I352+ROW()/100000,"")</f>
        <v/>
      </c>
      <c r="T352">
        <f>IF(O352="","",IFERROR(INDEX(SK_TD,MATCH(O352,SK_A,0)),""))</f>
        <v/>
      </c>
      <c r="V352">
        <f>IF(AND(O352&lt;&gt;"",O352=SEL_K,J352&lt;&gt;"Xong",J352&lt;&gt;"Bỏ qua"),IF(ISNUMBER(I352),I352,99999)+ROW()/100000,"")</f>
        <v/>
      </c>
    </row>
    <row r="353">
      <c r="A353" s="12">
        <f>IF(O353="","",IFERROR(INDEX(SK_B,MATCH(O353,SK_A,0))&amp;"",""))</f>
        <v/>
      </c>
      <c r="B353" s="45">
        <f>IF(O353="","",IFERROR(INDEX(SK_C,MATCH(O353,SK_A,0)),""))</f>
        <v/>
      </c>
      <c r="C353" s="46">
        <f>IF(Q353="","",IF(Q353=0,"D",IF(Q353&lt;0,"D"&amp;Q353,"D+"&amp;Q353)))</f>
        <v/>
      </c>
      <c r="D353" s="14" t="n"/>
      <c r="E353" s="12" t="n"/>
      <c r="F353" s="46" t="n"/>
      <c r="G353" s="47" t="n"/>
      <c r="H353" s="14" t="n"/>
      <c r="I353" s="13">
        <f>IF(OR(B353="",Q353=""),"",IF(Q353&gt;0,IF(R353="Làm việc",WORKDAY(IFERROR(IF(INDEX(SK_D,MATCH(O353,SK_A,0))="",B353,INDEX(SK_D,MATCH(O353,SK_A,0))),B353),Q353,HOLI),IFERROR(IF(INDEX(SK_D,MATCH(O353,SK_A,0))="",B353,INDEX(SK_D,MATCH(O353,SK_A,0))),B353)+Q353),B353+Q353))</f>
        <v/>
      </c>
      <c r="J353" s="14" t="n"/>
      <c r="K353" s="13" t="n"/>
      <c r="L353" s="12" t="n"/>
      <c r="M353" s="48">
        <f>IF(E353="","",IF(J353="Bỏ qua","—",IF(J353="Xong",IF(AND(ISNUMBER(K353),ISNUMBER(I353),K353&gt;I353),"Xong trễ","Xong"),MID(IF(G353=""," · CHƯA GIAO","")&amp;IF(NOT(ISNUMBER(I353)),"",IF(TODAY()&gt;I353," · QUÁ HẠN "&amp;(TODAY()-I353)&amp;" ngày",IF(I353-TODAY()&lt;=3," · Đến hạn "&amp;IF(I353=TODAY(),"hôm nay","trong "&amp;(I353-TODAY())&amp;" ngày"),"")))&amp;IF(J353="Chờ đối tác"," · Chờ đối tác"&amp;IF(ISNUMBER(N353)," "&amp;(TODAY()-INT(N353))&amp;" ngày",""),""),4,200))))</f>
        <v/>
      </c>
      <c r="N353" s="49" t="n"/>
      <c r="S353">
        <f>IF(AND(E353&lt;&gt;"",T353="Có",J353&lt;&gt;"Xong",J353&lt;&gt;"Bỏ qua",ISNUMBER(I353)),I353+ROW()/100000,"")</f>
        <v/>
      </c>
      <c r="T353">
        <f>IF(O353="","",IFERROR(INDEX(SK_TD,MATCH(O353,SK_A,0)),""))</f>
        <v/>
      </c>
      <c r="V353">
        <f>IF(AND(O353&lt;&gt;"",O353=SEL_K,J353&lt;&gt;"Xong",J353&lt;&gt;"Bỏ qua"),IF(ISNUMBER(I353),I353,99999)+ROW()/100000,"")</f>
        <v/>
      </c>
    </row>
    <row r="354">
      <c r="A354" s="12">
        <f>IF(O354="","",IFERROR(INDEX(SK_B,MATCH(O354,SK_A,0))&amp;"",""))</f>
        <v/>
      </c>
      <c r="B354" s="45">
        <f>IF(O354="","",IFERROR(INDEX(SK_C,MATCH(O354,SK_A,0)),""))</f>
        <v/>
      </c>
      <c r="C354" s="46">
        <f>IF(Q354="","",IF(Q354=0,"D",IF(Q354&lt;0,"D"&amp;Q354,"D+"&amp;Q354)))</f>
        <v/>
      </c>
      <c r="D354" s="14" t="n"/>
      <c r="E354" s="12" t="n"/>
      <c r="F354" s="46" t="n"/>
      <c r="G354" s="47" t="n"/>
      <c r="H354" s="14" t="n"/>
      <c r="I354" s="13">
        <f>IF(OR(B354="",Q354=""),"",IF(Q354&gt;0,IF(R354="Làm việc",WORKDAY(IFERROR(IF(INDEX(SK_D,MATCH(O354,SK_A,0))="",B354,INDEX(SK_D,MATCH(O354,SK_A,0))),B354),Q354,HOLI),IFERROR(IF(INDEX(SK_D,MATCH(O354,SK_A,0))="",B354,INDEX(SK_D,MATCH(O354,SK_A,0))),B354)+Q354),B354+Q354))</f>
        <v/>
      </c>
      <c r="J354" s="14" t="n"/>
      <c r="K354" s="13" t="n"/>
      <c r="L354" s="12" t="n"/>
      <c r="M354" s="48">
        <f>IF(E354="","",IF(J354="Bỏ qua","—",IF(J354="Xong",IF(AND(ISNUMBER(K354),ISNUMBER(I354),K354&gt;I354),"Xong trễ","Xong"),MID(IF(G354=""," · CHƯA GIAO","")&amp;IF(NOT(ISNUMBER(I354)),"",IF(TODAY()&gt;I354," · QUÁ HẠN "&amp;(TODAY()-I354)&amp;" ngày",IF(I354-TODAY()&lt;=3," · Đến hạn "&amp;IF(I354=TODAY(),"hôm nay","trong "&amp;(I354-TODAY())&amp;" ngày"),"")))&amp;IF(J354="Chờ đối tác"," · Chờ đối tác"&amp;IF(ISNUMBER(N354)," "&amp;(TODAY()-INT(N354))&amp;" ngày",""),""),4,200))))</f>
        <v/>
      </c>
      <c r="N354" s="49" t="n"/>
      <c r="S354">
        <f>IF(AND(E354&lt;&gt;"",T354="Có",J354&lt;&gt;"Xong",J354&lt;&gt;"Bỏ qua",ISNUMBER(I354)),I354+ROW()/100000,"")</f>
        <v/>
      </c>
      <c r="T354">
        <f>IF(O354="","",IFERROR(INDEX(SK_TD,MATCH(O354,SK_A,0)),""))</f>
        <v/>
      </c>
      <c r="V354">
        <f>IF(AND(O354&lt;&gt;"",O354=SEL_K,J354&lt;&gt;"Xong",J354&lt;&gt;"Bỏ qua"),IF(ISNUMBER(I354),I354,99999)+ROW()/100000,"")</f>
        <v/>
      </c>
    </row>
    <row r="355">
      <c r="A355" s="12">
        <f>IF(O355="","",IFERROR(INDEX(SK_B,MATCH(O355,SK_A,0))&amp;"",""))</f>
        <v/>
      </c>
      <c r="B355" s="45">
        <f>IF(O355="","",IFERROR(INDEX(SK_C,MATCH(O355,SK_A,0)),""))</f>
        <v/>
      </c>
      <c r="C355" s="46">
        <f>IF(Q355="","",IF(Q355=0,"D",IF(Q355&lt;0,"D"&amp;Q355,"D+"&amp;Q355)))</f>
        <v/>
      </c>
      <c r="D355" s="14" t="n"/>
      <c r="E355" s="12" t="n"/>
      <c r="F355" s="46" t="n"/>
      <c r="G355" s="47" t="n"/>
      <c r="H355" s="14" t="n"/>
      <c r="I355" s="13">
        <f>IF(OR(B355="",Q355=""),"",IF(Q355&gt;0,IF(R355="Làm việc",WORKDAY(IFERROR(IF(INDEX(SK_D,MATCH(O355,SK_A,0))="",B355,INDEX(SK_D,MATCH(O355,SK_A,0))),B355),Q355,HOLI),IFERROR(IF(INDEX(SK_D,MATCH(O355,SK_A,0))="",B355,INDEX(SK_D,MATCH(O355,SK_A,0))),B355)+Q355),B355+Q355))</f>
        <v/>
      </c>
      <c r="J355" s="14" t="n"/>
      <c r="K355" s="13" t="n"/>
      <c r="L355" s="12" t="n"/>
      <c r="M355" s="48">
        <f>IF(E355="","",IF(J355="Bỏ qua","—",IF(J355="Xong",IF(AND(ISNUMBER(K355),ISNUMBER(I355),K355&gt;I355),"Xong trễ","Xong"),MID(IF(G355=""," · CHƯA GIAO","")&amp;IF(NOT(ISNUMBER(I355)),"",IF(TODAY()&gt;I355," · QUÁ HẠN "&amp;(TODAY()-I355)&amp;" ngày",IF(I355-TODAY()&lt;=3," · Đến hạn "&amp;IF(I355=TODAY(),"hôm nay","trong "&amp;(I355-TODAY())&amp;" ngày"),"")))&amp;IF(J355="Chờ đối tác"," · Chờ đối tác"&amp;IF(ISNUMBER(N355)," "&amp;(TODAY()-INT(N355))&amp;" ngày",""),""),4,200))))</f>
        <v/>
      </c>
      <c r="N355" s="49" t="n"/>
      <c r="S355">
        <f>IF(AND(E355&lt;&gt;"",T355="Có",J355&lt;&gt;"Xong",J355&lt;&gt;"Bỏ qua",ISNUMBER(I355)),I355+ROW()/100000,"")</f>
        <v/>
      </c>
      <c r="T355">
        <f>IF(O355="","",IFERROR(INDEX(SK_TD,MATCH(O355,SK_A,0)),""))</f>
        <v/>
      </c>
      <c r="V355">
        <f>IF(AND(O355&lt;&gt;"",O355=SEL_K,J355&lt;&gt;"Xong",J355&lt;&gt;"Bỏ qua"),IF(ISNUMBER(I355),I355,99999)+ROW()/100000,"")</f>
        <v/>
      </c>
    </row>
    <row r="356">
      <c r="A356" s="12">
        <f>IF(O356="","",IFERROR(INDEX(SK_B,MATCH(O356,SK_A,0))&amp;"",""))</f>
        <v/>
      </c>
      <c r="B356" s="45">
        <f>IF(O356="","",IFERROR(INDEX(SK_C,MATCH(O356,SK_A,0)),""))</f>
        <v/>
      </c>
      <c r="C356" s="46">
        <f>IF(Q356="","",IF(Q356=0,"D",IF(Q356&lt;0,"D"&amp;Q356,"D+"&amp;Q356)))</f>
        <v/>
      </c>
      <c r="D356" s="14" t="n"/>
      <c r="E356" s="12" t="n"/>
      <c r="F356" s="46" t="n"/>
      <c r="G356" s="47" t="n"/>
      <c r="H356" s="14" t="n"/>
      <c r="I356" s="13">
        <f>IF(OR(B356="",Q356=""),"",IF(Q356&gt;0,IF(R356="Làm việc",WORKDAY(IFERROR(IF(INDEX(SK_D,MATCH(O356,SK_A,0))="",B356,INDEX(SK_D,MATCH(O356,SK_A,0))),B356),Q356,HOLI),IFERROR(IF(INDEX(SK_D,MATCH(O356,SK_A,0))="",B356,INDEX(SK_D,MATCH(O356,SK_A,0))),B356)+Q356),B356+Q356))</f>
        <v/>
      </c>
      <c r="J356" s="14" t="n"/>
      <c r="K356" s="13" t="n"/>
      <c r="L356" s="12" t="n"/>
      <c r="M356" s="48">
        <f>IF(E356="","",IF(J356="Bỏ qua","—",IF(J356="Xong",IF(AND(ISNUMBER(K356),ISNUMBER(I356),K356&gt;I356),"Xong trễ","Xong"),MID(IF(G356=""," · CHƯA GIAO","")&amp;IF(NOT(ISNUMBER(I356)),"",IF(TODAY()&gt;I356," · QUÁ HẠN "&amp;(TODAY()-I356)&amp;" ngày",IF(I356-TODAY()&lt;=3," · Đến hạn "&amp;IF(I356=TODAY(),"hôm nay","trong "&amp;(I356-TODAY())&amp;" ngày"),"")))&amp;IF(J356="Chờ đối tác"," · Chờ đối tác"&amp;IF(ISNUMBER(N356)," "&amp;(TODAY()-INT(N356))&amp;" ngày",""),""),4,200))))</f>
        <v/>
      </c>
      <c r="N356" s="49" t="n"/>
      <c r="S356">
        <f>IF(AND(E356&lt;&gt;"",T356="Có",J356&lt;&gt;"Xong",J356&lt;&gt;"Bỏ qua",ISNUMBER(I356)),I356+ROW()/100000,"")</f>
        <v/>
      </c>
      <c r="T356">
        <f>IF(O356="","",IFERROR(INDEX(SK_TD,MATCH(O356,SK_A,0)),""))</f>
        <v/>
      </c>
      <c r="V356">
        <f>IF(AND(O356&lt;&gt;"",O356=SEL_K,J356&lt;&gt;"Xong",J356&lt;&gt;"Bỏ qua"),IF(ISNUMBER(I356),I356,99999)+ROW()/100000,"")</f>
        <v/>
      </c>
    </row>
    <row r="357">
      <c r="A357" s="12">
        <f>IF(O357="","",IFERROR(INDEX(SK_B,MATCH(O357,SK_A,0))&amp;"",""))</f>
        <v/>
      </c>
      <c r="B357" s="45">
        <f>IF(O357="","",IFERROR(INDEX(SK_C,MATCH(O357,SK_A,0)),""))</f>
        <v/>
      </c>
      <c r="C357" s="46">
        <f>IF(Q357="","",IF(Q357=0,"D",IF(Q357&lt;0,"D"&amp;Q357,"D+"&amp;Q357)))</f>
        <v/>
      </c>
      <c r="D357" s="14" t="n"/>
      <c r="E357" s="12" t="n"/>
      <c r="F357" s="46" t="n"/>
      <c r="G357" s="47" t="n"/>
      <c r="H357" s="14" t="n"/>
      <c r="I357" s="13">
        <f>IF(OR(B357="",Q357=""),"",IF(Q357&gt;0,IF(R357="Làm việc",WORKDAY(IFERROR(IF(INDEX(SK_D,MATCH(O357,SK_A,0))="",B357,INDEX(SK_D,MATCH(O357,SK_A,0))),B357),Q357,HOLI),IFERROR(IF(INDEX(SK_D,MATCH(O357,SK_A,0))="",B357,INDEX(SK_D,MATCH(O357,SK_A,0))),B357)+Q357),B357+Q357))</f>
        <v/>
      </c>
      <c r="J357" s="14" t="n"/>
      <c r="K357" s="13" t="n"/>
      <c r="L357" s="12" t="n"/>
      <c r="M357" s="48">
        <f>IF(E357="","",IF(J357="Bỏ qua","—",IF(J357="Xong",IF(AND(ISNUMBER(K357),ISNUMBER(I357),K357&gt;I357),"Xong trễ","Xong"),MID(IF(G357=""," · CHƯA GIAO","")&amp;IF(NOT(ISNUMBER(I357)),"",IF(TODAY()&gt;I357," · QUÁ HẠN "&amp;(TODAY()-I357)&amp;" ngày",IF(I357-TODAY()&lt;=3," · Đến hạn "&amp;IF(I357=TODAY(),"hôm nay","trong "&amp;(I357-TODAY())&amp;" ngày"),"")))&amp;IF(J357="Chờ đối tác"," · Chờ đối tác"&amp;IF(ISNUMBER(N357)," "&amp;(TODAY()-INT(N357))&amp;" ngày",""),""),4,200))))</f>
        <v/>
      </c>
      <c r="N357" s="49" t="n"/>
      <c r="S357">
        <f>IF(AND(E357&lt;&gt;"",T357="Có",J357&lt;&gt;"Xong",J357&lt;&gt;"Bỏ qua",ISNUMBER(I357)),I357+ROW()/100000,"")</f>
        <v/>
      </c>
      <c r="T357">
        <f>IF(O357="","",IFERROR(INDEX(SK_TD,MATCH(O357,SK_A,0)),""))</f>
        <v/>
      </c>
      <c r="V357">
        <f>IF(AND(O357&lt;&gt;"",O357=SEL_K,J357&lt;&gt;"Xong",J357&lt;&gt;"Bỏ qua"),IF(ISNUMBER(I357),I357,99999)+ROW()/100000,"")</f>
        <v/>
      </c>
    </row>
    <row r="358">
      <c r="A358" s="12">
        <f>IF(O358="","",IFERROR(INDEX(SK_B,MATCH(O358,SK_A,0))&amp;"",""))</f>
        <v/>
      </c>
      <c r="B358" s="45">
        <f>IF(O358="","",IFERROR(INDEX(SK_C,MATCH(O358,SK_A,0)),""))</f>
        <v/>
      </c>
      <c r="C358" s="46">
        <f>IF(Q358="","",IF(Q358=0,"D",IF(Q358&lt;0,"D"&amp;Q358,"D+"&amp;Q358)))</f>
        <v/>
      </c>
      <c r="D358" s="14" t="n"/>
      <c r="E358" s="12" t="n"/>
      <c r="F358" s="46" t="n"/>
      <c r="G358" s="47" t="n"/>
      <c r="H358" s="14" t="n"/>
      <c r="I358" s="13">
        <f>IF(OR(B358="",Q358=""),"",IF(Q358&gt;0,IF(R358="Làm việc",WORKDAY(IFERROR(IF(INDEX(SK_D,MATCH(O358,SK_A,0))="",B358,INDEX(SK_D,MATCH(O358,SK_A,0))),B358),Q358,HOLI),IFERROR(IF(INDEX(SK_D,MATCH(O358,SK_A,0))="",B358,INDEX(SK_D,MATCH(O358,SK_A,0))),B358)+Q358),B358+Q358))</f>
        <v/>
      </c>
      <c r="J358" s="14" t="n"/>
      <c r="K358" s="13" t="n"/>
      <c r="L358" s="12" t="n"/>
      <c r="M358" s="48">
        <f>IF(E358="","",IF(J358="Bỏ qua","—",IF(J358="Xong",IF(AND(ISNUMBER(K358),ISNUMBER(I358),K358&gt;I358),"Xong trễ","Xong"),MID(IF(G358=""," · CHƯA GIAO","")&amp;IF(NOT(ISNUMBER(I358)),"",IF(TODAY()&gt;I358," · QUÁ HẠN "&amp;(TODAY()-I358)&amp;" ngày",IF(I358-TODAY()&lt;=3," · Đến hạn "&amp;IF(I358=TODAY(),"hôm nay","trong "&amp;(I358-TODAY())&amp;" ngày"),"")))&amp;IF(J358="Chờ đối tác"," · Chờ đối tác"&amp;IF(ISNUMBER(N358)," "&amp;(TODAY()-INT(N358))&amp;" ngày",""),""),4,200))))</f>
        <v/>
      </c>
      <c r="N358" s="49" t="n"/>
      <c r="S358">
        <f>IF(AND(E358&lt;&gt;"",T358="Có",J358&lt;&gt;"Xong",J358&lt;&gt;"Bỏ qua",ISNUMBER(I358)),I358+ROW()/100000,"")</f>
        <v/>
      </c>
      <c r="T358">
        <f>IF(O358="","",IFERROR(INDEX(SK_TD,MATCH(O358,SK_A,0)),""))</f>
        <v/>
      </c>
      <c r="V358">
        <f>IF(AND(O358&lt;&gt;"",O358=SEL_K,J358&lt;&gt;"Xong",J358&lt;&gt;"Bỏ qua"),IF(ISNUMBER(I358),I358,99999)+ROW()/100000,"")</f>
        <v/>
      </c>
    </row>
    <row r="359">
      <c r="A359" s="12">
        <f>IF(O359="","",IFERROR(INDEX(SK_B,MATCH(O359,SK_A,0))&amp;"",""))</f>
        <v/>
      </c>
      <c r="B359" s="45">
        <f>IF(O359="","",IFERROR(INDEX(SK_C,MATCH(O359,SK_A,0)),""))</f>
        <v/>
      </c>
      <c r="C359" s="46">
        <f>IF(Q359="","",IF(Q359=0,"D",IF(Q359&lt;0,"D"&amp;Q359,"D+"&amp;Q359)))</f>
        <v/>
      </c>
      <c r="D359" s="14" t="n"/>
      <c r="E359" s="12" t="n"/>
      <c r="F359" s="46" t="n"/>
      <c r="G359" s="47" t="n"/>
      <c r="H359" s="14" t="n"/>
      <c r="I359" s="13">
        <f>IF(OR(B359="",Q359=""),"",IF(Q359&gt;0,IF(R359="Làm việc",WORKDAY(IFERROR(IF(INDEX(SK_D,MATCH(O359,SK_A,0))="",B359,INDEX(SK_D,MATCH(O359,SK_A,0))),B359),Q359,HOLI),IFERROR(IF(INDEX(SK_D,MATCH(O359,SK_A,0))="",B359,INDEX(SK_D,MATCH(O359,SK_A,0))),B359)+Q359),B359+Q359))</f>
        <v/>
      </c>
      <c r="J359" s="14" t="n"/>
      <c r="K359" s="13" t="n"/>
      <c r="L359" s="12" t="n"/>
      <c r="M359" s="48">
        <f>IF(E359="","",IF(J359="Bỏ qua","—",IF(J359="Xong",IF(AND(ISNUMBER(K359),ISNUMBER(I359),K359&gt;I359),"Xong trễ","Xong"),MID(IF(G359=""," · CHƯA GIAO","")&amp;IF(NOT(ISNUMBER(I359)),"",IF(TODAY()&gt;I359," · QUÁ HẠN "&amp;(TODAY()-I359)&amp;" ngày",IF(I359-TODAY()&lt;=3," · Đến hạn "&amp;IF(I359=TODAY(),"hôm nay","trong "&amp;(I359-TODAY())&amp;" ngày"),"")))&amp;IF(J359="Chờ đối tác"," · Chờ đối tác"&amp;IF(ISNUMBER(N359)," "&amp;(TODAY()-INT(N359))&amp;" ngày",""),""),4,200))))</f>
        <v/>
      </c>
      <c r="N359" s="49" t="n"/>
      <c r="S359">
        <f>IF(AND(E359&lt;&gt;"",T359="Có",J359&lt;&gt;"Xong",J359&lt;&gt;"Bỏ qua",ISNUMBER(I359)),I359+ROW()/100000,"")</f>
        <v/>
      </c>
      <c r="T359">
        <f>IF(O359="","",IFERROR(INDEX(SK_TD,MATCH(O359,SK_A,0)),""))</f>
        <v/>
      </c>
      <c r="V359">
        <f>IF(AND(O359&lt;&gt;"",O359=SEL_K,J359&lt;&gt;"Xong",J359&lt;&gt;"Bỏ qua"),IF(ISNUMBER(I359),I359,99999)+ROW()/100000,"")</f>
        <v/>
      </c>
    </row>
    <row r="360">
      <c r="A360" s="12">
        <f>IF(O360="","",IFERROR(INDEX(SK_B,MATCH(O360,SK_A,0))&amp;"",""))</f>
        <v/>
      </c>
      <c r="B360" s="45">
        <f>IF(O360="","",IFERROR(INDEX(SK_C,MATCH(O360,SK_A,0)),""))</f>
        <v/>
      </c>
      <c r="C360" s="46">
        <f>IF(Q360="","",IF(Q360=0,"D",IF(Q360&lt;0,"D"&amp;Q360,"D+"&amp;Q360)))</f>
        <v/>
      </c>
      <c r="D360" s="14" t="n"/>
      <c r="E360" s="12" t="n"/>
      <c r="F360" s="46" t="n"/>
      <c r="G360" s="47" t="n"/>
      <c r="H360" s="14" t="n"/>
      <c r="I360" s="13">
        <f>IF(OR(B360="",Q360=""),"",IF(Q360&gt;0,IF(R360="Làm việc",WORKDAY(IFERROR(IF(INDEX(SK_D,MATCH(O360,SK_A,0))="",B360,INDEX(SK_D,MATCH(O360,SK_A,0))),B360),Q360,HOLI),IFERROR(IF(INDEX(SK_D,MATCH(O360,SK_A,0))="",B360,INDEX(SK_D,MATCH(O360,SK_A,0))),B360)+Q360),B360+Q360))</f>
        <v/>
      </c>
      <c r="J360" s="14" t="n"/>
      <c r="K360" s="13" t="n"/>
      <c r="L360" s="12" t="n"/>
      <c r="M360" s="48">
        <f>IF(E360="","",IF(J360="Bỏ qua","—",IF(J360="Xong",IF(AND(ISNUMBER(K360),ISNUMBER(I360),K360&gt;I360),"Xong trễ","Xong"),MID(IF(G360=""," · CHƯA GIAO","")&amp;IF(NOT(ISNUMBER(I360)),"",IF(TODAY()&gt;I360," · QUÁ HẠN "&amp;(TODAY()-I360)&amp;" ngày",IF(I360-TODAY()&lt;=3," · Đến hạn "&amp;IF(I360=TODAY(),"hôm nay","trong "&amp;(I360-TODAY())&amp;" ngày"),"")))&amp;IF(J360="Chờ đối tác"," · Chờ đối tác"&amp;IF(ISNUMBER(N360)," "&amp;(TODAY()-INT(N360))&amp;" ngày",""),""),4,200))))</f>
        <v/>
      </c>
      <c r="N360" s="49" t="n"/>
      <c r="S360">
        <f>IF(AND(E360&lt;&gt;"",T360="Có",J360&lt;&gt;"Xong",J360&lt;&gt;"Bỏ qua",ISNUMBER(I360)),I360+ROW()/100000,"")</f>
        <v/>
      </c>
      <c r="T360">
        <f>IF(O360="","",IFERROR(INDEX(SK_TD,MATCH(O360,SK_A,0)),""))</f>
        <v/>
      </c>
      <c r="V360">
        <f>IF(AND(O360&lt;&gt;"",O360=SEL_K,J360&lt;&gt;"Xong",J360&lt;&gt;"Bỏ qua"),IF(ISNUMBER(I360),I360,99999)+ROW()/100000,"")</f>
        <v/>
      </c>
    </row>
    <row r="361">
      <c r="A361" s="12">
        <f>IF(O361="","",IFERROR(INDEX(SK_B,MATCH(O361,SK_A,0))&amp;"",""))</f>
        <v/>
      </c>
      <c r="B361" s="45">
        <f>IF(O361="","",IFERROR(INDEX(SK_C,MATCH(O361,SK_A,0)),""))</f>
        <v/>
      </c>
      <c r="C361" s="46">
        <f>IF(Q361="","",IF(Q361=0,"D",IF(Q361&lt;0,"D"&amp;Q361,"D+"&amp;Q361)))</f>
        <v/>
      </c>
      <c r="D361" s="14" t="n"/>
      <c r="E361" s="12" t="n"/>
      <c r="F361" s="46" t="n"/>
      <c r="G361" s="47" t="n"/>
      <c r="H361" s="14" t="n"/>
      <c r="I361" s="13">
        <f>IF(OR(B361="",Q361=""),"",IF(Q361&gt;0,IF(R361="Làm việc",WORKDAY(IFERROR(IF(INDEX(SK_D,MATCH(O361,SK_A,0))="",B361,INDEX(SK_D,MATCH(O361,SK_A,0))),B361),Q361,HOLI),IFERROR(IF(INDEX(SK_D,MATCH(O361,SK_A,0))="",B361,INDEX(SK_D,MATCH(O361,SK_A,0))),B361)+Q361),B361+Q361))</f>
        <v/>
      </c>
      <c r="J361" s="14" t="n"/>
      <c r="K361" s="13" t="n"/>
      <c r="L361" s="12" t="n"/>
      <c r="M361" s="48">
        <f>IF(E361="","",IF(J361="Bỏ qua","—",IF(J361="Xong",IF(AND(ISNUMBER(K361),ISNUMBER(I361),K361&gt;I361),"Xong trễ","Xong"),MID(IF(G361=""," · CHƯA GIAO","")&amp;IF(NOT(ISNUMBER(I361)),"",IF(TODAY()&gt;I361," · QUÁ HẠN "&amp;(TODAY()-I361)&amp;" ngày",IF(I361-TODAY()&lt;=3," · Đến hạn "&amp;IF(I361=TODAY(),"hôm nay","trong "&amp;(I361-TODAY())&amp;" ngày"),"")))&amp;IF(J361="Chờ đối tác"," · Chờ đối tác"&amp;IF(ISNUMBER(N361)," "&amp;(TODAY()-INT(N361))&amp;" ngày",""),""),4,200))))</f>
        <v/>
      </c>
      <c r="N361" s="49" t="n"/>
      <c r="S361">
        <f>IF(AND(E361&lt;&gt;"",T361="Có",J361&lt;&gt;"Xong",J361&lt;&gt;"Bỏ qua",ISNUMBER(I361)),I361+ROW()/100000,"")</f>
        <v/>
      </c>
      <c r="T361">
        <f>IF(O361="","",IFERROR(INDEX(SK_TD,MATCH(O361,SK_A,0)),""))</f>
        <v/>
      </c>
      <c r="V361">
        <f>IF(AND(O361&lt;&gt;"",O361=SEL_K,J361&lt;&gt;"Xong",J361&lt;&gt;"Bỏ qua"),IF(ISNUMBER(I361),I361,99999)+ROW()/100000,"")</f>
        <v/>
      </c>
    </row>
    <row r="362">
      <c r="A362" s="12">
        <f>IF(O362="","",IFERROR(INDEX(SK_B,MATCH(O362,SK_A,0))&amp;"",""))</f>
        <v/>
      </c>
      <c r="B362" s="45">
        <f>IF(O362="","",IFERROR(INDEX(SK_C,MATCH(O362,SK_A,0)),""))</f>
        <v/>
      </c>
      <c r="C362" s="46">
        <f>IF(Q362="","",IF(Q362=0,"D",IF(Q362&lt;0,"D"&amp;Q362,"D+"&amp;Q362)))</f>
        <v/>
      </c>
      <c r="D362" s="14" t="n"/>
      <c r="E362" s="12" t="n"/>
      <c r="F362" s="46" t="n"/>
      <c r="G362" s="47" t="n"/>
      <c r="H362" s="14" t="n"/>
      <c r="I362" s="13">
        <f>IF(OR(B362="",Q362=""),"",IF(Q362&gt;0,IF(R362="Làm việc",WORKDAY(IFERROR(IF(INDEX(SK_D,MATCH(O362,SK_A,0))="",B362,INDEX(SK_D,MATCH(O362,SK_A,0))),B362),Q362,HOLI),IFERROR(IF(INDEX(SK_D,MATCH(O362,SK_A,0))="",B362,INDEX(SK_D,MATCH(O362,SK_A,0))),B362)+Q362),B362+Q362))</f>
        <v/>
      </c>
      <c r="J362" s="14" t="n"/>
      <c r="K362" s="13" t="n"/>
      <c r="L362" s="12" t="n"/>
      <c r="M362" s="48">
        <f>IF(E362="","",IF(J362="Bỏ qua","—",IF(J362="Xong",IF(AND(ISNUMBER(K362),ISNUMBER(I362),K362&gt;I362),"Xong trễ","Xong"),MID(IF(G362=""," · CHƯA GIAO","")&amp;IF(NOT(ISNUMBER(I362)),"",IF(TODAY()&gt;I362," · QUÁ HẠN "&amp;(TODAY()-I362)&amp;" ngày",IF(I362-TODAY()&lt;=3," · Đến hạn "&amp;IF(I362=TODAY(),"hôm nay","trong "&amp;(I362-TODAY())&amp;" ngày"),"")))&amp;IF(J362="Chờ đối tác"," · Chờ đối tác"&amp;IF(ISNUMBER(N362)," "&amp;(TODAY()-INT(N362))&amp;" ngày",""),""),4,200))))</f>
        <v/>
      </c>
      <c r="N362" s="49" t="n"/>
      <c r="S362">
        <f>IF(AND(E362&lt;&gt;"",T362="Có",J362&lt;&gt;"Xong",J362&lt;&gt;"Bỏ qua",ISNUMBER(I362)),I362+ROW()/100000,"")</f>
        <v/>
      </c>
      <c r="T362">
        <f>IF(O362="","",IFERROR(INDEX(SK_TD,MATCH(O362,SK_A,0)),""))</f>
        <v/>
      </c>
      <c r="V362">
        <f>IF(AND(O362&lt;&gt;"",O362=SEL_K,J362&lt;&gt;"Xong",J362&lt;&gt;"Bỏ qua"),IF(ISNUMBER(I362),I362,99999)+ROW()/100000,"")</f>
        <v/>
      </c>
    </row>
    <row r="363">
      <c r="A363" s="12">
        <f>IF(O363="","",IFERROR(INDEX(SK_B,MATCH(O363,SK_A,0))&amp;"",""))</f>
        <v/>
      </c>
      <c r="B363" s="45">
        <f>IF(O363="","",IFERROR(INDEX(SK_C,MATCH(O363,SK_A,0)),""))</f>
        <v/>
      </c>
      <c r="C363" s="46">
        <f>IF(Q363="","",IF(Q363=0,"D",IF(Q363&lt;0,"D"&amp;Q363,"D+"&amp;Q363)))</f>
        <v/>
      </c>
      <c r="D363" s="14" t="n"/>
      <c r="E363" s="12" t="n"/>
      <c r="F363" s="46" t="n"/>
      <c r="G363" s="47" t="n"/>
      <c r="H363" s="14" t="n"/>
      <c r="I363" s="13">
        <f>IF(OR(B363="",Q363=""),"",IF(Q363&gt;0,IF(R363="Làm việc",WORKDAY(IFERROR(IF(INDEX(SK_D,MATCH(O363,SK_A,0))="",B363,INDEX(SK_D,MATCH(O363,SK_A,0))),B363),Q363,HOLI),IFERROR(IF(INDEX(SK_D,MATCH(O363,SK_A,0))="",B363,INDEX(SK_D,MATCH(O363,SK_A,0))),B363)+Q363),B363+Q363))</f>
        <v/>
      </c>
      <c r="J363" s="14" t="n"/>
      <c r="K363" s="13" t="n"/>
      <c r="L363" s="12" t="n"/>
      <c r="M363" s="48">
        <f>IF(E363="","",IF(J363="Bỏ qua","—",IF(J363="Xong",IF(AND(ISNUMBER(K363),ISNUMBER(I363),K363&gt;I363),"Xong trễ","Xong"),MID(IF(G363=""," · CHƯA GIAO","")&amp;IF(NOT(ISNUMBER(I363)),"",IF(TODAY()&gt;I363," · QUÁ HẠN "&amp;(TODAY()-I363)&amp;" ngày",IF(I363-TODAY()&lt;=3," · Đến hạn "&amp;IF(I363=TODAY(),"hôm nay","trong "&amp;(I363-TODAY())&amp;" ngày"),"")))&amp;IF(J363="Chờ đối tác"," · Chờ đối tác"&amp;IF(ISNUMBER(N363)," "&amp;(TODAY()-INT(N363))&amp;" ngày",""),""),4,200))))</f>
        <v/>
      </c>
      <c r="N363" s="49" t="n"/>
      <c r="S363">
        <f>IF(AND(E363&lt;&gt;"",T363="Có",J363&lt;&gt;"Xong",J363&lt;&gt;"Bỏ qua",ISNUMBER(I363)),I363+ROW()/100000,"")</f>
        <v/>
      </c>
      <c r="T363">
        <f>IF(O363="","",IFERROR(INDEX(SK_TD,MATCH(O363,SK_A,0)),""))</f>
        <v/>
      </c>
      <c r="V363">
        <f>IF(AND(O363&lt;&gt;"",O363=SEL_K,J363&lt;&gt;"Xong",J363&lt;&gt;"Bỏ qua"),IF(ISNUMBER(I363),I363,99999)+ROW()/100000,"")</f>
        <v/>
      </c>
    </row>
    <row r="364">
      <c r="A364" s="12">
        <f>IF(O364="","",IFERROR(INDEX(SK_B,MATCH(O364,SK_A,0))&amp;"",""))</f>
        <v/>
      </c>
      <c r="B364" s="45">
        <f>IF(O364="","",IFERROR(INDEX(SK_C,MATCH(O364,SK_A,0)),""))</f>
        <v/>
      </c>
      <c r="C364" s="46">
        <f>IF(Q364="","",IF(Q364=0,"D",IF(Q364&lt;0,"D"&amp;Q364,"D+"&amp;Q364)))</f>
        <v/>
      </c>
      <c r="D364" s="14" t="n"/>
      <c r="E364" s="12" t="n"/>
      <c r="F364" s="46" t="n"/>
      <c r="G364" s="47" t="n"/>
      <c r="H364" s="14" t="n"/>
      <c r="I364" s="13">
        <f>IF(OR(B364="",Q364=""),"",IF(Q364&gt;0,IF(R364="Làm việc",WORKDAY(IFERROR(IF(INDEX(SK_D,MATCH(O364,SK_A,0))="",B364,INDEX(SK_D,MATCH(O364,SK_A,0))),B364),Q364,HOLI),IFERROR(IF(INDEX(SK_D,MATCH(O364,SK_A,0))="",B364,INDEX(SK_D,MATCH(O364,SK_A,0))),B364)+Q364),B364+Q364))</f>
        <v/>
      </c>
      <c r="J364" s="14" t="n"/>
      <c r="K364" s="13" t="n"/>
      <c r="L364" s="12" t="n"/>
      <c r="M364" s="48">
        <f>IF(E364="","",IF(J364="Bỏ qua","—",IF(J364="Xong",IF(AND(ISNUMBER(K364),ISNUMBER(I364),K364&gt;I364),"Xong trễ","Xong"),MID(IF(G364=""," · CHƯA GIAO","")&amp;IF(NOT(ISNUMBER(I364)),"",IF(TODAY()&gt;I364," · QUÁ HẠN "&amp;(TODAY()-I364)&amp;" ngày",IF(I364-TODAY()&lt;=3," · Đến hạn "&amp;IF(I364=TODAY(),"hôm nay","trong "&amp;(I364-TODAY())&amp;" ngày"),"")))&amp;IF(J364="Chờ đối tác"," · Chờ đối tác"&amp;IF(ISNUMBER(N364)," "&amp;(TODAY()-INT(N364))&amp;" ngày",""),""),4,200))))</f>
        <v/>
      </c>
      <c r="N364" s="49" t="n"/>
      <c r="S364">
        <f>IF(AND(E364&lt;&gt;"",T364="Có",J364&lt;&gt;"Xong",J364&lt;&gt;"Bỏ qua",ISNUMBER(I364)),I364+ROW()/100000,"")</f>
        <v/>
      </c>
      <c r="T364">
        <f>IF(O364="","",IFERROR(INDEX(SK_TD,MATCH(O364,SK_A,0)),""))</f>
        <v/>
      </c>
      <c r="V364">
        <f>IF(AND(O364&lt;&gt;"",O364=SEL_K,J364&lt;&gt;"Xong",J364&lt;&gt;"Bỏ qua"),IF(ISNUMBER(I364),I364,99999)+ROW()/100000,"")</f>
        <v/>
      </c>
    </row>
    <row r="365">
      <c r="A365" s="12">
        <f>IF(O365="","",IFERROR(INDEX(SK_B,MATCH(O365,SK_A,0))&amp;"",""))</f>
        <v/>
      </c>
      <c r="B365" s="45">
        <f>IF(O365="","",IFERROR(INDEX(SK_C,MATCH(O365,SK_A,0)),""))</f>
        <v/>
      </c>
      <c r="C365" s="46">
        <f>IF(Q365="","",IF(Q365=0,"D",IF(Q365&lt;0,"D"&amp;Q365,"D+"&amp;Q365)))</f>
        <v/>
      </c>
      <c r="D365" s="14" t="n"/>
      <c r="E365" s="12" t="n"/>
      <c r="F365" s="46" t="n"/>
      <c r="G365" s="47" t="n"/>
      <c r="H365" s="14" t="n"/>
      <c r="I365" s="13">
        <f>IF(OR(B365="",Q365=""),"",IF(Q365&gt;0,IF(R365="Làm việc",WORKDAY(IFERROR(IF(INDEX(SK_D,MATCH(O365,SK_A,0))="",B365,INDEX(SK_D,MATCH(O365,SK_A,0))),B365),Q365,HOLI),IFERROR(IF(INDEX(SK_D,MATCH(O365,SK_A,0))="",B365,INDEX(SK_D,MATCH(O365,SK_A,0))),B365)+Q365),B365+Q365))</f>
        <v/>
      </c>
      <c r="J365" s="14" t="n"/>
      <c r="K365" s="13" t="n"/>
      <c r="L365" s="12" t="n"/>
      <c r="M365" s="48">
        <f>IF(E365="","",IF(J365="Bỏ qua","—",IF(J365="Xong",IF(AND(ISNUMBER(K365),ISNUMBER(I365),K365&gt;I365),"Xong trễ","Xong"),MID(IF(G365=""," · CHƯA GIAO","")&amp;IF(NOT(ISNUMBER(I365)),"",IF(TODAY()&gt;I365," · QUÁ HẠN "&amp;(TODAY()-I365)&amp;" ngày",IF(I365-TODAY()&lt;=3," · Đến hạn "&amp;IF(I365=TODAY(),"hôm nay","trong "&amp;(I365-TODAY())&amp;" ngày"),"")))&amp;IF(J365="Chờ đối tác"," · Chờ đối tác"&amp;IF(ISNUMBER(N365)," "&amp;(TODAY()-INT(N365))&amp;" ngày",""),""),4,200))))</f>
        <v/>
      </c>
      <c r="N365" s="49" t="n"/>
      <c r="S365">
        <f>IF(AND(E365&lt;&gt;"",T365="Có",J365&lt;&gt;"Xong",J365&lt;&gt;"Bỏ qua",ISNUMBER(I365)),I365+ROW()/100000,"")</f>
        <v/>
      </c>
      <c r="T365">
        <f>IF(O365="","",IFERROR(INDEX(SK_TD,MATCH(O365,SK_A,0)),""))</f>
        <v/>
      </c>
      <c r="V365">
        <f>IF(AND(O365&lt;&gt;"",O365=SEL_K,J365&lt;&gt;"Xong",J365&lt;&gt;"Bỏ qua"),IF(ISNUMBER(I365),I365,99999)+ROW()/100000,"")</f>
        <v/>
      </c>
    </row>
    <row r="366">
      <c r="A366" s="12">
        <f>IF(O366="","",IFERROR(INDEX(SK_B,MATCH(O366,SK_A,0))&amp;"",""))</f>
        <v/>
      </c>
      <c r="B366" s="45">
        <f>IF(O366="","",IFERROR(INDEX(SK_C,MATCH(O366,SK_A,0)),""))</f>
        <v/>
      </c>
      <c r="C366" s="46">
        <f>IF(Q366="","",IF(Q366=0,"D",IF(Q366&lt;0,"D"&amp;Q366,"D+"&amp;Q366)))</f>
        <v/>
      </c>
      <c r="D366" s="14" t="n"/>
      <c r="E366" s="12" t="n"/>
      <c r="F366" s="46" t="n"/>
      <c r="G366" s="47" t="n"/>
      <c r="H366" s="14" t="n"/>
      <c r="I366" s="13">
        <f>IF(OR(B366="",Q366=""),"",IF(Q366&gt;0,IF(R366="Làm việc",WORKDAY(IFERROR(IF(INDEX(SK_D,MATCH(O366,SK_A,0))="",B366,INDEX(SK_D,MATCH(O366,SK_A,0))),B366),Q366,HOLI),IFERROR(IF(INDEX(SK_D,MATCH(O366,SK_A,0))="",B366,INDEX(SK_D,MATCH(O366,SK_A,0))),B366)+Q366),B366+Q366))</f>
        <v/>
      </c>
      <c r="J366" s="14" t="n"/>
      <c r="K366" s="13" t="n"/>
      <c r="L366" s="12" t="n"/>
      <c r="M366" s="48">
        <f>IF(E366="","",IF(J366="Bỏ qua","—",IF(J366="Xong",IF(AND(ISNUMBER(K366),ISNUMBER(I366),K366&gt;I366),"Xong trễ","Xong"),MID(IF(G366=""," · CHƯA GIAO","")&amp;IF(NOT(ISNUMBER(I366)),"",IF(TODAY()&gt;I366," · QUÁ HẠN "&amp;(TODAY()-I366)&amp;" ngày",IF(I366-TODAY()&lt;=3," · Đến hạn "&amp;IF(I366=TODAY(),"hôm nay","trong "&amp;(I366-TODAY())&amp;" ngày"),"")))&amp;IF(J366="Chờ đối tác"," · Chờ đối tác"&amp;IF(ISNUMBER(N366)," "&amp;(TODAY()-INT(N366))&amp;" ngày",""),""),4,200))))</f>
        <v/>
      </c>
      <c r="N366" s="49" t="n"/>
      <c r="S366">
        <f>IF(AND(E366&lt;&gt;"",T366="Có",J366&lt;&gt;"Xong",J366&lt;&gt;"Bỏ qua",ISNUMBER(I366)),I366+ROW()/100000,"")</f>
        <v/>
      </c>
      <c r="T366">
        <f>IF(O366="","",IFERROR(INDEX(SK_TD,MATCH(O366,SK_A,0)),""))</f>
        <v/>
      </c>
      <c r="V366">
        <f>IF(AND(O366&lt;&gt;"",O366=SEL_K,J366&lt;&gt;"Xong",J366&lt;&gt;"Bỏ qua"),IF(ISNUMBER(I366),I366,99999)+ROW()/100000,"")</f>
        <v/>
      </c>
    </row>
    <row r="367">
      <c r="A367" s="12">
        <f>IF(O367="","",IFERROR(INDEX(SK_B,MATCH(O367,SK_A,0))&amp;"",""))</f>
        <v/>
      </c>
      <c r="B367" s="45">
        <f>IF(O367="","",IFERROR(INDEX(SK_C,MATCH(O367,SK_A,0)),""))</f>
        <v/>
      </c>
      <c r="C367" s="46">
        <f>IF(Q367="","",IF(Q367=0,"D",IF(Q367&lt;0,"D"&amp;Q367,"D+"&amp;Q367)))</f>
        <v/>
      </c>
      <c r="D367" s="14" t="n"/>
      <c r="E367" s="12" t="n"/>
      <c r="F367" s="46" t="n"/>
      <c r="G367" s="47" t="n"/>
      <c r="H367" s="14" t="n"/>
      <c r="I367" s="13">
        <f>IF(OR(B367="",Q367=""),"",IF(Q367&gt;0,IF(R367="Làm việc",WORKDAY(IFERROR(IF(INDEX(SK_D,MATCH(O367,SK_A,0))="",B367,INDEX(SK_D,MATCH(O367,SK_A,0))),B367),Q367,HOLI),IFERROR(IF(INDEX(SK_D,MATCH(O367,SK_A,0))="",B367,INDEX(SK_D,MATCH(O367,SK_A,0))),B367)+Q367),B367+Q367))</f>
        <v/>
      </c>
      <c r="J367" s="14" t="n"/>
      <c r="K367" s="13" t="n"/>
      <c r="L367" s="12" t="n"/>
      <c r="M367" s="48">
        <f>IF(E367="","",IF(J367="Bỏ qua","—",IF(J367="Xong",IF(AND(ISNUMBER(K367),ISNUMBER(I367),K367&gt;I367),"Xong trễ","Xong"),MID(IF(G367=""," · CHƯA GIAO","")&amp;IF(NOT(ISNUMBER(I367)),"",IF(TODAY()&gt;I367," · QUÁ HẠN "&amp;(TODAY()-I367)&amp;" ngày",IF(I367-TODAY()&lt;=3," · Đến hạn "&amp;IF(I367=TODAY(),"hôm nay","trong "&amp;(I367-TODAY())&amp;" ngày"),"")))&amp;IF(J367="Chờ đối tác"," · Chờ đối tác"&amp;IF(ISNUMBER(N367)," "&amp;(TODAY()-INT(N367))&amp;" ngày",""),""),4,200))))</f>
        <v/>
      </c>
      <c r="N367" s="49" t="n"/>
      <c r="S367">
        <f>IF(AND(E367&lt;&gt;"",T367="Có",J367&lt;&gt;"Xong",J367&lt;&gt;"Bỏ qua",ISNUMBER(I367)),I367+ROW()/100000,"")</f>
        <v/>
      </c>
      <c r="T367">
        <f>IF(O367="","",IFERROR(INDEX(SK_TD,MATCH(O367,SK_A,0)),""))</f>
        <v/>
      </c>
      <c r="V367">
        <f>IF(AND(O367&lt;&gt;"",O367=SEL_K,J367&lt;&gt;"Xong",J367&lt;&gt;"Bỏ qua"),IF(ISNUMBER(I367),I367,99999)+ROW()/100000,"")</f>
        <v/>
      </c>
    </row>
    <row r="368">
      <c r="A368" s="12">
        <f>IF(O368="","",IFERROR(INDEX(SK_B,MATCH(O368,SK_A,0))&amp;"",""))</f>
        <v/>
      </c>
      <c r="B368" s="45">
        <f>IF(O368="","",IFERROR(INDEX(SK_C,MATCH(O368,SK_A,0)),""))</f>
        <v/>
      </c>
      <c r="C368" s="46">
        <f>IF(Q368="","",IF(Q368=0,"D",IF(Q368&lt;0,"D"&amp;Q368,"D+"&amp;Q368)))</f>
        <v/>
      </c>
      <c r="D368" s="14" t="n"/>
      <c r="E368" s="12" t="n"/>
      <c r="F368" s="46" t="n"/>
      <c r="G368" s="47" t="n"/>
      <c r="H368" s="14" t="n"/>
      <c r="I368" s="13">
        <f>IF(OR(B368="",Q368=""),"",IF(Q368&gt;0,IF(R368="Làm việc",WORKDAY(IFERROR(IF(INDEX(SK_D,MATCH(O368,SK_A,0))="",B368,INDEX(SK_D,MATCH(O368,SK_A,0))),B368),Q368,HOLI),IFERROR(IF(INDEX(SK_D,MATCH(O368,SK_A,0))="",B368,INDEX(SK_D,MATCH(O368,SK_A,0))),B368)+Q368),B368+Q368))</f>
        <v/>
      </c>
      <c r="J368" s="14" t="n"/>
      <c r="K368" s="13" t="n"/>
      <c r="L368" s="12" t="n"/>
      <c r="M368" s="48">
        <f>IF(E368="","",IF(J368="Bỏ qua","—",IF(J368="Xong",IF(AND(ISNUMBER(K368),ISNUMBER(I368),K368&gt;I368),"Xong trễ","Xong"),MID(IF(G368=""," · CHƯA GIAO","")&amp;IF(NOT(ISNUMBER(I368)),"",IF(TODAY()&gt;I368," · QUÁ HẠN "&amp;(TODAY()-I368)&amp;" ngày",IF(I368-TODAY()&lt;=3," · Đến hạn "&amp;IF(I368=TODAY(),"hôm nay","trong "&amp;(I368-TODAY())&amp;" ngày"),"")))&amp;IF(J368="Chờ đối tác"," · Chờ đối tác"&amp;IF(ISNUMBER(N368)," "&amp;(TODAY()-INT(N368))&amp;" ngày",""),""),4,200))))</f>
        <v/>
      </c>
      <c r="N368" s="49" t="n"/>
      <c r="S368">
        <f>IF(AND(E368&lt;&gt;"",T368="Có",J368&lt;&gt;"Xong",J368&lt;&gt;"Bỏ qua",ISNUMBER(I368)),I368+ROW()/100000,"")</f>
        <v/>
      </c>
      <c r="T368">
        <f>IF(O368="","",IFERROR(INDEX(SK_TD,MATCH(O368,SK_A,0)),""))</f>
        <v/>
      </c>
      <c r="V368">
        <f>IF(AND(O368&lt;&gt;"",O368=SEL_K,J368&lt;&gt;"Xong",J368&lt;&gt;"Bỏ qua"),IF(ISNUMBER(I368),I368,99999)+ROW()/100000,"")</f>
        <v/>
      </c>
    </row>
    <row r="369">
      <c r="A369" s="12">
        <f>IF(O369="","",IFERROR(INDEX(SK_B,MATCH(O369,SK_A,0))&amp;"",""))</f>
        <v/>
      </c>
      <c r="B369" s="45">
        <f>IF(O369="","",IFERROR(INDEX(SK_C,MATCH(O369,SK_A,0)),""))</f>
        <v/>
      </c>
      <c r="C369" s="46">
        <f>IF(Q369="","",IF(Q369=0,"D",IF(Q369&lt;0,"D"&amp;Q369,"D+"&amp;Q369)))</f>
        <v/>
      </c>
      <c r="D369" s="14" t="n"/>
      <c r="E369" s="12" t="n"/>
      <c r="F369" s="46" t="n"/>
      <c r="G369" s="47" t="n"/>
      <c r="H369" s="14" t="n"/>
      <c r="I369" s="13">
        <f>IF(OR(B369="",Q369=""),"",IF(Q369&gt;0,IF(R369="Làm việc",WORKDAY(IFERROR(IF(INDEX(SK_D,MATCH(O369,SK_A,0))="",B369,INDEX(SK_D,MATCH(O369,SK_A,0))),B369),Q369,HOLI),IFERROR(IF(INDEX(SK_D,MATCH(O369,SK_A,0))="",B369,INDEX(SK_D,MATCH(O369,SK_A,0))),B369)+Q369),B369+Q369))</f>
        <v/>
      </c>
      <c r="J369" s="14" t="n"/>
      <c r="K369" s="13" t="n"/>
      <c r="L369" s="12" t="n"/>
      <c r="M369" s="48">
        <f>IF(E369="","",IF(J369="Bỏ qua","—",IF(J369="Xong",IF(AND(ISNUMBER(K369),ISNUMBER(I369),K369&gt;I369),"Xong trễ","Xong"),MID(IF(G369=""," · CHƯA GIAO","")&amp;IF(NOT(ISNUMBER(I369)),"",IF(TODAY()&gt;I369," · QUÁ HẠN "&amp;(TODAY()-I369)&amp;" ngày",IF(I369-TODAY()&lt;=3," · Đến hạn "&amp;IF(I369=TODAY(),"hôm nay","trong "&amp;(I369-TODAY())&amp;" ngày"),"")))&amp;IF(J369="Chờ đối tác"," · Chờ đối tác"&amp;IF(ISNUMBER(N369)," "&amp;(TODAY()-INT(N369))&amp;" ngày",""),""),4,200))))</f>
        <v/>
      </c>
      <c r="N369" s="49" t="n"/>
      <c r="S369">
        <f>IF(AND(E369&lt;&gt;"",T369="Có",J369&lt;&gt;"Xong",J369&lt;&gt;"Bỏ qua",ISNUMBER(I369)),I369+ROW()/100000,"")</f>
        <v/>
      </c>
      <c r="T369">
        <f>IF(O369="","",IFERROR(INDEX(SK_TD,MATCH(O369,SK_A,0)),""))</f>
        <v/>
      </c>
      <c r="V369">
        <f>IF(AND(O369&lt;&gt;"",O369=SEL_K,J369&lt;&gt;"Xong",J369&lt;&gt;"Bỏ qua"),IF(ISNUMBER(I369),I369,99999)+ROW()/100000,"")</f>
        <v/>
      </c>
    </row>
    <row r="370">
      <c r="A370" s="12">
        <f>IF(O370="","",IFERROR(INDEX(SK_B,MATCH(O370,SK_A,0))&amp;"",""))</f>
        <v/>
      </c>
      <c r="B370" s="45">
        <f>IF(O370="","",IFERROR(INDEX(SK_C,MATCH(O370,SK_A,0)),""))</f>
        <v/>
      </c>
      <c r="C370" s="46">
        <f>IF(Q370="","",IF(Q370=0,"D",IF(Q370&lt;0,"D"&amp;Q370,"D+"&amp;Q370)))</f>
        <v/>
      </c>
      <c r="D370" s="14" t="n"/>
      <c r="E370" s="12" t="n"/>
      <c r="F370" s="46" t="n"/>
      <c r="G370" s="47" t="n"/>
      <c r="H370" s="14" t="n"/>
      <c r="I370" s="13">
        <f>IF(OR(B370="",Q370=""),"",IF(Q370&gt;0,IF(R370="Làm việc",WORKDAY(IFERROR(IF(INDEX(SK_D,MATCH(O370,SK_A,0))="",B370,INDEX(SK_D,MATCH(O370,SK_A,0))),B370),Q370,HOLI),IFERROR(IF(INDEX(SK_D,MATCH(O370,SK_A,0))="",B370,INDEX(SK_D,MATCH(O370,SK_A,0))),B370)+Q370),B370+Q370))</f>
        <v/>
      </c>
      <c r="J370" s="14" t="n"/>
      <c r="K370" s="13" t="n"/>
      <c r="L370" s="12" t="n"/>
      <c r="M370" s="48">
        <f>IF(E370="","",IF(J370="Bỏ qua","—",IF(J370="Xong",IF(AND(ISNUMBER(K370),ISNUMBER(I370),K370&gt;I370),"Xong trễ","Xong"),MID(IF(G370=""," · CHƯA GIAO","")&amp;IF(NOT(ISNUMBER(I370)),"",IF(TODAY()&gt;I370," · QUÁ HẠN "&amp;(TODAY()-I370)&amp;" ngày",IF(I370-TODAY()&lt;=3," · Đến hạn "&amp;IF(I370=TODAY(),"hôm nay","trong "&amp;(I370-TODAY())&amp;" ngày"),"")))&amp;IF(J370="Chờ đối tác"," · Chờ đối tác"&amp;IF(ISNUMBER(N370)," "&amp;(TODAY()-INT(N370))&amp;" ngày",""),""),4,200))))</f>
        <v/>
      </c>
      <c r="N370" s="49" t="n"/>
      <c r="S370">
        <f>IF(AND(E370&lt;&gt;"",T370="Có",J370&lt;&gt;"Xong",J370&lt;&gt;"Bỏ qua",ISNUMBER(I370)),I370+ROW()/100000,"")</f>
        <v/>
      </c>
      <c r="T370">
        <f>IF(O370="","",IFERROR(INDEX(SK_TD,MATCH(O370,SK_A,0)),""))</f>
        <v/>
      </c>
      <c r="V370">
        <f>IF(AND(O370&lt;&gt;"",O370=SEL_K,J370&lt;&gt;"Xong",J370&lt;&gt;"Bỏ qua"),IF(ISNUMBER(I370),I370,99999)+ROW()/100000,"")</f>
        <v/>
      </c>
    </row>
    <row r="371">
      <c r="A371" s="12">
        <f>IF(O371="","",IFERROR(INDEX(SK_B,MATCH(O371,SK_A,0))&amp;"",""))</f>
        <v/>
      </c>
      <c r="B371" s="45">
        <f>IF(O371="","",IFERROR(INDEX(SK_C,MATCH(O371,SK_A,0)),""))</f>
        <v/>
      </c>
      <c r="C371" s="46">
        <f>IF(Q371="","",IF(Q371=0,"D",IF(Q371&lt;0,"D"&amp;Q371,"D+"&amp;Q371)))</f>
        <v/>
      </c>
      <c r="D371" s="14" t="n"/>
      <c r="E371" s="12" t="n"/>
      <c r="F371" s="46" t="n"/>
      <c r="G371" s="47" t="n"/>
      <c r="H371" s="14" t="n"/>
      <c r="I371" s="13">
        <f>IF(OR(B371="",Q371=""),"",IF(Q371&gt;0,IF(R371="Làm việc",WORKDAY(IFERROR(IF(INDEX(SK_D,MATCH(O371,SK_A,0))="",B371,INDEX(SK_D,MATCH(O371,SK_A,0))),B371),Q371,HOLI),IFERROR(IF(INDEX(SK_D,MATCH(O371,SK_A,0))="",B371,INDEX(SK_D,MATCH(O371,SK_A,0))),B371)+Q371),B371+Q371))</f>
        <v/>
      </c>
      <c r="J371" s="14" t="n"/>
      <c r="K371" s="13" t="n"/>
      <c r="L371" s="12" t="n"/>
      <c r="M371" s="48">
        <f>IF(E371="","",IF(J371="Bỏ qua","—",IF(J371="Xong",IF(AND(ISNUMBER(K371),ISNUMBER(I371),K371&gt;I371),"Xong trễ","Xong"),MID(IF(G371=""," · CHƯA GIAO","")&amp;IF(NOT(ISNUMBER(I371)),"",IF(TODAY()&gt;I371," · QUÁ HẠN "&amp;(TODAY()-I371)&amp;" ngày",IF(I371-TODAY()&lt;=3," · Đến hạn "&amp;IF(I371=TODAY(),"hôm nay","trong "&amp;(I371-TODAY())&amp;" ngày"),"")))&amp;IF(J371="Chờ đối tác"," · Chờ đối tác"&amp;IF(ISNUMBER(N371)," "&amp;(TODAY()-INT(N371))&amp;" ngày",""),""),4,200))))</f>
        <v/>
      </c>
      <c r="N371" s="49" t="n"/>
      <c r="S371">
        <f>IF(AND(E371&lt;&gt;"",T371="Có",J371&lt;&gt;"Xong",J371&lt;&gt;"Bỏ qua",ISNUMBER(I371)),I371+ROW()/100000,"")</f>
        <v/>
      </c>
      <c r="T371">
        <f>IF(O371="","",IFERROR(INDEX(SK_TD,MATCH(O371,SK_A,0)),""))</f>
        <v/>
      </c>
      <c r="V371">
        <f>IF(AND(O371&lt;&gt;"",O371=SEL_K,J371&lt;&gt;"Xong",J371&lt;&gt;"Bỏ qua"),IF(ISNUMBER(I371),I371,99999)+ROW()/100000,"")</f>
        <v/>
      </c>
    </row>
    <row r="372">
      <c r="A372" s="12">
        <f>IF(O372="","",IFERROR(INDEX(SK_B,MATCH(O372,SK_A,0))&amp;"",""))</f>
        <v/>
      </c>
      <c r="B372" s="45">
        <f>IF(O372="","",IFERROR(INDEX(SK_C,MATCH(O372,SK_A,0)),""))</f>
        <v/>
      </c>
      <c r="C372" s="46">
        <f>IF(Q372="","",IF(Q372=0,"D",IF(Q372&lt;0,"D"&amp;Q372,"D+"&amp;Q372)))</f>
        <v/>
      </c>
      <c r="D372" s="14" t="n"/>
      <c r="E372" s="12" t="n"/>
      <c r="F372" s="46" t="n"/>
      <c r="G372" s="47" t="n"/>
      <c r="H372" s="14" t="n"/>
      <c r="I372" s="13">
        <f>IF(OR(B372="",Q372=""),"",IF(Q372&gt;0,IF(R372="Làm việc",WORKDAY(IFERROR(IF(INDEX(SK_D,MATCH(O372,SK_A,0))="",B372,INDEX(SK_D,MATCH(O372,SK_A,0))),B372),Q372,HOLI),IFERROR(IF(INDEX(SK_D,MATCH(O372,SK_A,0))="",B372,INDEX(SK_D,MATCH(O372,SK_A,0))),B372)+Q372),B372+Q372))</f>
        <v/>
      </c>
      <c r="J372" s="14" t="n"/>
      <c r="K372" s="13" t="n"/>
      <c r="L372" s="12" t="n"/>
      <c r="M372" s="48">
        <f>IF(E372="","",IF(J372="Bỏ qua","—",IF(J372="Xong",IF(AND(ISNUMBER(K372),ISNUMBER(I372),K372&gt;I372),"Xong trễ","Xong"),MID(IF(G372=""," · CHƯA GIAO","")&amp;IF(NOT(ISNUMBER(I372)),"",IF(TODAY()&gt;I372," · QUÁ HẠN "&amp;(TODAY()-I372)&amp;" ngày",IF(I372-TODAY()&lt;=3," · Đến hạn "&amp;IF(I372=TODAY(),"hôm nay","trong "&amp;(I372-TODAY())&amp;" ngày"),"")))&amp;IF(J372="Chờ đối tác"," · Chờ đối tác"&amp;IF(ISNUMBER(N372)," "&amp;(TODAY()-INT(N372))&amp;" ngày",""),""),4,200))))</f>
        <v/>
      </c>
      <c r="N372" s="49" t="n"/>
      <c r="S372">
        <f>IF(AND(E372&lt;&gt;"",T372="Có",J372&lt;&gt;"Xong",J372&lt;&gt;"Bỏ qua",ISNUMBER(I372)),I372+ROW()/100000,"")</f>
        <v/>
      </c>
      <c r="T372">
        <f>IF(O372="","",IFERROR(INDEX(SK_TD,MATCH(O372,SK_A,0)),""))</f>
        <v/>
      </c>
      <c r="V372">
        <f>IF(AND(O372&lt;&gt;"",O372=SEL_K,J372&lt;&gt;"Xong",J372&lt;&gt;"Bỏ qua"),IF(ISNUMBER(I372),I372,99999)+ROW()/100000,"")</f>
        <v/>
      </c>
    </row>
    <row r="373">
      <c r="A373" s="12">
        <f>IF(O373="","",IFERROR(INDEX(SK_B,MATCH(O373,SK_A,0))&amp;"",""))</f>
        <v/>
      </c>
      <c r="B373" s="45">
        <f>IF(O373="","",IFERROR(INDEX(SK_C,MATCH(O373,SK_A,0)),""))</f>
        <v/>
      </c>
      <c r="C373" s="46">
        <f>IF(Q373="","",IF(Q373=0,"D",IF(Q373&lt;0,"D"&amp;Q373,"D+"&amp;Q373)))</f>
        <v/>
      </c>
      <c r="D373" s="14" t="n"/>
      <c r="E373" s="12" t="n"/>
      <c r="F373" s="46" t="n"/>
      <c r="G373" s="47" t="n"/>
      <c r="H373" s="14" t="n"/>
      <c r="I373" s="13">
        <f>IF(OR(B373="",Q373=""),"",IF(Q373&gt;0,IF(R373="Làm việc",WORKDAY(IFERROR(IF(INDEX(SK_D,MATCH(O373,SK_A,0))="",B373,INDEX(SK_D,MATCH(O373,SK_A,0))),B373),Q373,HOLI),IFERROR(IF(INDEX(SK_D,MATCH(O373,SK_A,0))="",B373,INDEX(SK_D,MATCH(O373,SK_A,0))),B373)+Q373),B373+Q373))</f>
        <v/>
      </c>
      <c r="J373" s="14" t="n"/>
      <c r="K373" s="13" t="n"/>
      <c r="L373" s="12" t="n"/>
      <c r="M373" s="48">
        <f>IF(E373="","",IF(J373="Bỏ qua","—",IF(J373="Xong",IF(AND(ISNUMBER(K373),ISNUMBER(I373),K373&gt;I373),"Xong trễ","Xong"),MID(IF(G373=""," · CHƯA GIAO","")&amp;IF(NOT(ISNUMBER(I373)),"",IF(TODAY()&gt;I373," · QUÁ HẠN "&amp;(TODAY()-I373)&amp;" ngày",IF(I373-TODAY()&lt;=3," · Đến hạn "&amp;IF(I373=TODAY(),"hôm nay","trong "&amp;(I373-TODAY())&amp;" ngày"),"")))&amp;IF(J373="Chờ đối tác"," · Chờ đối tác"&amp;IF(ISNUMBER(N373)," "&amp;(TODAY()-INT(N373))&amp;" ngày",""),""),4,200))))</f>
        <v/>
      </c>
      <c r="N373" s="49" t="n"/>
      <c r="S373">
        <f>IF(AND(E373&lt;&gt;"",T373="Có",J373&lt;&gt;"Xong",J373&lt;&gt;"Bỏ qua",ISNUMBER(I373)),I373+ROW()/100000,"")</f>
        <v/>
      </c>
      <c r="T373">
        <f>IF(O373="","",IFERROR(INDEX(SK_TD,MATCH(O373,SK_A,0)),""))</f>
        <v/>
      </c>
      <c r="V373">
        <f>IF(AND(O373&lt;&gt;"",O373=SEL_K,J373&lt;&gt;"Xong",J373&lt;&gt;"Bỏ qua"),IF(ISNUMBER(I373),I373,99999)+ROW()/100000,"")</f>
        <v/>
      </c>
    </row>
    <row r="374">
      <c r="A374" s="12">
        <f>IF(O374="","",IFERROR(INDEX(SK_B,MATCH(O374,SK_A,0))&amp;"",""))</f>
        <v/>
      </c>
      <c r="B374" s="45">
        <f>IF(O374="","",IFERROR(INDEX(SK_C,MATCH(O374,SK_A,0)),""))</f>
        <v/>
      </c>
      <c r="C374" s="46">
        <f>IF(Q374="","",IF(Q374=0,"D",IF(Q374&lt;0,"D"&amp;Q374,"D+"&amp;Q374)))</f>
        <v/>
      </c>
      <c r="D374" s="14" t="n"/>
      <c r="E374" s="12" t="n"/>
      <c r="F374" s="46" t="n"/>
      <c r="G374" s="47" t="n"/>
      <c r="H374" s="14" t="n"/>
      <c r="I374" s="13">
        <f>IF(OR(B374="",Q374=""),"",IF(Q374&gt;0,IF(R374="Làm việc",WORKDAY(IFERROR(IF(INDEX(SK_D,MATCH(O374,SK_A,0))="",B374,INDEX(SK_D,MATCH(O374,SK_A,0))),B374),Q374,HOLI),IFERROR(IF(INDEX(SK_D,MATCH(O374,SK_A,0))="",B374,INDEX(SK_D,MATCH(O374,SK_A,0))),B374)+Q374),B374+Q374))</f>
        <v/>
      </c>
      <c r="J374" s="14" t="n"/>
      <c r="K374" s="13" t="n"/>
      <c r="L374" s="12" t="n"/>
      <c r="M374" s="48">
        <f>IF(E374="","",IF(J374="Bỏ qua","—",IF(J374="Xong",IF(AND(ISNUMBER(K374),ISNUMBER(I374),K374&gt;I374),"Xong trễ","Xong"),MID(IF(G374=""," · CHƯA GIAO","")&amp;IF(NOT(ISNUMBER(I374)),"",IF(TODAY()&gt;I374," · QUÁ HẠN "&amp;(TODAY()-I374)&amp;" ngày",IF(I374-TODAY()&lt;=3," · Đến hạn "&amp;IF(I374=TODAY(),"hôm nay","trong "&amp;(I374-TODAY())&amp;" ngày"),"")))&amp;IF(J374="Chờ đối tác"," · Chờ đối tác"&amp;IF(ISNUMBER(N374)," "&amp;(TODAY()-INT(N374))&amp;" ngày",""),""),4,200))))</f>
        <v/>
      </c>
      <c r="N374" s="49" t="n"/>
      <c r="S374">
        <f>IF(AND(E374&lt;&gt;"",T374="Có",J374&lt;&gt;"Xong",J374&lt;&gt;"Bỏ qua",ISNUMBER(I374)),I374+ROW()/100000,"")</f>
        <v/>
      </c>
      <c r="T374">
        <f>IF(O374="","",IFERROR(INDEX(SK_TD,MATCH(O374,SK_A,0)),""))</f>
        <v/>
      </c>
      <c r="V374">
        <f>IF(AND(O374&lt;&gt;"",O374=SEL_K,J374&lt;&gt;"Xong",J374&lt;&gt;"Bỏ qua"),IF(ISNUMBER(I374),I374,99999)+ROW()/100000,"")</f>
        <v/>
      </c>
    </row>
    <row r="375">
      <c r="A375" s="12">
        <f>IF(O375="","",IFERROR(INDEX(SK_B,MATCH(O375,SK_A,0))&amp;"",""))</f>
        <v/>
      </c>
      <c r="B375" s="45">
        <f>IF(O375="","",IFERROR(INDEX(SK_C,MATCH(O375,SK_A,0)),""))</f>
        <v/>
      </c>
      <c r="C375" s="46">
        <f>IF(Q375="","",IF(Q375=0,"D",IF(Q375&lt;0,"D"&amp;Q375,"D+"&amp;Q375)))</f>
        <v/>
      </c>
      <c r="D375" s="14" t="n"/>
      <c r="E375" s="12" t="n"/>
      <c r="F375" s="46" t="n"/>
      <c r="G375" s="47" t="n"/>
      <c r="H375" s="14" t="n"/>
      <c r="I375" s="13">
        <f>IF(OR(B375="",Q375=""),"",IF(Q375&gt;0,IF(R375="Làm việc",WORKDAY(IFERROR(IF(INDEX(SK_D,MATCH(O375,SK_A,0))="",B375,INDEX(SK_D,MATCH(O375,SK_A,0))),B375),Q375,HOLI),IFERROR(IF(INDEX(SK_D,MATCH(O375,SK_A,0))="",B375,INDEX(SK_D,MATCH(O375,SK_A,0))),B375)+Q375),B375+Q375))</f>
        <v/>
      </c>
      <c r="J375" s="14" t="n"/>
      <c r="K375" s="13" t="n"/>
      <c r="L375" s="12" t="n"/>
      <c r="M375" s="48">
        <f>IF(E375="","",IF(J375="Bỏ qua","—",IF(J375="Xong",IF(AND(ISNUMBER(K375),ISNUMBER(I375),K375&gt;I375),"Xong trễ","Xong"),MID(IF(G375=""," · CHƯA GIAO","")&amp;IF(NOT(ISNUMBER(I375)),"",IF(TODAY()&gt;I375," · QUÁ HẠN "&amp;(TODAY()-I375)&amp;" ngày",IF(I375-TODAY()&lt;=3," · Đến hạn "&amp;IF(I375=TODAY(),"hôm nay","trong "&amp;(I375-TODAY())&amp;" ngày"),"")))&amp;IF(J375="Chờ đối tác"," · Chờ đối tác"&amp;IF(ISNUMBER(N375)," "&amp;(TODAY()-INT(N375))&amp;" ngày",""),""),4,200))))</f>
        <v/>
      </c>
      <c r="N375" s="49" t="n"/>
      <c r="S375">
        <f>IF(AND(E375&lt;&gt;"",T375="Có",J375&lt;&gt;"Xong",J375&lt;&gt;"Bỏ qua",ISNUMBER(I375)),I375+ROW()/100000,"")</f>
        <v/>
      </c>
      <c r="T375">
        <f>IF(O375="","",IFERROR(INDEX(SK_TD,MATCH(O375,SK_A,0)),""))</f>
        <v/>
      </c>
      <c r="V375">
        <f>IF(AND(O375&lt;&gt;"",O375=SEL_K,J375&lt;&gt;"Xong",J375&lt;&gt;"Bỏ qua"),IF(ISNUMBER(I375),I375,99999)+ROW()/100000,"")</f>
        <v/>
      </c>
    </row>
    <row r="376">
      <c r="A376" s="12">
        <f>IF(O376="","",IFERROR(INDEX(SK_B,MATCH(O376,SK_A,0))&amp;"",""))</f>
        <v/>
      </c>
      <c r="B376" s="45">
        <f>IF(O376="","",IFERROR(INDEX(SK_C,MATCH(O376,SK_A,0)),""))</f>
        <v/>
      </c>
      <c r="C376" s="46">
        <f>IF(Q376="","",IF(Q376=0,"D",IF(Q376&lt;0,"D"&amp;Q376,"D+"&amp;Q376)))</f>
        <v/>
      </c>
      <c r="D376" s="14" t="n"/>
      <c r="E376" s="12" t="n"/>
      <c r="F376" s="46" t="n"/>
      <c r="G376" s="47" t="n"/>
      <c r="H376" s="14" t="n"/>
      <c r="I376" s="13">
        <f>IF(OR(B376="",Q376=""),"",IF(Q376&gt;0,IF(R376="Làm việc",WORKDAY(IFERROR(IF(INDEX(SK_D,MATCH(O376,SK_A,0))="",B376,INDEX(SK_D,MATCH(O376,SK_A,0))),B376),Q376,HOLI),IFERROR(IF(INDEX(SK_D,MATCH(O376,SK_A,0))="",B376,INDEX(SK_D,MATCH(O376,SK_A,0))),B376)+Q376),B376+Q376))</f>
        <v/>
      </c>
      <c r="J376" s="14" t="n"/>
      <c r="K376" s="13" t="n"/>
      <c r="L376" s="12" t="n"/>
      <c r="M376" s="48">
        <f>IF(E376="","",IF(J376="Bỏ qua","—",IF(J376="Xong",IF(AND(ISNUMBER(K376),ISNUMBER(I376),K376&gt;I376),"Xong trễ","Xong"),MID(IF(G376=""," · CHƯA GIAO","")&amp;IF(NOT(ISNUMBER(I376)),"",IF(TODAY()&gt;I376," · QUÁ HẠN "&amp;(TODAY()-I376)&amp;" ngày",IF(I376-TODAY()&lt;=3," · Đến hạn "&amp;IF(I376=TODAY(),"hôm nay","trong "&amp;(I376-TODAY())&amp;" ngày"),"")))&amp;IF(J376="Chờ đối tác"," · Chờ đối tác"&amp;IF(ISNUMBER(N376)," "&amp;(TODAY()-INT(N376))&amp;" ngày",""),""),4,200))))</f>
        <v/>
      </c>
      <c r="N376" s="49" t="n"/>
      <c r="S376">
        <f>IF(AND(E376&lt;&gt;"",T376="Có",J376&lt;&gt;"Xong",J376&lt;&gt;"Bỏ qua",ISNUMBER(I376)),I376+ROW()/100000,"")</f>
        <v/>
      </c>
      <c r="T376">
        <f>IF(O376="","",IFERROR(INDEX(SK_TD,MATCH(O376,SK_A,0)),""))</f>
        <v/>
      </c>
      <c r="V376">
        <f>IF(AND(O376&lt;&gt;"",O376=SEL_K,J376&lt;&gt;"Xong",J376&lt;&gt;"Bỏ qua"),IF(ISNUMBER(I376),I376,99999)+ROW()/100000,"")</f>
        <v/>
      </c>
    </row>
    <row r="377">
      <c r="A377" s="12">
        <f>IF(O377="","",IFERROR(INDEX(SK_B,MATCH(O377,SK_A,0))&amp;"",""))</f>
        <v/>
      </c>
      <c r="B377" s="45">
        <f>IF(O377="","",IFERROR(INDEX(SK_C,MATCH(O377,SK_A,0)),""))</f>
        <v/>
      </c>
      <c r="C377" s="46">
        <f>IF(Q377="","",IF(Q377=0,"D",IF(Q377&lt;0,"D"&amp;Q377,"D+"&amp;Q377)))</f>
        <v/>
      </c>
      <c r="D377" s="14" t="n"/>
      <c r="E377" s="12" t="n"/>
      <c r="F377" s="46" t="n"/>
      <c r="G377" s="47" t="n"/>
      <c r="H377" s="14" t="n"/>
      <c r="I377" s="13">
        <f>IF(OR(B377="",Q377=""),"",IF(Q377&gt;0,IF(R377="Làm việc",WORKDAY(IFERROR(IF(INDEX(SK_D,MATCH(O377,SK_A,0))="",B377,INDEX(SK_D,MATCH(O377,SK_A,0))),B377),Q377,HOLI),IFERROR(IF(INDEX(SK_D,MATCH(O377,SK_A,0))="",B377,INDEX(SK_D,MATCH(O377,SK_A,0))),B377)+Q377),B377+Q377))</f>
        <v/>
      </c>
      <c r="J377" s="14" t="n"/>
      <c r="K377" s="13" t="n"/>
      <c r="L377" s="12" t="n"/>
      <c r="M377" s="48">
        <f>IF(E377="","",IF(J377="Bỏ qua","—",IF(J377="Xong",IF(AND(ISNUMBER(K377),ISNUMBER(I377),K377&gt;I377),"Xong trễ","Xong"),MID(IF(G377=""," · CHƯA GIAO","")&amp;IF(NOT(ISNUMBER(I377)),"",IF(TODAY()&gt;I377," · QUÁ HẠN "&amp;(TODAY()-I377)&amp;" ngày",IF(I377-TODAY()&lt;=3," · Đến hạn "&amp;IF(I377=TODAY(),"hôm nay","trong "&amp;(I377-TODAY())&amp;" ngày"),"")))&amp;IF(J377="Chờ đối tác"," · Chờ đối tác"&amp;IF(ISNUMBER(N377)," "&amp;(TODAY()-INT(N377))&amp;" ngày",""),""),4,200))))</f>
        <v/>
      </c>
      <c r="N377" s="49" t="n"/>
      <c r="S377">
        <f>IF(AND(E377&lt;&gt;"",T377="Có",J377&lt;&gt;"Xong",J377&lt;&gt;"Bỏ qua",ISNUMBER(I377)),I377+ROW()/100000,"")</f>
        <v/>
      </c>
      <c r="T377">
        <f>IF(O377="","",IFERROR(INDEX(SK_TD,MATCH(O377,SK_A,0)),""))</f>
        <v/>
      </c>
      <c r="V377">
        <f>IF(AND(O377&lt;&gt;"",O377=SEL_K,J377&lt;&gt;"Xong",J377&lt;&gt;"Bỏ qua"),IF(ISNUMBER(I377),I377,99999)+ROW()/100000,"")</f>
        <v/>
      </c>
    </row>
    <row r="378">
      <c r="A378" s="12">
        <f>IF(O378="","",IFERROR(INDEX(SK_B,MATCH(O378,SK_A,0))&amp;"",""))</f>
        <v/>
      </c>
      <c r="B378" s="45">
        <f>IF(O378="","",IFERROR(INDEX(SK_C,MATCH(O378,SK_A,0)),""))</f>
        <v/>
      </c>
      <c r="C378" s="46">
        <f>IF(Q378="","",IF(Q378=0,"D",IF(Q378&lt;0,"D"&amp;Q378,"D+"&amp;Q378)))</f>
        <v/>
      </c>
      <c r="D378" s="14" t="n"/>
      <c r="E378" s="12" t="n"/>
      <c r="F378" s="46" t="n"/>
      <c r="G378" s="47" t="n"/>
      <c r="H378" s="14" t="n"/>
      <c r="I378" s="13">
        <f>IF(OR(B378="",Q378=""),"",IF(Q378&gt;0,IF(R378="Làm việc",WORKDAY(IFERROR(IF(INDEX(SK_D,MATCH(O378,SK_A,0))="",B378,INDEX(SK_D,MATCH(O378,SK_A,0))),B378),Q378,HOLI),IFERROR(IF(INDEX(SK_D,MATCH(O378,SK_A,0))="",B378,INDEX(SK_D,MATCH(O378,SK_A,0))),B378)+Q378),B378+Q378))</f>
        <v/>
      </c>
      <c r="J378" s="14" t="n"/>
      <c r="K378" s="13" t="n"/>
      <c r="L378" s="12" t="n"/>
      <c r="M378" s="48">
        <f>IF(E378="","",IF(J378="Bỏ qua","—",IF(J378="Xong",IF(AND(ISNUMBER(K378),ISNUMBER(I378),K378&gt;I378),"Xong trễ","Xong"),MID(IF(G378=""," · CHƯA GIAO","")&amp;IF(NOT(ISNUMBER(I378)),"",IF(TODAY()&gt;I378," · QUÁ HẠN "&amp;(TODAY()-I378)&amp;" ngày",IF(I378-TODAY()&lt;=3," · Đến hạn "&amp;IF(I378=TODAY(),"hôm nay","trong "&amp;(I378-TODAY())&amp;" ngày"),"")))&amp;IF(J378="Chờ đối tác"," · Chờ đối tác"&amp;IF(ISNUMBER(N378)," "&amp;(TODAY()-INT(N378))&amp;" ngày",""),""),4,200))))</f>
        <v/>
      </c>
      <c r="N378" s="49" t="n"/>
      <c r="S378">
        <f>IF(AND(E378&lt;&gt;"",T378="Có",J378&lt;&gt;"Xong",J378&lt;&gt;"Bỏ qua",ISNUMBER(I378)),I378+ROW()/100000,"")</f>
        <v/>
      </c>
      <c r="T378">
        <f>IF(O378="","",IFERROR(INDEX(SK_TD,MATCH(O378,SK_A,0)),""))</f>
        <v/>
      </c>
      <c r="V378">
        <f>IF(AND(O378&lt;&gt;"",O378=SEL_K,J378&lt;&gt;"Xong",J378&lt;&gt;"Bỏ qua"),IF(ISNUMBER(I378),I378,99999)+ROW()/100000,"")</f>
        <v/>
      </c>
    </row>
    <row r="379">
      <c r="A379" s="12">
        <f>IF(O379="","",IFERROR(INDEX(SK_B,MATCH(O379,SK_A,0))&amp;"",""))</f>
        <v/>
      </c>
      <c r="B379" s="45">
        <f>IF(O379="","",IFERROR(INDEX(SK_C,MATCH(O379,SK_A,0)),""))</f>
        <v/>
      </c>
      <c r="C379" s="46">
        <f>IF(Q379="","",IF(Q379=0,"D",IF(Q379&lt;0,"D"&amp;Q379,"D+"&amp;Q379)))</f>
        <v/>
      </c>
      <c r="D379" s="14" t="n"/>
      <c r="E379" s="12" t="n"/>
      <c r="F379" s="46" t="n"/>
      <c r="G379" s="47" t="n"/>
      <c r="H379" s="14" t="n"/>
      <c r="I379" s="13">
        <f>IF(OR(B379="",Q379=""),"",IF(Q379&gt;0,IF(R379="Làm việc",WORKDAY(IFERROR(IF(INDEX(SK_D,MATCH(O379,SK_A,0))="",B379,INDEX(SK_D,MATCH(O379,SK_A,0))),B379),Q379,HOLI),IFERROR(IF(INDEX(SK_D,MATCH(O379,SK_A,0))="",B379,INDEX(SK_D,MATCH(O379,SK_A,0))),B379)+Q379),B379+Q379))</f>
        <v/>
      </c>
      <c r="J379" s="14" t="n"/>
      <c r="K379" s="13" t="n"/>
      <c r="L379" s="12" t="n"/>
      <c r="M379" s="48">
        <f>IF(E379="","",IF(J379="Bỏ qua","—",IF(J379="Xong",IF(AND(ISNUMBER(K379),ISNUMBER(I379),K379&gt;I379),"Xong trễ","Xong"),MID(IF(G379=""," · CHƯA GIAO","")&amp;IF(NOT(ISNUMBER(I379)),"",IF(TODAY()&gt;I379," · QUÁ HẠN "&amp;(TODAY()-I379)&amp;" ngày",IF(I379-TODAY()&lt;=3," · Đến hạn "&amp;IF(I379=TODAY(),"hôm nay","trong "&amp;(I379-TODAY())&amp;" ngày"),"")))&amp;IF(J379="Chờ đối tác"," · Chờ đối tác"&amp;IF(ISNUMBER(N379)," "&amp;(TODAY()-INT(N379))&amp;" ngày",""),""),4,200))))</f>
        <v/>
      </c>
      <c r="N379" s="49" t="n"/>
      <c r="S379">
        <f>IF(AND(E379&lt;&gt;"",T379="Có",J379&lt;&gt;"Xong",J379&lt;&gt;"Bỏ qua",ISNUMBER(I379)),I379+ROW()/100000,"")</f>
        <v/>
      </c>
      <c r="T379">
        <f>IF(O379="","",IFERROR(INDEX(SK_TD,MATCH(O379,SK_A,0)),""))</f>
        <v/>
      </c>
      <c r="V379">
        <f>IF(AND(O379&lt;&gt;"",O379=SEL_K,J379&lt;&gt;"Xong",J379&lt;&gt;"Bỏ qua"),IF(ISNUMBER(I379),I379,99999)+ROW()/100000,"")</f>
        <v/>
      </c>
    </row>
    <row r="380">
      <c r="A380" s="12">
        <f>IF(O380="","",IFERROR(INDEX(SK_B,MATCH(O380,SK_A,0))&amp;"",""))</f>
        <v/>
      </c>
      <c r="B380" s="45">
        <f>IF(O380="","",IFERROR(INDEX(SK_C,MATCH(O380,SK_A,0)),""))</f>
        <v/>
      </c>
      <c r="C380" s="46">
        <f>IF(Q380="","",IF(Q380=0,"D",IF(Q380&lt;0,"D"&amp;Q380,"D+"&amp;Q380)))</f>
        <v/>
      </c>
      <c r="D380" s="14" t="n"/>
      <c r="E380" s="12" t="n"/>
      <c r="F380" s="46" t="n"/>
      <c r="G380" s="47" t="n"/>
      <c r="H380" s="14" t="n"/>
      <c r="I380" s="13">
        <f>IF(OR(B380="",Q380=""),"",IF(Q380&gt;0,IF(R380="Làm việc",WORKDAY(IFERROR(IF(INDEX(SK_D,MATCH(O380,SK_A,0))="",B380,INDEX(SK_D,MATCH(O380,SK_A,0))),B380),Q380,HOLI),IFERROR(IF(INDEX(SK_D,MATCH(O380,SK_A,0))="",B380,INDEX(SK_D,MATCH(O380,SK_A,0))),B380)+Q380),B380+Q380))</f>
        <v/>
      </c>
      <c r="J380" s="14" t="n"/>
      <c r="K380" s="13" t="n"/>
      <c r="L380" s="12" t="n"/>
      <c r="M380" s="48">
        <f>IF(E380="","",IF(J380="Bỏ qua","—",IF(J380="Xong",IF(AND(ISNUMBER(K380),ISNUMBER(I380),K380&gt;I380),"Xong trễ","Xong"),MID(IF(G380=""," · CHƯA GIAO","")&amp;IF(NOT(ISNUMBER(I380)),"",IF(TODAY()&gt;I380," · QUÁ HẠN "&amp;(TODAY()-I380)&amp;" ngày",IF(I380-TODAY()&lt;=3," · Đến hạn "&amp;IF(I380=TODAY(),"hôm nay","trong "&amp;(I380-TODAY())&amp;" ngày"),"")))&amp;IF(J380="Chờ đối tác"," · Chờ đối tác"&amp;IF(ISNUMBER(N380)," "&amp;(TODAY()-INT(N380))&amp;" ngày",""),""),4,200))))</f>
        <v/>
      </c>
      <c r="N380" s="49" t="n"/>
      <c r="S380">
        <f>IF(AND(E380&lt;&gt;"",T380="Có",J380&lt;&gt;"Xong",J380&lt;&gt;"Bỏ qua",ISNUMBER(I380)),I380+ROW()/100000,"")</f>
        <v/>
      </c>
      <c r="T380">
        <f>IF(O380="","",IFERROR(INDEX(SK_TD,MATCH(O380,SK_A,0)),""))</f>
        <v/>
      </c>
      <c r="V380">
        <f>IF(AND(O380&lt;&gt;"",O380=SEL_K,J380&lt;&gt;"Xong",J380&lt;&gt;"Bỏ qua"),IF(ISNUMBER(I380),I380,99999)+ROW()/100000,"")</f>
        <v/>
      </c>
    </row>
    <row r="381">
      <c r="A381" s="12">
        <f>IF(O381="","",IFERROR(INDEX(SK_B,MATCH(O381,SK_A,0))&amp;"",""))</f>
        <v/>
      </c>
      <c r="B381" s="45">
        <f>IF(O381="","",IFERROR(INDEX(SK_C,MATCH(O381,SK_A,0)),""))</f>
        <v/>
      </c>
      <c r="C381" s="46">
        <f>IF(Q381="","",IF(Q381=0,"D",IF(Q381&lt;0,"D"&amp;Q381,"D+"&amp;Q381)))</f>
        <v/>
      </c>
      <c r="D381" s="14" t="n"/>
      <c r="E381" s="12" t="n"/>
      <c r="F381" s="46" t="n"/>
      <c r="G381" s="47" t="n"/>
      <c r="H381" s="14" t="n"/>
      <c r="I381" s="13">
        <f>IF(OR(B381="",Q381=""),"",IF(Q381&gt;0,IF(R381="Làm việc",WORKDAY(IFERROR(IF(INDEX(SK_D,MATCH(O381,SK_A,0))="",B381,INDEX(SK_D,MATCH(O381,SK_A,0))),B381),Q381,HOLI),IFERROR(IF(INDEX(SK_D,MATCH(O381,SK_A,0))="",B381,INDEX(SK_D,MATCH(O381,SK_A,0))),B381)+Q381),B381+Q381))</f>
        <v/>
      </c>
      <c r="J381" s="14" t="n"/>
      <c r="K381" s="13" t="n"/>
      <c r="L381" s="12" t="n"/>
      <c r="M381" s="48">
        <f>IF(E381="","",IF(J381="Bỏ qua","—",IF(J381="Xong",IF(AND(ISNUMBER(K381),ISNUMBER(I381),K381&gt;I381),"Xong trễ","Xong"),MID(IF(G381=""," · CHƯA GIAO","")&amp;IF(NOT(ISNUMBER(I381)),"",IF(TODAY()&gt;I381," · QUÁ HẠN "&amp;(TODAY()-I381)&amp;" ngày",IF(I381-TODAY()&lt;=3," · Đến hạn "&amp;IF(I381=TODAY(),"hôm nay","trong "&amp;(I381-TODAY())&amp;" ngày"),"")))&amp;IF(J381="Chờ đối tác"," · Chờ đối tác"&amp;IF(ISNUMBER(N381)," "&amp;(TODAY()-INT(N381))&amp;" ngày",""),""),4,200))))</f>
        <v/>
      </c>
      <c r="N381" s="49" t="n"/>
      <c r="S381">
        <f>IF(AND(E381&lt;&gt;"",T381="Có",J381&lt;&gt;"Xong",J381&lt;&gt;"Bỏ qua",ISNUMBER(I381)),I381+ROW()/100000,"")</f>
        <v/>
      </c>
      <c r="T381">
        <f>IF(O381="","",IFERROR(INDEX(SK_TD,MATCH(O381,SK_A,0)),""))</f>
        <v/>
      </c>
      <c r="V381">
        <f>IF(AND(O381&lt;&gt;"",O381=SEL_K,J381&lt;&gt;"Xong",J381&lt;&gt;"Bỏ qua"),IF(ISNUMBER(I381),I381,99999)+ROW()/100000,"")</f>
        <v/>
      </c>
    </row>
    <row r="382">
      <c r="A382" s="12">
        <f>IF(O382="","",IFERROR(INDEX(SK_B,MATCH(O382,SK_A,0))&amp;"",""))</f>
        <v/>
      </c>
      <c r="B382" s="45">
        <f>IF(O382="","",IFERROR(INDEX(SK_C,MATCH(O382,SK_A,0)),""))</f>
        <v/>
      </c>
      <c r="C382" s="46">
        <f>IF(Q382="","",IF(Q382=0,"D",IF(Q382&lt;0,"D"&amp;Q382,"D+"&amp;Q382)))</f>
        <v/>
      </c>
      <c r="D382" s="14" t="n"/>
      <c r="E382" s="12" t="n"/>
      <c r="F382" s="46" t="n"/>
      <c r="G382" s="47" t="n"/>
      <c r="H382" s="14" t="n"/>
      <c r="I382" s="13">
        <f>IF(OR(B382="",Q382=""),"",IF(Q382&gt;0,IF(R382="Làm việc",WORKDAY(IFERROR(IF(INDEX(SK_D,MATCH(O382,SK_A,0))="",B382,INDEX(SK_D,MATCH(O382,SK_A,0))),B382),Q382,HOLI),IFERROR(IF(INDEX(SK_D,MATCH(O382,SK_A,0))="",B382,INDEX(SK_D,MATCH(O382,SK_A,0))),B382)+Q382),B382+Q382))</f>
        <v/>
      </c>
      <c r="J382" s="14" t="n"/>
      <c r="K382" s="13" t="n"/>
      <c r="L382" s="12" t="n"/>
      <c r="M382" s="48">
        <f>IF(E382="","",IF(J382="Bỏ qua","—",IF(J382="Xong",IF(AND(ISNUMBER(K382),ISNUMBER(I382),K382&gt;I382),"Xong trễ","Xong"),MID(IF(G382=""," · CHƯA GIAO","")&amp;IF(NOT(ISNUMBER(I382)),"",IF(TODAY()&gt;I382," · QUÁ HẠN "&amp;(TODAY()-I382)&amp;" ngày",IF(I382-TODAY()&lt;=3," · Đến hạn "&amp;IF(I382=TODAY(),"hôm nay","trong "&amp;(I382-TODAY())&amp;" ngày"),"")))&amp;IF(J382="Chờ đối tác"," · Chờ đối tác"&amp;IF(ISNUMBER(N382)," "&amp;(TODAY()-INT(N382))&amp;" ngày",""),""),4,200))))</f>
        <v/>
      </c>
      <c r="N382" s="49" t="n"/>
      <c r="S382">
        <f>IF(AND(E382&lt;&gt;"",T382="Có",J382&lt;&gt;"Xong",J382&lt;&gt;"Bỏ qua",ISNUMBER(I382)),I382+ROW()/100000,"")</f>
        <v/>
      </c>
      <c r="T382">
        <f>IF(O382="","",IFERROR(INDEX(SK_TD,MATCH(O382,SK_A,0)),""))</f>
        <v/>
      </c>
      <c r="V382">
        <f>IF(AND(O382&lt;&gt;"",O382=SEL_K,J382&lt;&gt;"Xong",J382&lt;&gt;"Bỏ qua"),IF(ISNUMBER(I382),I382,99999)+ROW()/100000,"")</f>
        <v/>
      </c>
    </row>
    <row r="383">
      <c r="A383" s="12">
        <f>IF(O383="","",IFERROR(INDEX(SK_B,MATCH(O383,SK_A,0))&amp;"",""))</f>
        <v/>
      </c>
      <c r="B383" s="45">
        <f>IF(O383="","",IFERROR(INDEX(SK_C,MATCH(O383,SK_A,0)),""))</f>
        <v/>
      </c>
      <c r="C383" s="46">
        <f>IF(Q383="","",IF(Q383=0,"D",IF(Q383&lt;0,"D"&amp;Q383,"D+"&amp;Q383)))</f>
        <v/>
      </c>
      <c r="D383" s="14" t="n"/>
      <c r="E383" s="12" t="n"/>
      <c r="F383" s="46" t="n"/>
      <c r="G383" s="47" t="n"/>
      <c r="H383" s="14" t="n"/>
      <c r="I383" s="13">
        <f>IF(OR(B383="",Q383=""),"",IF(Q383&gt;0,IF(R383="Làm việc",WORKDAY(IFERROR(IF(INDEX(SK_D,MATCH(O383,SK_A,0))="",B383,INDEX(SK_D,MATCH(O383,SK_A,0))),B383),Q383,HOLI),IFERROR(IF(INDEX(SK_D,MATCH(O383,SK_A,0))="",B383,INDEX(SK_D,MATCH(O383,SK_A,0))),B383)+Q383),B383+Q383))</f>
        <v/>
      </c>
      <c r="J383" s="14" t="n"/>
      <c r="K383" s="13" t="n"/>
      <c r="L383" s="12" t="n"/>
      <c r="M383" s="48">
        <f>IF(E383="","",IF(J383="Bỏ qua","—",IF(J383="Xong",IF(AND(ISNUMBER(K383),ISNUMBER(I383),K383&gt;I383),"Xong trễ","Xong"),MID(IF(G383=""," · CHƯA GIAO","")&amp;IF(NOT(ISNUMBER(I383)),"",IF(TODAY()&gt;I383," · QUÁ HẠN "&amp;(TODAY()-I383)&amp;" ngày",IF(I383-TODAY()&lt;=3," · Đến hạn "&amp;IF(I383=TODAY(),"hôm nay","trong "&amp;(I383-TODAY())&amp;" ngày"),"")))&amp;IF(J383="Chờ đối tác"," · Chờ đối tác"&amp;IF(ISNUMBER(N383)," "&amp;(TODAY()-INT(N383))&amp;" ngày",""),""),4,200))))</f>
        <v/>
      </c>
      <c r="N383" s="49" t="n"/>
      <c r="S383">
        <f>IF(AND(E383&lt;&gt;"",T383="Có",J383&lt;&gt;"Xong",J383&lt;&gt;"Bỏ qua",ISNUMBER(I383)),I383+ROW()/100000,"")</f>
        <v/>
      </c>
      <c r="T383">
        <f>IF(O383="","",IFERROR(INDEX(SK_TD,MATCH(O383,SK_A,0)),""))</f>
        <v/>
      </c>
      <c r="V383">
        <f>IF(AND(O383&lt;&gt;"",O383=SEL_K,J383&lt;&gt;"Xong",J383&lt;&gt;"Bỏ qua"),IF(ISNUMBER(I383),I383,99999)+ROW()/100000,"")</f>
        <v/>
      </c>
    </row>
    <row r="384">
      <c r="A384" s="12">
        <f>IF(O384="","",IFERROR(INDEX(SK_B,MATCH(O384,SK_A,0))&amp;"",""))</f>
        <v/>
      </c>
      <c r="B384" s="45">
        <f>IF(O384="","",IFERROR(INDEX(SK_C,MATCH(O384,SK_A,0)),""))</f>
        <v/>
      </c>
      <c r="C384" s="46">
        <f>IF(Q384="","",IF(Q384=0,"D",IF(Q384&lt;0,"D"&amp;Q384,"D+"&amp;Q384)))</f>
        <v/>
      </c>
      <c r="D384" s="14" t="n"/>
      <c r="E384" s="12" t="n"/>
      <c r="F384" s="46" t="n"/>
      <c r="G384" s="47" t="n"/>
      <c r="H384" s="14" t="n"/>
      <c r="I384" s="13">
        <f>IF(OR(B384="",Q384=""),"",IF(Q384&gt;0,IF(R384="Làm việc",WORKDAY(IFERROR(IF(INDEX(SK_D,MATCH(O384,SK_A,0))="",B384,INDEX(SK_D,MATCH(O384,SK_A,0))),B384),Q384,HOLI),IFERROR(IF(INDEX(SK_D,MATCH(O384,SK_A,0))="",B384,INDEX(SK_D,MATCH(O384,SK_A,0))),B384)+Q384),B384+Q384))</f>
        <v/>
      </c>
      <c r="J384" s="14" t="n"/>
      <c r="K384" s="13" t="n"/>
      <c r="L384" s="12" t="n"/>
      <c r="M384" s="48">
        <f>IF(E384="","",IF(J384="Bỏ qua","—",IF(J384="Xong",IF(AND(ISNUMBER(K384),ISNUMBER(I384),K384&gt;I384),"Xong trễ","Xong"),MID(IF(G384=""," · CHƯA GIAO","")&amp;IF(NOT(ISNUMBER(I384)),"",IF(TODAY()&gt;I384," · QUÁ HẠN "&amp;(TODAY()-I384)&amp;" ngày",IF(I384-TODAY()&lt;=3," · Đến hạn "&amp;IF(I384=TODAY(),"hôm nay","trong "&amp;(I384-TODAY())&amp;" ngày"),"")))&amp;IF(J384="Chờ đối tác"," · Chờ đối tác"&amp;IF(ISNUMBER(N384)," "&amp;(TODAY()-INT(N384))&amp;" ngày",""),""),4,200))))</f>
        <v/>
      </c>
      <c r="N384" s="49" t="n"/>
      <c r="S384">
        <f>IF(AND(E384&lt;&gt;"",T384="Có",J384&lt;&gt;"Xong",J384&lt;&gt;"Bỏ qua",ISNUMBER(I384)),I384+ROW()/100000,"")</f>
        <v/>
      </c>
      <c r="T384">
        <f>IF(O384="","",IFERROR(INDEX(SK_TD,MATCH(O384,SK_A,0)),""))</f>
        <v/>
      </c>
      <c r="V384">
        <f>IF(AND(O384&lt;&gt;"",O384=SEL_K,J384&lt;&gt;"Xong",J384&lt;&gt;"Bỏ qua"),IF(ISNUMBER(I384),I384,99999)+ROW()/100000,"")</f>
        <v/>
      </c>
    </row>
    <row r="385">
      <c r="A385" s="12">
        <f>IF(O385="","",IFERROR(INDEX(SK_B,MATCH(O385,SK_A,0))&amp;"",""))</f>
        <v/>
      </c>
      <c r="B385" s="45">
        <f>IF(O385="","",IFERROR(INDEX(SK_C,MATCH(O385,SK_A,0)),""))</f>
        <v/>
      </c>
      <c r="C385" s="46">
        <f>IF(Q385="","",IF(Q385=0,"D",IF(Q385&lt;0,"D"&amp;Q385,"D+"&amp;Q385)))</f>
        <v/>
      </c>
      <c r="D385" s="14" t="n"/>
      <c r="E385" s="12" t="n"/>
      <c r="F385" s="46" t="n"/>
      <c r="G385" s="47" t="n"/>
      <c r="H385" s="14" t="n"/>
      <c r="I385" s="13">
        <f>IF(OR(B385="",Q385=""),"",IF(Q385&gt;0,IF(R385="Làm việc",WORKDAY(IFERROR(IF(INDEX(SK_D,MATCH(O385,SK_A,0))="",B385,INDEX(SK_D,MATCH(O385,SK_A,0))),B385),Q385,HOLI),IFERROR(IF(INDEX(SK_D,MATCH(O385,SK_A,0))="",B385,INDEX(SK_D,MATCH(O385,SK_A,0))),B385)+Q385),B385+Q385))</f>
        <v/>
      </c>
      <c r="J385" s="14" t="n"/>
      <c r="K385" s="13" t="n"/>
      <c r="L385" s="12" t="n"/>
      <c r="M385" s="48">
        <f>IF(E385="","",IF(J385="Bỏ qua","—",IF(J385="Xong",IF(AND(ISNUMBER(K385),ISNUMBER(I385),K385&gt;I385),"Xong trễ","Xong"),MID(IF(G385=""," · CHƯA GIAO","")&amp;IF(NOT(ISNUMBER(I385)),"",IF(TODAY()&gt;I385," · QUÁ HẠN "&amp;(TODAY()-I385)&amp;" ngày",IF(I385-TODAY()&lt;=3," · Đến hạn "&amp;IF(I385=TODAY(),"hôm nay","trong "&amp;(I385-TODAY())&amp;" ngày"),"")))&amp;IF(J385="Chờ đối tác"," · Chờ đối tác"&amp;IF(ISNUMBER(N385)," "&amp;(TODAY()-INT(N385))&amp;" ngày",""),""),4,200))))</f>
        <v/>
      </c>
      <c r="N385" s="49" t="n"/>
      <c r="S385">
        <f>IF(AND(E385&lt;&gt;"",T385="Có",J385&lt;&gt;"Xong",J385&lt;&gt;"Bỏ qua",ISNUMBER(I385)),I385+ROW()/100000,"")</f>
        <v/>
      </c>
      <c r="T385">
        <f>IF(O385="","",IFERROR(INDEX(SK_TD,MATCH(O385,SK_A,0)),""))</f>
        <v/>
      </c>
      <c r="V385">
        <f>IF(AND(O385&lt;&gt;"",O385=SEL_K,J385&lt;&gt;"Xong",J385&lt;&gt;"Bỏ qua"),IF(ISNUMBER(I385),I385,99999)+ROW()/100000,"")</f>
        <v/>
      </c>
    </row>
    <row r="386">
      <c r="A386" s="12">
        <f>IF(O386="","",IFERROR(INDEX(SK_B,MATCH(O386,SK_A,0))&amp;"",""))</f>
        <v/>
      </c>
      <c r="B386" s="45">
        <f>IF(O386="","",IFERROR(INDEX(SK_C,MATCH(O386,SK_A,0)),""))</f>
        <v/>
      </c>
      <c r="C386" s="46">
        <f>IF(Q386="","",IF(Q386=0,"D",IF(Q386&lt;0,"D"&amp;Q386,"D+"&amp;Q386)))</f>
        <v/>
      </c>
      <c r="D386" s="14" t="n"/>
      <c r="E386" s="12" t="n"/>
      <c r="F386" s="46" t="n"/>
      <c r="G386" s="47" t="n"/>
      <c r="H386" s="14" t="n"/>
      <c r="I386" s="13">
        <f>IF(OR(B386="",Q386=""),"",IF(Q386&gt;0,IF(R386="Làm việc",WORKDAY(IFERROR(IF(INDEX(SK_D,MATCH(O386,SK_A,0))="",B386,INDEX(SK_D,MATCH(O386,SK_A,0))),B386),Q386,HOLI),IFERROR(IF(INDEX(SK_D,MATCH(O386,SK_A,0))="",B386,INDEX(SK_D,MATCH(O386,SK_A,0))),B386)+Q386),B386+Q386))</f>
        <v/>
      </c>
      <c r="J386" s="14" t="n"/>
      <c r="K386" s="13" t="n"/>
      <c r="L386" s="12" t="n"/>
      <c r="M386" s="48">
        <f>IF(E386="","",IF(J386="Bỏ qua","—",IF(J386="Xong",IF(AND(ISNUMBER(K386),ISNUMBER(I386),K386&gt;I386),"Xong trễ","Xong"),MID(IF(G386=""," · CHƯA GIAO","")&amp;IF(NOT(ISNUMBER(I386)),"",IF(TODAY()&gt;I386," · QUÁ HẠN "&amp;(TODAY()-I386)&amp;" ngày",IF(I386-TODAY()&lt;=3," · Đến hạn "&amp;IF(I386=TODAY(),"hôm nay","trong "&amp;(I386-TODAY())&amp;" ngày"),"")))&amp;IF(J386="Chờ đối tác"," · Chờ đối tác"&amp;IF(ISNUMBER(N386)," "&amp;(TODAY()-INT(N386))&amp;" ngày",""),""),4,200))))</f>
        <v/>
      </c>
      <c r="N386" s="49" t="n"/>
      <c r="S386">
        <f>IF(AND(E386&lt;&gt;"",T386="Có",J386&lt;&gt;"Xong",J386&lt;&gt;"Bỏ qua",ISNUMBER(I386)),I386+ROW()/100000,"")</f>
        <v/>
      </c>
      <c r="T386">
        <f>IF(O386="","",IFERROR(INDEX(SK_TD,MATCH(O386,SK_A,0)),""))</f>
        <v/>
      </c>
      <c r="V386">
        <f>IF(AND(O386&lt;&gt;"",O386=SEL_K,J386&lt;&gt;"Xong",J386&lt;&gt;"Bỏ qua"),IF(ISNUMBER(I386),I386,99999)+ROW()/100000,"")</f>
        <v/>
      </c>
    </row>
    <row r="387">
      <c r="A387" s="12">
        <f>IF(O387="","",IFERROR(INDEX(SK_B,MATCH(O387,SK_A,0))&amp;"",""))</f>
        <v/>
      </c>
      <c r="B387" s="45">
        <f>IF(O387="","",IFERROR(INDEX(SK_C,MATCH(O387,SK_A,0)),""))</f>
        <v/>
      </c>
      <c r="C387" s="46">
        <f>IF(Q387="","",IF(Q387=0,"D",IF(Q387&lt;0,"D"&amp;Q387,"D+"&amp;Q387)))</f>
        <v/>
      </c>
      <c r="D387" s="14" t="n"/>
      <c r="E387" s="12" t="n"/>
      <c r="F387" s="46" t="n"/>
      <c r="G387" s="47" t="n"/>
      <c r="H387" s="14" t="n"/>
      <c r="I387" s="13">
        <f>IF(OR(B387="",Q387=""),"",IF(Q387&gt;0,IF(R387="Làm việc",WORKDAY(IFERROR(IF(INDEX(SK_D,MATCH(O387,SK_A,0))="",B387,INDEX(SK_D,MATCH(O387,SK_A,0))),B387),Q387,HOLI),IFERROR(IF(INDEX(SK_D,MATCH(O387,SK_A,0))="",B387,INDEX(SK_D,MATCH(O387,SK_A,0))),B387)+Q387),B387+Q387))</f>
        <v/>
      </c>
      <c r="J387" s="14" t="n"/>
      <c r="K387" s="13" t="n"/>
      <c r="L387" s="12" t="n"/>
      <c r="M387" s="48">
        <f>IF(E387="","",IF(J387="Bỏ qua","—",IF(J387="Xong",IF(AND(ISNUMBER(K387),ISNUMBER(I387),K387&gt;I387),"Xong trễ","Xong"),MID(IF(G387=""," · CHƯA GIAO","")&amp;IF(NOT(ISNUMBER(I387)),"",IF(TODAY()&gt;I387," · QUÁ HẠN "&amp;(TODAY()-I387)&amp;" ngày",IF(I387-TODAY()&lt;=3," · Đến hạn "&amp;IF(I387=TODAY(),"hôm nay","trong "&amp;(I387-TODAY())&amp;" ngày"),"")))&amp;IF(J387="Chờ đối tác"," · Chờ đối tác"&amp;IF(ISNUMBER(N387)," "&amp;(TODAY()-INT(N387))&amp;" ngày",""),""),4,200))))</f>
        <v/>
      </c>
      <c r="N387" s="49" t="n"/>
      <c r="S387">
        <f>IF(AND(E387&lt;&gt;"",T387="Có",J387&lt;&gt;"Xong",J387&lt;&gt;"Bỏ qua",ISNUMBER(I387)),I387+ROW()/100000,"")</f>
        <v/>
      </c>
      <c r="T387">
        <f>IF(O387="","",IFERROR(INDEX(SK_TD,MATCH(O387,SK_A,0)),""))</f>
        <v/>
      </c>
      <c r="V387">
        <f>IF(AND(O387&lt;&gt;"",O387=SEL_K,J387&lt;&gt;"Xong",J387&lt;&gt;"Bỏ qua"),IF(ISNUMBER(I387),I387,99999)+ROW()/100000,"")</f>
        <v/>
      </c>
    </row>
    <row r="388">
      <c r="A388" s="12">
        <f>IF(O388="","",IFERROR(INDEX(SK_B,MATCH(O388,SK_A,0))&amp;"",""))</f>
        <v/>
      </c>
      <c r="B388" s="45">
        <f>IF(O388="","",IFERROR(INDEX(SK_C,MATCH(O388,SK_A,0)),""))</f>
        <v/>
      </c>
      <c r="C388" s="46">
        <f>IF(Q388="","",IF(Q388=0,"D",IF(Q388&lt;0,"D"&amp;Q388,"D+"&amp;Q388)))</f>
        <v/>
      </c>
      <c r="D388" s="14" t="n"/>
      <c r="E388" s="12" t="n"/>
      <c r="F388" s="46" t="n"/>
      <c r="G388" s="47" t="n"/>
      <c r="H388" s="14" t="n"/>
      <c r="I388" s="13">
        <f>IF(OR(B388="",Q388=""),"",IF(Q388&gt;0,IF(R388="Làm việc",WORKDAY(IFERROR(IF(INDEX(SK_D,MATCH(O388,SK_A,0))="",B388,INDEX(SK_D,MATCH(O388,SK_A,0))),B388),Q388,HOLI),IFERROR(IF(INDEX(SK_D,MATCH(O388,SK_A,0))="",B388,INDEX(SK_D,MATCH(O388,SK_A,0))),B388)+Q388),B388+Q388))</f>
        <v/>
      </c>
      <c r="J388" s="14" t="n"/>
      <c r="K388" s="13" t="n"/>
      <c r="L388" s="12" t="n"/>
      <c r="M388" s="48">
        <f>IF(E388="","",IF(J388="Bỏ qua","—",IF(J388="Xong",IF(AND(ISNUMBER(K388),ISNUMBER(I388),K388&gt;I388),"Xong trễ","Xong"),MID(IF(G388=""," · CHƯA GIAO","")&amp;IF(NOT(ISNUMBER(I388)),"",IF(TODAY()&gt;I388," · QUÁ HẠN "&amp;(TODAY()-I388)&amp;" ngày",IF(I388-TODAY()&lt;=3," · Đến hạn "&amp;IF(I388=TODAY(),"hôm nay","trong "&amp;(I388-TODAY())&amp;" ngày"),"")))&amp;IF(J388="Chờ đối tác"," · Chờ đối tác"&amp;IF(ISNUMBER(N388)," "&amp;(TODAY()-INT(N388))&amp;" ngày",""),""),4,200))))</f>
        <v/>
      </c>
      <c r="N388" s="49" t="n"/>
      <c r="S388">
        <f>IF(AND(E388&lt;&gt;"",T388="Có",J388&lt;&gt;"Xong",J388&lt;&gt;"Bỏ qua",ISNUMBER(I388)),I388+ROW()/100000,"")</f>
        <v/>
      </c>
      <c r="T388">
        <f>IF(O388="","",IFERROR(INDEX(SK_TD,MATCH(O388,SK_A,0)),""))</f>
        <v/>
      </c>
      <c r="V388">
        <f>IF(AND(O388&lt;&gt;"",O388=SEL_K,J388&lt;&gt;"Xong",J388&lt;&gt;"Bỏ qua"),IF(ISNUMBER(I388),I388,99999)+ROW()/100000,"")</f>
        <v/>
      </c>
    </row>
    <row r="389">
      <c r="A389" s="12">
        <f>IF(O389="","",IFERROR(INDEX(SK_B,MATCH(O389,SK_A,0))&amp;"",""))</f>
        <v/>
      </c>
      <c r="B389" s="45">
        <f>IF(O389="","",IFERROR(INDEX(SK_C,MATCH(O389,SK_A,0)),""))</f>
        <v/>
      </c>
      <c r="C389" s="46">
        <f>IF(Q389="","",IF(Q389=0,"D",IF(Q389&lt;0,"D"&amp;Q389,"D+"&amp;Q389)))</f>
        <v/>
      </c>
      <c r="D389" s="14" t="n"/>
      <c r="E389" s="12" t="n"/>
      <c r="F389" s="46" t="n"/>
      <c r="G389" s="47" t="n"/>
      <c r="H389" s="14" t="n"/>
      <c r="I389" s="13">
        <f>IF(OR(B389="",Q389=""),"",IF(Q389&gt;0,IF(R389="Làm việc",WORKDAY(IFERROR(IF(INDEX(SK_D,MATCH(O389,SK_A,0))="",B389,INDEX(SK_D,MATCH(O389,SK_A,0))),B389),Q389,HOLI),IFERROR(IF(INDEX(SK_D,MATCH(O389,SK_A,0))="",B389,INDEX(SK_D,MATCH(O389,SK_A,0))),B389)+Q389),B389+Q389))</f>
        <v/>
      </c>
      <c r="J389" s="14" t="n"/>
      <c r="K389" s="13" t="n"/>
      <c r="L389" s="12" t="n"/>
      <c r="M389" s="48">
        <f>IF(E389="","",IF(J389="Bỏ qua","—",IF(J389="Xong",IF(AND(ISNUMBER(K389),ISNUMBER(I389),K389&gt;I389),"Xong trễ","Xong"),MID(IF(G389=""," · CHƯA GIAO","")&amp;IF(NOT(ISNUMBER(I389)),"",IF(TODAY()&gt;I389," · QUÁ HẠN "&amp;(TODAY()-I389)&amp;" ngày",IF(I389-TODAY()&lt;=3," · Đến hạn "&amp;IF(I389=TODAY(),"hôm nay","trong "&amp;(I389-TODAY())&amp;" ngày"),"")))&amp;IF(J389="Chờ đối tác"," · Chờ đối tác"&amp;IF(ISNUMBER(N389)," "&amp;(TODAY()-INT(N389))&amp;" ngày",""),""),4,200))))</f>
        <v/>
      </c>
      <c r="N389" s="49" t="n"/>
      <c r="S389">
        <f>IF(AND(E389&lt;&gt;"",T389="Có",J389&lt;&gt;"Xong",J389&lt;&gt;"Bỏ qua",ISNUMBER(I389)),I389+ROW()/100000,"")</f>
        <v/>
      </c>
      <c r="T389">
        <f>IF(O389="","",IFERROR(INDEX(SK_TD,MATCH(O389,SK_A,0)),""))</f>
        <v/>
      </c>
      <c r="V389">
        <f>IF(AND(O389&lt;&gt;"",O389=SEL_K,J389&lt;&gt;"Xong",J389&lt;&gt;"Bỏ qua"),IF(ISNUMBER(I389),I389,99999)+ROW()/100000,"")</f>
        <v/>
      </c>
    </row>
    <row r="390">
      <c r="A390" s="12">
        <f>IF(O390="","",IFERROR(INDEX(SK_B,MATCH(O390,SK_A,0))&amp;"",""))</f>
        <v/>
      </c>
      <c r="B390" s="45">
        <f>IF(O390="","",IFERROR(INDEX(SK_C,MATCH(O390,SK_A,0)),""))</f>
        <v/>
      </c>
      <c r="C390" s="46">
        <f>IF(Q390="","",IF(Q390=0,"D",IF(Q390&lt;0,"D"&amp;Q390,"D+"&amp;Q390)))</f>
        <v/>
      </c>
      <c r="D390" s="14" t="n"/>
      <c r="E390" s="12" t="n"/>
      <c r="F390" s="46" t="n"/>
      <c r="G390" s="47" t="n"/>
      <c r="H390" s="14" t="n"/>
      <c r="I390" s="13">
        <f>IF(OR(B390="",Q390=""),"",IF(Q390&gt;0,IF(R390="Làm việc",WORKDAY(IFERROR(IF(INDEX(SK_D,MATCH(O390,SK_A,0))="",B390,INDEX(SK_D,MATCH(O390,SK_A,0))),B390),Q390,HOLI),IFERROR(IF(INDEX(SK_D,MATCH(O390,SK_A,0))="",B390,INDEX(SK_D,MATCH(O390,SK_A,0))),B390)+Q390),B390+Q390))</f>
        <v/>
      </c>
      <c r="J390" s="14" t="n"/>
      <c r="K390" s="13" t="n"/>
      <c r="L390" s="12" t="n"/>
      <c r="M390" s="48">
        <f>IF(E390="","",IF(J390="Bỏ qua","—",IF(J390="Xong",IF(AND(ISNUMBER(K390),ISNUMBER(I390),K390&gt;I390),"Xong trễ","Xong"),MID(IF(G390=""," · CHƯA GIAO","")&amp;IF(NOT(ISNUMBER(I390)),"",IF(TODAY()&gt;I390," · QUÁ HẠN "&amp;(TODAY()-I390)&amp;" ngày",IF(I390-TODAY()&lt;=3," · Đến hạn "&amp;IF(I390=TODAY(),"hôm nay","trong "&amp;(I390-TODAY())&amp;" ngày"),"")))&amp;IF(J390="Chờ đối tác"," · Chờ đối tác"&amp;IF(ISNUMBER(N390)," "&amp;(TODAY()-INT(N390))&amp;" ngày",""),""),4,200))))</f>
        <v/>
      </c>
      <c r="N390" s="49" t="n"/>
      <c r="S390">
        <f>IF(AND(E390&lt;&gt;"",T390="Có",J390&lt;&gt;"Xong",J390&lt;&gt;"Bỏ qua",ISNUMBER(I390)),I390+ROW()/100000,"")</f>
        <v/>
      </c>
      <c r="T390">
        <f>IF(O390="","",IFERROR(INDEX(SK_TD,MATCH(O390,SK_A,0)),""))</f>
        <v/>
      </c>
      <c r="V390">
        <f>IF(AND(O390&lt;&gt;"",O390=SEL_K,J390&lt;&gt;"Xong",J390&lt;&gt;"Bỏ qua"),IF(ISNUMBER(I390),I390,99999)+ROW()/100000,"")</f>
        <v/>
      </c>
    </row>
    <row r="391">
      <c r="A391" s="12">
        <f>IF(O391="","",IFERROR(INDEX(SK_B,MATCH(O391,SK_A,0))&amp;"",""))</f>
        <v/>
      </c>
      <c r="B391" s="45">
        <f>IF(O391="","",IFERROR(INDEX(SK_C,MATCH(O391,SK_A,0)),""))</f>
        <v/>
      </c>
      <c r="C391" s="46">
        <f>IF(Q391="","",IF(Q391=0,"D",IF(Q391&lt;0,"D"&amp;Q391,"D+"&amp;Q391)))</f>
        <v/>
      </c>
      <c r="D391" s="14" t="n"/>
      <c r="E391" s="12" t="n"/>
      <c r="F391" s="46" t="n"/>
      <c r="G391" s="47" t="n"/>
      <c r="H391" s="14" t="n"/>
      <c r="I391" s="13">
        <f>IF(OR(B391="",Q391=""),"",IF(Q391&gt;0,IF(R391="Làm việc",WORKDAY(IFERROR(IF(INDEX(SK_D,MATCH(O391,SK_A,0))="",B391,INDEX(SK_D,MATCH(O391,SK_A,0))),B391),Q391,HOLI),IFERROR(IF(INDEX(SK_D,MATCH(O391,SK_A,0))="",B391,INDEX(SK_D,MATCH(O391,SK_A,0))),B391)+Q391),B391+Q391))</f>
        <v/>
      </c>
      <c r="J391" s="14" t="n"/>
      <c r="K391" s="13" t="n"/>
      <c r="L391" s="12" t="n"/>
      <c r="M391" s="48">
        <f>IF(E391="","",IF(J391="Bỏ qua","—",IF(J391="Xong",IF(AND(ISNUMBER(K391),ISNUMBER(I391),K391&gt;I391),"Xong trễ","Xong"),MID(IF(G391=""," · CHƯA GIAO","")&amp;IF(NOT(ISNUMBER(I391)),"",IF(TODAY()&gt;I391," · QUÁ HẠN "&amp;(TODAY()-I391)&amp;" ngày",IF(I391-TODAY()&lt;=3," · Đến hạn "&amp;IF(I391=TODAY(),"hôm nay","trong "&amp;(I391-TODAY())&amp;" ngày"),"")))&amp;IF(J391="Chờ đối tác"," · Chờ đối tác"&amp;IF(ISNUMBER(N391)," "&amp;(TODAY()-INT(N391))&amp;" ngày",""),""),4,200))))</f>
        <v/>
      </c>
      <c r="N391" s="49" t="n"/>
      <c r="S391">
        <f>IF(AND(E391&lt;&gt;"",T391="Có",J391&lt;&gt;"Xong",J391&lt;&gt;"Bỏ qua",ISNUMBER(I391)),I391+ROW()/100000,"")</f>
        <v/>
      </c>
      <c r="T391">
        <f>IF(O391="","",IFERROR(INDEX(SK_TD,MATCH(O391,SK_A,0)),""))</f>
        <v/>
      </c>
      <c r="V391">
        <f>IF(AND(O391&lt;&gt;"",O391=SEL_K,J391&lt;&gt;"Xong",J391&lt;&gt;"Bỏ qua"),IF(ISNUMBER(I391),I391,99999)+ROW()/100000,"")</f>
        <v/>
      </c>
    </row>
    <row r="392">
      <c r="A392" s="12">
        <f>IF(O392="","",IFERROR(INDEX(SK_B,MATCH(O392,SK_A,0))&amp;"",""))</f>
        <v/>
      </c>
      <c r="B392" s="45">
        <f>IF(O392="","",IFERROR(INDEX(SK_C,MATCH(O392,SK_A,0)),""))</f>
        <v/>
      </c>
      <c r="C392" s="46">
        <f>IF(Q392="","",IF(Q392=0,"D",IF(Q392&lt;0,"D"&amp;Q392,"D+"&amp;Q392)))</f>
        <v/>
      </c>
      <c r="D392" s="14" t="n"/>
      <c r="E392" s="12" t="n"/>
      <c r="F392" s="46" t="n"/>
      <c r="G392" s="47" t="n"/>
      <c r="H392" s="14" t="n"/>
      <c r="I392" s="13">
        <f>IF(OR(B392="",Q392=""),"",IF(Q392&gt;0,IF(R392="Làm việc",WORKDAY(IFERROR(IF(INDEX(SK_D,MATCH(O392,SK_A,0))="",B392,INDEX(SK_D,MATCH(O392,SK_A,0))),B392),Q392,HOLI),IFERROR(IF(INDEX(SK_D,MATCH(O392,SK_A,0))="",B392,INDEX(SK_D,MATCH(O392,SK_A,0))),B392)+Q392),B392+Q392))</f>
        <v/>
      </c>
      <c r="J392" s="14" t="n"/>
      <c r="K392" s="13" t="n"/>
      <c r="L392" s="12" t="n"/>
      <c r="M392" s="48">
        <f>IF(E392="","",IF(J392="Bỏ qua","—",IF(J392="Xong",IF(AND(ISNUMBER(K392),ISNUMBER(I392),K392&gt;I392),"Xong trễ","Xong"),MID(IF(G392=""," · CHƯA GIAO","")&amp;IF(NOT(ISNUMBER(I392)),"",IF(TODAY()&gt;I392," · QUÁ HẠN "&amp;(TODAY()-I392)&amp;" ngày",IF(I392-TODAY()&lt;=3," · Đến hạn "&amp;IF(I392=TODAY(),"hôm nay","trong "&amp;(I392-TODAY())&amp;" ngày"),"")))&amp;IF(J392="Chờ đối tác"," · Chờ đối tác"&amp;IF(ISNUMBER(N392)," "&amp;(TODAY()-INT(N392))&amp;" ngày",""),""),4,200))))</f>
        <v/>
      </c>
      <c r="N392" s="49" t="n"/>
      <c r="S392">
        <f>IF(AND(E392&lt;&gt;"",T392="Có",J392&lt;&gt;"Xong",J392&lt;&gt;"Bỏ qua",ISNUMBER(I392)),I392+ROW()/100000,"")</f>
        <v/>
      </c>
      <c r="T392">
        <f>IF(O392="","",IFERROR(INDEX(SK_TD,MATCH(O392,SK_A,0)),""))</f>
        <v/>
      </c>
      <c r="V392">
        <f>IF(AND(O392&lt;&gt;"",O392=SEL_K,J392&lt;&gt;"Xong",J392&lt;&gt;"Bỏ qua"),IF(ISNUMBER(I392),I392,99999)+ROW()/100000,"")</f>
        <v/>
      </c>
    </row>
    <row r="393">
      <c r="A393" s="12">
        <f>IF(O393="","",IFERROR(INDEX(SK_B,MATCH(O393,SK_A,0))&amp;"",""))</f>
        <v/>
      </c>
      <c r="B393" s="45">
        <f>IF(O393="","",IFERROR(INDEX(SK_C,MATCH(O393,SK_A,0)),""))</f>
        <v/>
      </c>
      <c r="C393" s="46">
        <f>IF(Q393="","",IF(Q393=0,"D",IF(Q393&lt;0,"D"&amp;Q393,"D+"&amp;Q393)))</f>
        <v/>
      </c>
      <c r="D393" s="14" t="n"/>
      <c r="E393" s="12" t="n"/>
      <c r="F393" s="46" t="n"/>
      <c r="G393" s="47" t="n"/>
      <c r="H393" s="14" t="n"/>
      <c r="I393" s="13">
        <f>IF(OR(B393="",Q393=""),"",IF(Q393&gt;0,IF(R393="Làm việc",WORKDAY(IFERROR(IF(INDEX(SK_D,MATCH(O393,SK_A,0))="",B393,INDEX(SK_D,MATCH(O393,SK_A,0))),B393),Q393,HOLI),IFERROR(IF(INDEX(SK_D,MATCH(O393,SK_A,0))="",B393,INDEX(SK_D,MATCH(O393,SK_A,0))),B393)+Q393),B393+Q393))</f>
        <v/>
      </c>
      <c r="J393" s="14" t="n"/>
      <c r="K393" s="13" t="n"/>
      <c r="L393" s="12" t="n"/>
      <c r="M393" s="48">
        <f>IF(E393="","",IF(J393="Bỏ qua","—",IF(J393="Xong",IF(AND(ISNUMBER(K393),ISNUMBER(I393),K393&gt;I393),"Xong trễ","Xong"),MID(IF(G393=""," · CHƯA GIAO","")&amp;IF(NOT(ISNUMBER(I393)),"",IF(TODAY()&gt;I393," · QUÁ HẠN "&amp;(TODAY()-I393)&amp;" ngày",IF(I393-TODAY()&lt;=3," · Đến hạn "&amp;IF(I393=TODAY(),"hôm nay","trong "&amp;(I393-TODAY())&amp;" ngày"),"")))&amp;IF(J393="Chờ đối tác"," · Chờ đối tác"&amp;IF(ISNUMBER(N393)," "&amp;(TODAY()-INT(N393))&amp;" ngày",""),""),4,200))))</f>
        <v/>
      </c>
      <c r="N393" s="49" t="n"/>
      <c r="S393">
        <f>IF(AND(E393&lt;&gt;"",T393="Có",J393&lt;&gt;"Xong",J393&lt;&gt;"Bỏ qua",ISNUMBER(I393)),I393+ROW()/100000,"")</f>
        <v/>
      </c>
      <c r="T393">
        <f>IF(O393="","",IFERROR(INDEX(SK_TD,MATCH(O393,SK_A,0)),""))</f>
        <v/>
      </c>
      <c r="V393">
        <f>IF(AND(O393&lt;&gt;"",O393=SEL_K,J393&lt;&gt;"Xong",J393&lt;&gt;"Bỏ qua"),IF(ISNUMBER(I393),I393,99999)+ROW()/100000,"")</f>
        <v/>
      </c>
    </row>
    <row r="394">
      <c r="A394" s="12">
        <f>IF(O394="","",IFERROR(INDEX(SK_B,MATCH(O394,SK_A,0))&amp;"",""))</f>
        <v/>
      </c>
      <c r="B394" s="45">
        <f>IF(O394="","",IFERROR(INDEX(SK_C,MATCH(O394,SK_A,0)),""))</f>
        <v/>
      </c>
      <c r="C394" s="46">
        <f>IF(Q394="","",IF(Q394=0,"D",IF(Q394&lt;0,"D"&amp;Q394,"D+"&amp;Q394)))</f>
        <v/>
      </c>
      <c r="D394" s="14" t="n"/>
      <c r="E394" s="12" t="n"/>
      <c r="F394" s="46" t="n"/>
      <c r="G394" s="47" t="n"/>
      <c r="H394" s="14" t="n"/>
      <c r="I394" s="13">
        <f>IF(OR(B394="",Q394=""),"",IF(Q394&gt;0,IF(R394="Làm việc",WORKDAY(IFERROR(IF(INDEX(SK_D,MATCH(O394,SK_A,0))="",B394,INDEX(SK_D,MATCH(O394,SK_A,0))),B394),Q394,HOLI),IFERROR(IF(INDEX(SK_D,MATCH(O394,SK_A,0))="",B394,INDEX(SK_D,MATCH(O394,SK_A,0))),B394)+Q394),B394+Q394))</f>
        <v/>
      </c>
      <c r="J394" s="14" t="n"/>
      <c r="K394" s="13" t="n"/>
      <c r="L394" s="12" t="n"/>
      <c r="M394" s="48">
        <f>IF(E394="","",IF(J394="Bỏ qua","—",IF(J394="Xong",IF(AND(ISNUMBER(K394),ISNUMBER(I394),K394&gt;I394),"Xong trễ","Xong"),MID(IF(G394=""," · CHƯA GIAO","")&amp;IF(NOT(ISNUMBER(I394)),"",IF(TODAY()&gt;I394," · QUÁ HẠN "&amp;(TODAY()-I394)&amp;" ngày",IF(I394-TODAY()&lt;=3," · Đến hạn "&amp;IF(I394=TODAY(),"hôm nay","trong "&amp;(I394-TODAY())&amp;" ngày"),"")))&amp;IF(J394="Chờ đối tác"," · Chờ đối tác"&amp;IF(ISNUMBER(N394)," "&amp;(TODAY()-INT(N394))&amp;" ngày",""),""),4,200))))</f>
        <v/>
      </c>
      <c r="N394" s="49" t="n"/>
      <c r="S394">
        <f>IF(AND(E394&lt;&gt;"",T394="Có",J394&lt;&gt;"Xong",J394&lt;&gt;"Bỏ qua",ISNUMBER(I394)),I394+ROW()/100000,"")</f>
        <v/>
      </c>
      <c r="T394">
        <f>IF(O394="","",IFERROR(INDEX(SK_TD,MATCH(O394,SK_A,0)),""))</f>
        <v/>
      </c>
      <c r="V394">
        <f>IF(AND(O394&lt;&gt;"",O394=SEL_K,J394&lt;&gt;"Xong",J394&lt;&gt;"Bỏ qua"),IF(ISNUMBER(I394),I394,99999)+ROW()/100000,"")</f>
        <v/>
      </c>
    </row>
    <row r="395">
      <c r="A395" s="12">
        <f>IF(O395="","",IFERROR(INDEX(SK_B,MATCH(O395,SK_A,0))&amp;"",""))</f>
        <v/>
      </c>
      <c r="B395" s="45">
        <f>IF(O395="","",IFERROR(INDEX(SK_C,MATCH(O395,SK_A,0)),""))</f>
        <v/>
      </c>
      <c r="C395" s="46">
        <f>IF(Q395="","",IF(Q395=0,"D",IF(Q395&lt;0,"D"&amp;Q395,"D+"&amp;Q395)))</f>
        <v/>
      </c>
      <c r="D395" s="14" t="n"/>
      <c r="E395" s="12" t="n"/>
      <c r="F395" s="46" t="n"/>
      <c r="G395" s="47" t="n"/>
      <c r="H395" s="14" t="n"/>
      <c r="I395" s="13">
        <f>IF(OR(B395="",Q395=""),"",IF(Q395&gt;0,IF(R395="Làm việc",WORKDAY(IFERROR(IF(INDEX(SK_D,MATCH(O395,SK_A,0))="",B395,INDEX(SK_D,MATCH(O395,SK_A,0))),B395),Q395,HOLI),IFERROR(IF(INDEX(SK_D,MATCH(O395,SK_A,0))="",B395,INDEX(SK_D,MATCH(O395,SK_A,0))),B395)+Q395),B395+Q395))</f>
        <v/>
      </c>
      <c r="J395" s="14" t="n"/>
      <c r="K395" s="13" t="n"/>
      <c r="L395" s="12" t="n"/>
      <c r="M395" s="48">
        <f>IF(E395="","",IF(J395="Bỏ qua","—",IF(J395="Xong",IF(AND(ISNUMBER(K395),ISNUMBER(I395),K395&gt;I395),"Xong trễ","Xong"),MID(IF(G395=""," · CHƯA GIAO","")&amp;IF(NOT(ISNUMBER(I395)),"",IF(TODAY()&gt;I395," · QUÁ HẠN "&amp;(TODAY()-I395)&amp;" ngày",IF(I395-TODAY()&lt;=3," · Đến hạn "&amp;IF(I395=TODAY(),"hôm nay","trong "&amp;(I395-TODAY())&amp;" ngày"),"")))&amp;IF(J395="Chờ đối tác"," · Chờ đối tác"&amp;IF(ISNUMBER(N395)," "&amp;(TODAY()-INT(N395))&amp;" ngày",""),""),4,200))))</f>
        <v/>
      </c>
      <c r="N395" s="49" t="n"/>
      <c r="S395">
        <f>IF(AND(E395&lt;&gt;"",T395="Có",J395&lt;&gt;"Xong",J395&lt;&gt;"Bỏ qua",ISNUMBER(I395)),I395+ROW()/100000,"")</f>
        <v/>
      </c>
      <c r="T395">
        <f>IF(O395="","",IFERROR(INDEX(SK_TD,MATCH(O395,SK_A,0)),""))</f>
        <v/>
      </c>
      <c r="V395">
        <f>IF(AND(O395&lt;&gt;"",O395=SEL_K,J395&lt;&gt;"Xong",J395&lt;&gt;"Bỏ qua"),IF(ISNUMBER(I395),I395,99999)+ROW()/100000,"")</f>
        <v/>
      </c>
    </row>
    <row r="396">
      <c r="A396" s="12">
        <f>IF(O396="","",IFERROR(INDEX(SK_B,MATCH(O396,SK_A,0))&amp;"",""))</f>
        <v/>
      </c>
      <c r="B396" s="45">
        <f>IF(O396="","",IFERROR(INDEX(SK_C,MATCH(O396,SK_A,0)),""))</f>
        <v/>
      </c>
      <c r="C396" s="46">
        <f>IF(Q396="","",IF(Q396=0,"D",IF(Q396&lt;0,"D"&amp;Q396,"D+"&amp;Q396)))</f>
        <v/>
      </c>
      <c r="D396" s="14" t="n"/>
      <c r="E396" s="12" t="n"/>
      <c r="F396" s="46" t="n"/>
      <c r="G396" s="47" t="n"/>
      <c r="H396" s="14" t="n"/>
      <c r="I396" s="13">
        <f>IF(OR(B396="",Q396=""),"",IF(Q396&gt;0,IF(R396="Làm việc",WORKDAY(IFERROR(IF(INDEX(SK_D,MATCH(O396,SK_A,0))="",B396,INDEX(SK_D,MATCH(O396,SK_A,0))),B396),Q396,HOLI),IFERROR(IF(INDEX(SK_D,MATCH(O396,SK_A,0))="",B396,INDEX(SK_D,MATCH(O396,SK_A,0))),B396)+Q396),B396+Q396))</f>
        <v/>
      </c>
      <c r="J396" s="14" t="n"/>
      <c r="K396" s="13" t="n"/>
      <c r="L396" s="12" t="n"/>
      <c r="M396" s="48">
        <f>IF(E396="","",IF(J396="Bỏ qua","—",IF(J396="Xong",IF(AND(ISNUMBER(K396),ISNUMBER(I396),K396&gt;I396),"Xong trễ","Xong"),MID(IF(G396=""," · CHƯA GIAO","")&amp;IF(NOT(ISNUMBER(I396)),"",IF(TODAY()&gt;I396," · QUÁ HẠN "&amp;(TODAY()-I396)&amp;" ngày",IF(I396-TODAY()&lt;=3," · Đến hạn "&amp;IF(I396=TODAY(),"hôm nay","trong "&amp;(I396-TODAY())&amp;" ngày"),"")))&amp;IF(J396="Chờ đối tác"," · Chờ đối tác"&amp;IF(ISNUMBER(N396)," "&amp;(TODAY()-INT(N396))&amp;" ngày",""),""),4,200))))</f>
        <v/>
      </c>
      <c r="N396" s="49" t="n"/>
      <c r="S396">
        <f>IF(AND(E396&lt;&gt;"",T396="Có",J396&lt;&gt;"Xong",J396&lt;&gt;"Bỏ qua",ISNUMBER(I396)),I396+ROW()/100000,"")</f>
        <v/>
      </c>
      <c r="T396">
        <f>IF(O396="","",IFERROR(INDEX(SK_TD,MATCH(O396,SK_A,0)),""))</f>
        <v/>
      </c>
      <c r="V396">
        <f>IF(AND(O396&lt;&gt;"",O396=SEL_K,J396&lt;&gt;"Xong",J396&lt;&gt;"Bỏ qua"),IF(ISNUMBER(I396),I396,99999)+ROW()/100000,"")</f>
        <v/>
      </c>
    </row>
    <row r="397">
      <c r="A397" s="12">
        <f>IF(O397="","",IFERROR(INDEX(SK_B,MATCH(O397,SK_A,0))&amp;"",""))</f>
        <v/>
      </c>
      <c r="B397" s="45">
        <f>IF(O397="","",IFERROR(INDEX(SK_C,MATCH(O397,SK_A,0)),""))</f>
        <v/>
      </c>
      <c r="C397" s="46">
        <f>IF(Q397="","",IF(Q397=0,"D",IF(Q397&lt;0,"D"&amp;Q397,"D+"&amp;Q397)))</f>
        <v/>
      </c>
      <c r="D397" s="14" t="n"/>
      <c r="E397" s="12" t="n"/>
      <c r="F397" s="46" t="n"/>
      <c r="G397" s="47" t="n"/>
      <c r="H397" s="14" t="n"/>
      <c r="I397" s="13">
        <f>IF(OR(B397="",Q397=""),"",IF(Q397&gt;0,IF(R397="Làm việc",WORKDAY(IFERROR(IF(INDEX(SK_D,MATCH(O397,SK_A,0))="",B397,INDEX(SK_D,MATCH(O397,SK_A,0))),B397),Q397,HOLI),IFERROR(IF(INDEX(SK_D,MATCH(O397,SK_A,0))="",B397,INDEX(SK_D,MATCH(O397,SK_A,0))),B397)+Q397),B397+Q397))</f>
        <v/>
      </c>
      <c r="J397" s="14" t="n"/>
      <c r="K397" s="13" t="n"/>
      <c r="L397" s="12" t="n"/>
      <c r="M397" s="48">
        <f>IF(E397="","",IF(J397="Bỏ qua","—",IF(J397="Xong",IF(AND(ISNUMBER(K397),ISNUMBER(I397),K397&gt;I397),"Xong trễ","Xong"),MID(IF(G397=""," · CHƯA GIAO","")&amp;IF(NOT(ISNUMBER(I397)),"",IF(TODAY()&gt;I397," · QUÁ HẠN "&amp;(TODAY()-I397)&amp;" ngày",IF(I397-TODAY()&lt;=3," · Đến hạn "&amp;IF(I397=TODAY(),"hôm nay","trong "&amp;(I397-TODAY())&amp;" ngày"),"")))&amp;IF(J397="Chờ đối tác"," · Chờ đối tác"&amp;IF(ISNUMBER(N397)," "&amp;(TODAY()-INT(N397))&amp;" ngày",""),""),4,200))))</f>
        <v/>
      </c>
      <c r="N397" s="49" t="n"/>
      <c r="S397">
        <f>IF(AND(E397&lt;&gt;"",T397="Có",J397&lt;&gt;"Xong",J397&lt;&gt;"Bỏ qua",ISNUMBER(I397)),I397+ROW()/100000,"")</f>
        <v/>
      </c>
      <c r="T397">
        <f>IF(O397="","",IFERROR(INDEX(SK_TD,MATCH(O397,SK_A,0)),""))</f>
        <v/>
      </c>
      <c r="V397">
        <f>IF(AND(O397&lt;&gt;"",O397=SEL_K,J397&lt;&gt;"Xong",J397&lt;&gt;"Bỏ qua"),IF(ISNUMBER(I397),I397,99999)+ROW()/100000,"")</f>
        <v/>
      </c>
    </row>
    <row r="398">
      <c r="A398" s="12">
        <f>IF(O398="","",IFERROR(INDEX(SK_B,MATCH(O398,SK_A,0))&amp;"",""))</f>
        <v/>
      </c>
      <c r="B398" s="45">
        <f>IF(O398="","",IFERROR(INDEX(SK_C,MATCH(O398,SK_A,0)),""))</f>
        <v/>
      </c>
      <c r="C398" s="46">
        <f>IF(Q398="","",IF(Q398=0,"D",IF(Q398&lt;0,"D"&amp;Q398,"D+"&amp;Q398)))</f>
        <v/>
      </c>
      <c r="D398" s="14" t="n"/>
      <c r="E398" s="12" t="n"/>
      <c r="F398" s="46" t="n"/>
      <c r="G398" s="47" t="n"/>
      <c r="H398" s="14" t="n"/>
      <c r="I398" s="13">
        <f>IF(OR(B398="",Q398=""),"",IF(Q398&gt;0,IF(R398="Làm việc",WORKDAY(IFERROR(IF(INDEX(SK_D,MATCH(O398,SK_A,0))="",B398,INDEX(SK_D,MATCH(O398,SK_A,0))),B398),Q398,HOLI),IFERROR(IF(INDEX(SK_D,MATCH(O398,SK_A,0))="",B398,INDEX(SK_D,MATCH(O398,SK_A,0))),B398)+Q398),B398+Q398))</f>
        <v/>
      </c>
      <c r="J398" s="14" t="n"/>
      <c r="K398" s="13" t="n"/>
      <c r="L398" s="12" t="n"/>
      <c r="M398" s="48">
        <f>IF(E398="","",IF(J398="Bỏ qua","—",IF(J398="Xong",IF(AND(ISNUMBER(K398),ISNUMBER(I398),K398&gt;I398),"Xong trễ","Xong"),MID(IF(G398=""," · CHƯA GIAO","")&amp;IF(NOT(ISNUMBER(I398)),"",IF(TODAY()&gt;I398," · QUÁ HẠN "&amp;(TODAY()-I398)&amp;" ngày",IF(I398-TODAY()&lt;=3," · Đến hạn "&amp;IF(I398=TODAY(),"hôm nay","trong "&amp;(I398-TODAY())&amp;" ngày"),"")))&amp;IF(J398="Chờ đối tác"," · Chờ đối tác"&amp;IF(ISNUMBER(N398)," "&amp;(TODAY()-INT(N398))&amp;" ngày",""),""),4,200))))</f>
        <v/>
      </c>
      <c r="N398" s="49" t="n"/>
      <c r="S398">
        <f>IF(AND(E398&lt;&gt;"",T398="Có",J398&lt;&gt;"Xong",J398&lt;&gt;"Bỏ qua",ISNUMBER(I398)),I398+ROW()/100000,"")</f>
        <v/>
      </c>
      <c r="T398">
        <f>IF(O398="","",IFERROR(INDEX(SK_TD,MATCH(O398,SK_A,0)),""))</f>
        <v/>
      </c>
      <c r="V398">
        <f>IF(AND(O398&lt;&gt;"",O398=SEL_K,J398&lt;&gt;"Xong",J398&lt;&gt;"Bỏ qua"),IF(ISNUMBER(I398),I398,99999)+ROW()/100000,"")</f>
        <v/>
      </c>
    </row>
    <row r="399">
      <c r="A399" s="12">
        <f>IF(O399="","",IFERROR(INDEX(SK_B,MATCH(O399,SK_A,0))&amp;"",""))</f>
        <v/>
      </c>
      <c r="B399" s="45">
        <f>IF(O399="","",IFERROR(INDEX(SK_C,MATCH(O399,SK_A,0)),""))</f>
        <v/>
      </c>
      <c r="C399" s="46">
        <f>IF(Q399="","",IF(Q399=0,"D",IF(Q399&lt;0,"D"&amp;Q399,"D+"&amp;Q399)))</f>
        <v/>
      </c>
      <c r="D399" s="14" t="n"/>
      <c r="E399" s="12" t="n"/>
      <c r="F399" s="46" t="n"/>
      <c r="G399" s="47" t="n"/>
      <c r="H399" s="14" t="n"/>
      <c r="I399" s="13">
        <f>IF(OR(B399="",Q399=""),"",IF(Q399&gt;0,IF(R399="Làm việc",WORKDAY(IFERROR(IF(INDEX(SK_D,MATCH(O399,SK_A,0))="",B399,INDEX(SK_D,MATCH(O399,SK_A,0))),B399),Q399,HOLI),IFERROR(IF(INDEX(SK_D,MATCH(O399,SK_A,0))="",B399,INDEX(SK_D,MATCH(O399,SK_A,0))),B399)+Q399),B399+Q399))</f>
        <v/>
      </c>
      <c r="J399" s="14" t="n"/>
      <c r="K399" s="13" t="n"/>
      <c r="L399" s="12" t="n"/>
      <c r="M399" s="48">
        <f>IF(E399="","",IF(J399="Bỏ qua","—",IF(J399="Xong",IF(AND(ISNUMBER(K399),ISNUMBER(I399),K399&gt;I399),"Xong trễ","Xong"),MID(IF(G399=""," · CHƯA GIAO","")&amp;IF(NOT(ISNUMBER(I399)),"",IF(TODAY()&gt;I399," · QUÁ HẠN "&amp;(TODAY()-I399)&amp;" ngày",IF(I399-TODAY()&lt;=3," · Đến hạn "&amp;IF(I399=TODAY(),"hôm nay","trong "&amp;(I399-TODAY())&amp;" ngày"),"")))&amp;IF(J399="Chờ đối tác"," · Chờ đối tác"&amp;IF(ISNUMBER(N399)," "&amp;(TODAY()-INT(N399))&amp;" ngày",""),""),4,200))))</f>
        <v/>
      </c>
      <c r="N399" s="49" t="n"/>
      <c r="S399">
        <f>IF(AND(E399&lt;&gt;"",T399="Có",J399&lt;&gt;"Xong",J399&lt;&gt;"Bỏ qua",ISNUMBER(I399)),I399+ROW()/100000,"")</f>
        <v/>
      </c>
      <c r="T399">
        <f>IF(O399="","",IFERROR(INDEX(SK_TD,MATCH(O399,SK_A,0)),""))</f>
        <v/>
      </c>
      <c r="V399">
        <f>IF(AND(O399&lt;&gt;"",O399=SEL_K,J399&lt;&gt;"Xong",J399&lt;&gt;"Bỏ qua"),IF(ISNUMBER(I399),I399,99999)+ROW()/100000,"")</f>
        <v/>
      </c>
    </row>
    <row r="400">
      <c r="A400" s="12">
        <f>IF(O400="","",IFERROR(INDEX(SK_B,MATCH(O400,SK_A,0))&amp;"",""))</f>
        <v/>
      </c>
      <c r="B400" s="45">
        <f>IF(O400="","",IFERROR(INDEX(SK_C,MATCH(O400,SK_A,0)),""))</f>
        <v/>
      </c>
      <c r="C400" s="46">
        <f>IF(Q400="","",IF(Q400=0,"D",IF(Q400&lt;0,"D"&amp;Q400,"D+"&amp;Q400)))</f>
        <v/>
      </c>
      <c r="D400" s="14" t="n"/>
      <c r="E400" s="12" t="n"/>
      <c r="F400" s="46" t="n"/>
      <c r="G400" s="47" t="n"/>
      <c r="H400" s="14" t="n"/>
      <c r="I400" s="13">
        <f>IF(OR(B400="",Q400=""),"",IF(Q400&gt;0,IF(R400="Làm việc",WORKDAY(IFERROR(IF(INDEX(SK_D,MATCH(O400,SK_A,0))="",B400,INDEX(SK_D,MATCH(O400,SK_A,0))),B400),Q400,HOLI),IFERROR(IF(INDEX(SK_D,MATCH(O400,SK_A,0))="",B400,INDEX(SK_D,MATCH(O400,SK_A,0))),B400)+Q400),B400+Q400))</f>
        <v/>
      </c>
      <c r="J400" s="14" t="n"/>
      <c r="K400" s="13" t="n"/>
      <c r="L400" s="12" t="n"/>
      <c r="M400" s="48">
        <f>IF(E400="","",IF(J400="Bỏ qua","—",IF(J400="Xong",IF(AND(ISNUMBER(K400),ISNUMBER(I400),K400&gt;I400),"Xong trễ","Xong"),MID(IF(G400=""," · CHƯA GIAO","")&amp;IF(NOT(ISNUMBER(I400)),"",IF(TODAY()&gt;I400," · QUÁ HẠN "&amp;(TODAY()-I400)&amp;" ngày",IF(I400-TODAY()&lt;=3," · Đến hạn "&amp;IF(I400=TODAY(),"hôm nay","trong "&amp;(I400-TODAY())&amp;" ngày"),"")))&amp;IF(J400="Chờ đối tác"," · Chờ đối tác"&amp;IF(ISNUMBER(N400)," "&amp;(TODAY()-INT(N400))&amp;" ngày",""),""),4,200))))</f>
        <v/>
      </c>
      <c r="N400" s="49" t="n"/>
      <c r="S400">
        <f>IF(AND(E400&lt;&gt;"",T400="Có",J400&lt;&gt;"Xong",J400&lt;&gt;"Bỏ qua",ISNUMBER(I400)),I400+ROW()/100000,"")</f>
        <v/>
      </c>
      <c r="T400">
        <f>IF(O400="","",IFERROR(INDEX(SK_TD,MATCH(O400,SK_A,0)),""))</f>
        <v/>
      </c>
      <c r="V400">
        <f>IF(AND(O400&lt;&gt;"",O400=SEL_K,J400&lt;&gt;"Xong",J400&lt;&gt;"Bỏ qua"),IF(ISNUMBER(I400),I400,99999)+ROW()/100000,"")</f>
        <v/>
      </c>
    </row>
    <row r="401">
      <c r="A401" s="12">
        <f>IF(O401="","",IFERROR(INDEX(SK_B,MATCH(O401,SK_A,0))&amp;"",""))</f>
        <v/>
      </c>
      <c r="B401" s="45">
        <f>IF(O401="","",IFERROR(INDEX(SK_C,MATCH(O401,SK_A,0)),""))</f>
        <v/>
      </c>
      <c r="C401" s="46">
        <f>IF(Q401="","",IF(Q401=0,"D",IF(Q401&lt;0,"D"&amp;Q401,"D+"&amp;Q401)))</f>
        <v/>
      </c>
      <c r="D401" s="14" t="n"/>
      <c r="E401" s="12" t="n"/>
      <c r="F401" s="46" t="n"/>
      <c r="G401" s="47" t="n"/>
      <c r="H401" s="14" t="n"/>
      <c r="I401" s="13">
        <f>IF(OR(B401="",Q401=""),"",IF(Q401&gt;0,IF(R401="Làm việc",WORKDAY(IFERROR(IF(INDEX(SK_D,MATCH(O401,SK_A,0))="",B401,INDEX(SK_D,MATCH(O401,SK_A,0))),B401),Q401,HOLI),IFERROR(IF(INDEX(SK_D,MATCH(O401,SK_A,0))="",B401,INDEX(SK_D,MATCH(O401,SK_A,0))),B401)+Q401),B401+Q401))</f>
        <v/>
      </c>
      <c r="J401" s="14" t="n"/>
      <c r="K401" s="13" t="n"/>
      <c r="L401" s="12" t="n"/>
      <c r="M401" s="48">
        <f>IF(E401="","",IF(J401="Bỏ qua","—",IF(J401="Xong",IF(AND(ISNUMBER(K401),ISNUMBER(I401),K401&gt;I401),"Xong trễ","Xong"),MID(IF(G401=""," · CHƯA GIAO","")&amp;IF(NOT(ISNUMBER(I401)),"",IF(TODAY()&gt;I401," · QUÁ HẠN "&amp;(TODAY()-I401)&amp;" ngày",IF(I401-TODAY()&lt;=3," · Đến hạn "&amp;IF(I401=TODAY(),"hôm nay","trong "&amp;(I401-TODAY())&amp;" ngày"),"")))&amp;IF(J401="Chờ đối tác"," · Chờ đối tác"&amp;IF(ISNUMBER(N401)," "&amp;(TODAY()-INT(N401))&amp;" ngày",""),""),4,200))))</f>
        <v/>
      </c>
      <c r="N401" s="49" t="n"/>
      <c r="S401">
        <f>IF(AND(E401&lt;&gt;"",T401="Có",J401&lt;&gt;"Xong",J401&lt;&gt;"Bỏ qua",ISNUMBER(I401)),I401+ROW()/100000,"")</f>
        <v/>
      </c>
      <c r="T401">
        <f>IF(O401="","",IFERROR(INDEX(SK_TD,MATCH(O401,SK_A,0)),""))</f>
        <v/>
      </c>
      <c r="V401">
        <f>IF(AND(O401&lt;&gt;"",O401=SEL_K,J401&lt;&gt;"Xong",J401&lt;&gt;"Bỏ qua"),IF(ISNUMBER(I401),I401,99999)+ROW()/100000,"")</f>
        <v/>
      </c>
    </row>
    <row r="402">
      <c r="A402" s="12">
        <f>IF(O402="","",IFERROR(INDEX(SK_B,MATCH(O402,SK_A,0))&amp;"",""))</f>
        <v/>
      </c>
      <c r="B402" s="45">
        <f>IF(O402="","",IFERROR(INDEX(SK_C,MATCH(O402,SK_A,0)),""))</f>
        <v/>
      </c>
      <c r="C402" s="46">
        <f>IF(Q402="","",IF(Q402=0,"D",IF(Q402&lt;0,"D"&amp;Q402,"D+"&amp;Q402)))</f>
        <v/>
      </c>
      <c r="D402" s="14" t="n"/>
      <c r="E402" s="12" t="n"/>
      <c r="F402" s="46" t="n"/>
      <c r="G402" s="47" t="n"/>
      <c r="H402" s="14" t="n"/>
      <c r="I402" s="13">
        <f>IF(OR(B402="",Q402=""),"",IF(Q402&gt;0,IF(R402="Làm việc",WORKDAY(IFERROR(IF(INDEX(SK_D,MATCH(O402,SK_A,0))="",B402,INDEX(SK_D,MATCH(O402,SK_A,0))),B402),Q402,HOLI),IFERROR(IF(INDEX(SK_D,MATCH(O402,SK_A,0))="",B402,INDEX(SK_D,MATCH(O402,SK_A,0))),B402)+Q402),B402+Q402))</f>
        <v/>
      </c>
      <c r="J402" s="14" t="n"/>
      <c r="K402" s="13" t="n"/>
      <c r="L402" s="12" t="n"/>
      <c r="M402" s="48">
        <f>IF(E402="","",IF(J402="Bỏ qua","—",IF(J402="Xong",IF(AND(ISNUMBER(K402),ISNUMBER(I402),K402&gt;I402),"Xong trễ","Xong"),MID(IF(G402=""," · CHƯA GIAO","")&amp;IF(NOT(ISNUMBER(I402)),"",IF(TODAY()&gt;I402," · QUÁ HẠN "&amp;(TODAY()-I402)&amp;" ngày",IF(I402-TODAY()&lt;=3," · Đến hạn "&amp;IF(I402=TODAY(),"hôm nay","trong "&amp;(I402-TODAY())&amp;" ngày"),"")))&amp;IF(J402="Chờ đối tác"," · Chờ đối tác"&amp;IF(ISNUMBER(N402)," "&amp;(TODAY()-INT(N402))&amp;" ngày",""),""),4,200))))</f>
        <v/>
      </c>
      <c r="N402" s="49" t="n"/>
      <c r="S402">
        <f>IF(AND(E402&lt;&gt;"",T402="Có",J402&lt;&gt;"Xong",J402&lt;&gt;"Bỏ qua",ISNUMBER(I402)),I402+ROW()/100000,"")</f>
        <v/>
      </c>
      <c r="T402">
        <f>IF(O402="","",IFERROR(INDEX(SK_TD,MATCH(O402,SK_A,0)),""))</f>
        <v/>
      </c>
      <c r="V402">
        <f>IF(AND(O402&lt;&gt;"",O402=SEL_K,J402&lt;&gt;"Xong",J402&lt;&gt;"Bỏ qua"),IF(ISNUMBER(I402),I402,99999)+ROW()/100000,"")</f>
        <v/>
      </c>
    </row>
    <row r="403">
      <c r="A403" s="12">
        <f>IF(O403="","",IFERROR(INDEX(SK_B,MATCH(O403,SK_A,0))&amp;"",""))</f>
        <v/>
      </c>
      <c r="B403" s="45">
        <f>IF(O403="","",IFERROR(INDEX(SK_C,MATCH(O403,SK_A,0)),""))</f>
        <v/>
      </c>
      <c r="C403" s="46">
        <f>IF(Q403="","",IF(Q403=0,"D",IF(Q403&lt;0,"D"&amp;Q403,"D+"&amp;Q403)))</f>
        <v/>
      </c>
      <c r="D403" s="14" t="n"/>
      <c r="E403" s="12" t="n"/>
      <c r="F403" s="46" t="n"/>
      <c r="G403" s="47" t="n"/>
      <c r="H403" s="14" t="n"/>
      <c r="I403" s="13">
        <f>IF(OR(B403="",Q403=""),"",IF(Q403&gt;0,IF(R403="Làm việc",WORKDAY(IFERROR(IF(INDEX(SK_D,MATCH(O403,SK_A,0))="",B403,INDEX(SK_D,MATCH(O403,SK_A,0))),B403),Q403,HOLI),IFERROR(IF(INDEX(SK_D,MATCH(O403,SK_A,0))="",B403,INDEX(SK_D,MATCH(O403,SK_A,0))),B403)+Q403),B403+Q403))</f>
        <v/>
      </c>
      <c r="J403" s="14" t="n"/>
      <c r="K403" s="13" t="n"/>
      <c r="L403" s="12" t="n"/>
      <c r="M403" s="48">
        <f>IF(E403="","",IF(J403="Bỏ qua","—",IF(J403="Xong",IF(AND(ISNUMBER(K403),ISNUMBER(I403),K403&gt;I403),"Xong trễ","Xong"),MID(IF(G403=""," · CHƯA GIAO","")&amp;IF(NOT(ISNUMBER(I403)),"",IF(TODAY()&gt;I403," · QUÁ HẠN "&amp;(TODAY()-I403)&amp;" ngày",IF(I403-TODAY()&lt;=3," · Đến hạn "&amp;IF(I403=TODAY(),"hôm nay","trong "&amp;(I403-TODAY())&amp;" ngày"),"")))&amp;IF(J403="Chờ đối tác"," · Chờ đối tác"&amp;IF(ISNUMBER(N403)," "&amp;(TODAY()-INT(N403))&amp;" ngày",""),""),4,200))))</f>
        <v/>
      </c>
      <c r="N403" s="49" t="n"/>
      <c r="S403">
        <f>IF(AND(E403&lt;&gt;"",T403="Có",J403&lt;&gt;"Xong",J403&lt;&gt;"Bỏ qua",ISNUMBER(I403)),I403+ROW()/100000,"")</f>
        <v/>
      </c>
      <c r="T403">
        <f>IF(O403="","",IFERROR(INDEX(SK_TD,MATCH(O403,SK_A,0)),""))</f>
        <v/>
      </c>
      <c r="V403">
        <f>IF(AND(O403&lt;&gt;"",O403=SEL_K,J403&lt;&gt;"Xong",J403&lt;&gt;"Bỏ qua"),IF(ISNUMBER(I403),I403,99999)+ROW()/100000,"")</f>
        <v/>
      </c>
    </row>
    <row r="404">
      <c r="A404" s="12">
        <f>IF(O404="","",IFERROR(INDEX(SK_B,MATCH(O404,SK_A,0))&amp;"",""))</f>
        <v/>
      </c>
      <c r="B404" s="45">
        <f>IF(O404="","",IFERROR(INDEX(SK_C,MATCH(O404,SK_A,0)),""))</f>
        <v/>
      </c>
      <c r="C404" s="46">
        <f>IF(Q404="","",IF(Q404=0,"D",IF(Q404&lt;0,"D"&amp;Q404,"D+"&amp;Q404)))</f>
        <v/>
      </c>
      <c r="D404" s="14" t="n"/>
      <c r="E404" s="12" t="n"/>
      <c r="F404" s="46" t="n"/>
      <c r="G404" s="47" t="n"/>
      <c r="H404" s="14" t="n"/>
      <c r="I404" s="13">
        <f>IF(OR(B404="",Q404=""),"",IF(Q404&gt;0,IF(R404="Làm việc",WORKDAY(IFERROR(IF(INDEX(SK_D,MATCH(O404,SK_A,0))="",B404,INDEX(SK_D,MATCH(O404,SK_A,0))),B404),Q404,HOLI),IFERROR(IF(INDEX(SK_D,MATCH(O404,SK_A,0))="",B404,INDEX(SK_D,MATCH(O404,SK_A,0))),B404)+Q404),B404+Q404))</f>
        <v/>
      </c>
      <c r="J404" s="14" t="n"/>
      <c r="K404" s="13" t="n"/>
      <c r="L404" s="12" t="n"/>
      <c r="M404" s="48">
        <f>IF(E404="","",IF(J404="Bỏ qua","—",IF(J404="Xong",IF(AND(ISNUMBER(K404),ISNUMBER(I404),K404&gt;I404),"Xong trễ","Xong"),MID(IF(G404=""," · CHƯA GIAO","")&amp;IF(NOT(ISNUMBER(I404)),"",IF(TODAY()&gt;I404," · QUÁ HẠN "&amp;(TODAY()-I404)&amp;" ngày",IF(I404-TODAY()&lt;=3," · Đến hạn "&amp;IF(I404=TODAY(),"hôm nay","trong "&amp;(I404-TODAY())&amp;" ngày"),"")))&amp;IF(J404="Chờ đối tác"," · Chờ đối tác"&amp;IF(ISNUMBER(N404)," "&amp;(TODAY()-INT(N404))&amp;" ngày",""),""),4,200))))</f>
        <v/>
      </c>
      <c r="N404" s="49" t="n"/>
      <c r="S404">
        <f>IF(AND(E404&lt;&gt;"",T404="Có",J404&lt;&gt;"Xong",J404&lt;&gt;"Bỏ qua",ISNUMBER(I404)),I404+ROW()/100000,"")</f>
        <v/>
      </c>
      <c r="T404">
        <f>IF(O404="","",IFERROR(INDEX(SK_TD,MATCH(O404,SK_A,0)),""))</f>
        <v/>
      </c>
      <c r="V404">
        <f>IF(AND(O404&lt;&gt;"",O404=SEL_K,J404&lt;&gt;"Xong",J404&lt;&gt;"Bỏ qua"),IF(ISNUMBER(I404),I404,99999)+ROW()/100000,"")</f>
        <v/>
      </c>
    </row>
    <row r="405">
      <c r="A405" s="12">
        <f>IF(O405="","",IFERROR(INDEX(SK_B,MATCH(O405,SK_A,0))&amp;"",""))</f>
        <v/>
      </c>
      <c r="B405" s="45">
        <f>IF(O405="","",IFERROR(INDEX(SK_C,MATCH(O405,SK_A,0)),""))</f>
        <v/>
      </c>
      <c r="C405" s="46">
        <f>IF(Q405="","",IF(Q405=0,"D",IF(Q405&lt;0,"D"&amp;Q405,"D+"&amp;Q405)))</f>
        <v/>
      </c>
      <c r="D405" s="14" t="n"/>
      <c r="E405" s="12" t="n"/>
      <c r="F405" s="46" t="n"/>
      <c r="G405" s="47" t="n"/>
      <c r="H405" s="14" t="n"/>
      <c r="I405" s="13">
        <f>IF(OR(B405="",Q405=""),"",IF(Q405&gt;0,IF(R405="Làm việc",WORKDAY(IFERROR(IF(INDEX(SK_D,MATCH(O405,SK_A,0))="",B405,INDEX(SK_D,MATCH(O405,SK_A,0))),B405),Q405,HOLI),IFERROR(IF(INDEX(SK_D,MATCH(O405,SK_A,0))="",B405,INDEX(SK_D,MATCH(O405,SK_A,0))),B405)+Q405),B405+Q405))</f>
        <v/>
      </c>
      <c r="J405" s="14" t="n"/>
      <c r="K405" s="13" t="n"/>
      <c r="L405" s="12" t="n"/>
      <c r="M405" s="48">
        <f>IF(E405="","",IF(J405="Bỏ qua","—",IF(J405="Xong",IF(AND(ISNUMBER(K405),ISNUMBER(I405),K405&gt;I405),"Xong trễ","Xong"),MID(IF(G405=""," · CHƯA GIAO","")&amp;IF(NOT(ISNUMBER(I405)),"",IF(TODAY()&gt;I405," · QUÁ HẠN "&amp;(TODAY()-I405)&amp;" ngày",IF(I405-TODAY()&lt;=3," · Đến hạn "&amp;IF(I405=TODAY(),"hôm nay","trong "&amp;(I405-TODAY())&amp;" ngày"),"")))&amp;IF(J405="Chờ đối tác"," · Chờ đối tác"&amp;IF(ISNUMBER(N405)," "&amp;(TODAY()-INT(N405))&amp;" ngày",""),""),4,200))))</f>
        <v/>
      </c>
      <c r="N405" s="49" t="n"/>
      <c r="S405">
        <f>IF(AND(E405&lt;&gt;"",T405="Có",J405&lt;&gt;"Xong",J405&lt;&gt;"Bỏ qua",ISNUMBER(I405)),I405+ROW()/100000,"")</f>
        <v/>
      </c>
      <c r="T405">
        <f>IF(O405="","",IFERROR(INDEX(SK_TD,MATCH(O405,SK_A,0)),""))</f>
        <v/>
      </c>
      <c r="V405">
        <f>IF(AND(O405&lt;&gt;"",O405=SEL_K,J405&lt;&gt;"Xong",J405&lt;&gt;"Bỏ qua"),IF(ISNUMBER(I405),I405,99999)+ROW()/100000,"")</f>
        <v/>
      </c>
    </row>
    <row r="406">
      <c r="A406" s="12">
        <f>IF(O406="","",IFERROR(INDEX(SK_B,MATCH(O406,SK_A,0))&amp;"",""))</f>
        <v/>
      </c>
      <c r="B406" s="45">
        <f>IF(O406="","",IFERROR(INDEX(SK_C,MATCH(O406,SK_A,0)),""))</f>
        <v/>
      </c>
      <c r="C406" s="46">
        <f>IF(Q406="","",IF(Q406=0,"D",IF(Q406&lt;0,"D"&amp;Q406,"D+"&amp;Q406)))</f>
        <v/>
      </c>
      <c r="D406" s="14" t="n"/>
      <c r="E406" s="12" t="n"/>
      <c r="F406" s="46" t="n"/>
      <c r="G406" s="47" t="n"/>
      <c r="H406" s="14" t="n"/>
      <c r="I406" s="13">
        <f>IF(OR(B406="",Q406=""),"",IF(Q406&gt;0,IF(R406="Làm việc",WORKDAY(IFERROR(IF(INDEX(SK_D,MATCH(O406,SK_A,0))="",B406,INDEX(SK_D,MATCH(O406,SK_A,0))),B406),Q406,HOLI),IFERROR(IF(INDEX(SK_D,MATCH(O406,SK_A,0))="",B406,INDEX(SK_D,MATCH(O406,SK_A,0))),B406)+Q406),B406+Q406))</f>
        <v/>
      </c>
      <c r="J406" s="14" t="n"/>
      <c r="K406" s="13" t="n"/>
      <c r="L406" s="12" t="n"/>
      <c r="M406" s="48">
        <f>IF(E406="","",IF(J406="Bỏ qua","—",IF(J406="Xong",IF(AND(ISNUMBER(K406),ISNUMBER(I406),K406&gt;I406),"Xong trễ","Xong"),MID(IF(G406=""," · CHƯA GIAO","")&amp;IF(NOT(ISNUMBER(I406)),"",IF(TODAY()&gt;I406," · QUÁ HẠN "&amp;(TODAY()-I406)&amp;" ngày",IF(I406-TODAY()&lt;=3," · Đến hạn "&amp;IF(I406=TODAY(),"hôm nay","trong "&amp;(I406-TODAY())&amp;" ngày"),"")))&amp;IF(J406="Chờ đối tác"," · Chờ đối tác"&amp;IF(ISNUMBER(N406)," "&amp;(TODAY()-INT(N406))&amp;" ngày",""),""),4,200))))</f>
        <v/>
      </c>
      <c r="N406" s="49" t="n"/>
      <c r="S406">
        <f>IF(AND(E406&lt;&gt;"",T406="Có",J406&lt;&gt;"Xong",J406&lt;&gt;"Bỏ qua",ISNUMBER(I406)),I406+ROW()/100000,"")</f>
        <v/>
      </c>
      <c r="T406">
        <f>IF(O406="","",IFERROR(INDEX(SK_TD,MATCH(O406,SK_A,0)),""))</f>
        <v/>
      </c>
      <c r="V406">
        <f>IF(AND(O406&lt;&gt;"",O406=SEL_K,J406&lt;&gt;"Xong",J406&lt;&gt;"Bỏ qua"),IF(ISNUMBER(I406),I406,99999)+ROW()/100000,"")</f>
        <v/>
      </c>
    </row>
    <row r="407">
      <c r="A407" s="12">
        <f>IF(O407="","",IFERROR(INDEX(SK_B,MATCH(O407,SK_A,0))&amp;"",""))</f>
        <v/>
      </c>
      <c r="B407" s="45">
        <f>IF(O407="","",IFERROR(INDEX(SK_C,MATCH(O407,SK_A,0)),""))</f>
        <v/>
      </c>
      <c r="C407" s="46">
        <f>IF(Q407="","",IF(Q407=0,"D",IF(Q407&lt;0,"D"&amp;Q407,"D+"&amp;Q407)))</f>
        <v/>
      </c>
      <c r="D407" s="14" t="n"/>
      <c r="E407" s="12" t="n"/>
      <c r="F407" s="46" t="n"/>
      <c r="G407" s="47" t="n"/>
      <c r="H407" s="14" t="n"/>
      <c r="I407" s="13">
        <f>IF(OR(B407="",Q407=""),"",IF(Q407&gt;0,IF(R407="Làm việc",WORKDAY(IFERROR(IF(INDEX(SK_D,MATCH(O407,SK_A,0))="",B407,INDEX(SK_D,MATCH(O407,SK_A,0))),B407),Q407,HOLI),IFERROR(IF(INDEX(SK_D,MATCH(O407,SK_A,0))="",B407,INDEX(SK_D,MATCH(O407,SK_A,0))),B407)+Q407),B407+Q407))</f>
        <v/>
      </c>
      <c r="J407" s="14" t="n"/>
      <c r="K407" s="13" t="n"/>
      <c r="L407" s="12" t="n"/>
      <c r="M407" s="48">
        <f>IF(E407="","",IF(J407="Bỏ qua","—",IF(J407="Xong",IF(AND(ISNUMBER(K407),ISNUMBER(I407),K407&gt;I407),"Xong trễ","Xong"),MID(IF(G407=""," · CHƯA GIAO","")&amp;IF(NOT(ISNUMBER(I407)),"",IF(TODAY()&gt;I407," · QUÁ HẠN "&amp;(TODAY()-I407)&amp;" ngày",IF(I407-TODAY()&lt;=3," · Đến hạn "&amp;IF(I407=TODAY(),"hôm nay","trong "&amp;(I407-TODAY())&amp;" ngày"),"")))&amp;IF(J407="Chờ đối tác"," · Chờ đối tác"&amp;IF(ISNUMBER(N407)," "&amp;(TODAY()-INT(N407))&amp;" ngày",""),""),4,200))))</f>
        <v/>
      </c>
      <c r="N407" s="49" t="n"/>
      <c r="S407">
        <f>IF(AND(E407&lt;&gt;"",T407="Có",J407&lt;&gt;"Xong",J407&lt;&gt;"Bỏ qua",ISNUMBER(I407)),I407+ROW()/100000,"")</f>
        <v/>
      </c>
      <c r="T407">
        <f>IF(O407="","",IFERROR(INDEX(SK_TD,MATCH(O407,SK_A,0)),""))</f>
        <v/>
      </c>
      <c r="V407">
        <f>IF(AND(O407&lt;&gt;"",O407=SEL_K,J407&lt;&gt;"Xong",J407&lt;&gt;"Bỏ qua"),IF(ISNUMBER(I407),I407,99999)+ROW()/100000,"")</f>
        <v/>
      </c>
    </row>
    <row r="408">
      <c r="A408" s="12">
        <f>IF(O408="","",IFERROR(INDEX(SK_B,MATCH(O408,SK_A,0))&amp;"",""))</f>
        <v/>
      </c>
      <c r="B408" s="45">
        <f>IF(O408="","",IFERROR(INDEX(SK_C,MATCH(O408,SK_A,0)),""))</f>
        <v/>
      </c>
      <c r="C408" s="46">
        <f>IF(Q408="","",IF(Q408=0,"D",IF(Q408&lt;0,"D"&amp;Q408,"D+"&amp;Q408)))</f>
        <v/>
      </c>
      <c r="D408" s="14" t="n"/>
      <c r="E408" s="12" t="n"/>
      <c r="F408" s="46" t="n"/>
      <c r="G408" s="47" t="n"/>
      <c r="H408" s="14" t="n"/>
      <c r="I408" s="13">
        <f>IF(OR(B408="",Q408=""),"",IF(Q408&gt;0,IF(R408="Làm việc",WORKDAY(IFERROR(IF(INDEX(SK_D,MATCH(O408,SK_A,0))="",B408,INDEX(SK_D,MATCH(O408,SK_A,0))),B408),Q408,HOLI),IFERROR(IF(INDEX(SK_D,MATCH(O408,SK_A,0))="",B408,INDEX(SK_D,MATCH(O408,SK_A,0))),B408)+Q408),B408+Q408))</f>
        <v/>
      </c>
      <c r="J408" s="14" t="n"/>
      <c r="K408" s="13" t="n"/>
      <c r="L408" s="12" t="n"/>
      <c r="M408" s="48">
        <f>IF(E408="","",IF(J408="Bỏ qua","—",IF(J408="Xong",IF(AND(ISNUMBER(K408),ISNUMBER(I408),K408&gt;I408),"Xong trễ","Xong"),MID(IF(G408=""," · CHƯA GIAO","")&amp;IF(NOT(ISNUMBER(I408)),"",IF(TODAY()&gt;I408," · QUÁ HẠN "&amp;(TODAY()-I408)&amp;" ngày",IF(I408-TODAY()&lt;=3," · Đến hạn "&amp;IF(I408=TODAY(),"hôm nay","trong "&amp;(I408-TODAY())&amp;" ngày"),"")))&amp;IF(J408="Chờ đối tác"," · Chờ đối tác"&amp;IF(ISNUMBER(N408)," "&amp;(TODAY()-INT(N408))&amp;" ngày",""),""),4,200))))</f>
        <v/>
      </c>
      <c r="N408" s="49" t="n"/>
      <c r="S408">
        <f>IF(AND(E408&lt;&gt;"",T408="Có",J408&lt;&gt;"Xong",J408&lt;&gt;"Bỏ qua",ISNUMBER(I408)),I408+ROW()/100000,"")</f>
        <v/>
      </c>
      <c r="T408">
        <f>IF(O408="","",IFERROR(INDEX(SK_TD,MATCH(O408,SK_A,0)),""))</f>
        <v/>
      </c>
      <c r="V408">
        <f>IF(AND(O408&lt;&gt;"",O408=SEL_K,J408&lt;&gt;"Xong",J408&lt;&gt;"Bỏ qua"),IF(ISNUMBER(I408),I408,99999)+ROW()/100000,"")</f>
        <v/>
      </c>
    </row>
    <row r="409">
      <c r="A409" s="12">
        <f>IF(O409="","",IFERROR(INDEX(SK_B,MATCH(O409,SK_A,0))&amp;"",""))</f>
        <v/>
      </c>
      <c r="B409" s="45">
        <f>IF(O409="","",IFERROR(INDEX(SK_C,MATCH(O409,SK_A,0)),""))</f>
        <v/>
      </c>
      <c r="C409" s="46">
        <f>IF(Q409="","",IF(Q409=0,"D",IF(Q409&lt;0,"D"&amp;Q409,"D+"&amp;Q409)))</f>
        <v/>
      </c>
      <c r="D409" s="14" t="n"/>
      <c r="E409" s="12" t="n"/>
      <c r="F409" s="46" t="n"/>
      <c r="G409" s="47" t="n"/>
      <c r="H409" s="14" t="n"/>
      <c r="I409" s="13">
        <f>IF(OR(B409="",Q409=""),"",IF(Q409&gt;0,IF(R409="Làm việc",WORKDAY(IFERROR(IF(INDEX(SK_D,MATCH(O409,SK_A,0))="",B409,INDEX(SK_D,MATCH(O409,SK_A,0))),B409),Q409,HOLI),IFERROR(IF(INDEX(SK_D,MATCH(O409,SK_A,0))="",B409,INDEX(SK_D,MATCH(O409,SK_A,0))),B409)+Q409),B409+Q409))</f>
        <v/>
      </c>
      <c r="J409" s="14" t="n"/>
      <c r="K409" s="13" t="n"/>
      <c r="L409" s="12" t="n"/>
      <c r="M409" s="48">
        <f>IF(E409="","",IF(J409="Bỏ qua","—",IF(J409="Xong",IF(AND(ISNUMBER(K409),ISNUMBER(I409),K409&gt;I409),"Xong trễ","Xong"),MID(IF(G409=""," · CHƯA GIAO","")&amp;IF(NOT(ISNUMBER(I409)),"",IF(TODAY()&gt;I409," · QUÁ HẠN "&amp;(TODAY()-I409)&amp;" ngày",IF(I409-TODAY()&lt;=3," · Đến hạn "&amp;IF(I409=TODAY(),"hôm nay","trong "&amp;(I409-TODAY())&amp;" ngày"),"")))&amp;IF(J409="Chờ đối tác"," · Chờ đối tác"&amp;IF(ISNUMBER(N409)," "&amp;(TODAY()-INT(N409))&amp;" ngày",""),""),4,200))))</f>
        <v/>
      </c>
      <c r="N409" s="49" t="n"/>
      <c r="S409">
        <f>IF(AND(E409&lt;&gt;"",T409="Có",J409&lt;&gt;"Xong",J409&lt;&gt;"Bỏ qua",ISNUMBER(I409)),I409+ROW()/100000,"")</f>
        <v/>
      </c>
      <c r="T409">
        <f>IF(O409="","",IFERROR(INDEX(SK_TD,MATCH(O409,SK_A,0)),""))</f>
        <v/>
      </c>
      <c r="V409">
        <f>IF(AND(O409&lt;&gt;"",O409=SEL_K,J409&lt;&gt;"Xong",J409&lt;&gt;"Bỏ qua"),IF(ISNUMBER(I409),I409,99999)+ROW()/100000,"")</f>
        <v/>
      </c>
    </row>
    <row r="410">
      <c r="A410" s="12">
        <f>IF(O410="","",IFERROR(INDEX(SK_B,MATCH(O410,SK_A,0))&amp;"",""))</f>
        <v/>
      </c>
      <c r="B410" s="45">
        <f>IF(O410="","",IFERROR(INDEX(SK_C,MATCH(O410,SK_A,0)),""))</f>
        <v/>
      </c>
      <c r="C410" s="46">
        <f>IF(Q410="","",IF(Q410=0,"D",IF(Q410&lt;0,"D"&amp;Q410,"D+"&amp;Q410)))</f>
        <v/>
      </c>
      <c r="D410" s="14" t="n"/>
      <c r="E410" s="12" t="n"/>
      <c r="F410" s="46" t="n"/>
      <c r="G410" s="47" t="n"/>
      <c r="H410" s="14" t="n"/>
      <c r="I410" s="13">
        <f>IF(OR(B410="",Q410=""),"",IF(Q410&gt;0,IF(R410="Làm việc",WORKDAY(IFERROR(IF(INDEX(SK_D,MATCH(O410,SK_A,0))="",B410,INDEX(SK_D,MATCH(O410,SK_A,0))),B410),Q410,HOLI),IFERROR(IF(INDEX(SK_D,MATCH(O410,SK_A,0))="",B410,INDEX(SK_D,MATCH(O410,SK_A,0))),B410)+Q410),B410+Q410))</f>
        <v/>
      </c>
      <c r="J410" s="14" t="n"/>
      <c r="K410" s="13" t="n"/>
      <c r="L410" s="12" t="n"/>
      <c r="M410" s="48">
        <f>IF(E410="","",IF(J410="Bỏ qua","—",IF(J410="Xong",IF(AND(ISNUMBER(K410),ISNUMBER(I410),K410&gt;I410),"Xong trễ","Xong"),MID(IF(G410=""," · CHƯA GIAO","")&amp;IF(NOT(ISNUMBER(I410)),"",IF(TODAY()&gt;I410," · QUÁ HẠN "&amp;(TODAY()-I410)&amp;" ngày",IF(I410-TODAY()&lt;=3," · Đến hạn "&amp;IF(I410=TODAY(),"hôm nay","trong "&amp;(I410-TODAY())&amp;" ngày"),"")))&amp;IF(J410="Chờ đối tác"," · Chờ đối tác"&amp;IF(ISNUMBER(N410)," "&amp;(TODAY()-INT(N410))&amp;" ngày",""),""),4,200))))</f>
        <v/>
      </c>
      <c r="N410" s="49" t="n"/>
      <c r="S410">
        <f>IF(AND(E410&lt;&gt;"",T410="Có",J410&lt;&gt;"Xong",J410&lt;&gt;"Bỏ qua",ISNUMBER(I410)),I410+ROW()/100000,"")</f>
        <v/>
      </c>
      <c r="T410">
        <f>IF(O410="","",IFERROR(INDEX(SK_TD,MATCH(O410,SK_A,0)),""))</f>
        <v/>
      </c>
      <c r="V410">
        <f>IF(AND(O410&lt;&gt;"",O410=SEL_K,J410&lt;&gt;"Xong",J410&lt;&gt;"Bỏ qua"),IF(ISNUMBER(I410),I410,99999)+ROW()/100000,"")</f>
        <v/>
      </c>
    </row>
    <row r="411">
      <c r="A411" s="12">
        <f>IF(O411="","",IFERROR(INDEX(SK_B,MATCH(O411,SK_A,0))&amp;"",""))</f>
        <v/>
      </c>
      <c r="B411" s="45">
        <f>IF(O411="","",IFERROR(INDEX(SK_C,MATCH(O411,SK_A,0)),""))</f>
        <v/>
      </c>
      <c r="C411" s="46">
        <f>IF(Q411="","",IF(Q411=0,"D",IF(Q411&lt;0,"D"&amp;Q411,"D+"&amp;Q411)))</f>
        <v/>
      </c>
      <c r="D411" s="14" t="n"/>
      <c r="E411" s="12" t="n"/>
      <c r="F411" s="46" t="n"/>
      <c r="G411" s="47" t="n"/>
      <c r="H411" s="14" t="n"/>
      <c r="I411" s="13">
        <f>IF(OR(B411="",Q411=""),"",IF(Q411&gt;0,IF(R411="Làm việc",WORKDAY(IFERROR(IF(INDEX(SK_D,MATCH(O411,SK_A,0))="",B411,INDEX(SK_D,MATCH(O411,SK_A,0))),B411),Q411,HOLI),IFERROR(IF(INDEX(SK_D,MATCH(O411,SK_A,0))="",B411,INDEX(SK_D,MATCH(O411,SK_A,0))),B411)+Q411),B411+Q411))</f>
        <v/>
      </c>
      <c r="J411" s="14" t="n"/>
      <c r="K411" s="13" t="n"/>
      <c r="L411" s="12" t="n"/>
      <c r="M411" s="48">
        <f>IF(E411="","",IF(J411="Bỏ qua","—",IF(J411="Xong",IF(AND(ISNUMBER(K411),ISNUMBER(I411),K411&gt;I411),"Xong trễ","Xong"),MID(IF(G411=""," · CHƯA GIAO","")&amp;IF(NOT(ISNUMBER(I411)),"",IF(TODAY()&gt;I411," · QUÁ HẠN "&amp;(TODAY()-I411)&amp;" ngày",IF(I411-TODAY()&lt;=3," · Đến hạn "&amp;IF(I411=TODAY(),"hôm nay","trong "&amp;(I411-TODAY())&amp;" ngày"),"")))&amp;IF(J411="Chờ đối tác"," · Chờ đối tác"&amp;IF(ISNUMBER(N411)," "&amp;(TODAY()-INT(N411))&amp;" ngày",""),""),4,200))))</f>
        <v/>
      </c>
      <c r="N411" s="49" t="n"/>
      <c r="S411">
        <f>IF(AND(E411&lt;&gt;"",T411="Có",J411&lt;&gt;"Xong",J411&lt;&gt;"Bỏ qua",ISNUMBER(I411)),I411+ROW()/100000,"")</f>
        <v/>
      </c>
      <c r="T411">
        <f>IF(O411="","",IFERROR(INDEX(SK_TD,MATCH(O411,SK_A,0)),""))</f>
        <v/>
      </c>
      <c r="V411">
        <f>IF(AND(O411&lt;&gt;"",O411=SEL_K,J411&lt;&gt;"Xong",J411&lt;&gt;"Bỏ qua"),IF(ISNUMBER(I411),I411,99999)+ROW()/100000,"")</f>
        <v/>
      </c>
    </row>
    <row r="412">
      <c r="A412" s="12">
        <f>IF(O412="","",IFERROR(INDEX(SK_B,MATCH(O412,SK_A,0))&amp;"",""))</f>
        <v/>
      </c>
      <c r="B412" s="45">
        <f>IF(O412="","",IFERROR(INDEX(SK_C,MATCH(O412,SK_A,0)),""))</f>
        <v/>
      </c>
      <c r="C412" s="46">
        <f>IF(Q412="","",IF(Q412=0,"D",IF(Q412&lt;0,"D"&amp;Q412,"D+"&amp;Q412)))</f>
        <v/>
      </c>
      <c r="D412" s="14" t="n"/>
      <c r="E412" s="12" t="n"/>
      <c r="F412" s="46" t="n"/>
      <c r="G412" s="47" t="n"/>
      <c r="H412" s="14" t="n"/>
      <c r="I412" s="13">
        <f>IF(OR(B412="",Q412=""),"",IF(Q412&gt;0,IF(R412="Làm việc",WORKDAY(IFERROR(IF(INDEX(SK_D,MATCH(O412,SK_A,0))="",B412,INDEX(SK_D,MATCH(O412,SK_A,0))),B412),Q412,HOLI),IFERROR(IF(INDEX(SK_D,MATCH(O412,SK_A,0))="",B412,INDEX(SK_D,MATCH(O412,SK_A,0))),B412)+Q412),B412+Q412))</f>
        <v/>
      </c>
      <c r="J412" s="14" t="n"/>
      <c r="K412" s="13" t="n"/>
      <c r="L412" s="12" t="n"/>
      <c r="M412" s="48">
        <f>IF(E412="","",IF(J412="Bỏ qua","—",IF(J412="Xong",IF(AND(ISNUMBER(K412),ISNUMBER(I412),K412&gt;I412),"Xong trễ","Xong"),MID(IF(G412=""," · CHƯA GIAO","")&amp;IF(NOT(ISNUMBER(I412)),"",IF(TODAY()&gt;I412," · QUÁ HẠN "&amp;(TODAY()-I412)&amp;" ngày",IF(I412-TODAY()&lt;=3," · Đến hạn "&amp;IF(I412=TODAY(),"hôm nay","trong "&amp;(I412-TODAY())&amp;" ngày"),"")))&amp;IF(J412="Chờ đối tác"," · Chờ đối tác"&amp;IF(ISNUMBER(N412)," "&amp;(TODAY()-INT(N412))&amp;" ngày",""),""),4,200))))</f>
        <v/>
      </c>
      <c r="N412" s="49" t="n"/>
      <c r="S412">
        <f>IF(AND(E412&lt;&gt;"",T412="Có",J412&lt;&gt;"Xong",J412&lt;&gt;"Bỏ qua",ISNUMBER(I412)),I412+ROW()/100000,"")</f>
        <v/>
      </c>
      <c r="T412">
        <f>IF(O412="","",IFERROR(INDEX(SK_TD,MATCH(O412,SK_A,0)),""))</f>
        <v/>
      </c>
      <c r="V412">
        <f>IF(AND(O412&lt;&gt;"",O412=SEL_K,J412&lt;&gt;"Xong",J412&lt;&gt;"Bỏ qua"),IF(ISNUMBER(I412),I412,99999)+ROW()/100000,"")</f>
        <v/>
      </c>
    </row>
    <row r="413">
      <c r="A413" s="12">
        <f>IF(O413="","",IFERROR(INDEX(SK_B,MATCH(O413,SK_A,0))&amp;"",""))</f>
        <v/>
      </c>
      <c r="B413" s="45">
        <f>IF(O413="","",IFERROR(INDEX(SK_C,MATCH(O413,SK_A,0)),""))</f>
        <v/>
      </c>
      <c r="C413" s="46">
        <f>IF(Q413="","",IF(Q413=0,"D",IF(Q413&lt;0,"D"&amp;Q413,"D+"&amp;Q413)))</f>
        <v/>
      </c>
      <c r="D413" s="14" t="n"/>
      <c r="E413" s="12" t="n"/>
      <c r="F413" s="46" t="n"/>
      <c r="G413" s="47" t="n"/>
      <c r="H413" s="14" t="n"/>
      <c r="I413" s="13">
        <f>IF(OR(B413="",Q413=""),"",IF(Q413&gt;0,IF(R413="Làm việc",WORKDAY(IFERROR(IF(INDEX(SK_D,MATCH(O413,SK_A,0))="",B413,INDEX(SK_D,MATCH(O413,SK_A,0))),B413),Q413,HOLI),IFERROR(IF(INDEX(SK_D,MATCH(O413,SK_A,0))="",B413,INDEX(SK_D,MATCH(O413,SK_A,0))),B413)+Q413),B413+Q413))</f>
        <v/>
      </c>
      <c r="J413" s="14" t="n"/>
      <c r="K413" s="13" t="n"/>
      <c r="L413" s="12" t="n"/>
      <c r="M413" s="48">
        <f>IF(E413="","",IF(J413="Bỏ qua","—",IF(J413="Xong",IF(AND(ISNUMBER(K413),ISNUMBER(I413),K413&gt;I413),"Xong trễ","Xong"),MID(IF(G413=""," · CHƯA GIAO","")&amp;IF(NOT(ISNUMBER(I413)),"",IF(TODAY()&gt;I413," · QUÁ HẠN "&amp;(TODAY()-I413)&amp;" ngày",IF(I413-TODAY()&lt;=3," · Đến hạn "&amp;IF(I413=TODAY(),"hôm nay","trong "&amp;(I413-TODAY())&amp;" ngày"),"")))&amp;IF(J413="Chờ đối tác"," · Chờ đối tác"&amp;IF(ISNUMBER(N413)," "&amp;(TODAY()-INT(N413))&amp;" ngày",""),""),4,200))))</f>
        <v/>
      </c>
      <c r="N413" s="49" t="n"/>
      <c r="S413">
        <f>IF(AND(E413&lt;&gt;"",T413="Có",J413&lt;&gt;"Xong",J413&lt;&gt;"Bỏ qua",ISNUMBER(I413)),I413+ROW()/100000,"")</f>
        <v/>
      </c>
      <c r="T413">
        <f>IF(O413="","",IFERROR(INDEX(SK_TD,MATCH(O413,SK_A,0)),""))</f>
        <v/>
      </c>
      <c r="V413">
        <f>IF(AND(O413&lt;&gt;"",O413=SEL_K,J413&lt;&gt;"Xong",J413&lt;&gt;"Bỏ qua"),IF(ISNUMBER(I413),I413,99999)+ROW()/100000,"")</f>
        <v/>
      </c>
    </row>
    <row r="414">
      <c r="A414" s="12">
        <f>IF(O414="","",IFERROR(INDEX(SK_B,MATCH(O414,SK_A,0))&amp;"",""))</f>
        <v/>
      </c>
      <c r="B414" s="45">
        <f>IF(O414="","",IFERROR(INDEX(SK_C,MATCH(O414,SK_A,0)),""))</f>
        <v/>
      </c>
      <c r="C414" s="46">
        <f>IF(Q414="","",IF(Q414=0,"D",IF(Q414&lt;0,"D"&amp;Q414,"D+"&amp;Q414)))</f>
        <v/>
      </c>
      <c r="D414" s="14" t="n"/>
      <c r="E414" s="12" t="n"/>
      <c r="F414" s="46" t="n"/>
      <c r="G414" s="47" t="n"/>
      <c r="H414" s="14" t="n"/>
      <c r="I414" s="13">
        <f>IF(OR(B414="",Q414=""),"",IF(Q414&gt;0,IF(R414="Làm việc",WORKDAY(IFERROR(IF(INDEX(SK_D,MATCH(O414,SK_A,0))="",B414,INDEX(SK_D,MATCH(O414,SK_A,0))),B414),Q414,HOLI),IFERROR(IF(INDEX(SK_D,MATCH(O414,SK_A,0))="",B414,INDEX(SK_D,MATCH(O414,SK_A,0))),B414)+Q414),B414+Q414))</f>
        <v/>
      </c>
      <c r="J414" s="14" t="n"/>
      <c r="K414" s="13" t="n"/>
      <c r="L414" s="12" t="n"/>
      <c r="M414" s="48">
        <f>IF(E414="","",IF(J414="Bỏ qua","—",IF(J414="Xong",IF(AND(ISNUMBER(K414),ISNUMBER(I414),K414&gt;I414),"Xong trễ","Xong"),MID(IF(G414=""," · CHƯA GIAO","")&amp;IF(NOT(ISNUMBER(I414)),"",IF(TODAY()&gt;I414," · QUÁ HẠN "&amp;(TODAY()-I414)&amp;" ngày",IF(I414-TODAY()&lt;=3," · Đến hạn "&amp;IF(I414=TODAY(),"hôm nay","trong "&amp;(I414-TODAY())&amp;" ngày"),"")))&amp;IF(J414="Chờ đối tác"," · Chờ đối tác"&amp;IF(ISNUMBER(N414)," "&amp;(TODAY()-INT(N414))&amp;" ngày",""),""),4,200))))</f>
        <v/>
      </c>
      <c r="N414" s="49" t="n"/>
      <c r="S414">
        <f>IF(AND(E414&lt;&gt;"",T414="Có",J414&lt;&gt;"Xong",J414&lt;&gt;"Bỏ qua",ISNUMBER(I414)),I414+ROW()/100000,"")</f>
        <v/>
      </c>
      <c r="T414">
        <f>IF(O414="","",IFERROR(INDEX(SK_TD,MATCH(O414,SK_A,0)),""))</f>
        <v/>
      </c>
      <c r="V414">
        <f>IF(AND(O414&lt;&gt;"",O414=SEL_K,J414&lt;&gt;"Xong",J414&lt;&gt;"Bỏ qua"),IF(ISNUMBER(I414),I414,99999)+ROW()/100000,"")</f>
        <v/>
      </c>
    </row>
    <row r="415">
      <c r="A415" s="12">
        <f>IF(O415="","",IFERROR(INDEX(SK_B,MATCH(O415,SK_A,0))&amp;"",""))</f>
        <v/>
      </c>
      <c r="B415" s="45">
        <f>IF(O415="","",IFERROR(INDEX(SK_C,MATCH(O415,SK_A,0)),""))</f>
        <v/>
      </c>
      <c r="C415" s="46">
        <f>IF(Q415="","",IF(Q415=0,"D",IF(Q415&lt;0,"D"&amp;Q415,"D+"&amp;Q415)))</f>
        <v/>
      </c>
      <c r="D415" s="14" t="n"/>
      <c r="E415" s="12" t="n"/>
      <c r="F415" s="46" t="n"/>
      <c r="G415" s="47" t="n"/>
      <c r="H415" s="14" t="n"/>
      <c r="I415" s="13">
        <f>IF(OR(B415="",Q415=""),"",IF(Q415&gt;0,IF(R415="Làm việc",WORKDAY(IFERROR(IF(INDEX(SK_D,MATCH(O415,SK_A,0))="",B415,INDEX(SK_D,MATCH(O415,SK_A,0))),B415),Q415,HOLI),IFERROR(IF(INDEX(SK_D,MATCH(O415,SK_A,0))="",B415,INDEX(SK_D,MATCH(O415,SK_A,0))),B415)+Q415),B415+Q415))</f>
        <v/>
      </c>
      <c r="J415" s="14" t="n"/>
      <c r="K415" s="13" t="n"/>
      <c r="L415" s="12" t="n"/>
      <c r="M415" s="48">
        <f>IF(E415="","",IF(J415="Bỏ qua","—",IF(J415="Xong",IF(AND(ISNUMBER(K415),ISNUMBER(I415),K415&gt;I415),"Xong trễ","Xong"),MID(IF(G415=""," · CHƯA GIAO","")&amp;IF(NOT(ISNUMBER(I415)),"",IF(TODAY()&gt;I415," · QUÁ HẠN "&amp;(TODAY()-I415)&amp;" ngày",IF(I415-TODAY()&lt;=3," · Đến hạn "&amp;IF(I415=TODAY(),"hôm nay","trong "&amp;(I415-TODAY())&amp;" ngày"),"")))&amp;IF(J415="Chờ đối tác"," · Chờ đối tác"&amp;IF(ISNUMBER(N415)," "&amp;(TODAY()-INT(N415))&amp;" ngày",""),""),4,200))))</f>
        <v/>
      </c>
      <c r="N415" s="49" t="n"/>
      <c r="S415">
        <f>IF(AND(E415&lt;&gt;"",T415="Có",J415&lt;&gt;"Xong",J415&lt;&gt;"Bỏ qua",ISNUMBER(I415)),I415+ROW()/100000,"")</f>
        <v/>
      </c>
      <c r="T415">
        <f>IF(O415="","",IFERROR(INDEX(SK_TD,MATCH(O415,SK_A,0)),""))</f>
        <v/>
      </c>
      <c r="V415">
        <f>IF(AND(O415&lt;&gt;"",O415=SEL_K,J415&lt;&gt;"Xong",J415&lt;&gt;"Bỏ qua"),IF(ISNUMBER(I415),I415,99999)+ROW()/100000,"")</f>
        <v/>
      </c>
    </row>
    <row r="416">
      <c r="A416" s="12">
        <f>IF(O416="","",IFERROR(INDEX(SK_B,MATCH(O416,SK_A,0))&amp;"",""))</f>
        <v/>
      </c>
      <c r="B416" s="45">
        <f>IF(O416="","",IFERROR(INDEX(SK_C,MATCH(O416,SK_A,0)),""))</f>
        <v/>
      </c>
      <c r="C416" s="46">
        <f>IF(Q416="","",IF(Q416=0,"D",IF(Q416&lt;0,"D"&amp;Q416,"D+"&amp;Q416)))</f>
        <v/>
      </c>
      <c r="D416" s="14" t="n"/>
      <c r="E416" s="12" t="n"/>
      <c r="F416" s="46" t="n"/>
      <c r="G416" s="47" t="n"/>
      <c r="H416" s="14" t="n"/>
      <c r="I416" s="13">
        <f>IF(OR(B416="",Q416=""),"",IF(Q416&gt;0,IF(R416="Làm việc",WORKDAY(IFERROR(IF(INDEX(SK_D,MATCH(O416,SK_A,0))="",B416,INDEX(SK_D,MATCH(O416,SK_A,0))),B416),Q416,HOLI),IFERROR(IF(INDEX(SK_D,MATCH(O416,SK_A,0))="",B416,INDEX(SK_D,MATCH(O416,SK_A,0))),B416)+Q416),B416+Q416))</f>
        <v/>
      </c>
      <c r="J416" s="14" t="n"/>
      <c r="K416" s="13" t="n"/>
      <c r="L416" s="12" t="n"/>
      <c r="M416" s="48">
        <f>IF(E416="","",IF(J416="Bỏ qua","—",IF(J416="Xong",IF(AND(ISNUMBER(K416),ISNUMBER(I416),K416&gt;I416),"Xong trễ","Xong"),MID(IF(G416=""," · CHƯA GIAO","")&amp;IF(NOT(ISNUMBER(I416)),"",IF(TODAY()&gt;I416," · QUÁ HẠN "&amp;(TODAY()-I416)&amp;" ngày",IF(I416-TODAY()&lt;=3," · Đến hạn "&amp;IF(I416=TODAY(),"hôm nay","trong "&amp;(I416-TODAY())&amp;" ngày"),"")))&amp;IF(J416="Chờ đối tác"," · Chờ đối tác"&amp;IF(ISNUMBER(N416)," "&amp;(TODAY()-INT(N416))&amp;" ngày",""),""),4,200))))</f>
        <v/>
      </c>
      <c r="N416" s="49" t="n"/>
      <c r="S416">
        <f>IF(AND(E416&lt;&gt;"",T416="Có",J416&lt;&gt;"Xong",J416&lt;&gt;"Bỏ qua",ISNUMBER(I416)),I416+ROW()/100000,"")</f>
        <v/>
      </c>
      <c r="T416">
        <f>IF(O416="","",IFERROR(INDEX(SK_TD,MATCH(O416,SK_A,0)),""))</f>
        <v/>
      </c>
      <c r="V416">
        <f>IF(AND(O416&lt;&gt;"",O416=SEL_K,J416&lt;&gt;"Xong",J416&lt;&gt;"Bỏ qua"),IF(ISNUMBER(I416),I416,99999)+ROW()/100000,"")</f>
        <v/>
      </c>
    </row>
    <row r="417">
      <c r="A417" s="12">
        <f>IF(O417="","",IFERROR(INDEX(SK_B,MATCH(O417,SK_A,0))&amp;"",""))</f>
        <v/>
      </c>
      <c r="B417" s="45">
        <f>IF(O417="","",IFERROR(INDEX(SK_C,MATCH(O417,SK_A,0)),""))</f>
        <v/>
      </c>
      <c r="C417" s="46">
        <f>IF(Q417="","",IF(Q417=0,"D",IF(Q417&lt;0,"D"&amp;Q417,"D+"&amp;Q417)))</f>
        <v/>
      </c>
      <c r="D417" s="14" t="n"/>
      <c r="E417" s="12" t="n"/>
      <c r="F417" s="46" t="n"/>
      <c r="G417" s="47" t="n"/>
      <c r="H417" s="14" t="n"/>
      <c r="I417" s="13">
        <f>IF(OR(B417="",Q417=""),"",IF(Q417&gt;0,IF(R417="Làm việc",WORKDAY(IFERROR(IF(INDEX(SK_D,MATCH(O417,SK_A,0))="",B417,INDEX(SK_D,MATCH(O417,SK_A,0))),B417),Q417,HOLI),IFERROR(IF(INDEX(SK_D,MATCH(O417,SK_A,0))="",B417,INDEX(SK_D,MATCH(O417,SK_A,0))),B417)+Q417),B417+Q417))</f>
        <v/>
      </c>
      <c r="J417" s="14" t="n"/>
      <c r="K417" s="13" t="n"/>
      <c r="L417" s="12" t="n"/>
      <c r="M417" s="48">
        <f>IF(E417="","",IF(J417="Bỏ qua","—",IF(J417="Xong",IF(AND(ISNUMBER(K417),ISNUMBER(I417),K417&gt;I417),"Xong trễ","Xong"),MID(IF(G417=""," · CHƯA GIAO","")&amp;IF(NOT(ISNUMBER(I417)),"",IF(TODAY()&gt;I417," · QUÁ HẠN "&amp;(TODAY()-I417)&amp;" ngày",IF(I417-TODAY()&lt;=3," · Đến hạn "&amp;IF(I417=TODAY(),"hôm nay","trong "&amp;(I417-TODAY())&amp;" ngày"),"")))&amp;IF(J417="Chờ đối tác"," · Chờ đối tác"&amp;IF(ISNUMBER(N417)," "&amp;(TODAY()-INT(N417))&amp;" ngày",""),""),4,200))))</f>
        <v/>
      </c>
      <c r="N417" s="49" t="n"/>
      <c r="S417">
        <f>IF(AND(E417&lt;&gt;"",T417="Có",J417&lt;&gt;"Xong",J417&lt;&gt;"Bỏ qua",ISNUMBER(I417)),I417+ROW()/100000,"")</f>
        <v/>
      </c>
      <c r="T417">
        <f>IF(O417="","",IFERROR(INDEX(SK_TD,MATCH(O417,SK_A,0)),""))</f>
        <v/>
      </c>
      <c r="V417">
        <f>IF(AND(O417&lt;&gt;"",O417=SEL_K,J417&lt;&gt;"Xong",J417&lt;&gt;"Bỏ qua"),IF(ISNUMBER(I417),I417,99999)+ROW()/100000,"")</f>
        <v/>
      </c>
    </row>
    <row r="418">
      <c r="A418" s="12">
        <f>IF(O418="","",IFERROR(INDEX(SK_B,MATCH(O418,SK_A,0))&amp;"",""))</f>
        <v/>
      </c>
      <c r="B418" s="45">
        <f>IF(O418="","",IFERROR(INDEX(SK_C,MATCH(O418,SK_A,0)),""))</f>
        <v/>
      </c>
      <c r="C418" s="46">
        <f>IF(Q418="","",IF(Q418=0,"D",IF(Q418&lt;0,"D"&amp;Q418,"D+"&amp;Q418)))</f>
        <v/>
      </c>
      <c r="D418" s="14" t="n"/>
      <c r="E418" s="12" t="n"/>
      <c r="F418" s="46" t="n"/>
      <c r="G418" s="47" t="n"/>
      <c r="H418" s="14" t="n"/>
      <c r="I418" s="13">
        <f>IF(OR(B418="",Q418=""),"",IF(Q418&gt;0,IF(R418="Làm việc",WORKDAY(IFERROR(IF(INDEX(SK_D,MATCH(O418,SK_A,0))="",B418,INDEX(SK_D,MATCH(O418,SK_A,0))),B418),Q418,HOLI),IFERROR(IF(INDEX(SK_D,MATCH(O418,SK_A,0))="",B418,INDEX(SK_D,MATCH(O418,SK_A,0))),B418)+Q418),B418+Q418))</f>
        <v/>
      </c>
      <c r="J418" s="14" t="n"/>
      <c r="K418" s="13" t="n"/>
      <c r="L418" s="12" t="n"/>
      <c r="M418" s="48">
        <f>IF(E418="","",IF(J418="Bỏ qua","—",IF(J418="Xong",IF(AND(ISNUMBER(K418),ISNUMBER(I418),K418&gt;I418),"Xong trễ","Xong"),MID(IF(G418=""," · CHƯA GIAO","")&amp;IF(NOT(ISNUMBER(I418)),"",IF(TODAY()&gt;I418," · QUÁ HẠN "&amp;(TODAY()-I418)&amp;" ngày",IF(I418-TODAY()&lt;=3," · Đến hạn "&amp;IF(I418=TODAY(),"hôm nay","trong "&amp;(I418-TODAY())&amp;" ngày"),"")))&amp;IF(J418="Chờ đối tác"," · Chờ đối tác"&amp;IF(ISNUMBER(N418)," "&amp;(TODAY()-INT(N418))&amp;" ngày",""),""),4,200))))</f>
        <v/>
      </c>
      <c r="N418" s="49" t="n"/>
      <c r="S418">
        <f>IF(AND(E418&lt;&gt;"",T418="Có",J418&lt;&gt;"Xong",J418&lt;&gt;"Bỏ qua",ISNUMBER(I418)),I418+ROW()/100000,"")</f>
        <v/>
      </c>
      <c r="T418">
        <f>IF(O418="","",IFERROR(INDEX(SK_TD,MATCH(O418,SK_A,0)),""))</f>
        <v/>
      </c>
      <c r="V418">
        <f>IF(AND(O418&lt;&gt;"",O418=SEL_K,J418&lt;&gt;"Xong",J418&lt;&gt;"Bỏ qua"),IF(ISNUMBER(I418),I418,99999)+ROW()/100000,"")</f>
        <v/>
      </c>
    </row>
    <row r="419">
      <c r="A419" s="12">
        <f>IF(O419="","",IFERROR(INDEX(SK_B,MATCH(O419,SK_A,0))&amp;"",""))</f>
        <v/>
      </c>
      <c r="B419" s="45">
        <f>IF(O419="","",IFERROR(INDEX(SK_C,MATCH(O419,SK_A,0)),""))</f>
        <v/>
      </c>
      <c r="C419" s="46">
        <f>IF(Q419="","",IF(Q419=0,"D",IF(Q419&lt;0,"D"&amp;Q419,"D+"&amp;Q419)))</f>
        <v/>
      </c>
      <c r="D419" s="14" t="n"/>
      <c r="E419" s="12" t="n"/>
      <c r="F419" s="46" t="n"/>
      <c r="G419" s="47" t="n"/>
      <c r="H419" s="14" t="n"/>
      <c r="I419" s="13">
        <f>IF(OR(B419="",Q419=""),"",IF(Q419&gt;0,IF(R419="Làm việc",WORKDAY(IFERROR(IF(INDEX(SK_D,MATCH(O419,SK_A,0))="",B419,INDEX(SK_D,MATCH(O419,SK_A,0))),B419),Q419,HOLI),IFERROR(IF(INDEX(SK_D,MATCH(O419,SK_A,0))="",B419,INDEX(SK_D,MATCH(O419,SK_A,0))),B419)+Q419),B419+Q419))</f>
        <v/>
      </c>
      <c r="J419" s="14" t="n"/>
      <c r="K419" s="13" t="n"/>
      <c r="L419" s="12" t="n"/>
      <c r="M419" s="48">
        <f>IF(E419="","",IF(J419="Bỏ qua","—",IF(J419="Xong",IF(AND(ISNUMBER(K419),ISNUMBER(I419),K419&gt;I419),"Xong trễ","Xong"),MID(IF(G419=""," · CHƯA GIAO","")&amp;IF(NOT(ISNUMBER(I419)),"",IF(TODAY()&gt;I419," · QUÁ HẠN "&amp;(TODAY()-I419)&amp;" ngày",IF(I419-TODAY()&lt;=3," · Đến hạn "&amp;IF(I419=TODAY(),"hôm nay","trong "&amp;(I419-TODAY())&amp;" ngày"),"")))&amp;IF(J419="Chờ đối tác"," · Chờ đối tác"&amp;IF(ISNUMBER(N419)," "&amp;(TODAY()-INT(N419))&amp;" ngày",""),""),4,200))))</f>
        <v/>
      </c>
      <c r="N419" s="49" t="n"/>
      <c r="S419">
        <f>IF(AND(E419&lt;&gt;"",T419="Có",J419&lt;&gt;"Xong",J419&lt;&gt;"Bỏ qua",ISNUMBER(I419)),I419+ROW()/100000,"")</f>
        <v/>
      </c>
      <c r="T419">
        <f>IF(O419="","",IFERROR(INDEX(SK_TD,MATCH(O419,SK_A,0)),""))</f>
        <v/>
      </c>
      <c r="V419">
        <f>IF(AND(O419&lt;&gt;"",O419=SEL_K,J419&lt;&gt;"Xong",J419&lt;&gt;"Bỏ qua"),IF(ISNUMBER(I419),I419,99999)+ROW()/100000,"")</f>
        <v/>
      </c>
    </row>
    <row r="420">
      <c r="A420" s="12">
        <f>IF(O420="","",IFERROR(INDEX(SK_B,MATCH(O420,SK_A,0))&amp;"",""))</f>
        <v/>
      </c>
      <c r="B420" s="45">
        <f>IF(O420="","",IFERROR(INDEX(SK_C,MATCH(O420,SK_A,0)),""))</f>
        <v/>
      </c>
      <c r="C420" s="46">
        <f>IF(Q420="","",IF(Q420=0,"D",IF(Q420&lt;0,"D"&amp;Q420,"D+"&amp;Q420)))</f>
        <v/>
      </c>
      <c r="D420" s="14" t="n"/>
      <c r="E420" s="12" t="n"/>
      <c r="F420" s="46" t="n"/>
      <c r="G420" s="47" t="n"/>
      <c r="H420" s="14" t="n"/>
      <c r="I420" s="13">
        <f>IF(OR(B420="",Q420=""),"",IF(Q420&gt;0,IF(R420="Làm việc",WORKDAY(IFERROR(IF(INDEX(SK_D,MATCH(O420,SK_A,0))="",B420,INDEX(SK_D,MATCH(O420,SK_A,0))),B420),Q420,HOLI),IFERROR(IF(INDEX(SK_D,MATCH(O420,SK_A,0))="",B420,INDEX(SK_D,MATCH(O420,SK_A,0))),B420)+Q420),B420+Q420))</f>
        <v/>
      </c>
      <c r="J420" s="14" t="n"/>
      <c r="K420" s="13" t="n"/>
      <c r="L420" s="12" t="n"/>
      <c r="M420" s="48">
        <f>IF(E420="","",IF(J420="Bỏ qua","—",IF(J420="Xong",IF(AND(ISNUMBER(K420),ISNUMBER(I420),K420&gt;I420),"Xong trễ","Xong"),MID(IF(G420=""," · CHƯA GIAO","")&amp;IF(NOT(ISNUMBER(I420)),"",IF(TODAY()&gt;I420," · QUÁ HẠN "&amp;(TODAY()-I420)&amp;" ngày",IF(I420-TODAY()&lt;=3," · Đến hạn "&amp;IF(I420=TODAY(),"hôm nay","trong "&amp;(I420-TODAY())&amp;" ngày"),"")))&amp;IF(J420="Chờ đối tác"," · Chờ đối tác"&amp;IF(ISNUMBER(N420)," "&amp;(TODAY()-INT(N420))&amp;" ngày",""),""),4,200))))</f>
        <v/>
      </c>
      <c r="N420" s="49" t="n"/>
      <c r="S420">
        <f>IF(AND(E420&lt;&gt;"",T420="Có",J420&lt;&gt;"Xong",J420&lt;&gt;"Bỏ qua",ISNUMBER(I420)),I420+ROW()/100000,"")</f>
        <v/>
      </c>
      <c r="T420">
        <f>IF(O420="","",IFERROR(INDEX(SK_TD,MATCH(O420,SK_A,0)),""))</f>
        <v/>
      </c>
      <c r="V420">
        <f>IF(AND(O420&lt;&gt;"",O420=SEL_K,J420&lt;&gt;"Xong",J420&lt;&gt;"Bỏ qua"),IF(ISNUMBER(I420),I420,99999)+ROW()/100000,"")</f>
        <v/>
      </c>
    </row>
    <row r="421">
      <c r="A421" s="12">
        <f>IF(O421="","",IFERROR(INDEX(SK_B,MATCH(O421,SK_A,0))&amp;"",""))</f>
        <v/>
      </c>
      <c r="B421" s="45">
        <f>IF(O421="","",IFERROR(INDEX(SK_C,MATCH(O421,SK_A,0)),""))</f>
        <v/>
      </c>
      <c r="C421" s="46">
        <f>IF(Q421="","",IF(Q421=0,"D",IF(Q421&lt;0,"D"&amp;Q421,"D+"&amp;Q421)))</f>
        <v/>
      </c>
      <c r="D421" s="14" t="n"/>
      <c r="E421" s="12" t="n"/>
      <c r="F421" s="46" t="n"/>
      <c r="G421" s="47" t="n"/>
      <c r="H421" s="14" t="n"/>
      <c r="I421" s="13">
        <f>IF(OR(B421="",Q421=""),"",IF(Q421&gt;0,IF(R421="Làm việc",WORKDAY(IFERROR(IF(INDEX(SK_D,MATCH(O421,SK_A,0))="",B421,INDEX(SK_D,MATCH(O421,SK_A,0))),B421),Q421,HOLI),IFERROR(IF(INDEX(SK_D,MATCH(O421,SK_A,0))="",B421,INDEX(SK_D,MATCH(O421,SK_A,0))),B421)+Q421),B421+Q421))</f>
        <v/>
      </c>
      <c r="J421" s="14" t="n"/>
      <c r="K421" s="13" t="n"/>
      <c r="L421" s="12" t="n"/>
      <c r="M421" s="48">
        <f>IF(E421="","",IF(J421="Bỏ qua","—",IF(J421="Xong",IF(AND(ISNUMBER(K421),ISNUMBER(I421),K421&gt;I421),"Xong trễ","Xong"),MID(IF(G421=""," · CHƯA GIAO","")&amp;IF(NOT(ISNUMBER(I421)),"",IF(TODAY()&gt;I421," · QUÁ HẠN "&amp;(TODAY()-I421)&amp;" ngày",IF(I421-TODAY()&lt;=3," · Đến hạn "&amp;IF(I421=TODAY(),"hôm nay","trong "&amp;(I421-TODAY())&amp;" ngày"),"")))&amp;IF(J421="Chờ đối tác"," · Chờ đối tác"&amp;IF(ISNUMBER(N421)," "&amp;(TODAY()-INT(N421))&amp;" ngày",""),""),4,200))))</f>
        <v/>
      </c>
      <c r="N421" s="49" t="n"/>
      <c r="S421">
        <f>IF(AND(E421&lt;&gt;"",T421="Có",J421&lt;&gt;"Xong",J421&lt;&gt;"Bỏ qua",ISNUMBER(I421)),I421+ROW()/100000,"")</f>
        <v/>
      </c>
      <c r="T421">
        <f>IF(O421="","",IFERROR(INDEX(SK_TD,MATCH(O421,SK_A,0)),""))</f>
        <v/>
      </c>
      <c r="V421">
        <f>IF(AND(O421&lt;&gt;"",O421=SEL_K,J421&lt;&gt;"Xong",J421&lt;&gt;"Bỏ qua"),IF(ISNUMBER(I421),I421,99999)+ROW()/100000,"")</f>
        <v/>
      </c>
    </row>
    <row r="422">
      <c r="A422" s="12">
        <f>IF(O422="","",IFERROR(INDEX(SK_B,MATCH(O422,SK_A,0))&amp;"",""))</f>
        <v/>
      </c>
      <c r="B422" s="45">
        <f>IF(O422="","",IFERROR(INDEX(SK_C,MATCH(O422,SK_A,0)),""))</f>
        <v/>
      </c>
      <c r="C422" s="46">
        <f>IF(Q422="","",IF(Q422=0,"D",IF(Q422&lt;0,"D"&amp;Q422,"D+"&amp;Q422)))</f>
        <v/>
      </c>
      <c r="D422" s="14" t="n"/>
      <c r="E422" s="12" t="n"/>
      <c r="F422" s="46" t="n"/>
      <c r="G422" s="47" t="n"/>
      <c r="H422" s="14" t="n"/>
      <c r="I422" s="13">
        <f>IF(OR(B422="",Q422=""),"",IF(Q422&gt;0,IF(R422="Làm việc",WORKDAY(IFERROR(IF(INDEX(SK_D,MATCH(O422,SK_A,0))="",B422,INDEX(SK_D,MATCH(O422,SK_A,0))),B422),Q422,HOLI),IFERROR(IF(INDEX(SK_D,MATCH(O422,SK_A,0))="",B422,INDEX(SK_D,MATCH(O422,SK_A,0))),B422)+Q422),B422+Q422))</f>
        <v/>
      </c>
      <c r="J422" s="14" t="n"/>
      <c r="K422" s="13" t="n"/>
      <c r="L422" s="12" t="n"/>
      <c r="M422" s="48">
        <f>IF(E422="","",IF(J422="Bỏ qua","—",IF(J422="Xong",IF(AND(ISNUMBER(K422),ISNUMBER(I422),K422&gt;I422),"Xong trễ","Xong"),MID(IF(G422=""," · CHƯA GIAO","")&amp;IF(NOT(ISNUMBER(I422)),"",IF(TODAY()&gt;I422," · QUÁ HẠN "&amp;(TODAY()-I422)&amp;" ngày",IF(I422-TODAY()&lt;=3," · Đến hạn "&amp;IF(I422=TODAY(),"hôm nay","trong "&amp;(I422-TODAY())&amp;" ngày"),"")))&amp;IF(J422="Chờ đối tác"," · Chờ đối tác"&amp;IF(ISNUMBER(N422)," "&amp;(TODAY()-INT(N422))&amp;" ngày",""),""),4,200))))</f>
        <v/>
      </c>
      <c r="N422" s="49" t="n"/>
      <c r="S422">
        <f>IF(AND(E422&lt;&gt;"",T422="Có",J422&lt;&gt;"Xong",J422&lt;&gt;"Bỏ qua",ISNUMBER(I422)),I422+ROW()/100000,"")</f>
        <v/>
      </c>
      <c r="T422">
        <f>IF(O422="","",IFERROR(INDEX(SK_TD,MATCH(O422,SK_A,0)),""))</f>
        <v/>
      </c>
      <c r="V422">
        <f>IF(AND(O422&lt;&gt;"",O422=SEL_K,J422&lt;&gt;"Xong",J422&lt;&gt;"Bỏ qua"),IF(ISNUMBER(I422),I422,99999)+ROW()/100000,"")</f>
        <v/>
      </c>
    </row>
    <row r="423">
      <c r="A423" s="12">
        <f>IF(O423="","",IFERROR(INDEX(SK_B,MATCH(O423,SK_A,0))&amp;"",""))</f>
        <v/>
      </c>
      <c r="B423" s="45">
        <f>IF(O423="","",IFERROR(INDEX(SK_C,MATCH(O423,SK_A,0)),""))</f>
        <v/>
      </c>
      <c r="C423" s="46">
        <f>IF(Q423="","",IF(Q423=0,"D",IF(Q423&lt;0,"D"&amp;Q423,"D+"&amp;Q423)))</f>
        <v/>
      </c>
      <c r="D423" s="14" t="n"/>
      <c r="E423" s="12" t="n"/>
      <c r="F423" s="46" t="n"/>
      <c r="G423" s="47" t="n"/>
      <c r="H423" s="14" t="n"/>
      <c r="I423" s="13">
        <f>IF(OR(B423="",Q423=""),"",IF(Q423&gt;0,IF(R423="Làm việc",WORKDAY(IFERROR(IF(INDEX(SK_D,MATCH(O423,SK_A,0))="",B423,INDEX(SK_D,MATCH(O423,SK_A,0))),B423),Q423,HOLI),IFERROR(IF(INDEX(SK_D,MATCH(O423,SK_A,0))="",B423,INDEX(SK_D,MATCH(O423,SK_A,0))),B423)+Q423),B423+Q423))</f>
        <v/>
      </c>
      <c r="J423" s="14" t="n"/>
      <c r="K423" s="13" t="n"/>
      <c r="L423" s="12" t="n"/>
      <c r="M423" s="48">
        <f>IF(E423="","",IF(J423="Bỏ qua","—",IF(J423="Xong",IF(AND(ISNUMBER(K423),ISNUMBER(I423),K423&gt;I423),"Xong trễ","Xong"),MID(IF(G423=""," · CHƯA GIAO","")&amp;IF(NOT(ISNUMBER(I423)),"",IF(TODAY()&gt;I423," · QUÁ HẠN "&amp;(TODAY()-I423)&amp;" ngày",IF(I423-TODAY()&lt;=3," · Đến hạn "&amp;IF(I423=TODAY(),"hôm nay","trong "&amp;(I423-TODAY())&amp;" ngày"),"")))&amp;IF(J423="Chờ đối tác"," · Chờ đối tác"&amp;IF(ISNUMBER(N423)," "&amp;(TODAY()-INT(N423))&amp;" ngày",""),""),4,200))))</f>
        <v/>
      </c>
      <c r="N423" s="49" t="n"/>
      <c r="S423">
        <f>IF(AND(E423&lt;&gt;"",T423="Có",J423&lt;&gt;"Xong",J423&lt;&gt;"Bỏ qua",ISNUMBER(I423)),I423+ROW()/100000,"")</f>
        <v/>
      </c>
      <c r="T423">
        <f>IF(O423="","",IFERROR(INDEX(SK_TD,MATCH(O423,SK_A,0)),""))</f>
        <v/>
      </c>
      <c r="V423">
        <f>IF(AND(O423&lt;&gt;"",O423=SEL_K,J423&lt;&gt;"Xong",J423&lt;&gt;"Bỏ qua"),IF(ISNUMBER(I423),I423,99999)+ROW()/100000,"")</f>
        <v/>
      </c>
    </row>
    <row r="424">
      <c r="A424" s="12">
        <f>IF(O424="","",IFERROR(INDEX(SK_B,MATCH(O424,SK_A,0))&amp;"",""))</f>
        <v/>
      </c>
      <c r="B424" s="45">
        <f>IF(O424="","",IFERROR(INDEX(SK_C,MATCH(O424,SK_A,0)),""))</f>
        <v/>
      </c>
      <c r="C424" s="46">
        <f>IF(Q424="","",IF(Q424=0,"D",IF(Q424&lt;0,"D"&amp;Q424,"D+"&amp;Q424)))</f>
        <v/>
      </c>
      <c r="D424" s="14" t="n"/>
      <c r="E424" s="12" t="n"/>
      <c r="F424" s="46" t="n"/>
      <c r="G424" s="47" t="n"/>
      <c r="H424" s="14" t="n"/>
      <c r="I424" s="13">
        <f>IF(OR(B424="",Q424=""),"",IF(Q424&gt;0,IF(R424="Làm việc",WORKDAY(IFERROR(IF(INDEX(SK_D,MATCH(O424,SK_A,0))="",B424,INDEX(SK_D,MATCH(O424,SK_A,0))),B424),Q424,HOLI),IFERROR(IF(INDEX(SK_D,MATCH(O424,SK_A,0))="",B424,INDEX(SK_D,MATCH(O424,SK_A,0))),B424)+Q424),B424+Q424))</f>
        <v/>
      </c>
      <c r="J424" s="14" t="n"/>
      <c r="K424" s="13" t="n"/>
      <c r="L424" s="12" t="n"/>
      <c r="M424" s="48">
        <f>IF(E424="","",IF(J424="Bỏ qua","—",IF(J424="Xong",IF(AND(ISNUMBER(K424),ISNUMBER(I424),K424&gt;I424),"Xong trễ","Xong"),MID(IF(G424=""," · CHƯA GIAO","")&amp;IF(NOT(ISNUMBER(I424)),"",IF(TODAY()&gt;I424," · QUÁ HẠN "&amp;(TODAY()-I424)&amp;" ngày",IF(I424-TODAY()&lt;=3," · Đến hạn "&amp;IF(I424=TODAY(),"hôm nay","trong "&amp;(I424-TODAY())&amp;" ngày"),"")))&amp;IF(J424="Chờ đối tác"," · Chờ đối tác"&amp;IF(ISNUMBER(N424)," "&amp;(TODAY()-INT(N424))&amp;" ngày",""),""),4,200))))</f>
        <v/>
      </c>
      <c r="N424" s="49" t="n"/>
      <c r="S424">
        <f>IF(AND(E424&lt;&gt;"",T424="Có",J424&lt;&gt;"Xong",J424&lt;&gt;"Bỏ qua",ISNUMBER(I424)),I424+ROW()/100000,"")</f>
        <v/>
      </c>
      <c r="T424">
        <f>IF(O424="","",IFERROR(INDEX(SK_TD,MATCH(O424,SK_A,0)),""))</f>
        <v/>
      </c>
      <c r="V424">
        <f>IF(AND(O424&lt;&gt;"",O424=SEL_K,J424&lt;&gt;"Xong",J424&lt;&gt;"Bỏ qua"),IF(ISNUMBER(I424),I424,99999)+ROW()/100000,"")</f>
        <v/>
      </c>
    </row>
    <row r="425">
      <c r="A425" s="12">
        <f>IF(O425="","",IFERROR(INDEX(SK_B,MATCH(O425,SK_A,0))&amp;"",""))</f>
        <v/>
      </c>
      <c r="B425" s="45">
        <f>IF(O425="","",IFERROR(INDEX(SK_C,MATCH(O425,SK_A,0)),""))</f>
        <v/>
      </c>
      <c r="C425" s="46">
        <f>IF(Q425="","",IF(Q425=0,"D",IF(Q425&lt;0,"D"&amp;Q425,"D+"&amp;Q425)))</f>
        <v/>
      </c>
      <c r="D425" s="14" t="n"/>
      <c r="E425" s="12" t="n"/>
      <c r="F425" s="46" t="n"/>
      <c r="G425" s="47" t="n"/>
      <c r="H425" s="14" t="n"/>
      <c r="I425" s="13">
        <f>IF(OR(B425="",Q425=""),"",IF(Q425&gt;0,IF(R425="Làm việc",WORKDAY(IFERROR(IF(INDEX(SK_D,MATCH(O425,SK_A,0))="",B425,INDEX(SK_D,MATCH(O425,SK_A,0))),B425),Q425,HOLI),IFERROR(IF(INDEX(SK_D,MATCH(O425,SK_A,0))="",B425,INDEX(SK_D,MATCH(O425,SK_A,0))),B425)+Q425),B425+Q425))</f>
        <v/>
      </c>
      <c r="J425" s="14" t="n"/>
      <c r="K425" s="13" t="n"/>
      <c r="L425" s="12" t="n"/>
      <c r="M425" s="48">
        <f>IF(E425="","",IF(J425="Bỏ qua","—",IF(J425="Xong",IF(AND(ISNUMBER(K425),ISNUMBER(I425),K425&gt;I425),"Xong trễ","Xong"),MID(IF(G425=""," · CHƯA GIAO","")&amp;IF(NOT(ISNUMBER(I425)),"",IF(TODAY()&gt;I425," · QUÁ HẠN "&amp;(TODAY()-I425)&amp;" ngày",IF(I425-TODAY()&lt;=3," · Đến hạn "&amp;IF(I425=TODAY(),"hôm nay","trong "&amp;(I425-TODAY())&amp;" ngày"),"")))&amp;IF(J425="Chờ đối tác"," · Chờ đối tác"&amp;IF(ISNUMBER(N425)," "&amp;(TODAY()-INT(N425))&amp;" ngày",""),""),4,200))))</f>
        <v/>
      </c>
      <c r="N425" s="49" t="n"/>
      <c r="S425">
        <f>IF(AND(E425&lt;&gt;"",T425="Có",J425&lt;&gt;"Xong",J425&lt;&gt;"Bỏ qua",ISNUMBER(I425)),I425+ROW()/100000,"")</f>
        <v/>
      </c>
      <c r="T425">
        <f>IF(O425="","",IFERROR(INDEX(SK_TD,MATCH(O425,SK_A,0)),""))</f>
        <v/>
      </c>
      <c r="V425">
        <f>IF(AND(O425&lt;&gt;"",O425=SEL_K,J425&lt;&gt;"Xong",J425&lt;&gt;"Bỏ qua"),IF(ISNUMBER(I425),I425,99999)+ROW()/100000,"")</f>
        <v/>
      </c>
    </row>
    <row r="426">
      <c r="A426" s="12">
        <f>IF(O426="","",IFERROR(INDEX(SK_B,MATCH(O426,SK_A,0))&amp;"",""))</f>
        <v/>
      </c>
      <c r="B426" s="45">
        <f>IF(O426="","",IFERROR(INDEX(SK_C,MATCH(O426,SK_A,0)),""))</f>
        <v/>
      </c>
      <c r="C426" s="46">
        <f>IF(Q426="","",IF(Q426=0,"D",IF(Q426&lt;0,"D"&amp;Q426,"D+"&amp;Q426)))</f>
        <v/>
      </c>
      <c r="D426" s="14" t="n"/>
      <c r="E426" s="12" t="n"/>
      <c r="F426" s="46" t="n"/>
      <c r="G426" s="47" t="n"/>
      <c r="H426" s="14" t="n"/>
      <c r="I426" s="13">
        <f>IF(OR(B426="",Q426=""),"",IF(Q426&gt;0,IF(R426="Làm việc",WORKDAY(IFERROR(IF(INDEX(SK_D,MATCH(O426,SK_A,0))="",B426,INDEX(SK_D,MATCH(O426,SK_A,0))),B426),Q426,HOLI),IFERROR(IF(INDEX(SK_D,MATCH(O426,SK_A,0))="",B426,INDEX(SK_D,MATCH(O426,SK_A,0))),B426)+Q426),B426+Q426))</f>
        <v/>
      </c>
      <c r="J426" s="14" t="n"/>
      <c r="K426" s="13" t="n"/>
      <c r="L426" s="12" t="n"/>
      <c r="M426" s="48">
        <f>IF(E426="","",IF(J426="Bỏ qua","—",IF(J426="Xong",IF(AND(ISNUMBER(K426),ISNUMBER(I426),K426&gt;I426),"Xong trễ","Xong"),MID(IF(G426=""," · CHƯA GIAO","")&amp;IF(NOT(ISNUMBER(I426)),"",IF(TODAY()&gt;I426," · QUÁ HẠN "&amp;(TODAY()-I426)&amp;" ngày",IF(I426-TODAY()&lt;=3," · Đến hạn "&amp;IF(I426=TODAY(),"hôm nay","trong "&amp;(I426-TODAY())&amp;" ngày"),"")))&amp;IF(J426="Chờ đối tác"," · Chờ đối tác"&amp;IF(ISNUMBER(N426)," "&amp;(TODAY()-INT(N426))&amp;" ngày",""),""),4,200))))</f>
        <v/>
      </c>
      <c r="N426" s="49" t="n"/>
      <c r="S426">
        <f>IF(AND(E426&lt;&gt;"",T426="Có",J426&lt;&gt;"Xong",J426&lt;&gt;"Bỏ qua",ISNUMBER(I426)),I426+ROW()/100000,"")</f>
        <v/>
      </c>
      <c r="T426">
        <f>IF(O426="","",IFERROR(INDEX(SK_TD,MATCH(O426,SK_A,0)),""))</f>
        <v/>
      </c>
      <c r="V426">
        <f>IF(AND(O426&lt;&gt;"",O426=SEL_K,J426&lt;&gt;"Xong",J426&lt;&gt;"Bỏ qua"),IF(ISNUMBER(I426),I426,99999)+ROW()/100000,"")</f>
        <v/>
      </c>
    </row>
    <row r="427">
      <c r="A427" s="12">
        <f>IF(O427="","",IFERROR(INDEX(SK_B,MATCH(O427,SK_A,0))&amp;"",""))</f>
        <v/>
      </c>
      <c r="B427" s="45">
        <f>IF(O427="","",IFERROR(INDEX(SK_C,MATCH(O427,SK_A,0)),""))</f>
        <v/>
      </c>
      <c r="C427" s="46">
        <f>IF(Q427="","",IF(Q427=0,"D",IF(Q427&lt;0,"D"&amp;Q427,"D+"&amp;Q427)))</f>
        <v/>
      </c>
      <c r="D427" s="14" t="n"/>
      <c r="E427" s="12" t="n"/>
      <c r="F427" s="46" t="n"/>
      <c r="G427" s="47" t="n"/>
      <c r="H427" s="14" t="n"/>
      <c r="I427" s="13">
        <f>IF(OR(B427="",Q427=""),"",IF(Q427&gt;0,IF(R427="Làm việc",WORKDAY(IFERROR(IF(INDEX(SK_D,MATCH(O427,SK_A,0))="",B427,INDEX(SK_D,MATCH(O427,SK_A,0))),B427),Q427,HOLI),IFERROR(IF(INDEX(SK_D,MATCH(O427,SK_A,0))="",B427,INDEX(SK_D,MATCH(O427,SK_A,0))),B427)+Q427),B427+Q427))</f>
        <v/>
      </c>
      <c r="J427" s="14" t="n"/>
      <c r="K427" s="13" t="n"/>
      <c r="L427" s="12" t="n"/>
      <c r="M427" s="48">
        <f>IF(E427="","",IF(J427="Bỏ qua","—",IF(J427="Xong",IF(AND(ISNUMBER(K427),ISNUMBER(I427),K427&gt;I427),"Xong trễ","Xong"),MID(IF(G427=""," · CHƯA GIAO","")&amp;IF(NOT(ISNUMBER(I427)),"",IF(TODAY()&gt;I427," · QUÁ HẠN "&amp;(TODAY()-I427)&amp;" ngày",IF(I427-TODAY()&lt;=3," · Đến hạn "&amp;IF(I427=TODAY(),"hôm nay","trong "&amp;(I427-TODAY())&amp;" ngày"),"")))&amp;IF(J427="Chờ đối tác"," · Chờ đối tác"&amp;IF(ISNUMBER(N427)," "&amp;(TODAY()-INT(N427))&amp;" ngày",""),""),4,200))))</f>
        <v/>
      </c>
      <c r="N427" s="49" t="n"/>
      <c r="S427">
        <f>IF(AND(E427&lt;&gt;"",T427="Có",J427&lt;&gt;"Xong",J427&lt;&gt;"Bỏ qua",ISNUMBER(I427)),I427+ROW()/100000,"")</f>
        <v/>
      </c>
      <c r="T427">
        <f>IF(O427="","",IFERROR(INDEX(SK_TD,MATCH(O427,SK_A,0)),""))</f>
        <v/>
      </c>
      <c r="V427">
        <f>IF(AND(O427&lt;&gt;"",O427=SEL_K,J427&lt;&gt;"Xong",J427&lt;&gt;"Bỏ qua"),IF(ISNUMBER(I427),I427,99999)+ROW()/100000,"")</f>
        <v/>
      </c>
    </row>
    <row r="428">
      <c r="A428" s="12">
        <f>IF(O428="","",IFERROR(INDEX(SK_B,MATCH(O428,SK_A,0))&amp;"",""))</f>
        <v/>
      </c>
      <c r="B428" s="45">
        <f>IF(O428="","",IFERROR(INDEX(SK_C,MATCH(O428,SK_A,0)),""))</f>
        <v/>
      </c>
      <c r="C428" s="46">
        <f>IF(Q428="","",IF(Q428=0,"D",IF(Q428&lt;0,"D"&amp;Q428,"D+"&amp;Q428)))</f>
        <v/>
      </c>
      <c r="D428" s="14" t="n"/>
      <c r="E428" s="12" t="n"/>
      <c r="F428" s="46" t="n"/>
      <c r="G428" s="47" t="n"/>
      <c r="H428" s="14" t="n"/>
      <c r="I428" s="13">
        <f>IF(OR(B428="",Q428=""),"",IF(Q428&gt;0,IF(R428="Làm việc",WORKDAY(IFERROR(IF(INDEX(SK_D,MATCH(O428,SK_A,0))="",B428,INDEX(SK_D,MATCH(O428,SK_A,0))),B428),Q428,HOLI),IFERROR(IF(INDEX(SK_D,MATCH(O428,SK_A,0))="",B428,INDEX(SK_D,MATCH(O428,SK_A,0))),B428)+Q428),B428+Q428))</f>
        <v/>
      </c>
      <c r="J428" s="14" t="n"/>
      <c r="K428" s="13" t="n"/>
      <c r="L428" s="12" t="n"/>
      <c r="M428" s="48">
        <f>IF(E428="","",IF(J428="Bỏ qua","—",IF(J428="Xong",IF(AND(ISNUMBER(K428),ISNUMBER(I428),K428&gt;I428),"Xong trễ","Xong"),MID(IF(G428=""," · CHƯA GIAO","")&amp;IF(NOT(ISNUMBER(I428)),"",IF(TODAY()&gt;I428," · QUÁ HẠN "&amp;(TODAY()-I428)&amp;" ngày",IF(I428-TODAY()&lt;=3," · Đến hạn "&amp;IF(I428=TODAY(),"hôm nay","trong "&amp;(I428-TODAY())&amp;" ngày"),"")))&amp;IF(J428="Chờ đối tác"," · Chờ đối tác"&amp;IF(ISNUMBER(N428)," "&amp;(TODAY()-INT(N428))&amp;" ngày",""),""),4,200))))</f>
        <v/>
      </c>
      <c r="N428" s="49" t="n"/>
      <c r="S428">
        <f>IF(AND(E428&lt;&gt;"",T428="Có",J428&lt;&gt;"Xong",J428&lt;&gt;"Bỏ qua",ISNUMBER(I428)),I428+ROW()/100000,"")</f>
        <v/>
      </c>
      <c r="T428">
        <f>IF(O428="","",IFERROR(INDEX(SK_TD,MATCH(O428,SK_A,0)),""))</f>
        <v/>
      </c>
      <c r="V428">
        <f>IF(AND(O428&lt;&gt;"",O428=SEL_K,J428&lt;&gt;"Xong",J428&lt;&gt;"Bỏ qua"),IF(ISNUMBER(I428),I428,99999)+ROW()/100000,"")</f>
        <v/>
      </c>
    </row>
    <row r="429">
      <c r="A429" s="12">
        <f>IF(O429="","",IFERROR(INDEX(SK_B,MATCH(O429,SK_A,0))&amp;"",""))</f>
        <v/>
      </c>
      <c r="B429" s="45">
        <f>IF(O429="","",IFERROR(INDEX(SK_C,MATCH(O429,SK_A,0)),""))</f>
        <v/>
      </c>
      <c r="C429" s="46">
        <f>IF(Q429="","",IF(Q429=0,"D",IF(Q429&lt;0,"D"&amp;Q429,"D+"&amp;Q429)))</f>
        <v/>
      </c>
      <c r="D429" s="14" t="n"/>
      <c r="E429" s="12" t="n"/>
      <c r="F429" s="46" t="n"/>
      <c r="G429" s="47" t="n"/>
      <c r="H429" s="14" t="n"/>
      <c r="I429" s="13">
        <f>IF(OR(B429="",Q429=""),"",IF(Q429&gt;0,IF(R429="Làm việc",WORKDAY(IFERROR(IF(INDEX(SK_D,MATCH(O429,SK_A,0))="",B429,INDEX(SK_D,MATCH(O429,SK_A,0))),B429),Q429,HOLI),IFERROR(IF(INDEX(SK_D,MATCH(O429,SK_A,0))="",B429,INDEX(SK_D,MATCH(O429,SK_A,0))),B429)+Q429),B429+Q429))</f>
        <v/>
      </c>
      <c r="J429" s="14" t="n"/>
      <c r="K429" s="13" t="n"/>
      <c r="L429" s="12" t="n"/>
      <c r="M429" s="48">
        <f>IF(E429="","",IF(J429="Bỏ qua","—",IF(J429="Xong",IF(AND(ISNUMBER(K429),ISNUMBER(I429),K429&gt;I429),"Xong trễ","Xong"),MID(IF(G429=""," · CHƯA GIAO","")&amp;IF(NOT(ISNUMBER(I429)),"",IF(TODAY()&gt;I429," · QUÁ HẠN "&amp;(TODAY()-I429)&amp;" ngày",IF(I429-TODAY()&lt;=3," · Đến hạn "&amp;IF(I429=TODAY(),"hôm nay","trong "&amp;(I429-TODAY())&amp;" ngày"),"")))&amp;IF(J429="Chờ đối tác"," · Chờ đối tác"&amp;IF(ISNUMBER(N429)," "&amp;(TODAY()-INT(N429))&amp;" ngày",""),""),4,200))))</f>
        <v/>
      </c>
      <c r="N429" s="49" t="n"/>
      <c r="S429">
        <f>IF(AND(E429&lt;&gt;"",T429="Có",J429&lt;&gt;"Xong",J429&lt;&gt;"Bỏ qua",ISNUMBER(I429)),I429+ROW()/100000,"")</f>
        <v/>
      </c>
      <c r="T429">
        <f>IF(O429="","",IFERROR(INDEX(SK_TD,MATCH(O429,SK_A,0)),""))</f>
        <v/>
      </c>
      <c r="V429">
        <f>IF(AND(O429&lt;&gt;"",O429=SEL_K,J429&lt;&gt;"Xong",J429&lt;&gt;"Bỏ qua"),IF(ISNUMBER(I429),I429,99999)+ROW()/100000,"")</f>
        <v/>
      </c>
    </row>
    <row r="430">
      <c r="A430" s="12">
        <f>IF(O430="","",IFERROR(INDEX(SK_B,MATCH(O430,SK_A,0))&amp;"",""))</f>
        <v/>
      </c>
      <c r="B430" s="45">
        <f>IF(O430="","",IFERROR(INDEX(SK_C,MATCH(O430,SK_A,0)),""))</f>
        <v/>
      </c>
      <c r="C430" s="46">
        <f>IF(Q430="","",IF(Q430=0,"D",IF(Q430&lt;0,"D"&amp;Q430,"D+"&amp;Q430)))</f>
        <v/>
      </c>
      <c r="D430" s="14" t="n"/>
      <c r="E430" s="12" t="n"/>
      <c r="F430" s="46" t="n"/>
      <c r="G430" s="47" t="n"/>
      <c r="H430" s="14" t="n"/>
      <c r="I430" s="13">
        <f>IF(OR(B430="",Q430=""),"",IF(Q430&gt;0,IF(R430="Làm việc",WORKDAY(IFERROR(IF(INDEX(SK_D,MATCH(O430,SK_A,0))="",B430,INDEX(SK_D,MATCH(O430,SK_A,0))),B430),Q430,HOLI),IFERROR(IF(INDEX(SK_D,MATCH(O430,SK_A,0))="",B430,INDEX(SK_D,MATCH(O430,SK_A,0))),B430)+Q430),B430+Q430))</f>
        <v/>
      </c>
      <c r="J430" s="14" t="n"/>
      <c r="K430" s="13" t="n"/>
      <c r="L430" s="12" t="n"/>
      <c r="M430" s="48">
        <f>IF(E430="","",IF(J430="Bỏ qua","—",IF(J430="Xong",IF(AND(ISNUMBER(K430),ISNUMBER(I430),K430&gt;I430),"Xong trễ","Xong"),MID(IF(G430=""," · CHƯA GIAO","")&amp;IF(NOT(ISNUMBER(I430)),"",IF(TODAY()&gt;I430," · QUÁ HẠN "&amp;(TODAY()-I430)&amp;" ngày",IF(I430-TODAY()&lt;=3," · Đến hạn "&amp;IF(I430=TODAY(),"hôm nay","trong "&amp;(I430-TODAY())&amp;" ngày"),"")))&amp;IF(J430="Chờ đối tác"," · Chờ đối tác"&amp;IF(ISNUMBER(N430)," "&amp;(TODAY()-INT(N430))&amp;" ngày",""),""),4,200))))</f>
        <v/>
      </c>
      <c r="N430" s="49" t="n"/>
      <c r="S430">
        <f>IF(AND(E430&lt;&gt;"",T430="Có",J430&lt;&gt;"Xong",J430&lt;&gt;"Bỏ qua",ISNUMBER(I430)),I430+ROW()/100000,"")</f>
        <v/>
      </c>
      <c r="T430">
        <f>IF(O430="","",IFERROR(INDEX(SK_TD,MATCH(O430,SK_A,0)),""))</f>
        <v/>
      </c>
      <c r="V430">
        <f>IF(AND(O430&lt;&gt;"",O430=SEL_K,J430&lt;&gt;"Xong",J430&lt;&gt;"Bỏ qua"),IF(ISNUMBER(I430),I430,99999)+ROW()/100000,"")</f>
        <v/>
      </c>
    </row>
    <row r="431">
      <c r="A431" s="12">
        <f>IF(O431="","",IFERROR(INDEX(SK_B,MATCH(O431,SK_A,0))&amp;"",""))</f>
        <v/>
      </c>
      <c r="B431" s="45">
        <f>IF(O431="","",IFERROR(INDEX(SK_C,MATCH(O431,SK_A,0)),""))</f>
        <v/>
      </c>
      <c r="C431" s="46">
        <f>IF(Q431="","",IF(Q431=0,"D",IF(Q431&lt;0,"D"&amp;Q431,"D+"&amp;Q431)))</f>
        <v/>
      </c>
      <c r="D431" s="14" t="n"/>
      <c r="E431" s="12" t="n"/>
      <c r="F431" s="46" t="n"/>
      <c r="G431" s="47" t="n"/>
      <c r="H431" s="14" t="n"/>
      <c r="I431" s="13">
        <f>IF(OR(B431="",Q431=""),"",IF(Q431&gt;0,IF(R431="Làm việc",WORKDAY(IFERROR(IF(INDEX(SK_D,MATCH(O431,SK_A,0))="",B431,INDEX(SK_D,MATCH(O431,SK_A,0))),B431),Q431,HOLI),IFERROR(IF(INDEX(SK_D,MATCH(O431,SK_A,0))="",B431,INDEX(SK_D,MATCH(O431,SK_A,0))),B431)+Q431),B431+Q431))</f>
        <v/>
      </c>
      <c r="J431" s="14" t="n"/>
      <c r="K431" s="13" t="n"/>
      <c r="L431" s="12" t="n"/>
      <c r="M431" s="48">
        <f>IF(E431="","",IF(J431="Bỏ qua","—",IF(J431="Xong",IF(AND(ISNUMBER(K431),ISNUMBER(I431),K431&gt;I431),"Xong trễ","Xong"),MID(IF(G431=""," · CHƯA GIAO","")&amp;IF(NOT(ISNUMBER(I431)),"",IF(TODAY()&gt;I431," · QUÁ HẠN "&amp;(TODAY()-I431)&amp;" ngày",IF(I431-TODAY()&lt;=3," · Đến hạn "&amp;IF(I431=TODAY(),"hôm nay","trong "&amp;(I431-TODAY())&amp;" ngày"),"")))&amp;IF(J431="Chờ đối tác"," · Chờ đối tác"&amp;IF(ISNUMBER(N431)," "&amp;(TODAY()-INT(N431))&amp;" ngày",""),""),4,200))))</f>
        <v/>
      </c>
      <c r="N431" s="49" t="n"/>
      <c r="S431">
        <f>IF(AND(E431&lt;&gt;"",T431="Có",J431&lt;&gt;"Xong",J431&lt;&gt;"Bỏ qua",ISNUMBER(I431)),I431+ROW()/100000,"")</f>
        <v/>
      </c>
      <c r="T431">
        <f>IF(O431="","",IFERROR(INDEX(SK_TD,MATCH(O431,SK_A,0)),""))</f>
        <v/>
      </c>
      <c r="V431">
        <f>IF(AND(O431&lt;&gt;"",O431=SEL_K,J431&lt;&gt;"Xong",J431&lt;&gt;"Bỏ qua"),IF(ISNUMBER(I431),I431,99999)+ROW()/100000,"")</f>
        <v/>
      </c>
    </row>
    <row r="432">
      <c r="A432" s="12">
        <f>IF(O432="","",IFERROR(INDEX(SK_B,MATCH(O432,SK_A,0))&amp;"",""))</f>
        <v/>
      </c>
      <c r="B432" s="45">
        <f>IF(O432="","",IFERROR(INDEX(SK_C,MATCH(O432,SK_A,0)),""))</f>
        <v/>
      </c>
      <c r="C432" s="46">
        <f>IF(Q432="","",IF(Q432=0,"D",IF(Q432&lt;0,"D"&amp;Q432,"D+"&amp;Q432)))</f>
        <v/>
      </c>
      <c r="D432" s="14" t="n"/>
      <c r="E432" s="12" t="n"/>
      <c r="F432" s="46" t="n"/>
      <c r="G432" s="47" t="n"/>
      <c r="H432" s="14" t="n"/>
      <c r="I432" s="13">
        <f>IF(OR(B432="",Q432=""),"",IF(Q432&gt;0,IF(R432="Làm việc",WORKDAY(IFERROR(IF(INDEX(SK_D,MATCH(O432,SK_A,0))="",B432,INDEX(SK_D,MATCH(O432,SK_A,0))),B432),Q432,HOLI),IFERROR(IF(INDEX(SK_D,MATCH(O432,SK_A,0))="",B432,INDEX(SK_D,MATCH(O432,SK_A,0))),B432)+Q432),B432+Q432))</f>
        <v/>
      </c>
      <c r="J432" s="14" t="n"/>
      <c r="K432" s="13" t="n"/>
      <c r="L432" s="12" t="n"/>
      <c r="M432" s="48">
        <f>IF(E432="","",IF(J432="Bỏ qua","—",IF(J432="Xong",IF(AND(ISNUMBER(K432),ISNUMBER(I432),K432&gt;I432),"Xong trễ","Xong"),MID(IF(G432=""," · CHƯA GIAO","")&amp;IF(NOT(ISNUMBER(I432)),"",IF(TODAY()&gt;I432," · QUÁ HẠN "&amp;(TODAY()-I432)&amp;" ngày",IF(I432-TODAY()&lt;=3," · Đến hạn "&amp;IF(I432=TODAY(),"hôm nay","trong "&amp;(I432-TODAY())&amp;" ngày"),"")))&amp;IF(J432="Chờ đối tác"," · Chờ đối tác"&amp;IF(ISNUMBER(N432)," "&amp;(TODAY()-INT(N432))&amp;" ngày",""),""),4,200))))</f>
        <v/>
      </c>
      <c r="N432" s="49" t="n"/>
      <c r="S432">
        <f>IF(AND(E432&lt;&gt;"",T432="Có",J432&lt;&gt;"Xong",J432&lt;&gt;"Bỏ qua",ISNUMBER(I432)),I432+ROW()/100000,"")</f>
        <v/>
      </c>
      <c r="T432">
        <f>IF(O432="","",IFERROR(INDEX(SK_TD,MATCH(O432,SK_A,0)),""))</f>
        <v/>
      </c>
      <c r="V432">
        <f>IF(AND(O432&lt;&gt;"",O432=SEL_K,J432&lt;&gt;"Xong",J432&lt;&gt;"Bỏ qua"),IF(ISNUMBER(I432),I432,99999)+ROW()/100000,"")</f>
        <v/>
      </c>
    </row>
    <row r="433">
      <c r="A433" s="12">
        <f>IF(O433="","",IFERROR(INDEX(SK_B,MATCH(O433,SK_A,0))&amp;"",""))</f>
        <v/>
      </c>
      <c r="B433" s="45">
        <f>IF(O433="","",IFERROR(INDEX(SK_C,MATCH(O433,SK_A,0)),""))</f>
        <v/>
      </c>
      <c r="C433" s="46">
        <f>IF(Q433="","",IF(Q433=0,"D",IF(Q433&lt;0,"D"&amp;Q433,"D+"&amp;Q433)))</f>
        <v/>
      </c>
      <c r="D433" s="14" t="n"/>
      <c r="E433" s="12" t="n"/>
      <c r="F433" s="46" t="n"/>
      <c r="G433" s="47" t="n"/>
      <c r="H433" s="14" t="n"/>
      <c r="I433" s="13">
        <f>IF(OR(B433="",Q433=""),"",IF(Q433&gt;0,IF(R433="Làm việc",WORKDAY(IFERROR(IF(INDEX(SK_D,MATCH(O433,SK_A,0))="",B433,INDEX(SK_D,MATCH(O433,SK_A,0))),B433),Q433,HOLI),IFERROR(IF(INDEX(SK_D,MATCH(O433,SK_A,0))="",B433,INDEX(SK_D,MATCH(O433,SK_A,0))),B433)+Q433),B433+Q433))</f>
        <v/>
      </c>
      <c r="J433" s="14" t="n"/>
      <c r="K433" s="13" t="n"/>
      <c r="L433" s="12" t="n"/>
      <c r="M433" s="48">
        <f>IF(E433="","",IF(J433="Bỏ qua","—",IF(J433="Xong",IF(AND(ISNUMBER(K433),ISNUMBER(I433),K433&gt;I433),"Xong trễ","Xong"),MID(IF(G433=""," · CHƯA GIAO","")&amp;IF(NOT(ISNUMBER(I433)),"",IF(TODAY()&gt;I433," · QUÁ HẠN "&amp;(TODAY()-I433)&amp;" ngày",IF(I433-TODAY()&lt;=3," · Đến hạn "&amp;IF(I433=TODAY(),"hôm nay","trong "&amp;(I433-TODAY())&amp;" ngày"),"")))&amp;IF(J433="Chờ đối tác"," · Chờ đối tác"&amp;IF(ISNUMBER(N433)," "&amp;(TODAY()-INT(N433))&amp;" ngày",""),""),4,200))))</f>
        <v/>
      </c>
      <c r="N433" s="49" t="n"/>
      <c r="S433">
        <f>IF(AND(E433&lt;&gt;"",T433="Có",J433&lt;&gt;"Xong",J433&lt;&gt;"Bỏ qua",ISNUMBER(I433)),I433+ROW()/100000,"")</f>
        <v/>
      </c>
      <c r="T433">
        <f>IF(O433="","",IFERROR(INDEX(SK_TD,MATCH(O433,SK_A,0)),""))</f>
        <v/>
      </c>
      <c r="V433">
        <f>IF(AND(O433&lt;&gt;"",O433=SEL_K,J433&lt;&gt;"Xong",J433&lt;&gt;"Bỏ qua"),IF(ISNUMBER(I433),I433,99999)+ROW()/100000,"")</f>
        <v/>
      </c>
    </row>
    <row r="434">
      <c r="A434" s="12">
        <f>IF(O434="","",IFERROR(INDEX(SK_B,MATCH(O434,SK_A,0))&amp;"",""))</f>
        <v/>
      </c>
      <c r="B434" s="45">
        <f>IF(O434="","",IFERROR(INDEX(SK_C,MATCH(O434,SK_A,0)),""))</f>
        <v/>
      </c>
      <c r="C434" s="46">
        <f>IF(Q434="","",IF(Q434=0,"D",IF(Q434&lt;0,"D"&amp;Q434,"D+"&amp;Q434)))</f>
        <v/>
      </c>
      <c r="D434" s="14" t="n"/>
      <c r="E434" s="12" t="n"/>
      <c r="F434" s="46" t="n"/>
      <c r="G434" s="47" t="n"/>
      <c r="H434" s="14" t="n"/>
      <c r="I434" s="13">
        <f>IF(OR(B434="",Q434=""),"",IF(Q434&gt;0,IF(R434="Làm việc",WORKDAY(IFERROR(IF(INDEX(SK_D,MATCH(O434,SK_A,0))="",B434,INDEX(SK_D,MATCH(O434,SK_A,0))),B434),Q434,HOLI),IFERROR(IF(INDEX(SK_D,MATCH(O434,SK_A,0))="",B434,INDEX(SK_D,MATCH(O434,SK_A,0))),B434)+Q434),B434+Q434))</f>
        <v/>
      </c>
      <c r="J434" s="14" t="n"/>
      <c r="K434" s="13" t="n"/>
      <c r="L434" s="12" t="n"/>
      <c r="M434" s="48">
        <f>IF(E434="","",IF(J434="Bỏ qua","—",IF(J434="Xong",IF(AND(ISNUMBER(K434),ISNUMBER(I434),K434&gt;I434),"Xong trễ","Xong"),MID(IF(G434=""," · CHƯA GIAO","")&amp;IF(NOT(ISNUMBER(I434)),"",IF(TODAY()&gt;I434," · QUÁ HẠN "&amp;(TODAY()-I434)&amp;" ngày",IF(I434-TODAY()&lt;=3," · Đến hạn "&amp;IF(I434=TODAY(),"hôm nay","trong "&amp;(I434-TODAY())&amp;" ngày"),"")))&amp;IF(J434="Chờ đối tác"," · Chờ đối tác"&amp;IF(ISNUMBER(N434)," "&amp;(TODAY()-INT(N434))&amp;" ngày",""),""),4,200))))</f>
        <v/>
      </c>
      <c r="N434" s="49" t="n"/>
      <c r="S434">
        <f>IF(AND(E434&lt;&gt;"",T434="Có",J434&lt;&gt;"Xong",J434&lt;&gt;"Bỏ qua",ISNUMBER(I434)),I434+ROW()/100000,"")</f>
        <v/>
      </c>
      <c r="T434">
        <f>IF(O434="","",IFERROR(INDEX(SK_TD,MATCH(O434,SK_A,0)),""))</f>
        <v/>
      </c>
      <c r="V434">
        <f>IF(AND(O434&lt;&gt;"",O434=SEL_K,J434&lt;&gt;"Xong",J434&lt;&gt;"Bỏ qua"),IF(ISNUMBER(I434),I434,99999)+ROW()/100000,"")</f>
        <v/>
      </c>
    </row>
    <row r="435">
      <c r="A435" s="12">
        <f>IF(O435="","",IFERROR(INDEX(SK_B,MATCH(O435,SK_A,0))&amp;"",""))</f>
        <v/>
      </c>
      <c r="B435" s="45">
        <f>IF(O435="","",IFERROR(INDEX(SK_C,MATCH(O435,SK_A,0)),""))</f>
        <v/>
      </c>
      <c r="C435" s="46">
        <f>IF(Q435="","",IF(Q435=0,"D",IF(Q435&lt;0,"D"&amp;Q435,"D+"&amp;Q435)))</f>
        <v/>
      </c>
      <c r="D435" s="14" t="n"/>
      <c r="E435" s="12" t="n"/>
      <c r="F435" s="46" t="n"/>
      <c r="G435" s="47" t="n"/>
      <c r="H435" s="14" t="n"/>
      <c r="I435" s="13">
        <f>IF(OR(B435="",Q435=""),"",IF(Q435&gt;0,IF(R435="Làm việc",WORKDAY(IFERROR(IF(INDEX(SK_D,MATCH(O435,SK_A,0))="",B435,INDEX(SK_D,MATCH(O435,SK_A,0))),B435),Q435,HOLI),IFERROR(IF(INDEX(SK_D,MATCH(O435,SK_A,0))="",B435,INDEX(SK_D,MATCH(O435,SK_A,0))),B435)+Q435),B435+Q435))</f>
        <v/>
      </c>
      <c r="J435" s="14" t="n"/>
      <c r="K435" s="13" t="n"/>
      <c r="L435" s="12" t="n"/>
      <c r="M435" s="48">
        <f>IF(E435="","",IF(J435="Bỏ qua","—",IF(J435="Xong",IF(AND(ISNUMBER(K435),ISNUMBER(I435),K435&gt;I435),"Xong trễ","Xong"),MID(IF(G435=""," · CHƯA GIAO","")&amp;IF(NOT(ISNUMBER(I435)),"",IF(TODAY()&gt;I435," · QUÁ HẠN "&amp;(TODAY()-I435)&amp;" ngày",IF(I435-TODAY()&lt;=3," · Đến hạn "&amp;IF(I435=TODAY(),"hôm nay","trong "&amp;(I435-TODAY())&amp;" ngày"),"")))&amp;IF(J435="Chờ đối tác"," · Chờ đối tác"&amp;IF(ISNUMBER(N435)," "&amp;(TODAY()-INT(N435))&amp;" ngày",""),""),4,200))))</f>
        <v/>
      </c>
      <c r="N435" s="49" t="n"/>
      <c r="S435">
        <f>IF(AND(E435&lt;&gt;"",T435="Có",J435&lt;&gt;"Xong",J435&lt;&gt;"Bỏ qua",ISNUMBER(I435)),I435+ROW()/100000,"")</f>
        <v/>
      </c>
      <c r="T435">
        <f>IF(O435="","",IFERROR(INDEX(SK_TD,MATCH(O435,SK_A,0)),""))</f>
        <v/>
      </c>
      <c r="V435">
        <f>IF(AND(O435&lt;&gt;"",O435=SEL_K,J435&lt;&gt;"Xong",J435&lt;&gt;"Bỏ qua"),IF(ISNUMBER(I435),I435,99999)+ROW()/100000,"")</f>
        <v/>
      </c>
    </row>
    <row r="436">
      <c r="A436" s="12">
        <f>IF(O436="","",IFERROR(INDEX(SK_B,MATCH(O436,SK_A,0))&amp;"",""))</f>
        <v/>
      </c>
      <c r="B436" s="45">
        <f>IF(O436="","",IFERROR(INDEX(SK_C,MATCH(O436,SK_A,0)),""))</f>
        <v/>
      </c>
      <c r="C436" s="46">
        <f>IF(Q436="","",IF(Q436=0,"D",IF(Q436&lt;0,"D"&amp;Q436,"D+"&amp;Q436)))</f>
        <v/>
      </c>
      <c r="D436" s="14" t="n"/>
      <c r="E436" s="12" t="n"/>
      <c r="F436" s="46" t="n"/>
      <c r="G436" s="47" t="n"/>
      <c r="H436" s="14" t="n"/>
      <c r="I436" s="13">
        <f>IF(OR(B436="",Q436=""),"",IF(Q436&gt;0,IF(R436="Làm việc",WORKDAY(IFERROR(IF(INDEX(SK_D,MATCH(O436,SK_A,0))="",B436,INDEX(SK_D,MATCH(O436,SK_A,0))),B436),Q436,HOLI),IFERROR(IF(INDEX(SK_D,MATCH(O436,SK_A,0))="",B436,INDEX(SK_D,MATCH(O436,SK_A,0))),B436)+Q436),B436+Q436))</f>
        <v/>
      </c>
      <c r="J436" s="14" t="n"/>
      <c r="K436" s="13" t="n"/>
      <c r="L436" s="12" t="n"/>
      <c r="M436" s="48">
        <f>IF(E436="","",IF(J436="Bỏ qua","—",IF(J436="Xong",IF(AND(ISNUMBER(K436),ISNUMBER(I436),K436&gt;I436),"Xong trễ","Xong"),MID(IF(G436=""," · CHƯA GIAO","")&amp;IF(NOT(ISNUMBER(I436)),"",IF(TODAY()&gt;I436," · QUÁ HẠN "&amp;(TODAY()-I436)&amp;" ngày",IF(I436-TODAY()&lt;=3," · Đến hạn "&amp;IF(I436=TODAY(),"hôm nay","trong "&amp;(I436-TODAY())&amp;" ngày"),"")))&amp;IF(J436="Chờ đối tác"," · Chờ đối tác"&amp;IF(ISNUMBER(N436)," "&amp;(TODAY()-INT(N436))&amp;" ngày",""),""),4,200))))</f>
        <v/>
      </c>
      <c r="N436" s="49" t="n"/>
      <c r="S436">
        <f>IF(AND(E436&lt;&gt;"",T436="Có",J436&lt;&gt;"Xong",J436&lt;&gt;"Bỏ qua",ISNUMBER(I436)),I436+ROW()/100000,"")</f>
        <v/>
      </c>
      <c r="T436">
        <f>IF(O436="","",IFERROR(INDEX(SK_TD,MATCH(O436,SK_A,0)),""))</f>
        <v/>
      </c>
      <c r="V436">
        <f>IF(AND(O436&lt;&gt;"",O436=SEL_K,J436&lt;&gt;"Xong",J436&lt;&gt;"Bỏ qua"),IF(ISNUMBER(I436),I436,99999)+ROW()/100000,"")</f>
        <v/>
      </c>
    </row>
    <row r="437">
      <c r="A437" s="12">
        <f>IF(O437="","",IFERROR(INDEX(SK_B,MATCH(O437,SK_A,0))&amp;"",""))</f>
        <v/>
      </c>
      <c r="B437" s="45">
        <f>IF(O437="","",IFERROR(INDEX(SK_C,MATCH(O437,SK_A,0)),""))</f>
        <v/>
      </c>
      <c r="C437" s="46">
        <f>IF(Q437="","",IF(Q437=0,"D",IF(Q437&lt;0,"D"&amp;Q437,"D+"&amp;Q437)))</f>
        <v/>
      </c>
      <c r="D437" s="14" t="n"/>
      <c r="E437" s="12" t="n"/>
      <c r="F437" s="46" t="n"/>
      <c r="G437" s="47" t="n"/>
      <c r="H437" s="14" t="n"/>
      <c r="I437" s="13">
        <f>IF(OR(B437="",Q437=""),"",IF(Q437&gt;0,IF(R437="Làm việc",WORKDAY(IFERROR(IF(INDEX(SK_D,MATCH(O437,SK_A,0))="",B437,INDEX(SK_D,MATCH(O437,SK_A,0))),B437),Q437,HOLI),IFERROR(IF(INDEX(SK_D,MATCH(O437,SK_A,0))="",B437,INDEX(SK_D,MATCH(O437,SK_A,0))),B437)+Q437),B437+Q437))</f>
        <v/>
      </c>
      <c r="J437" s="14" t="n"/>
      <c r="K437" s="13" t="n"/>
      <c r="L437" s="12" t="n"/>
      <c r="M437" s="48">
        <f>IF(E437="","",IF(J437="Bỏ qua","—",IF(J437="Xong",IF(AND(ISNUMBER(K437),ISNUMBER(I437),K437&gt;I437),"Xong trễ","Xong"),MID(IF(G437=""," · CHƯA GIAO","")&amp;IF(NOT(ISNUMBER(I437)),"",IF(TODAY()&gt;I437," · QUÁ HẠN "&amp;(TODAY()-I437)&amp;" ngày",IF(I437-TODAY()&lt;=3," · Đến hạn "&amp;IF(I437=TODAY(),"hôm nay","trong "&amp;(I437-TODAY())&amp;" ngày"),"")))&amp;IF(J437="Chờ đối tác"," · Chờ đối tác"&amp;IF(ISNUMBER(N437)," "&amp;(TODAY()-INT(N437))&amp;" ngày",""),""),4,200))))</f>
        <v/>
      </c>
      <c r="N437" s="49" t="n"/>
      <c r="S437">
        <f>IF(AND(E437&lt;&gt;"",T437="Có",J437&lt;&gt;"Xong",J437&lt;&gt;"Bỏ qua",ISNUMBER(I437)),I437+ROW()/100000,"")</f>
        <v/>
      </c>
      <c r="T437">
        <f>IF(O437="","",IFERROR(INDEX(SK_TD,MATCH(O437,SK_A,0)),""))</f>
        <v/>
      </c>
      <c r="V437">
        <f>IF(AND(O437&lt;&gt;"",O437=SEL_K,J437&lt;&gt;"Xong",J437&lt;&gt;"Bỏ qua"),IF(ISNUMBER(I437),I437,99999)+ROW()/100000,"")</f>
        <v/>
      </c>
    </row>
    <row r="438">
      <c r="A438" s="12">
        <f>IF(O438="","",IFERROR(INDEX(SK_B,MATCH(O438,SK_A,0))&amp;"",""))</f>
        <v/>
      </c>
      <c r="B438" s="45">
        <f>IF(O438="","",IFERROR(INDEX(SK_C,MATCH(O438,SK_A,0)),""))</f>
        <v/>
      </c>
      <c r="C438" s="46">
        <f>IF(Q438="","",IF(Q438=0,"D",IF(Q438&lt;0,"D"&amp;Q438,"D+"&amp;Q438)))</f>
        <v/>
      </c>
      <c r="D438" s="14" t="n"/>
      <c r="E438" s="12" t="n"/>
      <c r="F438" s="46" t="n"/>
      <c r="G438" s="47" t="n"/>
      <c r="H438" s="14" t="n"/>
      <c r="I438" s="13">
        <f>IF(OR(B438="",Q438=""),"",IF(Q438&gt;0,IF(R438="Làm việc",WORKDAY(IFERROR(IF(INDEX(SK_D,MATCH(O438,SK_A,0))="",B438,INDEX(SK_D,MATCH(O438,SK_A,0))),B438),Q438,HOLI),IFERROR(IF(INDEX(SK_D,MATCH(O438,SK_A,0))="",B438,INDEX(SK_D,MATCH(O438,SK_A,0))),B438)+Q438),B438+Q438))</f>
        <v/>
      </c>
      <c r="J438" s="14" t="n"/>
      <c r="K438" s="13" t="n"/>
      <c r="L438" s="12" t="n"/>
      <c r="M438" s="48">
        <f>IF(E438="","",IF(J438="Bỏ qua","—",IF(J438="Xong",IF(AND(ISNUMBER(K438),ISNUMBER(I438),K438&gt;I438),"Xong trễ","Xong"),MID(IF(G438=""," · CHƯA GIAO","")&amp;IF(NOT(ISNUMBER(I438)),"",IF(TODAY()&gt;I438," · QUÁ HẠN "&amp;(TODAY()-I438)&amp;" ngày",IF(I438-TODAY()&lt;=3," · Đến hạn "&amp;IF(I438=TODAY(),"hôm nay","trong "&amp;(I438-TODAY())&amp;" ngày"),"")))&amp;IF(J438="Chờ đối tác"," · Chờ đối tác"&amp;IF(ISNUMBER(N438)," "&amp;(TODAY()-INT(N438))&amp;" ngày",""),""),4,200))))</f>
        <v/>
      </c>
      <c r="N438" s="49" t="n"/>
      <c r="S438">
        <f>IF(AND(E438&lt;&gt;"",T438="Có",J438&lt;&gt;"Xong",J438&lt;&gt;"Bỏ qua",ISNUMBER(I438)),I438+ROW()/100000,"")</f>
        <v/>
      </c>
      <c r="T438">
        <f>IF(O438="","",IFERROR(INDEX(SK_TD,MATCH(O438,SK_A,0)),""))</f>
        <v/>
      </c>
      <c r="V438">
        <f>IF(AND(O438&lt;&gt;"",O438=SEL_K,J438&lt;&gt;"Xong",J438&lt;&gt;"Bỏ qua"),IF(ISNUMBER(I438),I438,99999)+ROW()/100000,"")</f>
        <v/>
      </c>
    </row>
    <row r="439">
      <c r="A439" s="12">
        <f>IF(O439="","",IFERROR(INDEX(SK_B,MATCH(O439,SK_A,0))&amp;"",""))</f>
        <v/>
      </c>
      <c r="B439" s="45">
        <f>IF(O439="","",IFERROR(INDEX(SK_C,MATCH(O439,SK_A,0)),""))</f>
        <v/>
      </c>
      <c r="C439" s="46">
        <f>IF(Q439="","",IF(Q439=0,"D",IF(Q439&lt;0,"D"&amp;Q439,"D+"&amp;Q439)))</f>
        <v/>
      </c>
      <c r="D439" s="14" t="n"/>
      <c r="E439" s="12" t="n"/>
      <c r="F439" s="46" t="n"/>
      <c r="G439" s="47" t="n"/>
      <c r="H439" s="14" t="n"/>
      <c r="I439" s="13">
        <f>IF(OR(B439="",Q439=""),"",IF(Q439&gt;0,IF(R439="Làm việc",WORKDAY(IFERROR(IF(INDEX(SK_D,MATCH(O439,SK_A,0))="",B439,INDEX(SK_D,MATCH(O439,SK_A,0))),B439),Q439,HOLI),IFERROR(IF(INDEX(SK_D,MATCH(O439,SK_A,0))="",B439,INDEX(SK_D,MATCH(O439,SK_A,0))),B439)+Q439),B439+Q439))</f>
        <v/>
      </c>
      <c r="J439" s="14" t="n"/>
      <c r="K439" s="13" t="n"/>
      <c r="L439" s="12" t="n"/>
      <c r="M439" s="48">
        <f>IF(E439="","",IF(J439="Bỏ qua","—",IF(J439="Xong",IF(AND(ISNUMBER(K439),ISNUMBER(I439),K439&gt;I439),"Xong trễ","Xong"),MID(IF(G439=""," · CHƯA GIAO","")&amp;IF(NOT(ISNUMBER(I439)),"",IF(TODAY()&gt;I439," · QUÁ HẠN "&amp;(TODAY()-I439)&amp;" ngày",IF(I439-TODAY()&lt;=3," · Đến hạn "&amp;IF(I439=TODAY(),"hôm nay","trong "&amp;(I439-TODAY())&amp;" ngày"),"")))&amp;IF(J439="Chờ đối tác"," · Chờ đối tác"&amp;IF(ISNUMBER(N439)," "&amp;(TODAY()-INT(N439))&amp;" ngày",""),""),4,200))))</f>
        <v/>
      </c>
      <c r="N439" s="49" t="n"/>
      <c r="S439">
        <f>IF(AND(E439&lt;&gt;"",T439="Có",J439&lt;&gt;"Xong",J439&lt;&gt;"Bỏ qua",ISNUMBER(I439)),I439+ROW()/100000,"")</f>
        <v/>
      </c>
      <c r="T439">
        <f>IF(O439="","",IFERROR(INDEX(SK_TD,MATCH(O439,SK_A,0)),""))</f>
        <v/>
      </c>
      <c r="V439">
        <f>IF(AND(O439&lt;&gt;"",O439=SEL_K,J439&lt;&gt;"Xong",J439&lt;&gt;"Bỏ qua"),IF(ISNUMBER(I439),I439,99999)+ROW()/100000,"")</f>
        <v/>
      </c>
    </row>
    <row r="440">
      <c r="A440" s="12">
        <f>IF(O440="","",IFERROR(INDEX(SK_B,MATCH(O440,SK_A,0))&amp;"",""))</f>
        <v/>
      </c>
      <c r="B440" s="45">
        <f>IF(O440="","",IFERROR(INDEX(SK_C,MATCH(O440,SK_A,0)),""))</f>
        <v/>
      </c>
      <c r="C440" s="46">
        <f>IF(Q440="","",IF(Q440=0,"D",IF(Q440&lt;0,"D"&amp;Q440,"D+"&amp;Q440)))</f>
        <v/>
      </c>
      <c r="D440" s="14" t="n"/>
      <c r="E440" s="12" t="n"/>
      <c r="F440" s="46" t="n"/>
      <c r="G440" s="47" t="n"/>
      <c r="H440" s="14" t="n"/>
      <c r="I440" s="13">
        <f>IF(OR(B440="",Q440=""),"",IF(Q440&gt;0,IF(R440="Làm việc",WORKDAY(IFERROR(IF(INDEX(SK_D,MATCH(O440,SK_A,0))="",B440,INDEX(SK_D,MATCH(O440,SK_A,0))),B440),Q440,HOLI),IFERROR(IF(INDEX(SK_D,MATCH(O440,SK_A,0))="",B440,INDEX(SK_D,MATCH(O440,SK_A,0))),B440)+Q440),B440+Q440))</f>
        <v/>
      </c>
      <c r="J440" s="14" t="n"/>
      <c r="K440" s="13" t="n"/>
      <c r="L440" s="12" t="n"/>
      <c r="M440" s="48">
        <f>IF(E440="","",IF(J440="Bỏ qua","—",IF(J440="Xong",IF(AND(ISNUMBER(K440),ISNUMBER(I440),K440&gt;I440),"Xong trễ","Xong"),MID(IF(G440=""," · CHƯA GIAO","")&amp;IF(NOT(ISNUMBER(I440)),"",IF(TODAY()&gt;I440," · QUÁ HẠN "&amp;(TODAY()-I440)&amp;" ngày",IF(I440-TODAY()&lt;=3," · Đến hạn "&amp;IF(I440=TODAY(),"hôm nay","trong "&amp;(I440-TODAY())&amp;" ngày"),"")))&amp;IF(J440="Chờ đối tác"," · Chờ đối tác"&amp;IF(ISNUMBER(N440)," "&amp;(TODAY()-INT(N440))&amp;" ngày",""),""),4,200))))</f>
        <v/>
      </c>
      <c r="N440" s="49" t="n"/>
      <c r="S440">
        <f>IF(AND(E440&lt;&gt;"",T440="Có",J440&lt;&gt;"Xong",J440&lt;&gt;"Bỏ qua",ISNUMBER(I440)),I440+ROW()/100000,"")</f>
        <v/>
      </c>
      <c r="T440">
        <f>IF(O440="","",IFERROR(INDEX(SK_TD,MATCH(O440,SK_A,0)),""))</f>
        <v/>
      </c>
      <c r="V440">
        <f>IF(AND(O440&lt;&gt;"",O440=SEL_K,J440&lt;&gt;"Xong",J440&lt;&gt;"Bỏ qua"),IF(ISNUMBER(I440),I440,99999)+ROW()/100000,"")</f>
        <v/>
      </c>
    </row>
    <row r="441">
      <c r="A441" s="12">
        <f>IF(O441="","",IFERROR(INDEX(SK_B,MATCH(O441,SK_A,0))&amp;"",""))</f>
        <v/>
      </c>
      <c r="B441" s="45">
        <f>IF(O441="","",IFERROR(INDEX(SK_C,MATCH(O441,SK_A,0)),""))</f>
        <v/>
      </c>
      <c r="C441" s="46">
        <f>IF(Q441="","",IF(Q441=0,"D",IF(Q441&lt;0,"D"&amp;Q441,"D+"&amp;Q441)))</f>
        <v/>
      </c>
      <c r="D441" s="14" t="n"/>
      <c r="E441" s="12" t="n"/>
      <c r="F441" s="46" t="n"/>
      <c r="G441" s="47" t="n"/>
      <c r="H441" s="14" t="n"/>
      <c r="I441" s="13">
        <f>IF(OR(B441="",Q441=""),"",IF(Q441&gt;0,IF(R441="Làm việc",WORKDAY(IFERROR(IF(INDEX(SK_D,MATCH(O441,SK_A,0))="",B441,INDEX(SK_D,MATCH(O441,SK_A,0))),B441),Q441,HOLI),IFERROR(IF(INDEX(SK_D,MATCH(O441,SK_A,0))="",B441,INDEX(SK_D,MATCH(O441,SK_A,0))),B441)+Q441),B441+Q441))</f>
        <v/>
      </c>
      <c r="J441" s="14" t="n"/>
      <c r="K441" s="13" t="n"/>
      <c r="L441" s="12" t="n"/>
      <c r="M441" s="48">
        <f>IF(E441="","",IF(J441="Bỏ qua","—",IF(J441="Xong",IF(AND(ISNUMBER(K441),ISNUMBER(I441),K441&gt;I441),"Xong trễ","Xong"),MID(IF(G441=""," · CHƯA GIAO","")&amp;IF(NOT(ISNUMBER(I441)),"",IF(TODAY()&gt;I441," · QUÁ HẠN "&amp;(TODAY()-I441)&amp;" ngày",IF(I441-TODAY()&lt;=3," · Đến hạn "&amp;IF(I441=TODAY(),"hôm nay","trong "&amp;(I441-TODAY())&amp;" ngày"),"")))&amp;IF(J441="Chờ đối tác"," · Chờ đối tác"&amp;IF(ISNUMBER(N441)," "&amp;(TODAY()-INT(N441))&amp;" ngày",""),""),4,200))))</f>
        <v/>
      </c>
      <c r="N441" s="49" t="n"/>
      <c r="S441">
        <f>IF(AND(E441&lt;&gt;"",T441="Có",J441&lt;&gt;"Xong",J441&lt;&gt;"Bỏ qua",ISNUMBER(I441)),I441+ROW()/100000,"")</f>
        <v/>
      </c>
      <c r="T441">
        <f>IF(O441="","",IFERROR(INDEX(SK_TD,MATCH(O441,SK_A,0)),""))</f>
        <v/>
      </c>
      <c r="V441">
        <f>IF(AND(O441&lt;&gt;"",O441=SEL_K,J441&lt;&gt;"Xong",J441&lt;&gt;"Bỏ qua"),IF(ISNUMBER(I441),I441,99999)+ROW()/100000,"")</f>
        <v/>
      </c>
    </row>
    <row r="442">
      <c r="A442" s="12">
        <f>IF(O442="","",IFERROR(INDEX(SK_B,MATCH(O442,SK_A,0))&amp;"",""))</f>
        <v/>
      </c>
      <c r="B442" s="45">
        <f>IF(O442="","",IFERROR(INDEX(SK_C,MATCH(O442,SK_A,0)),""))</f>
        <v/>
      </c>
      <c r="C442" s="46">
        <f>IF(Q442="","",IF(Q442=0,"D",IF(Q442&lt;0,"D"&amp;Q442,"D+"&amp;Q442)))</f>
        <v/>
      </c>
      <c r="D442" s="14" t="n"/>
      <c r="E442" s="12" t="n"/>
      <c r="F442" s="46" t="n"/>
      <c r="G442" s="47" t="n"/>
      <c r="H442" s="14" t="n"/>
      <c r="I442" s="13">
        <f>IF(OR(B442="",Q442=""),"",IF(Q442&gt;0,IF(R442="Làm việc",WORKDAY(IFERROR(IF(INDEX(SK_D,MATCH(O442,SK_A,0))="",B442,INDEX(SK_D,MATCH(O442,SK_A,0))),B442),Q442,HOLI),IFERROR(IF(INDEX(SK_D,MATCH(O442,SK_A,0))="",B442,INDEX(SK_D,MATCH(O442,SK_A,0))),B442)+Q442),B442+Q442))</f>
        <v/>
      </c>
      <c r="J442" s="14" t="n"/>
      <c r="K442" s="13" t="n"/>
      <c r="L442" s="12" t="n"/>
      <c r="M442" s="48">
        <f>IF(E442="","",IF(J442="Bỏ qua","—",IF(J442="Xong",IF(AND(ISNUMBER(K442),ISNUMBER(I442),K442&gt;I442),"Xong trễ","Xong"),MID(IF(G442=""," · CHƯA GIAO","")&amp;IF(NOT(ISNUMBER(I442)),"",IF(TODAY()&gt;I442," · QUÁ HẠN "&amp;(TODAY()-I442)&amp;" ngày",IF(I442-TODAY()&lt;=3," · Đến hạn "&amp;IF(I442=TODAY(),"hôm nay","trong "&amp;(I442-TODAY())&amp;" ngày"),"")))&amp;IF(J442="Chờ đối tác"," · Chờ đối tác"&amp;IF(ISNUMBER(N442)," "&amp;(TODAY()-INT(N442))&amp;" ngày",""),""),4,200))))</f>
        <v/>
      </c>
      <c r="N442" s="49" t="n"/>
      <c r="S442">
        <f>IF(AND(E442&lt;&gt;"",T442="Có",J442&lt;&gt;"Xong",J442&lt;&gt;"Bỏ qua",ISNUMBER(I442)),I442+ROW()/100000,"")</f>
        <v/>
      </c>
      <c r="T442">
        <f>IF(O442="","",IFERROR(INDEX(SK_TD,MATCH(O442,SK_A,0)),""))</f>
        <v/>
      </c>
      <c r="V442">
        <f>IF(AND(O442&lt;&gt;"",O442=SEL_K,J442&lt;&gt;"Xong",J442&lt;&gt;"Bỏ qua"),IF(ISNUMBER(I442),I442,99999)+ROW()/100000,"")</f>
        <v/>
      </c>
    </row>
    <row r="443">
      <c r="A443" s="12">
        <f>IF(O443="","",IFERROR(INDEX(SK_B,MATCH(O443,SK_A,0))&amp;"",""))</f>
        <v/>
      </c>
      <c r="B443" s="45">
        <f>IF(O443="","",IFERROR(INDEX(SK_C,MATCH(O443,SK_A,0)),""))</f>
        <v/>
      </c>
      <c r="C443" s="46">
        <f>IF(Q443="","",IF(Q443=0,"D",IF(Q443&lt;0,"D"&amp;Q443,"D+"&amp;Q443)))</f>
        <v/>
      </c>
      <c r="D443" s="14" t="n"/>
      <c r="E443" s="12" t="n"/>
      <c r="F443" s="46" t="n"/>
      <c r="G443" s="47" t="n"/>
      <c r="H443" s="14" t="n"/>
      <c r="I443" s="13">
        <f>IF(OR(B443="",Q443=""),"",IF(Q443&gt;0,IF(R443="Làm việc",WORKDAY(IFERROR(IF(INDEX(SK_D,MATCH(O443,SK_A,0))="",B443,INDEX(SK_D,MATCH(O443,SK_A,0))),B443),Q443,HOLI),IFERROR(IF(INDEX(SK_D,MATCH(O443,SK_A,0))="",B443,INDEX(SK_D,MATCH(O443,SK_A,0))),B443)+Q443),B443+Q443))</f>
        <v/>
      </c>
      <c r="J443" s="14" t="n"/>
      <c r="K443" s="13" t="n"/>
      <c r="L443" s="12" t="n"/>
      <c r="M443" s="48">
        <f>IF(E443="","",IF(J443="Bỏ qua","—",IF(J443="Xong",IF(AND(ISNUMBER(K443),ISNUMBER(I443),K443&gt;I443),"Xong trễ","Xong"),MID(IF(G443=""," · CHƯA GIAO","")&amp;IF(NOT(ISNUMBER(I443)),"",IF(TODAY()&gt;I443," · QUÁ HẠN "&amp;(TODAY()-I443)&amp;" ngày",IF(I443-TODAY()&lt;=3," · Đến hạn "&amp;IF(I443=TODAY(),"hôm nay","trong "&amp;(I443-TODAY())&amp;" ngày"),"")))&amp;IF(J443="Chờ đối tác"," · Chờ đối tác"&amp;IF(ISNUMBER(N443)," "&amp;(TODAY()-INT(N443))&amp;" ngày",""),""),4,200))))</f>
        <v/>
      </c>
      <c r="N443" s="49" t="n"/>
      <c r="S443">
        <f>IF(AND(E443&lt;&gt;"",T443="Có",J443&lt;&gt;"Xong",J443&lt;&gt;"Bỏ qua",ISNUMBER(I443)),I443+ROW()/100000,"")</f>
        <v/>
      </c>
      <c r="T443">
        <f>IF(O443="","",IFERROR(INDEX(SK_TD,MATCH(O443,SK_A,0)),""))</f>
        <v/>
      </c>
      <c r="V443">
        <f>IF(AND(O443&lt;&gt;"",O443=SEL_K,J443&lt;&gt;"Xong",J443&lt;&gt;"Bỏ qua"),IF(ISNUMBER(I443),I443,99999)+ROW()/100000,"")</f>
        <v/>
      </c>
    </row>
    <row r="444">
      <c r="A444" s="12">
        <f>IF(O444="","",IFERROR(INDEX(SK_B,MATCH(O444,SK_A,0))&amp;"",""))</f>
        <v/>
      </c>
      <c r="B444" s="45">
        <f>IF(O444="","",IFERROR(INDEX(SK_C,MATCH(O444,SK_A,0)),""))</f>
        <v/>
      </c>
      <c r="C444" s="46">
        <f>IF(Q444="","",IF(Q444=0,"D",IF(Q444&lt;0,"D"&amp;Q444,"D+"&amp;Q444)))</f>
        <v/>
      </c>
      <c r="D444" s="14" t="n"/>
      <c r="E444" s="12" t="n"/>
      <c r="F444" s="46" t="n"/>
      <c r="G444" s="47" t="n"/>
      <c r="H444" s="14" t="n"/>
      <c r="I444" s="13">
        <f>IF(OR(B444="",Q444=""),"",IF(Q444&gt;0,IF(R444="Làm việc",WORKDAY(IFERROR(IF(INDEX(SK_D,MATCH(O444,SK_A,0))="",B444,INDEX(SK_D,MATCH(O444,SK_A,0))),B444),Q444,HOLI),IFERROR(IF(INDEX(SK_D,MATCH(O444,SK_A,0))="",B444,INDEX(SK_D,MATCH(O444,SK_A,0))),B444)+Q444),B444+Q444))</f>
        <v/>
      </c>
      <c r="J444" s="14" t="n"/>
      <c r="K444" s="13" t="n"/>
      <c r="L444" s="12" t="n"/>
      <c r="M444" s="48">
        <f>IF(E444="","",IF(J444="Bỏ qua","—",IF(J444="Xong",IF(AND(ISNUMBER(K444),ISNUMBER(I444),K444&gt;I444),"Xong trễ","Xong"),MID(IF(G444=""," · CHƯA GIAO","")&amp;IF(NOT(ISNUMBER(I444)),"",IF(TODAY()&gt;I444," · QUÁ HẠN "&amp;(TODAY()-I444)&amp;" ngày",IF(I444-TODAY()&lt;=3," · Đến hạn "&amp;IF(I444=TODAY(),"hôm nay","trong "&amp;(I444-TODAY())&amp;" ngày"),"")))&amp;IF(J444="Chờ đối tác"," · Chờ đối tác"&amp;IF(ISNUMBER(N444)," "&amp;(TODAY()-INT(N444))&amp;" ngày",""),""),4,200))))</f>
        <v/>
      </c>
      <c r="N444" s="49" t="n"/>
      <c r="S444">
        <f>IF(AND(E444&lt;&gt;"",T444="Có",J444&lt;&gt;"Xong",J444&lt;&gt;"Bỏ qua",ISNUMBER(I444)),I444+ROW()/100000,"")</f>
        <v/>
      </c>
      <c r="T444">
        <f>IF(O444="","",IFERROR(INDEX(SK_TD,MATCH(O444,SK_A,0)),""))</f>
        <v/>
      </c>
      <c r="V444">
        <f>IF(AND(O444&lt;&gt;"",O444=SEL_K,J444&lt;&gt;"Xong",J444&lt;&gt;"Bỏ qua"),IF(ISNUMBER(I444),I444,99999)+ROW()/100000,"")</f>
        <v/>
      </c>
    </row>
    <row r="445">
      <c r="A445" s="12">
        <f>IF(O445="","",IFERROR(INDEX(SK_B,MATCH(O445,SK_A,0))&amp;"",""))</f>
        <v/>
      </c>
      <c r="B445" s="45">
        <f>IF(O445="","",IFERROR(INDEX(SK_C,MATCH(O445,SK_A,0)),""))</f>
        <v/>
      </c>
      <c r="C445" s="46">
        <f>IF(Q445="","",IF(Q445=0,"D",IF(Q445&lt;0,"D"&amp;Q445,"D+"&amp;Q445)))</f>
        <v/>
      </c>
      <c r="D445" s="14" t="n"/>
      <c r="E445" s="12" t="n"/>
      <c r="F445" s="46" t="n"/>
      <c r="G445" s="47" t="n"/>
      <c r="H445" s="14" t="n"/>
      <c r="I445" s="13">
        <f>IF(OR(B445="",Q445=""),"",IF(Q445&gt;0,IF(R445="Làm việc",WORKDAY(IFERROR(IF(INDEX(SK_D,MATCH(O445,SK_A,0))="",B445,INDEX(SK_D,MATCH(O445,SK_A,0))),B445),Q445,HOLI),IFERROR(IF(INDEX(SK_D,MATCH(O445,SK_A,0))="",B445,INDEX(SK_D,MATCH(O445,SK_A,0))),B445)+Q445),B445+Q445))</f>
        <v/>
      </c>
      <c r="J445" s="14" t="n"/>
      <c r="K445" s="13" t="n"/>
      <c r="L445" s="12" t="n"/>
      <c r="M445" s="48">
        <f>IF(E445="","",IF(J445="Bỏ qua","—",IF(J445="Xong",IF(AND(ISNUMBER(K445),ISNUMBER(I445),K445&gt;I445),"Xong trễ","Xong"),MID(IF(G445=""," · CHƯA GIAO","")&amp;IF(NOT(ISNUMBER(I445)),"",IF(TODAY()&gt;I445," · QUÁ HẠN "&amp;(TODAY()-I445)&amp;" ngày",IF(I445-TODAY()&lt;=3," · Đến hạn "&amp;IF(I445=TODAY(),"hôm nay","trong "&amp;(I445-TODAY())&amp;" ngày"),"")))&amp;IF(J445="Chờ đối tác"," · Chờ đối tác"&amp;IF(ISNUMBER(N445)," "&amp;(TODAY()-INT(N445))&amp;" ngày",""),""),4,200))))</f>
        <v/>
      </c>
      <c r="N445" s="49" t="n"/>
      <c r="S445">
        <f>IF(AND(E445&lt;&gt;"",T445="Có",J445&lt;&gt;"Xong",J445&lt;&gt;"Bỏ qua",ISNUMBER(I445)),I445+ROW()/100000,"")</f>
        <v/>
      </c>
      <c r="T445">
        <f>IF(O445="","",IFERROR(INDEX(SK_TD,MATCH(O445,SK_A,0)),""))</f>
        <v/>
      </c>
      <c r="V445">
        <f>IF(AND(O445&lt;&gt;"",O445=SEL_K,J445&lt;&gt;"Xong",J445&lt;&gt;"Bỏ qua"),IF(ISNUMBER(I445),I445,99999)+ROW()/100000,"")</f>
        <v/>
      </c>
    </row>
    <row r="446">
      <c r="A446" s="12">
        <f>IF(O446="","",IFERROR(INDEX(SK_B,MATCH(O446,SK_A,0))&amp;"",""))</f>
        <v/>
      </c>
      <c r="B446" s="45">
        <f>IF(O446="","",IFERROR(INDEX(SK_C,MATCH(O446,SK_A,0)),""))</f>
        <v/>
      </c>
      <c r="C446" s="46">
        <f>IF(Q446="","",IF(Q446=0,"D",IF(Q446&lt;0,"D"&amp;Q446,"D+"&amp;Q446)))</f>
        <v/>
      </c>
      <c r="D446" s="14" t="n"/>
      <c r="E446" s="12" t="n"/>
      <c r="F446" s="46" t="n"/>
      <c r="G446" s="47" t="n"/>
      <c r="H446" s="14" t="n"/>
      <c r="I446" s="13">
        <f>IF(OR(B446="",Q446=""),"",IF(Q446&gt;0,IF(R446="Làm việc",WORKDAY(IFERROR(IF(INDEX(SK_D,MATCH(O446,SK_A,0))="",B446,INDEX(SK_D,MATCH(O446,SK_A,0))),B446),Q446,HOLI),IFERROR(IF(INDEX(SK_D,MATCH(O446,SK_A,0))="",B446,INDEX(SK_D,MATCH(O446,SK_A,0))),B446)+Q446),B446+Q446))</f>
        <v/>
      </c>
      <c r="J446" s="14" t="n"/>
      <c r="K446" s="13" t="n"/>
      <c r="L446" s="12" t="n"/>
      <c r="M446" s="48">
        <f>IF(E446="","",IF(J446="Bỏ qua","—",IF(J446="Xong",IF(AND(ISNUMBER(K446),ISNUMBER(I446),K446&gt;I446),"Xong trễ","Xong"),MID(IF(G446=""," · CHƯA GIAO","")&amp;IF(NOT(ISNUMBER(I446)),"",IF(TODAY()&gt;I446," · QUÁ HẠN "&amp;(TODAY()-I446)&amp;" ngày",IF(I446-TODAY()&lt;=3," · Đến hạn "&amp;IF(I446=TODAY(),"hôm nay","trong "&amp;(I446-TODAY())&amp;" ngày"),"")))&amp;IF(J446="Chờ đối tác"," · Chờ đối tác"&amp;IF(ISNUMBER(N446)," "&amp;(TODAY()-INT(N446))&amp;" ngày",""),""),4,200))))</f>
        <v/>
      </c>
      <c r="N446" s="49" t="n"/>
      <c r="S446">
        <f>IF(AND(E446&lt;&gt;"",T446="Có",J446&lt;&gt;"Xong",J446&lt;&gt;"Bỏ qua",ISNUMBER(I446)),I446+ROW()/100000,"")</f>
        <v/>
      </c>
      <c r="T446">
        <f>IF(O446="","",IFERROR(INDEX(SK_TD,MATCH(O446,SK_A,0)),""))</f>
        <v/>
      </c>
      <c r="V446">
        <f>IF(AND(O446&lt;&gt;"",O446=SEL_K,J446&lt;&gt;"Xong",J446&lt;&gt;"Bỏ qua"),IF(ISNUMBER(I446),I446,99999)+ROW()/100000,"")</f>
        <v/>
      </c>
    </row>
    <row r="447">
      <c r="A447" s="12">
        <f>IF(O447="","",IFERROR(INDEX(SK_B,MATCH(O447,SK_A,0))&amp;"",""))</f>
        <v/>
      </c>
      <c r="B447" s="45">
        <f>IF(O447="","",IFERROR(INDEX(SK_C,MATCH(O447,SK_A,0)),""))</f>
        <v/>
      </c>
      <c r="C447" s="46">
        <f>IF(Q447="","",IF(Q447=0,"D",IF(Q447&lt;0,"D"&amp;Q447,"D+"&amp;Q447)))</f>
        <v/>
      </c>
      <c r="D447" s="14" t="n"/>
      <c r="E447" s="12" t="n"/>
      <c r="F447" s="46" t="n"/>
      <c r="G447" s="47" t="n"/>
      <c r="H447" s="14" t="n"/>
      <c r="I447" s="13">
        <f>IF(OR(B447="",Q447=""),"",IF(Q447&gt;0,IF(R447="Làm việc",WORKDAY(IFERROR(IF(INDEX(SK_D,MATCH(O447,SK_A,0))="",B447,INDEX(SK_D,MATCH(O447,SK_A,0))),B447),Q447,HOLI),IFERROR(IF(INDEX(SK_D,MATCH(O447,SK_A,0))="",B447,INDEX(SK_D,MATCH(O447,SK_A,0))),B447)+Q447),B447+Q447))</f>
        <v/>
      </c>
      <c r="J447" s="14" t="n"/>
      <c r="K447" s="13" t="n"/>
      <c r="L447" s="12" t="n"/>
      <c r="M447" s="48">
        <f>IF(E447="","",IF(J447="Bỏ qua","—",IF(J447="Xong",IF(AND(ISNUMBER(K447),ISNUMBER(I447),K447&gt;I447),"Xong trễ","Xong"),MID(IF(G447=""," · CHƯA GIAO","")&amp;IF(NOT(ISNUMBER(I447)),"",IF(TODAY()&gt;I447," · QUÁ HẠN "&amp;(TODAY()-I447)&amp;" ngày",IF(I447-TODAY()&lt;=3," · Đến hạn "&amp;IF(I447=TODAY(),"hôm nay","trong "&amp;(I447-TODAY())&amp;" ngày"),"")))&amp;IF(J447="Chờ đối tác"," · Chờ đối tác"&amp;IF(ISNUMBER(N447)," "&amp;(TODAY()-INT(N447))&amp;" ngày",""),""),4,200))))</f>
        <v/>
      </c>
      <c r="N447" s="49" t="n"/>
      <c r="S447">
        <f>IF(AND(E447&lt;&gt;"",T447="Có",J447&lt;&gt;"Xong",J447&lt;&gt;"Bỏ qua",ISNUMBER(I447)),I447+ROW()/100000,"")</f>
        <v/>
      </c>
      <c r="T447">
        <f>IF(O447="","",IFERROR(INDEX(SK_TD,MATCH(O447,SK_A,0)),""))</f>
        <v/>
      </c>
      <c r="V447">
        <f>IF(AND(O447&lt;&gt;"",O447=SEL_K,J447&lt;&gt;"Xong",J447&lt;&gt;"Bỏ qua"),IF(ISNUMBER(I447),I447,99999)+ROW()/100000,"")</f>
        <v/>
      </c>
    </row>
    <row r="448">
      <c r="A448" s="12">
        <f>IF(O448="","",IFERROR(INDEX(SK_B,MATCH(O448,SK_A,0))&amp;"",""))</f>
        <v/>
      </c>
      <c r="B448" s="45">
        <f>IF(O448="","",IFERROR(INDEX(SK_C,MATCH(O448,SK_A,0)),""))</f>
        <v/>
      </c>
      <c r="C448" s="46">
        <f>IF(Q448="","",IF(Q448=0,"D",IF(Q448&lt;0,"D"&amp;Q448,"D+"&amp;Q448)))</f>
        <v/>
      </c>
      <c r="D448" s="14" t="n"/>
      <c r="E448" s="12" t="n"/>
      <c r="F448" s="46" t="n"/>
      <c r="G448" s="47" t="n"/>
      <c r="H448" s="14" t="n"/>
      <c r="I448" s="13">
        <f>IF(OR(B448="",Q448=""),"",IF(Q448&gt;0,IF(R448="Làm việc",WORKDAY(IFERROR(IF(INDEX(SK_D,MATCH(O448,SK_A,0))="",B448,INDEX(SK_D,MATCH(O448,SK_A,0))),B448),Q448,HOLI),IFERROR(IF(INDEX(SK_D,MATCH(O448,SK_A,0))="",B448,INDEX(SK_D,MATCH(O448,SK_A,0))),B448)+Q448),B448+Q448))</f>
        <v/>
      </c>
      <c r="J448" s="14" t="n"/>
      <c r="K448" s="13" t="n"/>
      <c r="L448" s="12" t="n"/>
      <c r="M448" s="48">
        <f>IF(E448="","",IF(J448="Bỏ qua","—",IF(J448="Xong",IF(AND(ISNUMBER(K448),ISNUMBER(I448),K448&gt;I448),"Xong trễ","Xong"),MID(IF(G448=""," · CHƯA GIAO","")&amp;IF(NOT(ISNUMBER(I448)),"",IF(TODAY()&gt;I448," · QUÁ HẠN "&amp;(TODAY()-I448)&amp;" ngày",IF(I448-TODAY()&lt;=3," · Đến hạn "&amp;IF(I448=TODAY(),"hôm nay","trong "&amp;(I448-TODAY())&amp;" ngày"),"")))&amp;IF(J448="Chờ đối tác"," · Chờ đối tác"&amp;IF(ISNUMBER(N448)," "&amp;(TODAY()-INT(N448))&amp;" ngày",""),""),4,200))))</f>
        <v/>
      </c>
      <c r="N448" s="49" t="n"/>
      <c r="S448">
        <f>IF(AND(E448&lt;&gt;"",T448="Có",J448&lt;&gt;"Xong",J448&lt;&gt;"Bỏ qua",ISNUMBER(I448)),I448+ROW()/100000,"")</f>
        <v/>
      </c>
      <c r="T448">
        <f>IF(O448="","",IFERROR(INDEX(SK_TD,MATCH(O448,SK_A,0)),""))</f>
        <v/>
      </c>
      <c r="V448">
        <f>IF(AND(O448&lt;&gt;"",O448=SEL_K,J448&lt;&gt;"Xong",J448&lt;&gt;"Bỏ qua"),IF(ISNUMBER(I448),I448,99999)+ROW()/100000,"")</f>
        <v/>
      </c>
    </row>
    <row r="449">
      <c r="A449" s="12">
        <f>IF(O449="","",IFERROR(INDEX(SK_B,MATCH(O449,SK_A,0))&amp;"",""))</f>
        <v/>
      </c>
      <c r="B449" s="45">
        <f>IF(O449="","",IFERROR(INDEX(SK_C,MATCH(O449,SK_A,0)),""))</f>
        <v/>
      </c>
      <c r="C449" s="46">
        <f>IF(Q449="","",IF(Q449=0,"D",IF(Q449&lt;0,"D"&amp;Q449,"D+"&amp;Q449)))</f>
        <v/>
      </c>
      <c r="D449" s="14" t="n"/>
      <c r="E449" s="12" t="n"/>
      <c r="F449" s="46" t="n"/>
      <c r="G449" s="47" t="n"/>
      <c r="H449" s="14" t="n"/>
      <c r="I449" s="13">
        <f>IF(OR(B449="",Q449=""),"",IF(Q449&gt;0,IF(R449="Làm việc",WORKDAY(IFERROR(IF(INDEX(SK_D,MATCH(O449,SK_A,0))="",B449,INDEX(SK_D,MATCH(O449,SK_A,0))),B449),Q449,HOLI),IFERROR(IF(INDEX(SK_D,MATCH(O449,SK_A,0))="",B449,INDEX(SK_D,MATCH(O449,SK_A,0))),B449)+Q449),B449+Q449))</f>
        <v/>
      </c>
      <c r="J449" s="14" t="n"/>
      <c r="K449" s="13" t="n"/>
      <c r="L449" s="12" t="n"/>
      <c r="M449" s="48">
        <f>IF(E449="","",IF(J449="Bỏ qua","—",IF(J449="Xong",IF(AND(ISNUMBER(K449),ISNUMBER(I449),K449&gt;I449),"Xong trễ","Xong"),MID(IF(G449=""," · CHƯA GIAO","")&amp;IF(NOT(ISNUMBER(I449)),"",IF(TODAY()&gt;I449," · QUÁ HẠN "&amp;(TODAY()-I449)&amp;" ngày",IF(I449-TODAY()&lt;=3," · Đến hạn "&amp;IF(I449=TODAY(),"hôm nay","trong "&amp;(I449-TODAY())&amp;" ngày"),"")))&amp;IF(J449="Chờ đối tác"," · Chờ đối tác"&amp;IF(ISNUMBER(N449)," "&amp;(TODAY()-INT(N449))&amp;" ngày",""),""),4,200))))</f>
        <v/>
      </c>
      <c r="N449" s="49" t="n"/>
      <c r="S449">
        <f>IF(AND(E449&lt;&gt;"",T449="Có",J449&lt;&gt;"Xong",J449&lt;&gt;"Bỏ qua",ISNUMBER(I449)),I449+ROW()/100000,"")</f>
        <v/>
      </c>
      <c r="T449">
        <f>IF(O449="","",IFERROR(INDEX(SK_TD,MATCH(O449,SK_A,0)),""))</f>
        <v/>
      </c>
      <c r="V449">
        <f>IF(AND(O449&lt;&gt;"",O449=SEL_K,J449&lt;&gt;"Xong",J449&lt;&gt;"Bỏ qua"),IF(ISNUMBER(I449),I449,99999)+ROW()/100000,"")</f>
        <v/>
      </c>
    </row>
    <row r="450">
      <c r="A450" s="12">
        <f>IF(O450="","",IFERROR(INDEX(SK_B,MATCH(O450,SK_A,0))&amp;"",""))</f>
        <v/>
      </c>
      <c r="B450" s="45">
        <f>IF(O450="","",IFERROR(INDEX(SK_C,MATCH(O450,SK_A,0)),""))</f>
        <v/>
      </c>
      <c r="C450" s="46">
        <f>IF(Q450="","",IF(Q450=0,"D",IF(Q450&lt;0,"D"&amp;Q450,"D+"&amp;Q450)))</f>
        <v/>
      </c>
      <c r="D450" s="14" t="n"/>
      <c r="E450" s="12" t="n"/>
      <c r="F450" s="46" t="n"/>
      <c r="G450" s="47" t="n"/>
      <c r="H450" s="14" t="n"/>
      <c r="I450" s="13">
        <f>IF(OR(B450="",Q450=""),"",IF(Q450&gt;0,IF(R450="Làm việc",WORKDAY(IFERROR(IF(INDEX(SK_D,MATCH(O450,SK_A,0))="",B450,INDEX(SK_D,MATCH(O450,SK_A,0))),B450),Q450,HOLI),IFERROR(IF(INDEX(SK_D,MATCH(O450,SK_A,0))="",B450,INDEX(SK_D,MATCH(O450,SK_A,0))),B450)+Q450),B450+Q450))</f>
        <v/>
      </c>
      <c r="J450" s="14" t="n"/>
      <c r="K450" s="13" t="n"/>
      <c r="L450" s="12" t="n"/>
      <c r="M450" s="48">
        <f>IF(E450="","",IF(J450="Bỏ qua","—",IF(J450="Xong",IF(AND(ISNUMBER(K450),ISNUMBER(I450),K450&gt;I450),"Xong trễ","Xong"),MID(IF(G450=""," · CHƯA GIAO","")&amp;IF(NOT(ISNUMBER(I450)),"",IF(TODAY()&gt;I450," · QUÁ HẠN "&amp;(TODAY()-I450)&amp;" ngày",IF(I450-TODAY()&lt;=3," · Đến hạn "&amp;IF(I450=TODAY(),"hôm nay","trong "&amp;(I450-TODAY())&amp;" ngày"),"")))&amp;IF(J450="Chờ đối tác"," · Chờ đối tác"&amp;IF(ISNUMBER(N450)," "&amp;(TODAY()-INT(N450))&amp;" ngày",""),""),4,200))))</f>
        <v/>
      </c>
      <c r="N450" s="49" t="n"/>
      <c r="S450">
        <f>IF(AND(E450&lt;&gt;"",T450="Có",J450&lt;&gt;"Xong",J450&lt;&gt;"Bỏ qua",ISNUMBER(I450)),I450+ROW()/100000,"")</f>
        <v/>
      </c>
      <c r="T450">
        <f>IF(O450="","",IFERROR(INDEX(SK_TD,MATCH(O450,SK_A,0)),""))</f>
        <v/>
      </c>
      <c r="V450">
        <f>IF(AND(O450&lt;&gt;"",O450=SEL_K,J450&lt;&gt;"Xong",J450&lt;&gt;"Bỏ qua"),IF(ISNUMBER(I450),I450,99999)+ROW()/100000,"")</f>
        <v/>
      </c>
    </row>
    <row r="451">
      <c r="A451" s="12">
        <f>IF(O451="","",IFERROR(INDEX(SK_B,MATCH(O451,SK_A,0))&amp;"",""))</f>
        <v/>
      </c>
      <c r="B451" s="45">
        <f>IF(O451="","",IFERROR(INDEX(SK_C,MATCH(O451,SK_A,0)),""))</f>
        <v/>
      </c>
      <c r="C451" s="46">
        <f>IF(Q451="","",IF(Q451=0,"D",IF(Q451&lt;0,"D"&amp;Q451,"D+"&amp;Q451)))</f>
        <v/>
      </c>
      <c r="D451" s="14" t="n"/>
      <c r="E451" s="12" t="n"/>
      <c r="F451" s="46" t="n"/>
      <c r="G451" s="47" t="n"/>
      <c r="H451" s="14" t="n"/>
      <c r="I451" s="13">
        <f>IF(OR(B451="",Q451=""),"",IF(Q451&gt;0,IF(R451="Làm việc",WORKDAY(IFERROR(IF(INDEX(SK_D,MATCH(O451,SK_A,0))="",B451,INDEX(SK_D,MATCH(O451,SK_A,0))),B451),Q451,HOLI),IFERROR(IF(INDEX(SK_D,MATCH(O451,SK_A,0))="",B451,INDEX(SK_D,MATCH(O451,SK_A,0))),B451)+Q451),B451+Q451))</f>
        <v/>
      </c>
      <c r="J451" s="14" t="n"/>
      <c r="K451" s="13" t="n"/>
      <c r="L451" s="12" t="n"/>
      <c r="M451" s="48">
        <f>IF(E451="","",IF(J451="Bỏ qua","—",IF(J451="Xong",IF(AND(ISNUMBER(K451),ISNUMBER(I451),K451&gt;I451),"Xong trễ","Xong"),MID(IF(G451=""," · CHƯA GIAO","")&amp;IF(NOT(ISNUMBER(I451)),"",IF(TODAY()&gt;I451," · QUÁ HẠN "&amp;(TODAY()-I451)&amp;" ngày",IF(I451-TODAY()&lt;=3," · Đến hạn "&amp;IF(I451=TODAY(),"hôm nay","trong "&amp;(I451-TODAY())&amp;" ngày"),"")))&amp;IF(J451="Chờ đối tác"," · Chờ đối tác"&amp;IF(ISNUMBER(N451)," "&amp;(TODAY()-INT(N451))&amp;" ngày",""),""),4,200))))</f>
        <v/>
      </c>
      <c r="N451" s="49" t="n"/>
      <c r="S451">
        <f>IF(AND(E451&lt;&gt;"",T451="Có",J451&lt;&gt;"Xong",J451&lt;&gt;"Bỏ qua",ISNUMBER(I451)),I451+ROW()/100000,"")</f>
        <v/>
      </c>
      <c r="T451">
        <f>IF(O451="","",IFERROR(INDEX(SK_TD,MATCH(O451,SK_A,0)),""))</f>
        <v/>
      </c>
      <c r="V451">
        <f>IF(AND(O451&lt;&gt;"",O451=SEL_K,J451&lt;&gt;"Xong",J451&lt;&gt;"Bỏ qua"),IF(ISNUMBER(I451),I451,99999)+ROW()/100000,"")</f>
        <v/>
      </c>
    </row>
    <row r="452">
      <c r="A452" s="12">
        <f>IF(O452="","",IFERROR(INDEX(SK_B,MATCH(O452,SK_A,0))&amp;"",""))</f>
        <v/>
      </c>
      <c r="B452" s="45">
        <f>IF(O452="","",IFERROR(INDEX(SK_C,MATCH(O452,SK_A,0)),""))</f>
        <v/>
      </c>
      <c r="C452" s="46">
        <f>IF(Q452="","",IF(Q452=0,"D",IF(Q452&lt;0,"D"&amp;Q452,"D+"&amp;Q452)))</f>
        <v/>
      </c>
      <c r="D452" s="14" t="n"/>
      <c r="E452" s="12" t="n"/>
      <c r="F452" s="46" t="n"/>
      <c r="G452" s="47" t="n"/>
      <c r="H452" s="14" t="n"/>
      <c r="I452" s="13">
        <f>IF(OR(B452="",Q452=""),"",IF(Q452&gt;0,IF(R452="Làm việc",WORKDAY(IFERROR(IF(INDEX(SK_D,MATCH(O452,SK_A,0))="",B452,INDEX(SK_D,MATCH(O452,SK_A,0))),B452),Q452,HOLI),IFERROR(IF(INDEX(SK_D,MATCH(O452,SK_A,0))="",B452,INDEX(SK_D,MATCH(O452,SK_A,0))),B452)+Q452),B452+Q452))</f>
        <v/>
      </c>
      <c r="J452" s="14" t="n"/>
      <c r="K452" s="13" t="n"/>
      <c r="L452" s="12" t="n"/>
      <c r="M452" s="48">
        <f>IF(E452="","",IF(J452="Bỏ qua","—",IF(J452="Xong",IF(AND(ISNUMBER(K452),ISNUMBER(I452),K452&gt;I452),"Xong trễ","Xong"),MID(IF(G452=""," · CHƯA GIAO","")&amp;IF(NOT(ISNUMBER(I452)),"",IF(TODAY()&gt;I452," · QUÁ HẠN "&amp;(TODAY()-I452)&amp;" ngày",IF(I452-TODAY()&lt;=3," · Đến hạn "&amp;IF(I452=TODAY(),"hôm nay","trong "&amp;(I452-TODAY())&amp;" ngày"),"")))&amp;IF(J452="Chờ đối tác"," · Chờ đối tác"&amp;IF(ISNUMBER(N452)," "&amp;(TODAY()-INT(N452))&amp;" ngày",""),""),4,200))))</f>
        <v/>
      </c>
      <c r="N452" s="49" t="n"/>
      <c r="S452">
        <f>IF(AND(E452&lt;&gt;"",T452="Có",J452&lt;&gt;"Xong",J452&lt;&gt;"Bỏ qua",ISNUMBER(I452)),I452+ROW()/100000,"")</f>
        <v/>
      </c>
      <c r="T452">
        <f>IF(O452="","",IFERROR(INDEX(SK_TD,MATCH(O452,SK_A,0)),""))</f>
        <v/>
      </c>
      <c r="V452">
        <f>IF(AND(O452&lt;&gt;"",O452=SEL_K,J452&lt;&gt;"Xong",J452&lt;&gt;"Bỏ qua"),IF(ISNUMBER(I452),I452,99999)+ROW()/100000,"")</f>
        <v/>
      </c>
    </row>
    <row r="453">
      <c r="A453" s="12">
        <f>IF(O453="","",IFERROR(INDEX(SK_B,MATCH(O453,SK_A,0))&amp;"",""))</f>
        <v/>
      </c>
      <c r="B453" s="45">
        <f>IF(O453="","",IFERROR(INDEX(SK_C,MATCH(O453,SK_A,0)),""))</f>
        <v/>
      </c>
      <c r="C453" s="46">
        <f>IF(Q453="","",IF(Q453=0,"D",IF(Q453&lt;0,"D"&amp;Q453,"D+"&amp;Q453)))</f>
        <v/>
      </c>
      <c r="D453" s="14" t="n"/>
      <c r="E453" s="12" t="n"/>
      <c r="F453" s="46" t="n"/>
      <c r="G453" s="47" t="n"/>
      <c r="H453" s="14" t="n"/>
      <c r="I453" s="13">
        <f>IF(OR(B453="",Q453=""),"",IF(Q453&gt;0,IF(R453="Làm việc",WORKDAY(IFERROR(IF(INDEX(SK_D,MATCH(O453,SK_A,0))="",B453,INDEX(SK_D,MATCH(O453,SK_A,0))),B453),Q453,HOLI),IFERROR(IF(INDEX(SK_D,MATCH(O453,SK_A,0))="",B453,INDEX(SK_D,MATCH(O453,SK_A,0))),B453)+Q453),B453+Q453))</f>
        <v/>
      </c>
      <c r="J453" s="14" t="n"/>
      <c r="K453" s="13" t="n"/>
      <c r="L453" s="12" t="n"/>
      <c r="M453" s="48">
        <f>IF(E453="","",IF(J453="Bỏ qua","—",IF(J453="Xong",IF(AND(ISNUMBER(K453),ISNUMBER(I453),K453&gt;I453),"Xong trễ","Xong"),MID(IF(G453=""," · CHƯA GIAO","")&amp;IF(NOT(ISNUMBER(I453)),"",IF(TODAY()&gt;I453," · QUÁ HẠN "&amp;(TODAY()-I453)&amp;" ngày",IF(I453-TODAY()&lt;=3," · Đến hạn "&amp;IF(I453=TODAY(),"hôm nay","trong "&amp;(I453-TODAY())&amp;" ngày"),"")))&amp;IF(J453="Chờ đối tác"," · Chờ đối tác"&amp;IF(ISNUMBER(N453)," "&amp;(TODAY()-INT(N453))&amp;" ngày",""),""),4,200))))</f>
        <v/>
      </c>
      <c r="N453" s="49" t="n"/>
      <c r="S453">
        <f>IF(AND(E453&lt;&gt;"",T453="Có",J453&lt;&gt;"Xong",J453&lt;&gt;"Bỏ qua",ISNUMBER(I453)),I453+ROW()/100000,"")</f>
        <v/>
      </c>
      <c r="T453">
        <f>IF(O453="","",IFERROR(INDEX(SK_TD,MATCH(O453,SK_A,0)),""))</f>
        <v/>
      </c>
      <c r="V453">
        <f>IF(AND(O453&lt;&gt;"",O453=SEL_K,J453&lt;&gt;"Xong",J453&lt;&gt;"Bỏ qua"),IF(ISNUMBER(I453),I453,99999)+ROW()/100000,"")</f>
        <v/>
      </c>
    </row>
    <row r="454">
      <c r="A454" s="12">
        <f>IF(O454="","",IFERROR(INDEX(SK_B,MATCH(O454,SK_A,0))&amp;"",""))</f>
        <v/>
      </c>
      <c r="B454" s="45">
        <f>IF(O454="","",IFERROR(INDEX(SK_C,MATCH(O454,SK_A,0)),""))</f>
        <v/>
      </c>
      <c r="C454" s="46">
        <f>IF(Q454="","",IF(Q454=0,"D",IF(Q454&lt;0,"D"&amp;Q454,"D+"&amp;Q454)))</f>
        <v/>
      </c>
      <c r="D454" s="14" t="n"/>
      <c r="E454" s="12" t="n"/>
      <c r="F454" s="46" t="n"/>
      <c r="G454" s="47" t="n"/>
      <c r="H454" s="14" t="n"/>
      <c r="I454" s="13">
        <f>IF(OR(B454="",Q454=""),"",IF(Q454&gt;0,IF(R454="Làm việc",WORKDAY(IFERROR(IF(INDEX(SK_D,MATCH(O454,SK_A,0))="",B454,INDEX(SK_D,MATCH(O454,SK_A,0))),B454),Q454,HOLI),IFERROR(IF(INDEX(SK_D,MATCH(O454,SK_A,0))="",B454,INDEX(SK_D,MATCH(O454,SK_A,0))),B454)+Q454),B454+Q454))</f>
        <v/>
      </c>
      <c r="J454" s="14" t="n"/>
      <c r="K454" s="13" t="n"/>
      <c r="L454" s="12" t="n"/>
      <c r="M454" s="48">
        <f>IF(E454="","",IF(J454="Bỏ qua","—",IF(J454="Xong",IF(AND(ISNUMBER(K454),ISNUMBER(I454),K454&gt;I454),"Xong trễ","Xong"),MID(IF(G454=""," · CHƯA GIAO","")&amp;IF(NOT(ISNUMBER(I454)),"",IF(TODAY()&gt;I454," · QUÁ HẠN "&amp;(TODAY()-I454)&amp;" ngày",IF(I454-TODAY()&lt;=3," · Đến hạn "&amp;IF(I454=TODAY(),"hôm nay","trong "&amp;(I454-TODAY())&amp;" ngày"),"")))&amp;IF(J454="Chờ đối tác"," · Chờ đối tác"&amp;IF(ISNUMBER(N454)," "&amp;(TODAY()-INT(N454))&amp;" ngày",""),""),4,200))))</f>
        <v/>
      </c>
      <c r="N454" s="49" t="n"/>
      <c r="S454">
        <f>IF(AND(E454&lt;&gt;"",T454="Có",J454&lt;&gt;"Xong",J454&lt;&gt;"Bỏ qua",ISNUMBER(I454)),I454+ROW()/100000,"")</f>
        <v/>
      </c>
      <c r="T454">
        <f>IF(O454="","",IFERROR(INDEX(SK_TD,MATCH(O454,SK_A,0)),""))</f>
        <v/>
      </c>
      <c r="V454">
        <f>IF(AND(O454&lt;&gt;"",O454=SEL_K,J454&lt;&gt;"Xong",J454&lt;&gt;"Bỏ qua"),IF(ISNUMBER(I454),I454,99999)+ROW()/100000,"")</f>
        <v/>
      </c>
    </row>
    <row r="455">
      <c r="A455" s="12">
        <f>IF(O455="","",IFERROR(INDEX(SK_B,MATCH(O455,SK_A,0))&amp;"",""))</f>
        <v/>
      </c>
      <c r="B455" s="45">
        <f>IF(O455="","",IFERROR(INDEX(SK_C,MATCH(O455,SK_A,0)),""))</f>
        <v/>
      </c>
      <c r="C455" s="46">
        <f>IF(Q455="","",IF(Q455=0,"D",IF(Q455&lt;0,"D"&amp;Q455,"D+"&amp;Q455)))</f>
        <v/>
      </c>
      <c r="D455" s="14" t="n"/>
      <c r="E455" s="12" t="n"/>
      <c r="F455" s="46" t="n"/>
      <c r="G455" s="47" t="n"/>
      <c r="H455" s="14" t="n"/>
      <c r="I455" s="13">
        <f>IF(OR(B455="",Q455=""),"",IF(Q455&gt;0,IF(R455="Làm việc",WORKDAY(IFERROR(IF(INDEX(SK_D,MATCH(O455,SK_A,0))="",B455,INDEX(SK_D,MATCH(O455,SK_A,0))),B455),Q455,HOLI),IFERROR(IF(INDEX(SK_D,MATCH(O455,SK_A,0))="",B455,INDEX(SK_D,MATCH(O455,SK_A,0))),B455)+Q455),B455+Q455))</f>
        <v/>
      </c>
      <c r="J455" s="14" t="n"/>
      <c r="K455" s="13" t="n"/>
      <c r="L455" s="12" t="n"/>
      <c r="M455" s="48">
        <f>IF(E455="","",IF(J455="Bỏ qua","—",IF(J455="Xong",IF(AND(ISNUMBER(K455),ISNUMBER(I455),K455&gt;I455),"Xong trễ","Xong"),MID(IF(G455=""," · CHƯA GIAO","")&amp;IF(NOT(ISNUMBER(I455)),"",IF(TODAY()&gt;I455," · QUÁ HẠN "&amp;(TODAY()-I455)&amp;" ngày",IF(I455-TODAY()&lt;=3," · Đến hạn "&amp;IF(I455=TODAY(),"hôm nay","trong "&amp;(I455-TODAY())&amp;" ngày"),"")))&amp;IF(J455="Chờ đối tác"," · Chờ đối tác"&amp;IF(ISNUMBER(N455)," "&amp;(TODAY()-INT(N455))&amp;" ngày",""),""),4,200))))</f>
        <v/>
      </c>
      <c r="N455" s="49" t="n"/>
      <c r="S455">
        <f>IF(AND(E455&lt;&gt;"",T455="Có",J455&lt;&gt;"Xong",J455&lt;&gt;"Bỏ qua",ISNUMBER(I455)),I455+ROW()/100000,"")</f>
        <v/>
      </c>
      <c r="T455">
        <f>IF(O455="","",IFERROR(INDEX(SK_TD,MATCH(O455,SK_A,0)),""))</f>
        <v/>
      </c>
      <c r="V455">
        <f>IF(AND(O455&lt;&gt;"",O455=SEL_K,J455&lt;&gt;"Xong",J455&lt;&gt;"Bỏ qua"),IF(ISNUMBER(I455),I455,99999)+ROW()/100000,"")</f>
        <v/>
      </c>
    </row>
    <row r="456">
      <c r="A456" s="12">
        <f>IF(O456="","",IFERROR(INDEX(SK_B,MATCH(O456,SK_A,0))&amp;"",""))</f>
        <v/>
      </c>
      <c r="B456" s="45">
        <f>IF(O456="","",IFERROR(INDEX(SK_C,MATCH(O456,SK_A,0)),""))</f>
        <v/>
      </c>
      <c r="C456" s="46">
        <f>IF(Q456="","",IF(Q456=0,"D",IF(Q456&lt;0,"D"&amp;Q456,"D+"&amp;Q456)))</f>
        <v/>
      </c>
      <c r="D456" s="14" t="n"/>
      <c r="E456" s="12" t="n"/>
      <c r="F456" s="46" t="n"/>
      <c r="G456" s="47" t="n"/>
      <c r="H456" s="14" t="n"/>
      <c r="I456" s="13">
        <f>IF(OR(B456="",Q456=""),"",IF(Q456&gt;0,IF(R456="Làm việc",WORKDAY(IFERROR(IF(INDEX(SK_D,MATCH(O456,SK_A,0))="",B456,INDEX(SK_D,MATCH(O456,SK_A,0))),B456),Q456,HOLI),IFERROR(IF(INDEX(SK_D,MATCH(O456,SK_A,0))="",B456,INDEX(SK_D,MATCH(O456,SK_A,0))),B456)+Q456),B456+Q456))</f>
        <v/>
      </c>
      <c r="J456" s="14" t="n"/>
      <c r="K456" s="13" t="n"/>
      <c r="L456" s="12" t="n"/>
      <c r="M456" s="48">
        <f>IF(E456="","",IF(J456="Bỏ qua","—",IF(J456="Xong",IF(AND(ISNUMBER(K456),ISNUMBER(I456),K456&gt;I456),"Xong trễ","Xong"),MID(IF(G456=""," · CHƯA GIAO","")&amp;IF(NOT(ISNUMBER(I456)),"",IF(TODAY()&gt;I456," · QUÁ HẠN "&amp;(TODAY()-I456)&amp;" ngày",IF(I456-TODAY()&lt;=3," · Đến hạn "&amp;IF(I456=TODAY(),"hôm nay","trong "&amp;(I456-TODAY())&amp;" ngày"),"")))&amp;IF(J456="Chờ đối tác"," · Chờ đối tác"&amp;IF(ISNUMBER(N456)," "&amp;(TODAY()-INT(N456))&amp;" ngày",""),""),4,200))))</f>
        <v/>
      </c>
      <c r="N456" s="49" t="n"/>
      <c r="S456">
        <f>IF(AND(E456&lt;&gt;"",T456="Có",J456&lt;&gt;"Xong",J456&lt;&gt;"Bỏ qua",ISNUMBER(I456)),I456+ROW()/100000,"")</f>
        <v/>
      </c>
      <c r="T456">
        <f>IF(O456="","",IFERROR(INDEX(SK_TD,MATCH(O456,SK_A,0)),""))</f>
        <v/>
      </c>
      <c r="V456">
        <f>IF(AND(O456&lt;&gt;"",O456=SEL_K,J456&lt;&gt;"Xong",J456&lt;&gt;"Bỏ qua"),IF(ISNUMBER(I456),I456,99999)+ROW()/100000,"")</f>
        <v/>
      </c>
    </row>
    <row r="457">
      <c r="A457" s="12">
        <f>IF(O457="","",IFERROR(INDEX(SK_B,MATCH(O457,SK_A,0))&amp;"",""))</f>
        <v/>
      </c>
      <c r="B457" s="45">
        <f>IF(O457="","",IFERROR(INDEX(SK_C,MATCH(O457,SK_A,0)),""))</f>
        <v/>
      </c>
      <c r="C457" s="46">
        <f>IF(Q457="","",IF(Q457=0,"D",IF(Q457&lt;0,"D"&amp;Q457,"D+"&amp;Q457)))</f>
        <v/>
      </c>
      <c r="D457" s="14" t="n"/>
      <c r="E457" s="12" t="n"/>
      <c r="F457" s="46" t="n"/>
      <c r="G457" s="47" t="n"/>
      <c r="H457" s="14" t="n"/>
      <c r="I457" s="13">
        <f>IF(OR(B457="",Q457=""),"",IF(Q457&gt;0,IF(R457="Làm việc",WORKDAY(IFERROR(IF(INDEX(SK_D,MATCH(O457,SK_A,0))="",B457,INDEX(SK_D,MATCH(O457,SK_A,0))),B457),Q457,HOLI),IFERROR(IF(INDEX(SK_D,MATCH(O457,SK_A,0))="",B457,INDEX(SK_D,MATCH(O457,SK_A,0))),B457)+Q457),B457+Q457))</f>
        <v/>
      </c>
      <c r="J457" s="14" t="n"/>
      <c r="K457" s="13" t="n"/>
      <c r="L457" s="12" t="n"/>
      <c r="M457" s="48">
        <f>IF(E457="","",IF(J457="Bỏ qua","—",IF(J457="Xong",IF(AND(ISNUMBER(K457),ISNUMBER(I457),K457&gt;I457),"Xong trễ","Xong"),MID(IF(G457=""," · CHƯA GIAO","")&amp;IF(NOT(ISNUMBER(I457)),"",IF(TODAY()&gt;I457," · QUÁ HẠN "&amp;(TODAY()-I457)&amp;" ngày",IF(I457-TODAY()&lt;=3," · Đến hạn "&amp;IF(I457=TODAY(),"hôm nay","trong "&amp;(I457-TODAY())&amp;" ngày"),"")))&amp;IF(J457="Chờ đối tác"," · Chờ đối tác"&amp;IF(ISNUMBER(N457)," "&amp;(TODAY()-INT(N457))&amp;" ngày",""),""),4,200))))</f>
        <v/>
      </c>
      <c r="N457" s="49" t="n"/>
      <c r="S457">
        <f>IF(AND(E457&lt;&gt;"",T457="Có",J457&lt;&gt;"Xong",J457&lt;&gt;"Bỏ qua",ISNUMBER(I457)),I457+ROW()/100000,"")</f>
        <v/>
      </c>
      <c r="T457">
        <f>IF(O457="","",IFERROR(INDEX(SK_TD,MATCH(O457,SK_A,0)),""))</f>
        <v/>
      </c>
      <c r="V457">
        <f>IF(AND(O457&lt;&gt;"",O457=SEL_K,J457&lt;&gt;"Xong",J457&lt;&gt;"Bỏ qua"),IF(ISNUMBER(I457),I457,99999)+ROW()/100000,"")</f>
        <v/>
      </c>
    </row>
    <row r="458">
      <c r="A458" s="12">
        <f>IF(O458="","",IFERROR(INDEX(SK_B,MATCH(O458,SK_A,0))&amp;"",""))</f>
        <v/>
      </c>
      <c r="B458" s="45">
        <f>IF(O458="","",IFERROR(INDEX(SK_C,MATCH(O458,SK_A,0)),""))</f>
        <v/>
      </c>
      <c r="C458" s="46">
        <f>IF(Q458="","",IF(Q458=0,"D",IF(Q458&lt;0,"D"&amp;Q458,"D+"&amp;Q458)))</f>
        <v/>
      </c>
      <c r="D458" s="14" t="n"/>
      <c r="E458" s="12" t="n"/>
      <c r="F458" s="46" t="n"/>
      <c r="G458" s="47" t="n"/>
      <c r="H458" s="14" t="n"/>
      <c r="I458" s="13">
        <f>IF(OR(B458="",Q458=""),"",IF(Q458&gt;0,IF(R458="Làm việc",WORKDAY(IFERROR(IF(INDEX(SK_D,MATCH(O458,SK_A,0))="",B458,INDEX(SK_D,MATCH(O458,SK_A,0))),B458),Q458,HOLI),IFERROR(IF(INDEX(SK_D,MATCH(O458,SK_A,0))="",B458,INDEX(SK_D,MATCH(O458,SK_A,0))),B458)+Q458),B458+Q458))</f>
        <v/>
      </c>
      <c r="J458" s="14" t="n"/>
      <c r="K458" s="13" t="n"/>
      <c r="L458" s="12" t="n"/>
      <c r="M458" s="48">
        <f>IF(E458="","",IF(J458="Bỏ qua","—",IF(J458="Xong",IF(AND(ISNUMBER(K458),ISNUMBER(I458),K458&gt;I458),"Xong trễ","Xong"),MID(IF(G458=""," · CHƯA GIAO","")&amp;IF(NOT(ISNUMBER(I458)),"",IF(TODAY()&gt;I458," · QUÁ HẠN "&amp;(TODAY()-I458)&amp;" ngày",IF(I458-TODAY()&lt;=3," · Đến hạn "&amp;IF(I458=TODAY(),"hôm nay","trong "&amp;(I458-TODAY())&amp;" ngày"),"")))&amp;IF(J458="Chờ đối tác"," · Chờ đối tác"&amp;IF(ISNUMBER(N458)," "&amp;(TODAY()-INT(N458))&amp;" ngày",""),""),4,200))))</f>
        <v/>
      </c>
      <c r="N458" s="49" t="n"/>
      <c r="S458">
        <f>IF(AND(E458&lt;&gt;"",T458="Có",J458&lt;&gt;"Xong",J458&lt;&gt;"Bỏ qua",ISNUMBER(I458)),I458+ROW()/100000,"")</f>
        <v/>
      </c>
      <c r="T458">
        <f>IF(O458="","",IFERROR(INDEX(SK_TD,MATCH(O458,SK_A,0)),""))</f>
        <v/>
      </c>
      <c r="V458">
        <f>IF(AND(O458&lt;&gt;"",O458=SEL_K,J458&lt;&gt;"Xong",J458&lt;&gt;"Bỏ qua"),IF(ISNUMBER(I458),I458,99999)+ROW()/100000,"")</f>
        <v/>
      </c>
    </row>
    <row r="459">
      <c r="A459" s="12">
        <f>IF(O459="","",IFERROR(INDEX(SK_B,MATCH(O459,SK_A,0))&amp;"",""))</f>
        <v/>
      </c>
      <c r="B459" s="45">
        <f>IF(O459="","",IFERROR(INDEX(SK_C,MATCH(O459,SK_A,0)),""))</f>
        <v/>
      </c>
      <c r="C459" s="46">
        <f>IF(Q459="","",IF(Q459=0,"D",IF(Q459&lt;0,"D"&amp;Q459,"D+"&amp;Q459)))</f>
        <v/>
      </c>
      <c r="D459" s="14" t="n"/>
      <c r="E459" s="12" t="n"/>
      <c r="F459" s="46" t="n"/>
      <c r="G459" s="47" t="n"/>
      <c r="H459" s="14" t="n"/>
      <c r="I459" s="13">
        <f>IF(OR(B459="",Q459=""),"",IF(Q459&gt;0,IF(R459="Làm việc",WORKDAY(IFERROR(IF(INDEX(SK_D,MATCH(O459,SK_A,0))="",B459,INDEX(SK_D,MATCH(O459,SK_A,0))),B459),Q459,HOLI),IFERROR(IF(INDEX(SK_D,MATCH(O459,SK_A,0))="",B459,INDEX(SK_D,MATCH(O459,SK_A,0))),B459)+Q459),B459+Q459))</f>
        <v/>
      </c>
      <c r="J459" s="14" t="n"/>
      <c r="K459" s="13" t="n"/>
      <c r="L459" s="12" t="n"/>
      <c r="M459" s="48">
        <f>IF(E459="","",IF(J459="Bỏ qua","—",IF(J459="Xong",IF(AND(ISNUMBER(K459),ISNUMBER(I459),K459&gt;I459),"Xong trễ","Xong"),MID(IF(G459=""," · CHƯA GIAO","")&amp;IF(NOT(ISNUMBER(I459)),"",IF(TODAY()&gt;I459," · QUÁ HẠN "&amp;(TODAY()-I459)&amp;" ngày",IF(I459-TODAY()&lt;=3," · Đến hạn "&amp;IF(I459=TODAY(),"hôm nay","trong "&amp;(I459-TODAY())&amp;" ngày"),"")))&amp;IF(J459="Chờ đối tác"," · Chờ đối tác"&amp;IF(ISNUMBER(N459)," "&amp;(TODAY()-INT(N459))&amp;" ngày",""),""),4,200))))</f>
        <v/>
      </c>
      <c r="N459" s="49" t="n"/>
      <c r="S459">
        <f>IF(AND(E459&lt;&gt;"",T459="Có",J459&lt;&gt;"Xong",J459&lt;&gt;"Bỏ qua",ISNUMBER(I459)),I459+ROW()/100000,"")</f>
        <v/>
      </c>
      <c r="T459">
        <f>IF(O459="","",IFERROR(INDEX(SK_TD,MATCH(O459,SK_A,0)),""))</f>
        <v/>
      </c>
      <c r="V459">
        <f>IF(AND(O459&lt;&gt;"",O459=SEL_K,J459&lt;&gt;"Xong",J459&lt;&gt;"Bỏ qua"),IF(ISNUMBER(I459),I459,99999)+ROW()/100000,"")</f>
        <v/>
      </c>
    </row>
    <row r="460">
      <c r="A460" s="12">
        <f>IF(O460="","",IFERROR(INDEX(SK_B,MATCH(O460,SK_A,0))&amp;"",""))</f>
        <v/>
      </c>
      <c r="B460" s="45">
        <f>IF(O460="","",IFERROR(INDEX(SK_C,MATCH(O460,SK_A,0)),""))</f>
        <v/>
      </c>
      <c r="C460" s="46">
        <f>IF(Q460="","",IF(Q460=0,"D",IF(Q460&lt;0,"D"&amp;Q460,"D+"&amp;Q460)))</f>
        <v/>
      </c>
      <c r="D460" s="14" t="n"/>
      <c r="E460" s="12" t="n"/>
      <c r="F460" s="46" t="n"/>
      <c r="G460" s="47" t="n"/>
      <c r="H460" s="14" t="n"/>
      <c r="I460" s="13">
        <f>IF(OR(B460="",Q460=""),"",IF(Q460&gt;0,IF(R460="Làm việc",WORKDAY(IFERROR(IF(INDEX(SK_D,MATCH(O460,SK_A,0))="",B460,INDEX(SK_D,MATCH(O460,SK_A,0))),B460),Q460,HOLI),IFERROR(IF(INDEX(SK_D,MATCH(O460,SK_A,0))="",B460,INDEX(SK_D,MATCH(O460,SK_A,0))),B460)+Q460),B460+Q460))</f>
        <v/>
      </c>
      <c r="J460" s="14" t="n"/>
      <c r="K460" s="13" t="n"/>
      <c r="L460" s="12" t="n"/>
      <c r="M460" s="48">
        <f>IF(E460="","",IF(J460="Bỏ qua","—",IF(J460="Xong",IF(AND(ISNUMBER(K460),ISNUMBER(I460),K460&gt;I460),"Xong trễ","Xong"),MID(IF(G460=""," · CHƯA GIAO","")&amp;IF(NOT(ISNUMBER(I460)),"",IF(TODAY()&gt;I460," · QUÁ HẠN "&amp;(TODAY()-I460)&amp;" ngày",IF(I460-TODAY()&lt;=3," · Đến hạn "&amp;IF(I460=TODAY(),"hôm nay","trong "&amp;(I460-TODAY())&amp;" ngày"),"")))&amp;IF(J460="Chờ đối tác"," · Chờ đối tác"&amp;IF(ISNUMBER(N460)," "&amp;(TODAY()-INT(N460))&amp;" ngày",""),""),4,200))))</f>
        <v/>
      </c>
      <c r="N460" s="49" t="n"/>
      <c r="S460">
        <f>IF(AND(E460&lt;&gt;"",T460="Có",J460&lt;&gt;"Xong",J460&lt;&gt;"Bỏ qua",ISNUMBER(I460)),I460+ROW()/100000,"")</f>
        <v/>
      </c>
      <c r="T460">
        <f>IF(O460="","",IFERROR(INDEX(SK_TD,MATCH(O460,SK_A,0)),""))</f>
        <v/>
      </c>
      <c r="V460">
        <f>IF(AND(O460&lt;&gt;"",O460=SEL_K,J460&lt;&gt;"Xong",J460&lt;&gt;"Bỏ qua"),IF(ISNUMBER(I460),I460,99999)+ROW()/100000,"")</f>
        <v/>
      </c>
    </row>
    <row r="461">
      <c r="A461" s="12">
        <f>IF(O461="","",IFERROR(INDEX(SK_B,MATCH(O461,SK_A,0))&amp;"",""))</f>
        <v/>
      </c>
      <c r="B461" s="45">
        <f>IF(O461="","",IFERROR(INDEX(SK_C,MATCH(O461,SK_A,0)),""))</f>
        <v/>
      </c>
      <c r="C461" s="46">
        <f>IF(Q461="","",IF(Q461=0,"D",IF(Q461&lt;0,"D"&amp;Q461,"D+"&amp;Q461)))</f>
        <v/>
      </c>
      <c r="D461" s="14" t="n"/>
      <c r="E461" s="12" t="n"/>
      <c r="F461" s="46" t="n"/>
      <c r="G461" s="47" t="n"/>
      <c r="H461" s="14" t="n"/>
      <c r="I461" s="13">
        <f>IF(OR(B461="",Q461=""),"",IF(Q461&gt;0,IF(R461="Làm việc",WORKDAY(IFERROR(IF(INDEX(SK_D,MATCH(O461,SK_A,0))="",B461,INDEX(SK_D,MATCH(O461,SK_A,0))),B461),Q461,HOLI),IFERROR(IF(INDEX(SK_D,MATCH(O461,SK_A,0))="",B461,INDEX(SK_D,MATCH(O461,SK_A,0))),B461)+Q461),B461+Q461))</f>
        <v/>
      </c>
      <c r="J461" s="14" t="n"/>
      <c r="K461" s="13" t="n"/>
      <c r="L461" s="12" t="n"/>
      <c r="M461" s="48">
        <f>IF(E461="","",IF(J461="Bỏ qua","—",IF(J461="Xong",IF(AND(ISNUMBER(K461),ISNUMBER(I461),K461&gt;I461),"Xong trễ","Xong"),MID(IF(G461=""," · CHƯA GIAO","")&amp;IF(NOT(ISNUMBER(I461)),"",IF(TODAY()&gt;I461," · QUÁ HẠN "&amp;(TODAY()-I461)&amp;" ngày",IF(I461-TODAY()&lt;=3," · Đến hạn "&amp;IF(I461=TODAY(),"hôm nay","trong "&amp;(I461-TODAY())&amp;" ngày"),"")))&amp;IF(J461="Chờ đối tác"," · Chờ đối tác"&amp;IF(ISNUMBER(N461)," "&amp;(TODAY()-INT(N461))&amp;" ngày",""),""),4,200))))</f>
        <v/>
      </c>
      <c r="N461" s="49" t="n"/>
      <c r="S461">
        <f>IF(AND(E461&lt;&gt;"",T461="Có",J461&lt;&gt;"Xong",J461&lt;&gt;"Bỏ qua",ISNUMBER(I461)),I461+ROW()/100000,"")</f>
        <v/>
      </c>
      <c r="T461">
        <f>IF(O461="","",IFERROR(INDEX(SK_TD,MATCH(O461,SK_A,0)),""))</f>
        <v/>
      </c>
      <c r="V461">
        <f>IF(AND(O461&lt;&gt;"",O461=SEL_K,J461&lt;&gt;"Xong",J461&lt;&gt;"Bỏ qua"),IF(ISNUMBER(I461),I461,99999)+ROW()/100000,"")</f>
        <v/>
      </c>
    </row>
    <row r="462">
      <c r="A462" s="12">
        <f>IF(O462="","",IFERROR(INDEX(SK_B,MATCH(O462,SK_A,0))&amp;"",""))</f>
        <v/>
      </c>
      <c r="B462" s="45">
        <f>IF(O462="","",IFERROR(INDEX(SK_C,MATCH(O462,SK_A,0)),""))</f>
        <v/>
      </c>
      <c r="C462" s="46">
        <f>IF(Q462="","",IF(Q462=0,"D",IF(Q462&lt;0,"D"&amp;Q462,"D+"&amp;Q462)))</f>
        <v/>
      </c>
      <c r="D462" s="14" t="n"/>
      <c r="E462" s="12" t="n"/>
      <c r="F462" s="46" t="n"/>
      <c r="G462" s="47" t="n"/>
      <c r="H462" s="14" t="n"/>
      <c r="I462" s="13">
        <f>IF(OR(B462="",Q462=""),"",IF(Q462&gt;0,IF(R462="Làm việc",WORKDAY(IFERROR(IF(INDEX(SK_D,MATCH(O462,SK_A,0))="",B462,INDEX(SK_D,MATCH(O462,SK_A,0))),B462),Q462,HOLI),IFERROR(IF(INDEX(SK_D,MATCH(O462,SK_A,0))="",B462,INDEX(SK_D,MATCH(O462,SK_A,0))),B462)+Q462),B462+Q462))</f>
        <v/>
      </c>
      <c r="J462" s="14" t="n"/>
      <c r="K462" s="13" t="n"/>
      <c r="L462" s="12" t="n"/>
      <c r="M462" s="48">
        <f>IF(E462="","",IF(J462="Bỏ qua","—",IF(J462="Xong",IF(AND(ISNUMBER(K462),ISNUMBER(I462),K462&gt;I462),"Xong trễ","Xong"),MID(IF(G462=""," · CHƯA GIAO","")&amp;IF(NOT(ISNUMBER(I462)),"",IF(TODAY()&gt;I462," · QUÁ HẠN "&amp;(TODAY()-I462)&amp;" ngày",IF(I462-TODAY()&lt;=3," · Đến hạn "&amp;IF(I462=TODAY(),"hôm nay","trong "&amp;(I462-TODAY())&amp;" ngày"),"")))&amp;IF(J462="Chờ đối tác"," · Chờ đối tác"&amp;IF(ISNUMBER(N462)," "&amp;(TODAY()-INT(N462))&amp;" ngày",""),""),4,200))))</f>
        <v/>
      </c>
      <c r="N462" s="49" t="n"/>
      <c r="S462">
        <f>IF(AND(E462&lt;&gt;"",T462="Có",J462&lt;&gt;"Xong",J462&lt;&gt;"Bỏ qua",ISNUMBER(I462)),I462+ROW()/100000,"")</f>
        <v/>
      </c>
      <c r="T462">
        <f>IF(O462="","",IFERROR(INDEX(SK_TD,MATCH(O462,SK_A,0)),""))</f>
        <v/>
      </c>
      <c r="V462">
        <f>IF(AND(O462&lt;&gt;"",O462=SEL_K,J462&lt;&gt;"Xong",J462&lt;&gt;"Bỏ qua"),IF(ISNUMBER(I462),I462,99999)+ROW()/100000,"")</f>
        <v/>
      </c>
    </row>
    <row r="463">
      <c r="A463" s="12">
        <f>IF(O463="","",IFERROR(INDEX(SK_B,MATCH(O463,SK_A,0))&amp;"",""))</f>
        <v/>
      </c>
      <c r="B463" s="45">
        <f>IF(O463="","",IFERROR(INDEX(SK_C,MATCH(O463,SK_A,0)),""))</f>
        <v/>
      </c>
      <c r="C463" s="46">
        <f>IF(Q463="","",IF(Q463=0,"D",IF(Q463&lt;0,"D"&amp;Q463,"D+"&amp;Q463)))</f>
        <v/>
      </c>
      <c r="D463" s="14" t="n"/>
      <c r="E463" s="12" t="n"/>
      <c r="F463" s="46" t="n"/>
      <c r="G463" s="47" t="n"/>
      <c r="H463" s="14" t="n"/>
      <c r="I463" s="13">
        <f>IF(OR(B463="",Q463=""),"",IF(Q463&gt;0,IF(R463="Làm việc",WORKDAY(IFERROR(IF(INDEX(SK_D,MATCH(O463,SK_A,0))="",B463,INDEX(SK_D,MATCH(O463,SK_A,0))),B463),Q463,HOLI),IFERROR(IF(INDEX(SK_D,MATCH(O463,SK_A,0))="",B463,INDEX(SK_D,MATCH(O463,SK_A,0))),B463)+Q463),B463+Q463))</f>
        <v/>
      </c>
      <c r="J463" s="14" t="n"/>
      <c r="K463" s="13" t="n"/>
      <c r="L463" s="12" t="n"/>
      <c r="M463" s="48">
        <f>IF(E463="","",IF(J463="Bỏ qua","—",IF(J463="Xong",IF(AND(ISNUMBER(K463),ISNUMBER(I463),K463&gt;I463),"Xong trễ","Xong"),MID(IF(G463=""," · CHƯA GIAO","")&amp;IF(NOT(ISNUMBER(I463)),"",IF(TODAY()&gt;I463," · QUÁ HẠN "&amp;(TODAY()-I463)&amp;" ngày",IF(I463-TODAY()&lt;=3," · Đến hạn "&amp;IF(I463=TODAY(),"hôm nay","trong "&amp;(I463-TODAY())&amp;" ngày"),"")))&amp;IF(J463="Chờ đối tác"," · Chờ đối tác"&amp;IF(ISNUMBER(N463)," "&amp;(TODAY()-INT(N463))&amp;" ngày",""),""),4,200))))</f>
        <v/>
      </c>
      <c r="N463" s="49" t="n"/>
      <c r="S463">
        <f>IF(AND(E463&lt;&gt;"",T463="Có",J463&lt;&gt;"Xong",J463&lt;&gt;"Bỏ qua",ISNUMBER(I463)),I463+ROW()/100000,"")</f>
        <v/>
      </c>
      <c r="T463">
        <f>IF(O463="","",IFERROR(INDEX(SK_TD,MATCH(O463,SK_A,0)),""))</f>
        <v/>
      </c>
      <c r="V463">
        <f>IF(AND(O463&lt;&gt;"",O463=SEL_K,J463&lt;&gt;"Xong",J463&lt;&gt;"Bỏ qua"),IF(ISNUMBER(I463),I463,99999)+ROW()/100000,"")</f>
        <v/>
      </c>
    </row>
    <row r="464">
      <c r="A464" s="12">
        <f>IF(O464="","",IFERROR(INDEX(SK_B,MATCH(O464,SK_A,0))&amp;"",""))</f>
        <v/>
      </c>
      <c r="B464" s="45">
        <f>IF(O464="","",IFERROR(INDEX(SK_C,MATCH(O464,SK_A,0)),""))</f>
        <v/>
      </c>
      <c r="C464" s="46">
        <f>IF(Q464="","",IF(Q464=0,"D",IF(Q464&lt;0,"D"&amp;Q464,"D+"&amp;Q464)))</f>
        <v/>
      </c>
      <c r="D464" s="14" t="n"/>
      <c r="E464" s="12" t="n"/>
      <c r="F464" s="46" t="n"/>
      <c r="G464" s="47" t="n"/>
      <c r="H464" s="14" t="n"/>
      <c r="I464" s="13">
        <f>IF(OR(B464="",Q464=""),"",IF(Q464&gt;0,IF(R464="Làm việc",WORKDAY(IFERROR(IF(INDEX(SK_D,MATCH(O464,SK_A,0))="",B464,INDEX(SK_D,MATCH(O464,SK_A,0))),B464),Q464,HOLI),IFERROR(IF(INDEX(SK_D,MATCH(O464,SK_A,0))="",B464,INDEX(SK_D,MATCH(O464,SK_A,0))),B464)+Q464),B464+Q464))</f>
        <v/>
      </c>
      <c r="J464" s="14" t="n"/>
      <c r="K464" s="13" t="n"/>
      <c r="L464" s="12" t="n"/>
      <c r="M464" s="48">
        <f>IF(E464="","",IF(J464="Bỏ qua","—",IF(J464="Xong",IF(AND(ISNUMBER(K464),ISNUMBER(I464),K464&gt;I464),"Xong trễ","Xong"),MID(IF(G464=""," · CHƯA GIAO","")&amp;IF(NOT(ISNUMBER(I464)),"",IF(TODAY()&gt;I464," · QUÁ HẠN "&amp;(TODAY()-I464)&amp;" ngày",IF(I464-TODAY()&lt;=3," · Đến hạn "&amp;IF(I464=TODAY(),"hôm nay","trong "&amp;(I464-TODAY())&amp;" ngày"),"")))&amp;IF(J464="Chờ đối tác"," · Chờ đối tác"&amp;IF(ISNUMBER(N464)," "&amp;(TODAY()-INT(N464))&amp;" ngày",""),""),4,200))))</f>
        <v/>
      </c>
      <c r="N464" s="49" t="n"/>
      <c r="S464">
        <f>IF(AND(E464&lt;&gt;"",T464="Có",J464&lt;&gt;"Xong",J464&lt;&gt;"Bỏ qua",ISNUMBER(I464)),I464+ROW()/100000,"")</f>
        <v/>
      </c>
      <c r="T464">
        <f>IF(O464="","",IFERROR(INDEX(SK_TD,MATCH(O464,SK_A,0)),""))</f>
        <v/>
      </c>
      <c r="V464">
        <f>IF(AND(O464&lt;&gt;"",O464=SEL_K,J464&lt;&gt;"Xong",J464&lt;&gt;"Bỏ qua"),IF(ISNUMBER(I464),I464,99999)+ROW()/100000,"")</f>
        <v/>
      </c>
    </row>
    <row r="465">
      <c r="A465" s="12">
        <f>IF(O465="","",IFERROR(INDEX(SK_B,MATCH(O465,SK_A,0))&amp;"",""))</f>
        <v/>
      </c>
      <c r="B465" s="45">
        <f>IF(O465="","",IFERROR(INDEX(SK_C,MATCH(O465,SK_A,0)),""))</f>
        <v/>
      </c>
      <c r="C465" s="46">
        <f>IF(Q465="","",IF(Q465=0,"D",IF(Q465&lt;0,"D"&amp;Q465,"D+"&amp;Q465)))</f>
        <v/>
      </c>
      <c r="D465" s="14" t="n"/>
      <c r="E465" s="12" t="n"/>
      <c r="F465" s="46" t="n"/>
      <c r="G465" s="47" t="n"/>
      <c r="H465" s="14" t="n"/>
      <c r="I465" s="13">
        <f>IF(OR(B465="",Q465=""),"",IF(Q465&gt;0,IF(R465="Làm việc",WORKDAY(IFERROR(IF(INDEX(SK_D,MATCH(O465,SK_A,0))="",B465,INDEX(SK_D,MATCH(O465,SK_A,0))),B465),Q465,HOLI),IFERROR(IF(INDEX(SK_D,MATCH(O465,SK_A,0))="",B465,INDEX(SK_D,MATCH(O465,SK_A,0))),B465)+Q465),B465+Q465))</f>
        <v/>
      </c>
      <c r="J465" s="14" t="n"/>
      <c r="K465" s="13" t="n"/>
      <c r="L465" s="12" t="n"/>
      <c r="M465" s="48">
        <f>IF(E465="","",IF(J465="Bỏ qua","—",IF(J465="Xong",IF(AND(ISNUMBER(K465),ISNUMBER(I465),K465&gt;I465),"Xong trễ","Xong"),MID(IF(G465=""," · CHƯA GIAO","")&amp;IF(NOT(ISNUMBER(I465)),"",IF(TODAY()&gt;I465," · QUÁ HẠN "&amp;(TODAY()-I465)&amp;" ngày",IF(I465-TODAY()&lt;=3," · Đến hạn "&amp;IF(I465=TODAY(),"hôm nay","trong "&amp;(I465-TODAY())&amp;" ngày"),"")))&amp;IF(J465="Chờ đối tác"," · Chờ đối tác"&amp;IF(ISNUMBER(N465)," "&amp;(TODAY()-INT(N465))&amp;" ngày",""),""),4,200))))</f>
        <v/>
      </c>
      <c r="N465" s="49" t="n"/>
      <c r="S465">
        <f>IF(AND(E465&lt;&gt;"",T465="Có",J465&lt;&gt;"Xong",J465&lt;&gt;"Bỏ qua",ISNUMBER(I465)),I465+ROW()/100000,"")</f>
        <v/>
      </c>
      <c r="T465">
        <f>IF(O465="","",IFERROR(INDEX(SK_TD,MATCH(O465,SK_A,0)),""))</f>
        <v/>
      </c>
      <c r="V465">
        <f>IF(AND(O465&lt;&gt;"",O465=SEL_K,J465&lt;&gt;"Xong",J465&lt;&gt;"Bỏ qua"),IF(ISNUMBER(I465),I465,99999)+ROW()/100000,"")</f>
        <v/>
      </c>
    </row>
    <row r="466">
      <c r="A466" s="12">
        <f>IF(O466="","",IFERROR(INDEX(SK_B,MATCH(O466,SK_A,0))&amp;"",""))</f>
        <v/>
      </c>
      <c r="B466" s="45">
        <f>IF(O466="","",IFERROR(INDEX(SK_C,MATCH(O466,SK_A,0)),""))</f>
        <v/>
      </c>
      <c r="C466" s="46">
        <f>IF(Q466="","",IF(Q466=0,"D",IF(Q466&lt;0,"D"&amp;Q466,"D+"&amp;Q466)))</f>
        <v/>
      </c>
      <c r="D466" s="14" t="n"/>
      <c r="E466" s="12" t="n"/>
      <c r="F466" s="46" t="n"/>
      <c r="G466" s="47" t="n"/>
      <c r="H466" s="14" t="n"/>
      <c r="I466" s="13">
        <f>IF(OR(B466="",Q466=""),"",IF(Q466&gt;0,IF(R466="Làm việc",WORKDAY(IFERROR(IF(INDEX(SK_D,MATCH(O466,SK_A,0))="",B466,INDEX(SK_D,MATCH(O466,SK_A,0))),B466),Q466,HOLI),IFERROR(IF(INDEX(SK_D,MATCH(O466,SK_A,0))="",B466,INDEX(SK_D,MATCH(O466,SK_A,0))),B466)+Q466),B466+Q466))</f>
        <v/>
      </c>
      <c r="J466" s="14" t="n"/>
      <c r="K466" s="13" t="n"/>
      <c r="L466" s="12" t="n"/>
      <c r="M466" s="48">
        <f>IF(E466="","",IF(J466="Bỏ qua","—",IF(J466="Xong",IF(AND(ISNUMBER(K466),ISNUMBER(I466),K466&gt;I466),"Xong trễ","Xong"),MID(IF(G466=""," · CHƯA GIAO","")&amp;IF(NOT(ISNUMBER(I466)),"",IF(TODAY()&gt;I466," · QUÁ HẠN "&amp;(TODAY()-I466)&amp;" ngày",IF(I466-TODAY()&lt;=3," · Đến hạn "&amp;IF(I466=TODAY(),"hôm nay","trong "&amp;(I466-TODAY())&amp;" ngày"),"")))&amp;IF(J466="Chờ đối tác"," · Chờ đối tác"&amp;IF(ISNUMBER(N466)," "&amp;(TODAY()-INT(N466))&amp;" ngày",""),""),4,200))))</f>
        <v/>
      </c>
      <c r="N466" s="49" t="n"/>
      <c r="S466">
        <f>IF(AND(E466&lt;&gt;"",T466="Có",J466&lt;&gt;"Xong",J466&lt;&gt;"Bỏ qua",ISNUMBER(I466)),I466+ROW()/100000,"")</f>
        <v/>
      </c>
      <c r="T466">
        <f>IF(O466="","",IFERROR(INDEX(SK_TD,MATCH(O466,SK_A,0)),""))</f>
        <v/>
      </c>
      <c r="V466">
        <f>IF(AND(O466&lt;&gt;"",O466=SEL_K,J466&lt;&gt;"Xong",J466&lt;&gt;"Bỏ qua"),IF(ISNUMBER(I466),I466,99999)+ROW()/100000,"")</f>
        <v/>
      </c>
    </row>
    <row r="467">
      <c r="A467" s="12">
        <f>IF(O467="","",IFERROR(INDEX(SK_B,MATCH(O467,SK_A,0))&amp;"",""))</f>
        <v/>
      </c>
      <c r="B467" s="45">
        <f>IF(O467="","",IFERROR(INDEX(SK_C,MATCH(O467,SK_A,0)),""))</f>
        <v/>
      </c>
      <c r="C467" s="46">
        <f>IF(Q467="","",IF(Q467=0,"D",IF(Q467&lt;0,"D"&amp;Q467,"D+"&amp;Q467)))</f>
        <v/>
      </c>
      <c r="D467" s="14" t="n"/>
      <c r="E467" s="12" t="n"/>
      <c r="F467" s="46" t="n"/>
      <c r="G467" s="47" t="n"/>
      <c r="H467" s="14" t="n"/>
      <c r="I467" s="13">
        <f>IF(OR(B467="",Q467=""),"",IF(Q467&gt;0,IF(R467="Làm việc",WORKDAY(IFERROR(IF(INDEX(SK_D,MATCH(O467,SK_A,0))="",B467,INDEX(SK_D,MATCH(O467,SK_A,0))),B467),Q467,HOLI),IFERROR(IF(INDEX(SK_D,MATCH(O467,SK_A,0))="",B467,INDEX(SK_D,MATCH(O467,SK_A,0))),B467)+Q467),B467+Q467))</f>
        <v/>
      </c>
      <c r="J467" s="14" t="n"/>
      <c r="K467" s="13" t="n"/>
      <c r="L467" s="12" t="n"/>
      <c r="M467" s="48">
        <f>IF(E467="","",IF(J467="Bỏ qua","—",IF(J467="Xong",IF(AND(ISNUMBER(K467),ISNUMBER(I467),K467&gt;I467),"Xong trễ","Xong"),MID(IF(G467=""," · CHƯA GIAO","")&amp;IF(NOT(ISNUMBER(I467)),"",IF(TODAY()&gt;I467," · QUÁ HẠN "&amp;(TODAY()-I467)&amp;" ngày",IF(I467-TODAY()&lt;=3," · Đến hạn "&amp;IF(I467=TODAY(),"hôm nay","trong "&amp;(I467-TODAY())&amp;" ngày"),"")))&amp;IF(J467="Chờ đối tác"," · Chờ đối tác"&amp;IF(ISNUMBER(N467)," "&amp;(TODAY()-INT(N467))&amp;" ngày",""),""),4,200))))</f>
        <v/>
      </c>
      <c r="N467" s="49" t="n"/>
      <c r="S467">
        <f>IF(AND(E467&lt;&gt;"",T467="Có",J467&lt;&gt;"Xong",J467&lt;&gt;"Bỏ qua",ISNUMBER(I467)),I467+ROW()/100000,"")</f>
        <v/>
      </c>
      <c r="T467">
        <f>IF(O467="","",IFERROR(INDEX(SK_TD,MATCH(O467,SK_A,0)),""))</f>
        <v/>
      </c>
      <c r="V467">
        <f>IF(AND(O467&lt;&gt;"",O467=SEL_K,J467&lt;&gt;"Xong",J467&lt;&gt;"Bỏ qua"),IF(ISNUMBER(I467),I467,99999)+ROW()/100000,"")</f>
        <v/>
      </c>
    </row>
    <row r="468">
      <c r="A468" s="12">
        <f>IF(O468="","",IFERROR(INDEX(SK_B,MATCH(O468,SK_A,0))&amp;"",""))</f>
        <v/>
      </c>
      <c r="B468" s="45">
        <f>IF(O468="","",IFERROR(INDEX(SK_C,MATCH(O468,SK_A,0)),""))</f>
        <v/>
      </c>
      <c r="C468" s="46">
        <f>IF(Q468="","",IF(Q468=0,"D",IF(Q468&lt;0,"D"&amp;Q468,"D+"&amp;Q468)))</f>
        <v/>
      </c>
      <c r="D468" s="14" t="n"/>
      <c r="E468" s="12" t="n"/>
      <c r="F468" s="46" t="n"/>
      <c r="G468" s="47" t="n"/>
      <c r="H468" s="14" t="n"/>
      <c r="I468" s="13">
        <f>IF(OR(B468="",Q468=""),"",IF(Q468&gt;0,IF(R468="Làm việc",WORKDAY(IFERROR(IF(INDEX(SK_D,MATCH(O468,SK_A,0))="",B468,INDEX(SK_D,MATCH(O468,SK_A,0))),B468),Q468,HOLI),IFERROR(IF(INDEX(SK_D,MATCH(O468,SK_A,0))="",B468,INDEX(SK_D,MATCH(O468,SK_A,0))),B468)+Q468),B468+Q468))</f>
        <v/>
      </c>
      <c r="J468" s="14" t="n"/>
      <c r="K468" s="13" t="n"/>
      <c r="L468" s="12" t="n"/>
      <c r="M468" s="48">
        <f>IF(E468="","",IF(J468="Bỏ qua","—",IF(J468="Xong",IF(AND(ISNUMBER(K468),ISNUMBER(I468),K468&gt;I468),"Xong trễ","Xong"),MID(IF(G468=""," · CHƯA GIAO","")&amp;IF(NOT(ISNUMBER(I468)),"",IF(TODAY()&gt;I468," · QUÁ HẠN "&amp;(TODAY()-I468)&amp;" ngày",IF(I468-TODAY()&lt;=3," · Đến hạn "&amp;IF(I468=TODAY(),"hôm nay","trong "&amp;(I468-TODAY())&amp;" ngày"),"")))&amp;IF(J468="Chờ đối tác"," · Chờ đối tác"&amp;IF(ISNUMBER(N468)," "&amp;(TODAY()-INT(N468))&amp;" ngày",""),""),4,200))))</f>
        <v/>
      </c>
      <c r="N468" s="49" t="n"/>
      <c r="S468">
        <f>IF(AND(E468&lt;&gt;"",T468="Có",J468&lt;&gt;"Xong",J468&lt;&gt;"Bỏ qua",ISNUMBER(I468)),I468+ROW()/100000,"")</f>
        <v/>
      </c>
      <c r="T468">
        <f>IF(O468="","",IFERROR(INDEX(SK_TD,MATCH(O468,SK_A,0)),""))</f>
        <v/>
      </c>
      <c r="V468">
        <f>IF(AND(O468&lt;&gt;"",O468=SEL_K,J468&lt;&gt;"Xong",J468&lt;&gt;"Bỏ qua"),IF(ISNUMBER(I468),I468,99999)+ROW()/100000,"")</f>
        <v/>
      </c>
    </row>
    <row r="469">
      <c r="A469" s="12">
        <f>IF(O469="","",IFERROR(INDEX(SK_B,MATCH(O469,SK_A,0))&amp;"",""))</f>
        <v/>
      </c>
      <c r="B469" s="45">
        <f>IF(O469="","",IFERROR(INDEX(SK_C,MATCH(O469,SK_A,0)),""))</f>
        <v/>
      </c>
      <c r="C469" s="46">
        <f>IF(Q469="","",IF(Q469=0,"D",IF(Q469&lt;0,"D"&amp;Q469,"D+"&amp;Q469)))</f>
        <v/>
      </c>
      <c r="D469" s="14" t="n"/>
      <c r="E469" s="12" t="n"/>
      <c r="F469" s="46" t="n"/>
      <c r="G469" s="47" t="n"/>
      <c r="H469" s="14" t="n"/>
      <c r="I469" s="13">
        <f>IF(OR(B469="",Q469=""),"",IF(Q469&gt;0,IF(R469="Làm việc",WORKDAY(IFERROR(IF(INDEX(SK_D,MATCH(O469,SK_A,0))="",B469,INDEX(SK_D,MATCH(O469,SK_A,0))),B469),Q469,HOLI),IFERROR(IF(INDEX(SK_D,MATCH(O469,SK_A,0))="",B469,INDEX(SK_D,MATCH(O469,SK_A,0))),B469)+Q469),B469+Q469))</f>
        <v/>
      </c>
      <c r="J469" s="14" t="n"/>
      <c r="K469" s="13" t="n"/>
      <c r="L469" s="12" t="n"/>
      <c r="M469" s="48">
        <f>IF(E469="","",IF(J469="Bỏ qua","—",IF(J469="Xong",IF(AND(ISNUMBER(K469),ISNUMBER(I469),K469&gt;I469),"Xong trễ","Xong"),MID(IF(G469=""," · CHƯA GIAO","")&amp;IF(NOT(ISNUMBER(I469)),"",IF(TODAY()&gt;I469," · QUÁ HẠN "&amp;(TODAY()-I469)&amp;" ngày",IF(I469-TODAY()&lt;=3," · Đến hạn "&amp;IF(I469=TODAY(),"hôm nay","trong "&amp;(I469-TODAY())&amp;" ngày"),"")))&amp;IF(J469="Chờ đối tác"," · Chờ đối tác"&amp;IF(ISNUMBER(N469)," "&amp;(TODAY()-INT(N469))&amp;" ngày",""),""),4,200))))</f>
        <v/>
      </c>
      <c r="N469" s="49" t="n"/>
      <c r="S469">
        <f>IF(AND(E469&lt;&gt;"",T469="Có",J469&lt;&gt;"Xong",J469&lt;&gt;"Bỏ qua",ISNUMBER(I469)),I469+ROW()/100000,"")</f>
        <v/>
      </c>
      <c r="T469">
        <f>IF(O469="","",IFERROR(INDEX(SK_TD,MATCH(O469,SK_A,0)),""))</f>
        <v/>
      </c>
      <c r="V469">
        <f>IF(AND(O469&lt;&gt;"",O469=SEL_K,J469&lt;&gt;"Xong",J469&lt;&gt;"Bỏ qua"),IF(ISNUMBER(I469),I469,99999)+ROW()/100000,"")</f>
        <v/>
      </c>
    </row>
    <row r="470">
      <c r="A470" s="12">
        <f>IF(O470="","",IFERROR(INDEX(SK_B,MATCH(O470,SK_A,0))&amp;"",""))</f>
        <v/>
      </c>
      <c r="B470" s="45">
        <f>IF(O470="","",IFERROR(INDEX(SK_C,MATCH(O470,SK_A,0)),""))</f>
        <v/>
      </c>
      <c r="C470" s="46">
        <f>IF(Q470="","",IF(Q470=0,"D",IF(Q470&lt;0,"D"&amp;Q470,"D+"&amp;Q470)))</f>
        <v/>
      </c>
      <c r="D470" s="14" t="n"/>
      <c r="E470" s="12" t="n"/>
      <c r="F470" s="46" t="n"/>
      <c r="G470" s="47" t="n"/>
      <c r="H470" s="14" t="n"/>
      <c r="I470" s="13">
        <f>IF(OR(B470="",Q470=""),"",IF(Q470&gt;0,IF(R470="Làm việc",WORKDAY(IFERROR(IF(INDEX(SK_D,MATCH(O470,SK_A,0))="",B470,INDEX(SK_D,MATCH(O470,SK_A,0))),B470),Q470,HOLI),IFERROR(IF(INDEX(SK_D,MATCH(O470,SK_A,0))="",B470,INDEX(SK_D,MATCH(O470,SK_A,0))),B470)+Q470),B470+Q470))</f>
        <v/>
      </c>
      <c r="J470" s="14" t="n"/>
      <c r="K470" s="13" t="n"/>
      <c r="L470" s="12" t="n"/>
      <c r="M470" s="48">
        <f>IF(E470="","",IF(J470="Bỏ qua","—",IF(J470="Xong",IF(AND(ISNUMBER(K470),ISNUMBER(I470),K470&gt;I470),"Xong trễ","Xong"),MID(IF(G470=""," · CHƯA GIAO","")&amp;IF(NOT(ISNUMBER(I470)),"",IF(TODAY()&gt;I470," · QUÁ HẠN "&amp;(TODAY()-I470)&amp;" ngày",IF(I470-TODAY()&lt;=3," · Đến hạn "&amp;IF(I470=TODAY(),"hôm nay","trong "&amp;(I470-TODAY())&amp;" ngày"),"")))&amp;IF(J470="Chờ đối tác"," · Chờ đối tác"&amp;IF(ISNUMBER(N470)," "&amp;(TODAY()-INT(N470))&amp;" ngày",""),""),4,200))))</f>
        <v/>
      </c>
      <c r="N470" s="49" t="n"/>
      <c r="S470">
        <f>IF(AND(E470&lt;&gt;"",T470="Có",J470&lt;&gt;"Xong",J470&lt;&gt;"Bỏ qua",ISNUMBER(I470)),I470+ROW()/100000,"")</f>
        <v/>
      </c>
      <c r="T470">
        <f>IF(O470="","",IFERROR(INDEX(SK_TD,MATCH(O470,SK_A,0)),""))</f>
        <v/>
      </c>
      <c r="V470">
        <f>IF(AND(O470&lt;&gt;"",O470=SEL_K,J470&lt;&gt;"Xong",J470&lt;&gt;"Bỏ qua"),IF(ISNUMBER(I470),I470,99999)+ROW()/100000,"")</f>
        <v/>
      </c>
    </row>
    <row r="471">
      <c r="A471" s="12">
        <f>IF(O471="","",IFERROR(INDEX(SK_B,MATCH(O471,SK_A,0))&amp;"",""))</f>
        <v/>
      </c>
      <c r="B471" s="45">
        <f>IF(O471="","",IFERROR(INDEX(SK_C,MATCH(O471,SK_A,0)),""))</f>
        <v/>
      </c>
      <c r="C471" s="46">
        <f>IF(Q471="","",IF(Q471=0,"D",IF(Q471&lt;0,"D"&amp;Q471,"D+"&amp;Q471)))</f>
        <v/>
      </c>
      <c r="D471" s="14" t="n"/>
      <c r="E471" s="12" t="n"/>
      <c r="F471" s="46" t="n"/>
      <c r="G471" s="47" t="n"/>
      <c r="H471" s="14" t="n"/>
      <c r="I471" s="13">
        <f>IF(OR(B471="",Q471=""),"",IF(Q471&gt;0,IF(R471="Làm việc",WORKDAY(IFERROR(IF(INDEX(SK_D,MATCH(O471,SK_A,0))="",B471,INDEX(SK_D,MATCH(O471,SK_A,0))),B471),Q471,HOLI),IFERROR(IF(INDEX(SK_D,MATCH(O471,SK_A,0))="",B471,INDEX(SK_D,MATCH(O471,SK_A,0))),B471)+Q471),B471+Q471))</f>
        <v/>
      </c>
      <c r="J471" s="14" t="n"/>
      <c r="K471" s="13" t="n"/>
      <c r="L471" s="12" t="n"/>
      <c r="M471" s="48">
        <f>IF(E471="","",IF(J471="Bỏ qua","—",IF(J471="Xong",IF(AND(ISNUMBER(K471),ISNUMBER(I471),K471&gt;I471),"Xong trễ","Xong"),MID(IF(G471=""," · CHƯA GIAO","")&amp;IF(NOT(ISNUMBER(I471)),"",IF(TODAY()&gt;I471," · QUÁ HẠN "&amp;(TODAY()-I471)&amp;" ngày",IF(I471-TODAY()&lt;=3," · Đến hạn "&amp;IF(I471=TODAY(),"hôm nay","trong "&amp;(I471-TODAY())&amp;" ngày"),"")))&amp;IF(J471="Chờ đối tác"," · Chờ đối tác"&amp;IF(ISNUMBER(N471)," "&amp;(TODAY()-INT(N471))&amp;" ngày",""),""),4,200))))</f>
        <v/>
      </c>
      <c r="N471" s="49" t="n"/>
      <c r="S471">
        <f>IF(AND(E471&lt;&gt;"",T471="Có",J471&lt;&gt;"Xong",J471&lt;&gt;"Bỏ qua",ISNUMBER(I471)),I471+ROW()/100000,"")</f>
        <v/>
      </c>
      <c r="T471">
        <f>IF(O471="","",IFERROR(INDEX(SK_TD,MATCH(O471,SK_A,0)),""))</f>
        <v/>
      </c>
      <c r="V471">
        <f>IF(AND(O471&lt;&gt;"",O471=SEL_K,J471&lt;&gt;"Xong",J471&lt;&gt;"Bỏ qua"),IF(ISNUMBER(I471),I471,99999)+ROW()/100000,"")</f>
        <v/>
      </c>
    </row>
    <row r="472">
      <c r="A472" s="12">
        <f>IF(O472="","",IFERROR(INDEX(SK_B,MATCH(O472,SK_A,0))&amp;"",""))</f>
        <v/>
      </c>
      <c r="B472" s="45">
        <f>IF(O472="","",IFERROR(INDEX(SK_C,MATCH(O472,SK_A,0)),""))</f>
        <v/>
      </c>
      <c r="C472" s="46">
        <f>IF(Q472="","",IF(Q472=0,"D",IF(Q472&lt;0,"D"&amp;Q472,"D+"&amp;Q472)))</f>
        <v/>
      </c>
      <c r="D472" s="14" t="n"/>
      <c r="E472" s="12" t="n"/>
      <c r="F472" s="46" t="n"/>
      <c r="G472" s="47" t="n"/>
      <c r="H472" s="14" t="n"/>
      <c r="I472" s="13">
        <f>IF(OR(B472="",Q472=""),"",IF(Q472&gt;0,IF(R472="Làm việc",WORKDAY(IFERROR(IF(INDEX(SK_D,MATCH(O472,SK_A,0))="",B472,INDEX(SK_D,MATCH(O472,SK_A,0))),B472),Q472,HOLI),IFERROR(IF(INDEX(SK_D,MATCH(O472,SK_A,0))="",B472,INDEX(SK_D,MATCH(O472,SK_A,0))),B472)+Q472),B472+Q472))</f>
        <v/>
      </c>
      <c r="J472" s="14" t="n"/>
      <c r="K472" s="13" t="n"/>
      <c r="L472" s="12" t="n"/>
      <c r="M472" s="48">
        <f>IF(E472="","",IF(J472="Bỏ qua","—",IF(J472="Xong",IF(AND(ISNUMBER(K472),ISNUMBER(I472),K472&gt;I472),"Xong trễ","Xong"),MID(IF(G472=""," · CHƯA GIAO","")&amp;IF(NOT(ISNUMBER(I472)),"",IF(TODAY()&gt;I472," · QUÁ HẠN "&amp;(TODAY()-I472)&amp;" ngày",IF(I472-TODAY()&lt;=3," · Đến hạn "&amp;IF(I472=TODAY(),"hôm nay","trong "&amp;(I472-TODAY())&amp;" ngày"),"")))&amp;IF(J472="Chờ đối tác"," · Chờ đối tác"&amp;IF(ISNUMBER(N472)," "&amp;(TODAY()-INT(N472))&amp;" ngày",""),""),4,200))))</f>
        <v/>
      </c>
      <c r="N472" s="49" t="n"/>
      <c r="S472">
        <f>IF(AND(E472&lt;&gt;"",T472="Có",J472&lt;&gt;"Xong",J472&lt;&gt;"Bỏ qua",ISNUMBER(I472)),I472+ROW()/100000,"")</f>
        <v/>
      </c>
      <c r="T472">
        <f>IF(O472="","",IFERROR(INDEX(SK_TD,MATCH(O472,SK_A,0)),""))</f>
        <v/>
      </c>
      <c r="V472">
        <f>IF(AND(O472&lt;&gt;"",O472=SEL_K,J472&lt;&gt;"Xong",J472&lt;&gt;"Bỏ qua"),IF(ISNUMBER(I472),I472,99999)+ROW()/100000,"")</f>
        <v/>
      </c>
    </row>
    <row r="473">
      <c r="A473" s="12">
        <f>IF(O473="","",IFERROR(INDEX(SK_B,MATCH(O473,SK_A,0))&amp;"",""))</f>
        <v/>
      </c>
      <c r="B473" s="45">
        <f>IF(O473="","",IFERROR(INDEX(SK_C,MATCH(O473,SK_A,0)),""))</f>
        <v/>
      </c>
      <c r="C473" s="46">
        <f>IF(Q473="","",IF(Q473=0,"D",IF(Q473&lt;0,"D"&amp;Q473,"D+"&amp;Q473)))</f>
        <v/>
      </c>
      <c r="D473" s="14" t="n"/>
      <c r="E473" s="12" t="n"/>
      <c r="F473" s="46" t="n"/>
      <c r="G473" s="47" t="n"/>
      <c r="H473" s="14" t="n"/>
      <c r="I473" s="13">
        <f>IF(OR(B473="",Q473=""),"",IF(Q473&gt;0,IF(R473="Làm việc",WORKDAY(IFERROR(IF(INDEX(SK_D,MATCH(O473,SK_A,0))="",B473,INDEX(SK_D,MATCH(O473,SK_A,0))),B473),Q473,HOLI),IFERROR(IF(INDEX(SK_D,MATCH(O473,SK_A,0))="",B473,INDEX(SK_D,MATCH(O473,SK_A,0))),B473)+Q473),B473+Q473))</f>
        <v/>
      </c>
      <c r="J473" s="14" t="n"/>
      <c r="K473" s="13" t="n"/>
      <c r="L473" s="12" t="n"/>
      <c r="M473" s="48">
        <f>IF(E473="","",IF(J473="Bỏ qua","—",IF(J473="Xong",IF(AND(ISNUMBER(K473),ISNUMBER(I473),K473&gt;I473),"Xong trễ","Xong"),MID(IF(G473=""," · CHƯA GIAO","")&amp;IF(NOT(ISNUMBER(I473)),"",IF(TODAY()&gt;I473," · QUÁ HẠN "&amp;(TODAY()-I473)&amp;" ngày",IF(I473-TODAY()&lt;=3," · Đến hạn "&amp;IF(I473=TODAY(),"hôm nay","trong "&amp;(I473-TODAY())&amp;" ngày"),"")))&amp;IF(J473="Chờ đối tác"," · Chờ đối tác"&amp;IF(ISNUMBER(N473)," "&amp;(TODAY()-INT(N473))&amp;" ngày",""),""),4,200))))</f>
        <v/>
      </c>
      <c r="N473" s="49" t="n"/>
      <c r="S473">
        <f>IF(AND(E473&lt;&gt;"",T473="Có",J473&lt;&gt;"Xong",J473&lt;&gt;"Bỏ qua",ISNUMBER(I473)),I473+ROW()/100000,"")</f>
        <v/>
      </c>
      <c r="T473">
        <f>IF(O473="","",IFERROR(INDEX(SK_TD,MATCH(O473,SK_A,0)),""))</f>
        <v/>
      </c>
      <c r="V473">
        <f>IF(AND(O473&lt;&gt;"",O473=SEL_K,J473&lt;&gt;"Xong",J473&lt;&gt;"Bỏ qua"),IF(ISNUMBER(I473),I473,99999)+ROW()/100000,"")</f>
        <v/>
      </c>
    </row>
    <row r="474">
      <c r="A474" s="12">
        <f>IF(O474="","",IFERROR(INDEX(SK_B,MATCH(O474,SK_A,0))&amp;"",""))</f>
        <v/>
      </c>
      <c r="B474" s="45">
        <f>IF(O474="","",IFERROR(INDEX(SK_C,MATCH(O474,SK_A,0)),""))</f>
        <v/>
      </c>
      <c r="C474" s="46">
        <f>IF(Q474="","",IF(Q474=0,"D",IF(Q474&lt;0,"D"&amp;Q474,"D+"&amp;Q474)))</f>
        <v/>
      </c>
      <c r="D474" s="14" t="n"/>
      <c r="E474" s="12" t="n"/>
      <c r="F474" s="46" t="n"/>
      <c r="G474" s="47" t="n"/>
      <c r="H474" s="14" t="n"/>
      <c r="I474" s="13">
        <f>IF(OR(B474="",Q474=""),"",IF(Q474&gt;0,IF(R474="Làm việc",WORKDAY(IFERROR(IF(INDEX(SK_D,MATCH(O474,SK_A,0))="",B474,INDEX(SK_D,MATCH(O474,SK_A,0))),B474),Q474,HOLI),IFERROR(IF(INDEX(SK_D,MATCH(O474,SK_A,0))="",B474,INDEX(SK_D,MATCH(O474,SK_A,0))),B474)+Q474),B474+Q474))</f>
        <v/>
      </c>
      <c r="J474" s="14" t="n"/>
      <c r="K474" s="13" t="n"/>
      <c r="L474" s="12" t="n"/>
      <c r="M474" s="48">
        <f>IF(E474="","",IF(J474="Bỏ qua","—",IF(J474="Xong",IF(AND(ISNUMBER(K474),ISNUMBER(I474),K474&gt;I474),"Xong trễ","Xong"),MID(IF(G474=""," · CHƯA GIAO","")&amp;IF(NOT(ISNUMBER(I474)),"",IF(TODAY()&gt;I474," · QUÁ HẠN "&amp;(TODAY()-I474)&amp;" ngày",IF(I474-TODAY()&lt;=3," · Đến hạn "&amp;IF(I474=TODAY(),"hôm nay","trong "&amp;(I474-TODAY())&amp;" ngày"),"")))&amp;IF(J474="Chờ đối tác"," · Chờ đối tác"&amp;IF(ISNUMBER(N474)," "&amp;(TODAY()-INT(N474))&amp;" ngày",""),""),4,200))))</f>
        <v/>
      </c>
      <c r="N474" s="49" t="n"/>
      <c r="S474">
        <f>IF(AND(E474&lt;&gt;"",T474="Có",J474&lt;&gt;"Xong",J474&lt;&gt;"Bỏ qua",ISNUMBER(I474)),I474+ROW()/100000,"")</f>
        <v/>
      </c>
      <c r="T474">
        <f>IF(O474="","",IFERROR(INDEX(SK_TD,MATCH(O474,SK_A,0)),""))</f>
        <v/>
      </c>
      <c r="V474">
        <f>IF(AND(O474&lt;&gt;"",O474=SEL_K,J474&lt;&gt;"Xong",J474&lt;&gt;"Bỏ qua"),IF(ISNUMBER(I474),I474,99999)+ROW()/100000,"")</f>
        <v/>
      </c>
    </row>
    <row r="475">
      <c r="A475" s="12">
        <f>IF(O475="","",IFERROR(INDEX(SK_B,MATCH(O475,SK_A,0))&amp;"",""))</f>
        <v/>
      </c>
      <c r="B475" s="45">
        <f>IF(O475="","",IFERROR(INDEX(SK_C,MATCH(O475,SK_A,0)),""))</f>
        <v/>
      </c>
      <c r="C475" s="46">
        <f>IF(Q475="","",IF(Q475=0,"D",IF(Q475&lt;0,"D"&amp;Q475,"D+"&amp;Q475)))</f>
        <v/>
      </c>
      <c r="D475" s="14" t="n"/>
      <c r="E475" s="12" t="n"/>
      <c r="F475" s="46" t="n"/>
      <c r="G475" s="47" t="n"/>
      <c r="H475" s="14" t="n"/>
      <c r="I475" s="13">
        <f>IF(OR(B475="",Q475=""),"",IF(Q475&gt;0,IF(R475="Làm việc",WORKDAY(IFERROR(IF(INDEX(SK_D,MATCH(O475,SK_A,0))="",B475,INDEX(SK_D,MATCH(O475,SK_A,0))),B475),Q475,HOLI),IFERROR(IF(INDEX(SK_D,MATCH(O475,SK_A,0))="",B475,INDEX(SK_D,MATCH(O475,SK_A,0))),B475)+Q475),B475+Q475))</f>
        <v/>
      </c>
      <c r="J475" s="14" t="n"/>
      <c r="K475" s="13" t="n"/>
      <c r="L475" s="12" t="n"/>
      <c r="M475" s="48">
        <f>IF(E475="","",IF(J475="Bỏ qua","—",IF(J475="Xong",IF(AND(ISNUMBER(K475),ISNUMBER(I475),K475&gt;I475),"Xong trễ","Xong"),MID(IF(G475=""," · CHƯA GIAO","")&amp;IF(NOT(ISNUMBER(I475)),"",IF(TODAY()&gt;I475," · QUÁ HẠN "&amp;(TODAY()-I475)&amp;" ngày",IF(I475-TODAY()&lt;=3," · Đến hạn "&amp;IF(I475=TODAY(),"hôm nay","trong "&amp;(I475-TODAY())&amp;" ngày"),"")))&amp;IF(J475="Chờ đối tác"," · Chờ đối tác"&amp;IF(ISNUMBER(N475)," "&amp;(TODAY()-INT(N475))&amp;" ngày",""),""),4,200))))</f>
        <v/>
      </c>
      <c r="N475" s="49" t="n"/>
      <c r="S475">
        <f>IF(AND(E475&lt;&gt;"",T475="Có",J475&lt;&gt;"Xong",J475&lt;&gt;"Bỏ qua",ISNUMBER(I475)),I475+ROW()/100000,"")</f>
        <v/>
      </c>
      <c r="T475">
        <f>IF(O475="","",IFERROR(INDEX(SK_TD,MATCH(O475,SK_A,0)),""))</f>
        <v/>
      </c>
      <c r="V475">
        <f>IF(AND(O475&lt;&gt;"",O475=SEL_K,J475&lt;&gt;"Xong",J475&lt;&gt;"Bỏ qua"),IF(ISNUMBER(I475),I475,99999)+ROW()/100000,"")</f>
        <v/>
      </c>
    </row>
    <row r="476">
      <c r="A476" s="12">
        <f>IF(O476="","",IFERROR(INDEX(SK_B,MATCH(O476,SK_A,0))&amp;"",""))</f>
        <v/>
      </c>
      <c r="B476" s="45">
        <f>IF(O476="","",IFERROR(INDEX(SK_C,MATCH(O476,SK_A,0)),""))</f>
        <v/>
      </c>
      <c r="C476" s="46">
        <f>IF(Q476="","",IF(Q476=0,"D",IF(Q476&lt;0,"D"&amp;Q476,"D+"&amp;Q476)))</f>
        <v/>
      </c>
      <c r="D476" s="14" t="n"/>
      <c r="E476" s="12" t="n"/>
      <c r="F476" s="46" t="n"/>
      <c r="G476" s="47" t="n"/>
      <c r="H476" s="14" t="n"/>
      <c r="I476" s="13">
        <f>IF(OR(B476="",Q476=""),"",IF(Q476&gt;0,IF(R476="Làm việc",WORKDAY(IFERROR(IF(INDEX(SK_D,MATCH(O476,SK_A,0))="",B476,INDEX(SK_D,MATCH(O476,SK_A,0))),B476),Q476,HOLI),IFERROR(IF(INDEX(SK_D,MATCH(O476,SK_A,0))="",B476,INDEX(SK_D,MATCH(O476,SK_A,0))),B476)+Q476),B476+Q476))</f>
        <v/>
      </c>
      <c r="J476" s="14" t="n"/>
      <c r="K476" s="13" t="n"/>
      <c r="L476" s="12" t="n"/>
      <c r="M476" s="48">
        <f>IF(E476="","",IF(J476="Bỏ qua","—",IF(J476="Xong",IF(AND(ISNUMBER(K476),ISNUMBER(I476),K476&gt;I476),"Xong trễ","Xong"),MID(IF(G476=""," · CHƯA GIAO","")&amp;IF(NOT(ISNUMBER(I476)),"",IF(TODAY()&gt;I476," · QUÁ HẠN "&amp;(TODAY()-I476)&amp;" ngày",IF(I476-TODAY()&lt;=3," · Đến hạn "&amp;IF(I476=TODAY(),"hôm nay","trong "&amp;(I476-TODAY())&amp;" ngày"),"")))&amp;IF(J476="Chờ đối tác"," · Chờ đối tác"&amp;IF(ISNUMBER(N476)," "&amp;(TODAY()-INT(N476))&amp;" ngày",""),""),4,200))))</f>
        <v/>
      </c>
      <c r="N476" s="49" t="n"/>
      <c r="S476">
        <f>IF(AND(E476&lt;&gt;"",T476="Có",J476&lt;&gt;"Xong",J476&lt;&gt;"Bỏ qua",ISNUMBER(I476)),I476+ROW()/100000,"")</f>
        <v/>
      </c>
      <c r="T476">
        <f>IF(O476="","",IFERROR(INDEX(SK_TD,MATCH(O476,SK_A,0)),""))</f>
        <v/>
      </c>
      <c r="V476">
        <f>IF(AND(O476&lt;&gt;"",O476=SEL_K,J476&lt;&gt;"Xong",J476&lt;&gt;"Bỏ qua"),IF(ISNUMBER(I476),I476,99999)+ROW()/100000,"")</f>
        <v/>
      </c>
    </row>
    <row r="477">
      <c r="A477" s="12">
        <f>IF(O477="","",IFERROR(INDEX(SK_B,MATCH(O477,SK_A,0))&amp;"",""))</f>
        <v/>
      </c>
      <c r="B477" s="45">
        <f>IF(O477="","",IFERROR(INDEX(SK_C,MATCH(O477,SK_A,0)),""))</f>
        <v/>
      </c>
      <c r="C477" s="46">
        <f>IF(Q477="","",IF(Q477=0,"D",IF(Q477&lt;0,"D"&amp;Q477,"D+"&amp;Q477)))</f>
        <v/>
      </c>
      <c r="D477" s="14" t="n"/>
      <c r="E477" s="12" t="n"/>
      <c r="F477" s="46" t="n"/>
      <c r="G477" s="47" t="n"/>
      <c r="H477" s="14" t="n"/>
      <c r="I477" s="13">
        <f>IF(OR(B477="",Q477=""),"",IF(Q477&gt;0,IF(R477="Làm việc",WORKDAY(IFERROR(IF(INDEX(SK_D,MATCH(O477,SK_A,0))="",B477,INDEX(SK_D,MATCH(O477,SK_A,0))),B477),Q477,HOLI),IFERROR(IF(INDEX(SK_D,MATCH(O477,SK_A,0))="",B477,INDEX(SK_D,MATCH(O477,SK_A,0))),B477)+Q477),B477+Q477))</f>
        <v/>
      </c>
      <c r="J477" s="14" t="n"/>
      <c r="K477" s="13" t="n"/>
      <c r="L477" s="12" t="n"/>
      <c r="M477" s="48">
        <f>IF(E477="","",IF(J477="Bỏ qua","—",IF(J477="Xong",IF(AND(ISNUMBER(K477),ISNUMBER(I477),K477&gt;I477),"Xong trễ","Xong"),MID(IF(G477=""," · CHƯA GIAO","")&amp;IF(NOT(ISNUMBER(I477)),"",IF(TODAY()&gt;I477," · QUÁ HẠN "&amp;(TODAY()-I477)&amp;" ngày",IF(I477-TODAY()&lt;=3," · Đến hạn "&amp;IF(I477=TODAY(),"hôm nay","trong "&amp;(I477-TODAY())&amp;" ngày"),"")))&amp;IF(J477="Chờ đối tác"," · Chờ đối tác"&amp;IF(ISNUMBER(N477)," "&amp;(TODAY()-INT(N477))&amp;" ngày",""),""),4,200))))</f>
        <v/>
      </c>
      <c r="N477" s="49" t="n"/>
      <c r="S477">
        <f>IF(AND(E477&lt;&gt;"",T477="Có",J477&lt;&gt;"Xong",J477&lt;&gt;"Bỏ qua",ISNUMBER(I477)),I477+ROW()/100000,"")</f>
        <v/>
      </c>
      <c r="T477">
        <f>IF(O477="","",IFERROR(INDEX(SK_TD,MATCH(O477,SK_A,0)),""))</f>
        <v/>
      </c>
      <c r="V477">
        <f>IF(AND(O477&lt;&gt;"",O477=SEL_K,J477&lt;&gt;"Xong",J477&lt;&gt;"Bỏ qua"),IF(ISNUMBER(I477),I477,99999)+ROW()/100000,"")</f>
        <v/>
      </c>
    </row>
    <row r="478">
      <c r="A478" s="12">
        <f>IF(O478="","",IFERROR(INDEX(SK_B,MATCH(O478,SK_A,0))&amp;"",""))</f>
        <v/>
      </c>
      <c r="B478" s="45">
        <f>IF(O478="","",IFERROR(INDEX(SK_C,MATCH(O478,SK_A,0)),""))</f>
        <v/>
      </c>
      <c r="C478" s="46">
        <f>IF(Q478="","",IF(Q478=0,"D",IF(Q478&lt;0,"D"&amp;Q478,"D+"&amp;Q478)))</f>
        <v/>
      </c>
      <c r="D478" s="14" t="n"/>
      <c r="E478" s="12" t="n"/>
      <c r="F478" s="46" t="n"/>
      <c r="G478" s="47" t="n"/>
      <c r="H478" s="14" t="n"/>
      <c r="I478" s="13">
        <f>IF(OR(B478="",Q478=""),"",IF(Q478&gt;0,IF(R478="Làm việc",WORKDAY(IFERROR(IF(INDEX(SK_D,MATCH(O478,SK_A,0))="",B478,INDEX(SK_D,MATCH(O478,SK_A,0))),B478),Q478,HOLI),IFERROR(IF(INDEX(SK_D,MATCH(O478,SK_A,0))="",B478,INDEX(SK_D,MATCH(O478,SK_A,0))),B478)+Q478),B478+Q478))</f>
        <v/>
      </c>
      <c r="J478" s="14" t="n"/>
      <c r="K478" s="13" t="n"/>
      <c r="L478" s="12" t="n"/>
      <c r="M478" s="48">
        <f>IF(E478="","",IF(J478="Bỏ qua","—",IF(J478="Xong",IF(AND(ISNUMBER(K478),ISNUMBER(I478),K478&gt;I478),"Xong trễ","Xong"),MID(IF(G478=""," · CHƯA GIAO","")&amp;IF(NOT(ISNUMBER(I478)),"",IF(TODAY()&gt;I478," · QUÁ HẠN "&amp;(TODAY()-I478)&amp;" ngày",IF(I478-TODAY()&lt;=3," · Đến hạn "&amp;IF(I478=TODAY(),"hôm nay","trong "&amp;(I478-TODAY())&amp;" ngày"),"")))&amp;IF(J478="Chờ đối tác"," · Chờ đối tác"&amp;IF(ISNUMBER(N478)," "&amp;(TODAY()-INT(N478))&amp;" ngày",""),""),4,200))))</f>
        <v/>
      </c>
      <c r="N478" s="49" t="n"/>
      <c r="S478">
        <f>IF(AND(E478&lt;&gt;"",T478="Có",J478&lt;&gt;"Xong",J478&lt;&gt;"Bỏ qua",ISNUMBER(I478)),I478+ROW()/100000,"")</f>
        <v/>
      </c>
      <c r="T478">
        <f>IF(O478="","",IFERROR(INDEX(SK_TD,MATCH(O478,SK_A,0)),""))</f>
        <v/>
      </c>
      <c r="V478">
        <f>IF(AND(O478&lt;&gt;"",O478=SEL_K,J478&lt;&gt;"Xong",J478&lt;&gt;"Bỏ qua"),IF(ISNUMBER(I478),I478,99999)+ROW()/100000,"")</f>
        <v/>
      </c>
    </row>
    <row r="479">
      <c r="A479" s="12">
        <f>IF(O479="","",IFERROR(INDEX(SK_B,MATCH(O479,SK_A,0))&amp;"",""))</f>
        <v/>
      </c>
      <c r="B479" s="45">
        <f>IF(O479="","",IFERROR(INDEX(SK_C,MATCH(O479,SK_A,0)),""))</f>
        <v/>
      </c>
      <c r="C479" s="46">
        <f>IF(Q479="","",IF(Q479=0,"D",IF(Q479&lt;0,"D"&amp;Q479,"D+"&amp;Q479)))</f>
        <v/>
      </c>
      <c r="D479" s="14" t="n"/>
      <c r="E479" s="12" t="n"/>
      <c r="F479" s="46" t="n"/>
      <c r="G479" s="47" t="n"/>
      <c r="H479" s="14" t="n"/>
      <c r="I479" s="13">
        <f>IF(OR(B479="",Q479=""),"",IF(Q479&gt;0,IF(R479="Làm việc",WORKDAY(IFERROR(IF(INDEX(SK_D,MATCH(O479,SK_A,0))="",B479,INDEX(SK_D,MATCH(O479,SK_A,0))),B479),Q479,HOLI),IFERROR(IF(INDEX(SK_D,MATCH(O479,SK_A,0))="",B479,INDEX(SK_D,MATCH(O479,SK_A,0))),B479)+Q479),B479+Q479))</f>
        <v/>
      </c>
      <c r="J479" s="14" t="n"/>
      <c r="K479" s="13" t="n"/>
      <c r="L479" s="12" t="n"/>
      <c r="M479" s="48">
        <f>IF(E479="","",IF(J479="Bỏ qua","—",IF(J479="Xong",IF(AND(ISNUMBER(K479),ISNUMBER(I479),K479&gt;I479),"Xong trễ","Xong"),MID(IF(G479=""," · CHƯA GIAO","")&amp;IF(NOT(ISNUMBER(I479)),"",IF(TODAY()&gt;I479," · QUÁ HẠN "&amp;(TODAY()-I479)&amp;" ngày",IF(I479-TODAY()&lt;=3," · Đến hạn "&amp;IF(I479=TODAY(),"hôm nay","trong "&amp;(I479-TODAY())&amp;" ngày"),"")))&amp;IF(J479="Chờ đối tác"," · Chờ đối tác"&amp;IF(ISNUMBER(N479)," "&amp;(TODAY()-INT(N479))&amp;" ngày",""),""),4,200))))</f>
        <v/>
      </c>
      <c r="N479" s="49" t="n"/>
      <c r="S479">
        <f>IF(AND(E479&lt;&gt;"",T479="Có",J479&lt;&gt;"Xong",J479&lt;&gt;"Bỏ qua",ISNUMBER(I479)),I479+ROW()/100000,"")</f>
        <v/>
      </c>
      <c r="T479">
        <f>IF(O479="","",IFERROR(INDEX(SK_TD,MATCH(O479,SK_A,0)),""))</f>
        <v/>
      </c>
      <c r="V479">
        <f>IF(AND(O479&lt;&gt;"",O479=SEL_K,J479&lt;&gt;"Xong",J479&lt;&gt;"Bỏ qua"),IF(ISNUMBER(I479),I479,99999)+ROW()/100000,"")</f>
        <v/>
      </c>
    </row>
    <row r="480">
      <c r="A480" s="12">
        <f>IF(O480="","",IFERROR(INDEX(SK_B,MATCH(O480,SK_A,0))&amp;"",""))</f>
        <v/>
      </c>
      <c r="B480" s="45">
        <f>IF(O480="","",IFERROR(INDEX(SK_C,MATCH(O480,SK_A,0)),""))</f>
        <v/>
      </c>
      <c r="C480" s="46">
        <f>IF(Q480="","",IF(Q480=0,"D",IF(Q480&lt;0,"D"&amp;Q480,"D+"&amp;Q480)))</f>
        <v/>
      </c>
      <c r="D480" s="14" t="n"/>
      <c r="E480" s="12" t="n"/>
      <c r="F480" s="46" t="n"/>
      <c r="G480" s="47" t="n"/>
      <c r="H480" s="14" t="n"/>
      <c r="I480" s="13">
        <f>IF(OR(B480="",Q480=""),"",IF(Q480&gt;0,IF(R480="Làm việc",WORKDAY(IFERROR(IF(INDEX(SK_D,MATCH(O480,SK_A,0))="",B480,INDEX(SK_D,MATCH(O480,SK_A,0))),B480),Q480,HOLI),IFERROR(IF(INDEX(SK_D,MATCH(O480,SK_A,0))="",B480,INDEX(SK_D,MATCH(O480,SK_A,0))),B480)+Q480),B480+Q480))</f>
        <v/>
      </c>
      <c r="J480" s="14" t="n"/>
      <c r="K480" s="13" t="n"/>
      <c r="L480" s="12" t="n"/>
      <c r="M480" s="48">
        <f>IF(E480="","",IF(J480="Bỏ qua","—",IF(J480="Xong",IF(AND(ISNUMBER(K480),ISNUMBER(I480),K480&gt;I480),"Xong trễ","Xong"),MID(IF(G480=""," · CHƯA GIAO","")&amp;IF(NOT(ISNUMBER(I480)),"",IF(TODAY()&gt;I480," · QUÁ HẠN "&amp;(TODAY()-I480)&amp;" ngày",IF(I480-TODAY()&lt;=3," · Đến hạn "&amp;IF(I480=TODAY(),"hôm nay","trong "&amp;(I480-TODAY())&amp;" ngày"),"")))&amp;IF(J480="Chờ đối tác"," · Chờ đối tác"&amp;IF(ISNUMBER(N480)," "&amp;(TODAY()-INT(N480))&amp;" ngày",""),""),4,200))))</f>
        <v/>
      </c>
      <c r="N480" s="49" t="n"/>
      <c r="S480">
        <f>IF(AND(E480&lt;&gt;"",T480="Có",J480&lt;&gt;"Xong",J480&lt;&gt;"Bỏ qua",ISNUMBER(I480)),I480+ROW()/100000,"")</f>
        <v/>
      </c>
      <c r="T480">
        <f>IF(O480="","",IFERROR(INDEX(SK_TD,MATCH(O480,SK_A,0)),""))</f>
        <v/>
      </c>
      <c r="V480">
        <f>IF(AND(O480&lt;&gt;"",O480=SEL_K,J480&lt;&gt;"Xong",J480&lt;&gt;"Bỏ qua"),IF(ISNUMBER(I480),I480,99999)+ROW()/100000,"")</f>
        <v/>
      </c>
    </row>
    <row r="481">
      <c r="A481" s="12">
        <f>IF(O481="","",IFERROR(INDEX(SK_B,MATCH(O481,SK_A,0))&amp;"",""))</f>
        <v/>
      </c>
      <c r="B481" s="45">
        <f>IF(O481="","",IFERROR(INDEX(SK_C,MATCH(O481,SK_A,0)),""))</f>
        <v/>
      </c>
      <c r="C481" s="46">
        <f>IF(Q481="","",IF(Q481=0,"D",IF(Q481&lt;0,"D"&amp;Q481,"D+"&amp;Q481)))</f>
        <v/>
      </c>
      <c r="D481" s="14" t="n"/>
      <c r="E481" s="12" t="n"/>
      <c r="F481" s="46" t="n"/>
      <c r="G481" s="47" t="n"/>
      <c r="H481" s="14" t="n"/>
      <c r="I481" s="13">
        <f>IF(OR(B481="",Q481=""),"",IF(Q481&gt;0,IF(R481="Làm việc",WORKDAY(IFERROR(IF(INDEX(SK_D,MATCH(O481,SK_A,0))="",B481,INDEX(SK_D,MATCH(O481,SK_A,0))),B481),Q481,HOLI),IFERROR(IF(INDEX(SK_D,MATCH(O481,SK_A,0))="",B481,INDEX(SK_D,MATCH(O481,SK_A,0))),B481)+Q481),B481+Q481))</f>
        <v/>
      </c>
      <c r="J481" s="14" t="n"/>
      <c r="K481" s="13" t="n"/>
      <c r="L481" s="12" t="n"/>
      <c r="M481" s="48">
        <f>IF(E481="","",IF(J481="Bỏ qua","—",IF(J481="Xong",IF(AND(ISNUMBER(K481),ISNUMBER(I481),K481&gt;I481),"Xong trễ","Xong"),MID(IF(G481=""," · CHƯA GIAO","")&amp;IF(NOT(ISNUMBER(I481)),"",IF(TODAY()&gt;I481," · QUÁ HẠN "&amp;(TODAY()-I481)&amp;" ngày",IF(I481-TODAY()&lt;=3," · Đến hạn "&amp;IF(I481=TODAY(),"hôm nay","trong "&amp;(I481-TODAY())&amp;" ngày"),"")))&amp;IF(J481="Chờ đối tác"," · Chờ đối tác"&amp;IF(ISNUMBER(N481)," "&amp;(TODAY()-INT(N481))&amp;" ngày",""),""),4,200))))</f>
        <v/>
      </c>
      <c r="N481" s="49" t="n"/>
      <c r="S481">
        <f>IF(AND(E481&lt;&gt;"",T481="Có",J481&lt;&gt;"Xong",J481&lt;&gt;"Bỏ qua",ISNUMBER(I481)),I481+ROW()/100000,"")</f>
        <v/>
      </c>
      <c r="T481">
        <f>IF(O481="","",IFERROR(INDEX(SK_TD,MATCH(O481,SK_A,0)),""))</f>
        <v/>
      </c>
      <c r="V481">
        <f>IF(AND(O481&lt;&gt;"",O481=SEL_K,J481&lt;&gt;"Xong",J481&lt;&gt;"Bỏ qua"),IF(ISNUMBER(I481),I481,99999)+ROW()/100000,"")</f>
        <v/>
      </c>
    </row>
    <row r="482">
      <c r="A482" s="12">
        <f>IF(O482="","",IFERROR(INDEX(SK_B,MATCH(O482,SK_A,0))&amp;"",""))</f>
        <v/>
      </c>
      <c r="B482" s="45">
        <f>IF(O482="","",IFERROR(INDEX(SK_C,MATCH(O482,SK_A,0)),""))</f>
        <v/>
      </c>
      <c r="C482" s="46">
        <f>IF(Q482="","",IF(Q482=0,"D",IF(Q482&lt;0,"D"&amp;Q482,"D+"&amp;Q482)))</f>
        <v/>
      </c>
      <c r="D482" s="14" t="n"/>
      <c r="E482" s="12" t="n"/>
      <c r="F482" s="46" t="n"/>
      <c r="G482" s="47" t="n"/>
      <c r="H482" s="14" t="n"/>
      <c r="I482" s="13">
        <f>IF(OR(B482="",Q482=""),"",IF(Q482&gt;0,IF(R482="Làm việc",WORKDAY(IFERROR(IF(INDEX(SK_D,MATCH(O482,SK_A,0))="",B482,INDEX(SK_D,MATCH(O482,SK_A,0))),B482),Q482,HOLI),IFERROR(IF(INDEX(SK_D,MATCH(O482,SK_A,0))="",B482,INDEX(SK_D,MATCH(O482,SK_A,0))),B482)+Q482),B482+Q482))</f>
        <v/>
      </c>
      <c r="J482" s="14" t="n"/>
      <c r="K482" s="13" t="n"/>
      <c r="L482" s="12" t="n"/>
      <c r="M482" s="48">
        <f>IF(E482="","",IF(J482="Bỏ qua","—",IF(J482="Xong",IF(AND(ISNUMBER(K482),ISNUMBER(I482),K482&gt;I482),"Xong trễ","Xong"),MID(IF(G482=""," · CHƯA GIAO","")&amp;IF(NOT(ISNUMBER(I482)),"",IF(TODAY()&gt;I482," · QUÁ HẠN "&amp;(TODAY()-I482)&amp;" ngày",IF(I482-TODAY()&lt;=3," · Đến hạn "&amp;IF(I482=TODAY(),"hôm nay","trong "&amp;(I482-TODAY())&amp;" ngày"),"")))&amp;IF(J482="Chờ đối tác"," · Chờ đối tác"&amp;IF(ISNUMBER(N482)," "&amp;(TODAY()-INT(N482))&amp;" ngày",""),""),4,200))))</f>
        <v/>
      </c>
      <c r="N482" s="49" t="n"/>
      <c r="S482">
        <f>IF(AND(E482&lt;&gt;"",T482="Có",J482&lt;&gt;"Xong",J482&lt;&gt;"Bỏ qua",ISNUMBER(I482)),I482+ROW()/100000,"")</f>
        <v/>
      </c>
      <c r="T482">
        <f>IF(O482="","",IFERROR(INDEX(SK_TD,MATCH(O482,SK_A,0)),""))</f>
        <v/>
      </c>
      <c r="V482">
        <f>IF(AND(O482&lt;&gt;"",O482=SEL_K,J482&lt;&gt;"Xong",J482&lt;&gt;"Bỏ qua"),IF(ISNUMBER(I482),I482,99999)+ROW()/100000,"")</f>
        <v/>
      </c>
    </row>
    <row r="483">
      <c r="A483" s="12">
        <f>IF(O483="","",IFERROR(INDEX(SK_B,MATCH(O483,SK_A,0))&amp;"",""))</f>
        <v/>
      </c>
      <c r="B483" s="45">
        <f>IF(O483="","",IFERROR(INDEX(SK_C,MATCH(O483,SK_A,0)),""))</f>
        <v/>
      </c>
      <c r="C483" s="46">
        <f>IF(Q483="","",IF(Q483=0,"D",IF(Q483&lt;0,"D"&amp;Q483,"D+"&amp;Q483)))</f>
        <v/>
      </c>
      <c r="D483" s="14" t="n"/>
      <c r="E483" s="12" t="n"/>
      <c r="F483" s="46" t="n"/>
      <c r="G483" s="47" t="n"/>
      <c r="H483" s="14" t="n"/>
      <c r="I483" s="13">
        <f>IF(OR(B483="",Q483=""),"",IF(Q483&gt;0,IF(R483="Làm việc",WORKDAY(IFERROR(IF(INDEX(SK_D,MATCH(O483,SK_A,0))="",B483,INDEX(SK_D,MATCH(O483,SK_A,0))),B483),Q483,HOLI),IFERROR(IF(INDEX(SK_D,MATCH(O483,SK_A,0))="",B483,INDEX(SK_D,MATCH(O483,SK_A,0))),B483)+Q483),B483+Q483))</f>
        <v/>
      </c>
      <c r="J483" s="14" t="n"/>
      <c r="K483" s="13" t="n"/>
      <c r="L483" s="12" t="n"/>
      <c r="M483" s="48">
        <f>IF(E483="","",IF(J483="Bỏ qua","—",IF(J483="Xong",IF(AND(ISNUMBER(K483),ISNUMBER(I483),K483&gt;I483),"Xong trễ","Xong"),MID(IF(G483=""," · CHƯA GIAO","")&amp;IF(NOT(ISNUMBER(I483)),"",IF(TODAY()&gt;I483," · QUÁ HẠN "&amp;(TODAY()-I483)&amp;" ngày",IF(I483-TODAY()&lt;=3," · Đến hạn "&amp;IF(I483=TODAY(),"hôm nay","trong "&amp;(I483-TODAY())&amp;" ngày"),"")))&amp;IF(J483="Chờ đối tác"," · Chờ đối tác"&amp;IF(ISNUMBER(N483)," "&amp;(TODAY()-INT(N483))&amp;" ngày",""),""),4,200))))</f>
        <v/>
      </c>
      <c r="N483" s="49" t="n"/>
      <c r="S483">
        <f>IF(AND(E483&lt;&gt;"",T483="Có",J483&lt;&gt;"Xong",J483&lt;&gt;"Bỏ qua",ISNUMBER(I483)),I483+ROW()/100000,"")</f>
        <v/>
      </c>
      <c r="T483">
        <f>IF(O483="","",IFERROR(INDEX(SK_TD,MATCH(O483,SK_A,0)),""))</f>
        <v/>
      </c>
      <c r="V483">
        <f>IF(AND(O483&lt;&gt;"",O483=SEL_K,J483&lt;&gt;"Xong",J483&lt;&gt;"Bỏ qua"),IF(ISNUMBER(I483),I483,99999)+ROW()/100000,"")</f>
        <v/>
      </c>
    </row>
    <row r="484">
      <c r="A484" s="12">
        <f>IF(O484="","",IFERROR(INDEX(SK_B,MATCH(O484,SK_A,0))&amp;"",""))</f>
        <v/>
      </c>
      <c r="B484" s="45">
        <f>IF(O484="","",IFERROR(INDEX(SK_C,MATCH(O484,SK_A,0)),""))</f>
        <v/>
      </c>
      <c r="C484" s="46">
        <f>IF(Q484="","",IF(Q484=0,"D",IF(Q484&lt;0,"D"&amp;Q484,"D+"&amp;Q484)))</f>
        <v/>
      </c>
      <c r="D484" s="14" t="n"/>
      <c r="E484" s="12" t="n"/>
      <c r="F484" s="46" t="n"/>
      <c r="G484" s="47" t="n"/>
      <c r="H484" s="14" t="n"/>
      <c r="I484" s="13">
        <f>IF(OR(B484="",Q484=""),"",IF(Q484&gt;0,IF(R484="Làm việc",WORKDAY(IFERROR(IF(INDEX(SK_D,MATCH(O484,SK_A,0))="",B484,INDEX(SK_D,MATCH(O484,SK_A,0))),B484),Q484,HOLI),IFERROR(IF(INDEX(SK_D,MATCH(O484,SK_A,0))="",B484,INDEX(SK_D,MATCH(O484,SK_A,0))),B484)+Q484),B484+Q484))</f>
        <v/>
      </c>
      <c r="J484" s="14" t="n"/>
      <c r="K484" s="13" t="n"/>
      <c r="L484" s="12" t="n"/>
      <c r="M484" s="48">
        <f>IF(E484="","",IF(J484="Bỏ qua","—",IF(J484="Xong",IF(AND(ISNUMBER(K484),ISNUMBER(I484),K484&gt;I484),"Xong trễ","Xong"),MID(IF(G484=""," · CHƯA GIAO","")&amp;IF(NOT(ISNUMBER(I484)),"",IF(TODAY()&gt;I484," · QUÁ HẠN "&amp;(TODAY()-I484)&amp;" ngày",IF(I484-TODAY()&lt;=3," · Đến hạn "&amp;IF(I484=TODAY(),"hôm nay","trong "&amp;(I484-TODAY())&amp;" ngày"),"")))&amp;IF(J484="Chờ đối tác"," · Chờ đối tác"&amp;IF(ISNUMBER(N484)," "&amp;(TODAY()-INT(N484))&amp;" ngày",""),""),4,200))))</f>
        <v/>
      </c>
      <c r="N484" s="49" t="n"/>
      <c r="S484">
        <f>IF(AND(E484&lt;&gt;"",T484="Có",J484&lt;&gt;"Xong",J484&lt;&gt;"Bỏ qua",ISNUMBER(I484)),I484+ROW()/100000,"")</f>
        <v/>
      </c>
      <c r="T484">
        <f>IF(O484="","",IFERROR(INDEX(SK_TD,MATCH(O484,SK_A,0)),""))</f>
        <v/>
      </c>
      <c r="V484">
        <f>IF(AND(O484&lt;&gt;"",O484=SEL_K,J484&lt;&gt;"Xong",J484&lt;&gt;"Bỏ qua"),IF(ISNUMBER(I484),I484,99999)+ROW()/100000,"")</f>
        <v/>
      </c>
    </row>
    <row r="485">
      <c r="A485" s="12">
        <f>IF(O485="","",IFERROR(INDEX(SK_B,MATCH(O485,SK_A,0))&amp;"",""))</f>
        <v/>
      </c>
      <c r="B485" s="45">
        <f>IF(O485="","",IFERROR(INDEX(SK_C,MATCH(O485,SK_A,0)),""))</f>
        <v/>
      </c>
      <c r="C485" s="46">
        <f>IF(Q485="","",IF(Q485=0,"D",IF(Q485&lt;0,"D"&amp;Q485,"D+"&amp;Q485)))</f>
        <v/>
      </c>
      <c r="D485" s="14" t="n"/>
      <c r="E485" s="12" t="n"/>
      <c r="F485" s="46" t="n"/>
      <c r="G485" s="47" t="n"/>
      <c r="H485" s="14" t="n"/>
      <c r="I485" s="13">
        <f>IF(OR(B485="",Q485=""),"",IF(Q485&gt;0,IF(R485="Làm việc",WORKDAY(IFERROR(IF(INDEX(SK_D,MATCH(O485,SK_A,0))="",B485,INDEX(SK_D,MATCH(O485,SK_A,0))),B485),Q485,HOLI),IFERROR(IF(INDEX(SK_D,MATCH(O485,SK_A,0))="",B485,INDEX(SK_D,MATCH(O485,SK_A,0))),B485)+Q485),B485+Q485))</f>
        <v/>
      </c>
      <c r="J485" s="14" t="n"/>
      <c r="K485" s="13" t="n"/>
      <c r="L485" s="12" t="n"/>
      <c r="M485" s="48">
        <f>IF(E485="","",IF(J485="Bỏ qua","—",IF(J485="Xong",IF(AND(ISNUMBER(K485),ISNUMBER(I485),K485&gt;I485),"Xong trễ","Xong"),MID(IF(G485=""," · CHƯA GIAO","")&amp;IF(NOT(ISNUMBER(I485)),"",IF(TODAY()&gt;I485," · QUÁ HẠN "&amp;(TODAY()-I485)&amp;" ngày",IF(I485-TODAY()&lt;=3," · Đến hạn "&amp;IF(I485=TODAY(),"hôm nay","trong "&amp;(I485-TODAY())&amp;" ngày"),"")))&amp;IF(J485="Chờ đối tác"," · Chờ đối tác"&amp;IF(ISNUMBER(N485)," "&amp;(TODAY()-INT(N485))&amp;" ngày",""),""),4,200))))</f>
        <v/>
      </c>
      <c r="N485" s="49" t="n"/>
      <c r="S485">
        <f>IF(AND(E485&lt;&gt;"",T485="Có",J485&lt;&gt;"Xong",J485&lt;&gt;"Bỏ qua",ISNUMBER(I485)),I485+ROW()/100000,"")</f>
        <v/>
      </c>
      <c r="T485">
        <f>IF(O485="","",IFERROR(INDEX(SK_TD,MATCH(O485,SK_A,0)),""))</f>
        <v/>
      </c>
      <c r="V485">
        <f>IF(AND(O485&lt;&gt;"",O485=SEL_K,J485&lt;&gt;"Xong",J485&lt;&gt;"Bỏ qua"),IF(ISNUMBER(I485),I485,99999)+ROW()/100000,"")</f>
        <v/>
      </c>
    </row>
    <row r="486">
      <c r="A486" s="12">
        <f>IF(O486="","",IFERROR(INDEX(SK_B,MATCH(O486,SK_A,0))&amp;"",""))</f>
        <v/>
      </c>
      <c r="B486" s="45">
        <f>IF(O486="","",IFERROR(INDEX(SK_C,MATCH(O486,SK_A,0)),""))</f>
        <v/>
      </c>
      <c r="C486" s="46">
        <f>IF(Q486="","",IF(Q486=0,"D",IF(Q486&lt;0,"D"&amp;Q486,"D+"&amp;Q486)))</f>
        <v/>
      </c>
      <c r="D486" s="14" t="n"/>
      <c r="E486" s="12" t="n"/>
      <c r="F486" s="46" t="n"/>
      <c r="G486" s="47" t="n"/>
      <c r="H486" s="14" t="n"/>
      <c r="I486" s="13">
        <f>IF(OR(B486="",Q486=""),"",IF(Q486&gt;0,IF(R486="Làm việc",WORKDAY(IFERROR(IF(INDEX(SK_D,MATCH(O486,SK_A,0))="",B486,INDEX(SK_D,MATCH(O486,SK_A,0))),B486),Q486,HOLI),IFERROR(IF(INDEX(SK_D,MATCH(O486,SK_A,0))="",B486,INDEX(SK_D,MATCH(O486,SK_A,0))),B486)+Q486),B486+Q486))</f>
        <v/>
      </c>
      <c r="J486" s="14" t="n"/>
      <c r="K486" s="13" t="n"/>
      <c r="L486" s="12" t="n"/>
      <c r="M486" s="48">
        <f>IF(E486="","",IF(J486="Bỏ qua","—",IF(J486="Xong",IF(AND(ISNUMBER(K486),ISNUMBER(I486),K486&gt;I486),"Xong trễ","Xong"),MID(IF(G486=""," · CHƯA GIAO","")&amp;IF(NOT(ISNUMBER(I486)),"",IF(TODAY()&gt;I486," · QUÁ HẠN "&amp;(TODAY()-I486)&amp;" ngày",IF(I486-TODAY()&lt;=3," · Đến hạn "&amp;IF(I486=TODAY(),"hôm nay","trong "&amp;(I486-TODAY())&amp;" ngày"),"")))&amp;IF(J486="Chờ đối tác"," · Chờ đối tác"&amp;IF(ISNUMBER(N486)," "&amp;(TODAY()-INT(N486))&amp;" ngày",""),""),4,200))))</f>
        <v/>
      </c>
      <c r="N486" s="49" t="n"/>
      <c r="S486">
        <f>IF(AND(E486&lt;&gt;"",T486="Có",J486&lt;&gt;"Xong",J486&lt;&gt;"Bỏ qua",ISNUMBER(I486)),I486+ROW()/100000,"")</f>
        <v/>
      </c>
      <c r="T486">
        <f>IF(O486="","",IFERROR(INDEX(SK_TD,MATCH(O486,SK_A,0)),""))</f>
        <v/>
      </c>
      <c r="V486">
        <f>IF(AND(O486&lt;&gt;"",O486=SEL_K,J486&lt;&gt;"Xong",J486&lt;&gt;"Bỏ qua"),IF(ISNUMBER(I486),I486,99999)+ROW()/100000,"")</f>
        <v/>
      </c>
    </row>
    <row r="487">
      <c r="A487" s="12">
        <f>IF(O487="","",IFERROR(INDEX(SK_B,MATCH(O487,SK_A,0))&amp;"",""))</f>
        <v/>
      </c>
      <c r="B487" s="45">
        <f>IF(O487="","",IFERROR(INDEX(SK_C,MATCH(O487,SK_A,0)),""))</f>
        <v/>
      </c>
      <c r="C487" s="46">
        <f>IF(Q487="","",IF(Q487=0,"D",IF(Q487&lt;0,"D"&amp;Q487,"D+"&amp;Q487)))</f>
        <v/>
      </c>
      <c r="D487" s="14" t="n"/>
      <c r="E487" s="12" t="n"/>
      <c r="F487" s="46" t="n"/>
      <c r="G487" s="47" t="n"/>
      <c r="H487" s="14" t="n"/>
      <c r="I487" s="13">
        <f>IF(OR(B487="",Q487=""),"",IF(Q487&gt;0,IF(R487="Làm việc",WORKDAY(IFERROR(IF(INDEX(SK_D,MATCH(O487,SK_A,0))="",B487,INDEX(SK_D,MATCH(O487,SK_A,0))),B487),Q487,HOLI),IFERROR(IF(INDEX(SK_D,MATCH(O487,SK_A,0))="",B487,INDEX(SK_D,MATCH(O487,SK_A,0))),B487)+Q487),B487+Q487))</f>
        <v/>
      </c>
      <c r="J487" s="14" t="n"/>
      <c r="K487" s="13" t="n"/>
      <c r="L487" s="12" t="n"/>
      <c r="M487" s="48">
        <f>IF(E487="","",IF(J487="Bỏ qua","—",IF(J487="Xong",IF(AND(ISNUMBER(K487),ISNUMBER(I487),K487&gt;I487),"Xong trễ","Xong"),MID(IF(G487=""," · CHƯA GIAO","")&amp;IF(NOT(ISNUMBER(I487)),"",IF(TODAY()&gt;I487," · QUÁ HẠN "&amp;(TODAY()-I487)&amp;" ngày",IF(I487-TODAY()&lt;=3," · Đến hạn "&amp;IF(I487=TODAY(),"hôm nay","trong "&amp;(I487-TODAY())&amp;" ngày"),"")))&amp;IF(J487="Chờ đối tác"," · Chờ đối tác"&amp;IF(ISNUMBER(N487)," "&amp;(TODAY()-INT(N487))&amp;" ngày",""),""),4,200))))</f>
        <v/>
      </c>
      <c r="N487" s="49" t="n"/>
      <c r="S487">
        <f>IF(AND(E487&lt;&gt;"",T487="Có",J487&lt;&gt;"Xong",J487&lt;&gt;"Bỏ qua",ISNUMBER(I487)),I487+ROW()/100000,"")</f>
        <v/>
      </c>
      <c r="T487">
        <f>IF(O487="","",IFERROR(INDEX(SK_TD,MATCH(O487,SK_A,0)),""))</f>
        <v/>
      </c>
      <c r="V487">
        <f>IF(AND(O487&lt;&gt;"",O487=SEL_K,J487&lt;&gt;"Xong",J487&lt;&gt;"Bỏ qua"),IF(ISNUMBER(I487),I487,99999)+ROW()/100000,"")</f>
        <v/>
      </c>
    </row>
    <row r="488">
      <c r="A488" s="12">
        <f>IF(O488="","",IFERROR(INDEX(SK_B,MATCH(O488,SK_A,0))&amp;"",""))</f>
        <v/>
      </c>
      <c r="B488" s="45">
        <f>IF(O488="","",IFERROR(INDEX(SK_C,MATCH(O488,SK_A,0)),""))</f>
        <v/>
      </c>
      <c r="C488" s="46">
        <f>IF(Q488="","",IF(Q488=0,"D",IF(Q488&lt;0,"D"&amp;Q488,"D+"&amp;Q488)))</f>
        <v/>
      </c>
      <c r="D488" s="14" t="n"/>
      <c r="E488" s="12" t="n"/>
      <c r="F488" s="46" t="n"/>
      <c r="G488" s="47" t="n"/>
      <c r="H488" s="14" t="n"/>
      <c r="I488" s="13">
        <f>IF(OR(B488="",Q488=""),"",IF(Q488&gt;0,IF(R488="Làm việc",WORKDAY(IFERROR(IF(INDEX(SK_D,MATCH(O488,SK_A,0))="",B488,INDEX(SK_D,MATCH(O488,SK_A,0))),B488),Q488,HOLI),IFERROR(IF(INDEX(SK_D,MATCH(O488,SK_A,0))="",B488,INDEX(SK_D,MATCH(O488,SK_A,0))),B488)+Q488),B488+Q488))</f>
        <v/>
      </c>
      <c r="J488" s="14" t="n"/>
      <c r="K488" s="13" t="n"/>
      <c r="L488" s="12" t="n"/>
      <c r="M488" s="48">
        <f>IF(E488="","",IF(J488="Bỏ qua","—",IF(J488="Xong",IF(AND(ISNUMBER(K488),ISNUMBER(I488),K488&gt;I488),"Xong trễ","Xong"),MID(IF(G488=""," · CHƯA GIAO","")&amp;IF(NOT(ISNUMBER(I488)),"",IF(TODAY()&gt;I488," · QUÁ HẠN "&amp;(TODAY()-I488)&amp;" ngày",IF(I488-TODAY()&lt;=3," · Đến hạn "&amp;IF(I488=TODAY(),"hôm nay","trong "&amp;(I488-TODAY())&amp;" ngày"),"")))&amp;IF(J488="Chờ đối tác"," · Chờ đối tác"&amp;IF(ISNUMBER(N488)," "&amp;(TODAY()-INT(N488))&amp;" ngày",""),""),4,200))))</f>
        <v/>
      </c>
      <c r="N488" s="49" t="n"/>
      <c r="S488">
        <f>IF(AND(E488&lt;&gt;"",T488="Có",J488&lt;&gt;"Xong",J488&lt;&gt;"Bỏ qua",ISNUMBER(I488)),I488+ROW()/100000,"")</f>
        <v/>
      </c>
      <c r="T488">
        <f>IF(O488="","",IFERROR(INDEX(SK_TD,MATCH(O488,SK_A,0)),""))</f>
        <v/>
      </c>
      <c r="V488">
        <f>IF(AND(O488&lt;&gt;"",O488=SEL_K,J488&lt;&gt;"Xong",J488&lt;&gt;"Bỏ qua"),IF(ISNUMBER(I488),I488,99999)+ROW()/100000,"")</f>
        <v/>
      </c>
    </row>
    <row r="489">
      <c r="A489" s="12">
        <f>IF(O489="","",IFERROR(INDEX(SK_B,MATCH(O489,SK_A,0))&amp;"",""))</f>
        <v/>
      </c>
      <c r="B489" s="45">
        <f>IF(O489="","",IFERROR(INDEX(SK_C,MATCH(O489,SK_A,0)),""))</f>
        <v/>
      </c>
      <c r="C489" s="46">
        <f>IF(Q489="","",IF(Q489=0,"D",IF(Q489&lt;0,"D"&amp;Q489,"D+"&amp;Q489)))</f>
        <v/>
      </c>
      <c r="D489" s="14" t="n"/>
      <c r="E489" s="12" t="n"/>
      <c r="F489" s="46" t="n"/>
      <c r="G489" s="47" t="n"/>
      <c r="H489" s="14" t="n"/>
      <c r="I489" s="13">
        <f>IF(OR(B489="",Q489=""),"",IF(Q489&gt;0,IF(R489="Làm việc",WORKDAY(IFERROR(IF(INDEX(SK_D,MATCH(O489,SK_A,0))="",B489,INDEX(SK_D,MATCH(O489,SK_A,0))),B489),Q489,HOLI),IFERROR(IF(INDEX(SK_D,MATCH(O489,SK_A,0))="",B489,INDEX(SK_D,MATCH(O489,SK_A,0))),B489)+Q489),B489+Q489))</f>
        <v/>
      </c>
      <c r="J489" s="14" t="n"/>
      <c r="K489" s="13" t="n"/>
      <c r="L489" s="12" t="n"/>
      <c r="M489" s="48">
        <f>IF(E489="","",IF(J489="Bỏ qua","—",IF(J489="Xong",IF(AND(ISNUMBER(K489),ISNUMBER(I489),K489&gt;I489),"Xong trễ","Xong"),MID(IF(G489=""," · CHƯA GIAO","")&amp;IF(NOT(ISNUMBER(I489)),"",IF(TODAY()&gt;I489," · QUÁ HẠN "&amp;(TODAY()-I489)&amp;" ngày",IF(I489-TODAY()&lt;=3," · Đến hạn "&amp;IF(I489=TODAY(),"hôm nay","trong "&amp;(I489-TODAY())&amp;" ngày"),"")))&amp;IF(J489="Chờ đối tác"," · Chờ đối tác"&amp;IF(ISNUMBER(N489)," "&amp;(TODAY()-INT(N489))&amp;" ngày",""),""),4,200))))</f>
        <v/>
      </c>
      <c r="N489" s="49" t="n"/>
      <c r="S489">
        <f>IF(AND(E489&lt;&gt;"",T489="Có",J489&lt;&gt;"Xong",J489&lt;&gt;"Bỏ qua",ISNUMBER(I489)),I489+ROW()/100000,"")</f>
        <v/>
      </c>
      <c r="T489">
        <f>IF(O489="","",IFERROR(INDEX(SK_TD,MATCH(O489,SK_A,0)),""))</f>
        <v/>
      </c>
      <c r="V489">
        <f>IF(AND(O489&lt;&gt;"",O489=SEL_K,J489&lt;&gt;"Xong",J489&lt;&gt;"Bỏ qua"),IF(ISNUMBER(I489),I489,99999)+ROW()/100000,"")</f>
        <v/>
      </c>
    </row>
    <row r="490">
      <c r="A490" s="12">
        <f>IF(O490="","",IFERROR(INDEX(SK_B,MATCH(O490,SK_A,0))&amp;"",""))</f>
        <v/>
      </c>
      <c r="B490" s="45">
        <f>IF(O490="","",IFERROR(INDEX(SK_C,MATCH(O490,SK_A,0)),""))</f>
        <v/>
      </c>
      <c r="C490" s="46">
        <f>IF(Q490="","",IF(Q490=0,"D",IF(Q490&lt;0,"D"&amp;Q490,"D+"&amp;Q490)))</f>
        <v/>
      </c>
      <c r="D490" s="14" t="n"/>
      <c r="E490" s="12" t="n"/>
      <c r="F490" s="46" t="n"/>
      <c r="G490" s="47" t="n"/>
      <c r="H490" s="14" t="n"/>
      <c r="I490" s="13">
        <f>IF(OR(B490="",Q490=""),"",IF(Q490&gt;0,IF(R490="Làm việc",WORKDAY(IFERROR(IF(INDEX(SK_D,MATCH(O490,SK_A,0))="",B490,INDEX(SK_D,MATCH(O490,SK_A,0))),B490),Q490,HOLI),IFERROR(IF(INDEX(SK_D,MATCH(O490,SK_A,0))="",B490,INDEX(SK_D,MATCH(O490,SK_A,0))),B490)+Q490),B490+Q490))</f>
        <v/>
      </c>
      <c r="J490" s="14" t="n"/>
      <c r="K490" s="13" t="n"/>
      <c r="L490" s="12" t="n"/>
      <c r="M490" s="48">
        <f>IF(E490="","",IF(J490="Bỏ qua","—",IF(J490="Xong",IF(AND(ISNUMBER(K490),ISNUMBER(I490),K490&gt;I490),"Xong trễ","Xong"),MID(IF(G490=""," · CHƯA GIAO","")&amp;IF(NOT(ISNUMBER(I490)),"",IF(TODAY()&gt;I490," · QUÁ HẠN "&amp;(TODAY()-I490)&amp;" ngày",IF(I490-TODAY()&lt;=3," · Đến hạn "&amp;IF(I490=TODAY(),"hôm nay","trong "&amp;(I490-TODAY())&amp;" ngày"),"")))&amp;IF(J490="Chờ đối tác"," · Chờ đối tác"&amp;IF(ISNUMBER(N490)," "&amp;(TODAY()-INT(N490))&amp;" ngày",""),""),4,200))))</f>
        <v/>
      </c>
      <c r="N490" s="49" t="n"/>
      <c r="S490">
        <f>IF(AND(E490&lt;&gt;"",T490="Có",J490&lt;&gt;"Xong",J490&lt;&gt;"Bỏ qua",ISNUMBER(I490)),I490+ROW()/100000,"")</f>
        <v/>
      </c>
      <c r="T490">
        <f>IF(O490="","",IFERROR(INDEX(SK_TD,MATCH(O490,SK_A,0)),""))</f>
        <v/>
      </c>
      <c r="V490">
        <f>IF(AND(O490&lt;&gt;"",O490=SEL_K,J490&lt;&gt;"Xong",J490&lt;&gt;"Bỏ qua"),IF(ISNUMBER(I490),I490,99999)+ROW()/100000,"")</f>
        <v/>
      </c>
    </row>
    <row r="491">
      <c r="A491" s="12">
        <f>IF(O491="","",IFERROR(INDEX(SK_B,MATCH(O491,SK_A,0))&amp;"",""))</f>
        <v/>
      </c>
      <c r="B491" s="45">
        <f>IF(O491="","",IFERROR(INDEX(SK_C,MATCH(O491,SK_A,0)),""))</f>
        <v/>
      </c>
      <c r="C491" s="46">
        <f>IF(Q491="","",IF(Q491=0,"D",IF(Q491&lt;0,"D"&amp;Q491,"D+"&amp;Q491)))</f>
        <v/>
      </c>
      <c r="D491" s="14" t="n"/>
      <c r="E491" s="12" t="n"/>
      <c r="F491" s="46" t="n"/>
      <c r="G491" s="47" t="n"/>
      <c r="H491" s="14" t="n"/>
      <c r="I491" s="13">
        <f>IF(OR(B491="",Q491=""),"",IF(Q491&gt;0,IF(R491="Làm việc",WORKDAY(IFERROR(IF(INDEX(SK_D,MATCH(O491,SK_A,0))="",B491,INDEX(SK_D,MATCH(O491,SK_A,0))),B491),Q491,HOLI),IFERROR(IF(INDEX(SK_D,MATCH(O491,SK_A,0))="",B491,INDEX(SK_D,MATCH(O491,SK_A,0))),B491)+Q491),B491+Q491))</f>
        <v/>
      </c>
      <c r="J491" s="14" t="n"/>
      <c r="K491" s="13" t="n"/>
      <c r="L491" s="12" t="n"/>
      <c r="M491" s="48">
        <f>IF(E491="","",IF(J491="Bỏ qua","—",IF(J491="Xong",IF(AND(ISNUMBER(K491),ISNUMBER(I491),K491&gt;I491),"Xong trễ","Xong"),MID(IF(G491=""," · CHƯA GIAO","")&amp;IF(NOT(ISNUMBER(I491)),"",IF(TODAY()&gt;I491," · QUÁ HẠN "&amp;(TODAY()-I491)&amp;" ngày",IF(I491-TODAY()&lt;=3," · Đến hạn "&amp;IF(I491=TODAY(),"hôm nay","trong "&amp;(I491-TODAY())&amp;" ngày"),"")))&amp;IF(J491="Chờ đối tác"," · Chờ đối tác"&amp;IF(ISNUMBER(N491)," "&amp;(TODAY()-INT(N491))&amp;" ngày",""),""),4,200))))</f>
        <v/>
      </c>
      <c r="N491" s="49" t="n"/>
      <c r="S491">
        <f>IF(AND(E491&lt;&gt;"",T491="Có",J491&lt;&gt;"Xong",J491&lt;&gt;"Bỏ qua",ISNUMBER(I491)),I491+ROW()/100000,"")</f>
        <v/>
      </c>
      <c r="T491">
        <f>IF(O491="","",IFERROR(INDEX(SK_TD,MATCH(O491,SK_A,0)),""))</f>
        <v/>
      </c>
      <c r="V491">
        <f>IF(AND(O491&lt;&gt;"",O491=SEL_K,J491&lt;&gt;"Xong",J491&lt;&gt;"Bỏ qua"),IF(ISNUMBER(I491),I491,99999)+ROW()/100000,"")</f>
        <v/>
      </c>
    </row>
    <row r="492">
      <c r="A492" s="12">
        <f>IF(O492="","",IFERROR(INDEX(SK_B,MATCH(O492,SK_A,0))&amp;"",""))</f>
        <v/>
      </c>
      <c r="B492" s="45">
        <f>IF(O492="","",IFERROR(INDEX(SK_C,MATCH(O492,SK_A,0)),""))</f>
        <v/>
      </c>
      <c r="C492" s="46">
        <f>IF(Q492="","",IF(Q492=0,"D",IF(Q492&lt;0,"D"&amp;Q492,"D+"&amp;Q492)))</f>
        <v/>
      </c>
      <c r="D492" s="14" t="n"/>
      <c r="E492" s="12" t="n"/>
      <c r="F492" s="46" t="n"/>
      <c r="G492" s="47" t="n"/>
      <c r="H492" s="14" t="n"/>
      <c r="I492" s="13">
        <f>IF(OR(B492="",Q492=""),"",IF(Q492&gt;0,IF(R492="Làm việc",WORKDAY(IFERROR(IF(INDEX(SK_D,MATCH(O492,SK_A,0))="",B492,INDEX(SK_D,MATCH(O492,SK_A,0))),B492),Q492,HOLI),IFERROR(IF(INDEX(SK_D,MATCH(O492,SK_A,0))="",B492,INDEX(SK_D,MATCH(O492,SK_A,0))),B492)+Q492),B492+Q492))</f>
        <v/>
      </c>
      <c r="J492" s="14" t="n"/>
      <c r="K492" s="13" t="n"/>
      <c r="L492" s="12" t="n"/>
      <c r="M492" s="48">
        <f>IF(E492="","",IF(J492="Bỏ qua","—",IF(J492="Xong",IF(AND(ISNUMBER(K492),ISNUMBER(I492),K492&gt;I492),"Xong trễ","Xong"),MID(IF(G492=""," · CHƯA GIAO","")&amp;IF(NOT(ISNUMBER(I492)),"",IF(TODAY()&gt;I492," · QUÁ HẠN "&amp;(TODAY()-I492)&amp;" ngày",IF(I492-TODAY()&lt;=3," · Đến hạn "&amp;IF(I492=TODAY(),"hôm nay","trong "&amp;(I492-TODAY())&amp;" ngày"),"")))&amp;IF(J492="Chờ đối tác"," · Chờ đối tác"&amp;IF(ISNUMBER(N492)," "&amp;(TODAY()-INT(N492))&amp;" ngày",""),""),4,200))))</f>
        <v/>
      </c>
      <c r="N492" s="49" t="n"/>
      <c r="S492">
        <f>IF(AND(E492&lt;&gt;"",T492="Có",J492&lt;&gt;"Xong",J492&lt;&gt;"Bỏ qua",ISNUMBER(I492)),I492+ROW()/100000,"")</f>
        <v/>
      </c>
      <c r="T492">
        <f>IF(O492="","",IFERROR(INDEX(SK_TD,MATCH(O492,SK_A,0)),""))</f>
        <v/>
      </c>
      <c r="V492">
        <f>IF(AND(O492&lt;&gt;"",O492=SEL_K,J492&lt;&gt;"Xong",J492&lt;&gt;"Bỏ qua"),IF(ISNUMBER(I492),I492,99999)+ROW()/100000,"")</f>
        <v/>
      </c>
    </row>
    <row r="493">
      <c r="A493" s="12">
        <f>IF(O493="","",IFERROR(INDEX(SK_B,MATCH(O493,SK_A,0))&amp;"",""))</f>
        <v/>
      </c>
      <c r="B493" s="45">
        <f>IF(O493="","",IFERROR(INDEX(SK_C,MATCH(O493,SK_A,0)),""))</f>
        <v/>
      </c>
      <c r="C493" s="46">
        <f>IF(Q493="","",IF(Q493=0,"D",IF(Q493&lt;0,"D"&amp;Q493,"D+"&amp;Q493)))</f>
        <v/>
      </c>
      <c r="D493" s="14" t="n"/>
      <c r="E493" s="12" t="n"/>
      <c r="F493" s="46" t="n"/>
      <c r="G493" s="47" t="n"/>
      <c r="H493" s="14" t="n"/>
      <c r="I493" s="13">
        <f>IF(OR(B493="",Q493=""),"",IF(Q493&gt;0,IF(R493="Làm việc",WORKDAY(IFERROR(IF(INDEX(SK_D,MATCH(O493,SK_A,0))="",B493,INDEX(SK_D,MATCH(O493,SK_A,0))),B493),Q493,HOLI),IFERROR(IF(INDEX(SK_D,MATCH(O493,SK_A,0))="",B493,INDEX(SK_D,MATCH(O493,SK_A,0))),B493)+Q493),B493+Q493))</f>
        <v/>
      </c>
      <c r="J493" s="14" t="n"/>
      <c r="K493" s="13" t="n"/>
      <c r="L493" s="12" t="n"/>
      <c r="M493" s="48">
        <f>IF(E493="","",IF(J493="Bỏ qua","—",IF(J493="Xong",IF(AND(ISNUMBER(K493),ISNUMBER(I493),K493&gt;I493),"Xong trễ","Xong"),MID(IF(G493=""," · CHƯA GIAO","")&amp;IF(NOT(ISNUMBER(I493)),"",IF(TODAY()&gt;I493," · QUÁ HẠN "&amp;(TODAY()-I493)&amp;" ngày",IF(I493-TODAY()&lt;=3," · Đến hạn "&amp;IF(I493=TODAY(),"hôm nay","trong "&amp;(I493-TODAY())&amp;" ngày"),"")))&amp;IF(J493="Chờ đối tác"," · Chờ đối tác"&amp;IF(ISNUMBER(N493)," "&amp;(TODAY()-INT(N493))&amp;" ngày",""),""),4,200))))</f>
        <v/>
      </c>
      <c r="N493" s="49" t="n"/>
      <c r="S493">
        <f>IF(AND(E493&lt;&gt;"",T493="Có",J493&lt;&gt;"Xong",J493&lt;&gt;"Bỏ qua",ISNUMBER(I493)),I493+ROW()/100000,"")</f>
        <v/>
      </c>
      <c r="T493">
        <f>IF(O493="","",IFERROR(INDEX(SK_TD,MATCH(O493,SK_A,0)),""))</f>
        <v/>
      </c>
      <c r="V493">
        <f>IF(AND(O493&lt;&gt;"",O493=SEL_K,J493&lt;&gt;"Xong",J493&lt;&gt;"Bỏ qua"),IF(ISNUMBER(I493),I493,99999)+ROW()/100000,"")</f>
        <v/>
      </c>
    </row>
    <row r="494">
      <c r="A494" s="12">
        <f>IF(O494="","",IFERROR(INDEX(SK_B,MATCH(O494,SK_A,0))&amp;"",""))</f>
        <v/>
      </c>
      <c r="B494" s="45">
        <f>IF(O494="","",IFERROR(INDEX(SK_C,MATCH(O494,SK_A,0)),""))</f>
        <v/>
      </c>
      <c r="C494" s="46">
        <f>IF(Q494="","",IF(Q494=0,"D",IF(Q494&lt;0,"D"&amp;Q494,"D+"&amp;Q494)))</f>
        <v/>
      </c>
      <c r="D494" s="14" t="n"/>
      <c r="E494" s="12" t="n"/>
      <c r="F494" s="46" t="n"/>
      <c r="G494" s="47" t="n"/>
      <c r="H494" s="14" t="n"/>
      <c r="I494" s="13">
        <f>IF(OR(B494="",Q494=""),"",IF(Q494&gt;0,IF(R494="Làm việc",WORKDAY(IFERROR(IF(INDEX(SK_D,MATCH(O494,SK_A,0))="",B494,INDEX(SK_D,MATCH(O494,SK_A,0))),B494),Q494,HOLI),IFERROR(IF(INDEX(SK_D,MATCH(O494,SK_A,0))="",B494,INDEX(SK_D,MATCH(O494,SK_A,0))),B494)+Q494),B494+Q494))</f>
        <v/>
      </c>
      <c r="J494" s="14" t="n"/>
      <c r="K494" s="13" t="n"/>
      <c r="L494" s="12" t="n"/>
      <c r="M494" s="48">
        <f>IF(E494="","",IF(J494="Bỏ qua","—",IF(J494="Xong",IF(AND(ISNUMBER(K494),ISNUMBER(I494),K494&gt;I494),"Xong trễ","Xong"),MID(IF(G494=""," · CHƯA GIAO","")&amp;IF(NOT(ISNUMBER(I494)),"",IF(TODAY()&gt;I494," · QUÁ HẠN "&amp;(TODAY()-I494)&amp;" ngày",IF(I494-TODAY()&lt;=3," · Đến hạn "&amp;IF(I494=TODAY(),"hôm nay","trong "&amp;(I494-TODAY())&amp;" ngày"),"")))&amp;IF(J494="Chờ đối tác"," · Chờ đối tác"&amp;IF(ISNUMBER(N494)," "&amp;(TODAY()-INT(N494))&amp;" ngày",""),""),4,200))))</f>
        <v/>
      </c>
      <c r="N494" s="49" t="n"/>
      <c r="S494">
        <f>IF(AND(E494&lt;&gt;"",T494="Có",J494&lt;&gt;"Xong",J494&lt;&gt;"Bỏ qua",ISNUMBER(I494)),I494+ROW()/100000,"")</f>
        <v/>
      </c>
      <c r="T494">
        <f>IF(O494="","",IFERROR(INDEX(SK_TD,MATCH(O494,SK_A,0)),""))</f>
        <v/>
      </c>
      <c r="V494">
        <f>IF(AND(O494&lt;&gt;"",O494=SEL_K,J494&lt;&gt;"Xong",J494&lt;&gt;"Bỏ qua"),IF(ISNUMBER(I494),I494,99999)+ROW()/100000,"")</f>
        <v/>
      </c>
    </row>
    <row r="495">
      <c r="A495" s="12">
        <f>IF(O495="","",IFERROR(INDEX(SK_B,MATCH(O495,SK_A,0))&amp;"",""))</f>
        <v/>
      </c>
      <c r="B495" s="45">
        <f>IF(O495="","",IFERROR(INDEX(SK_C,MATCH(O495,SK_A,0)),""))</f>
        <v/>
      </c>
      <c r="C495" s="46">
        <f>IF(Q495="","",IF(Q495=0,"D",IF(Q495&lt;0,"D"&amp;Q495,"D+"&amp;Q495)))</f>
        <v/>
      </c>
      <c r="D495" s="14" t="n"/>
      <c r="E495" s="12" t="n"/>
      <c r="F495" s="46" t="n"/>
      <c r="G495" s="47" t="n"/>
      <c r="H495" s="14" t="n"/>
      <c r="I495" s="13">
        <f>IF(OR(B495="",Q495=""),"",IF(Q495&gt;0,IF(R495="Làm việc",WORKDAY(IFERROR(IF(INDEX(SK_D,MATCH(O495,SK_A,0))="",B495,INDEX(SK_D,MATCH(O495,SK_A,0))),B495),Q495,HOLI),IFERROR(IF(INDEX(SK_D,MATCH(O495,SK_A,0))="",B495,INDEX(SK_D,MATCH(O495,SK_A,0))),B495)+Q495),B495+Q495))</f>
        <v/>
      </c>
      <c r="J495" s="14" t="n"/>
      <c r="K495" s="13" t="n"/>
      <c r="L495" s="12" t="n"/>
      <c r="M495" s="48">
        <f>IF(E495="","",IF(J495="Bỏ qua","—",IF(J495="Xong",IF(AND(ISNUMBER(K495),ISNUMBER(I495),K495&gt;I495),"Xong trễ","Xong"),MID(IF(G495=""," · CHƯA GIAO","")&amp;IF(NOT(ISNUMBER(I495)),"",IF(TODAY()&gt;I495," · QUÁ HẠN "&amp;(TODAY()-I495)&amp;" ngày",IF(I495-TODAY()&lt;=3," · Đến hạn "&amp;IF(I495=TODAY(),"hôm nay","trong "&amp;(I495-TODAY())&amp;" ngày"),"")))&amp;IF(J495="Chờ đối tác"," · Chờ đối tác"&amp;IF(ISNUMBER(N495)," "&amp;(TODAY()-INT(N495))&amp;" ngày",""),""),4,200))))</f>
        <v/>
      </c>
      <c r="N495" s="49" t="n"/>
      <c r="S495">
        <f>IF(AND(E495&lt;&gt;"",T495="Có",J495&lt;&gt;"Xong",J495&lt;&gt;"Bỏ qua",ISNUMBER(I495)),I495+ROW()/100000,"")</f>
        <v/>
      </c>
      <c r="T495">
        <f>IF(O495="","",IFERROR(INDEX(SK_TD,MATCH(O495,SK_A,0)),""))</f>
        <v/>
      </c>
      <c r="V495">
        <f>IF(AND(O495&lt;&gt;"",O495=SEL_K,J495&lt;&gt;"Xong",J495&lt;&gt;"Bỏ qua"),IF(ISNUMBER(I495),I495,99999)+ROW()/100000,"")</f>
        <v/>
      </c>
    </row>
    <row r="496">
      <c r="A496" s="12">
        <f>IF(O496="","",IFERROR(INDEX(SK_B,MATCH(O496,SK_A,0))&amp;"",""))</f>
        <v/>
      </c>
      <c r="B496" s="45">
        <f>IF(O496="","",IFERROR(INDEX(SK_C,MATCH(O496,SK_A,0)),""))</f>
        <v/>
      </c>
      <c r="C496" s="46">
        <f>IF(Q496="","",IF(Q496=0,"D",IF(Q496&lt;0,"D"&amp;Q496,"D+"&amp;Q496)))</f>
        <v/>
      </c>
      <c r="D496" s="14" t="n"/>
      <c r="E496" s="12" t="n"/>
      <c r="F496" s="46" t="n"/>
      <c r="G496" s="47" t="n"/>
      <c r="H496" s="14" t="n"/>
      <c r="I496" s="13">
        <f>IF(OR(B496="",Q496=""),"",IF(Q496&gt;0,IF(R496="Làm việc",WORKDAY(IFERROR(IF(INDEX(SK_D,MATCH(O496,SK_A,0))="",B496,INDEX(SK_D,MATCH(O496,SK_A,0))),B496),Q496,HOLI),IFERROR(IF(INDEX(SK_D,MATCH(O496,SK_A,0))="",B496,INDEX(SK_D,MATCH(O496,SK_A,0))),B496)+Q496),B496+Q496))</f>
        <v/>
      </c>
      <c r="J496" s="14" t="n"/>
      <c r="K496" s="13" t="n"/>
      <c r="L496" s="12" t="n"/>
      <c r="M496" s="48">
        <f>IF(E496="","",IF(J496="Bỏ qua","—",IF(J496="Xong",IF(AND(ISNUMBER(K496),ISNUMBER(I496),K496&gt;I496),"Xong trễ","Xong"),MID(IF(G496=""," · CHƯA GIAO","")&amp;IF(NOT(ISNUMBER(I496)),"",IF(TODAY()&gt;I496," · QUÁ HẠN "&amp;(TODAY()-I496)&amp;" ngày",IF(I496-TODAY()&lt;=3," · Đến hạn "&amp;IF(I496=TODAY(),"hôm nay","trong "&amp;(I496-TODAY())&amp;" ngày"),"")))&amp;IF(J496="Chờ đối tác"," · Chờ đối tác"&amp;IF(ISNUMBER(N496)," "&amp;(TODAY()-INT(N496))&amp;" ngày",""),""),4,200))))</f>
        <v/>
      </c>
      <c r="N496" s="49" t="n"/>
      <c r="S496">
        <f>IF(AND(E496&lt;&gt;"",T496="Có",J496&lt;&gt;"Xong",J496&lt;&gt;"Bỏ qua",ISNUMBER(I496)),I496+ROW()/100000,"")</f>
        <v/>
      </c>
      <c r="T496">
        <f>IF(O496="","",IFERROR(INDEX(SK_TD,MATCH(O496,SK_A,0)),""))</f>
        <v/>
      </c>
      <c r="V496">
        <f>IF(AND(O496&lt;&gt;"",O496=SEL_K,J496&lt;&gt;"Xong",J496&lt;&gt;"Bỏ qua"),IF(ISNUMBER(I496),I496,99999)+ROW()/100000,"")</f>
        <v/>
      </c>
    </row>
    <row r="497">
      <c r="A497" s="12">
        <f>IF(O497="","",IFERROR(INDEX(SK_B,MATCH(O497,SK_A,0))&amp;"",""))</f>
        <v/>
      </c>
      <c r="B497" s="45">
        <f>IF(O497="","",IFERROR(INDEX(SK_C,MATCH(O497,SK_A,0)),""))</f>
        <v/>
      </c>
      <c r="C497" s="46">
        <f>IF(Q497="","",IF(Q497=0,"D",IF(Q497&lt;0,"D"&amp;Q497,"D+"&amp;Q497)))</f>
        <v/>
      </c>
      <c r="D497" s="14" t="n"/>
      <c r="E497" s="12" t="n"/>
      <c r="F497" s="46" t="n"/>
      <c r="G497" s="47" t="n"/>
      <c r="H497" s="14" t="n"/>
      <c r="I497" s="13">
        <f>IF(OR(B497="",Q497=""),"",IF(Q497&gt;0,IF(R497="Làm việc",WORKDAY(IFERROR(IF(INDEX(SK_D,MATCH(O497,SK_A,0))="",B497,INDEX(SK_D,MATCH(O497,SK_A,0))),B497),Q497,HOLI),IFERROR(IF(INDEX(SK_D,MATCH(O497,SK_A,0))="",B497,INDEX(SK_D,MATCH(O497,SK_A,0))),B497)+Q497),B497+Q497))</f>
        <v/>
      </c>
      <c r="J497" s="14" t="n"/>
      <c r="K497" s="13" t="n"/>
      <c r="L497" s="12" t="n"/>
      <c r="M497" s="48">
        <f>IF(E497="","",IF(J497="Bỏ qua","—",IF(J497="Xong",IF(AND(ISNUMBER(K497),ISNUMBER(I497),K497&gt;I497),"Xong trễ","Xong"),MID(IF(G497=""," · CHƯA GIAO","")&amp;IF(NOT(ISNUMBER(I497)),"",IF(TODAY()&gt;I497," · QUÁ HẠN "&amp;(TODAY()-I497)&amp;" ngày",IF(I497-TODAY()&lt;=3," · Đến hạn "&amp;IF(I497=TODAY(),"hôm nay","trong "&amp;(I497-TODAY())&amp;" ngày"),"")))&amp;IF(J497="Chờ đối tác"," · Chờ đối tác"&amp;IF(ISNUMBER(N497)," "&amp;(TODAY()-INT(N497))&amp;" ngày",""),""),4,200))))</f>
        <v/>
      </c>
      <c r="N497" s="49" t="n"/>
      <c r="S497">
        <f>IF(AND(E497&lt;&gt;"",T497="Có",J497&lt;&gt;"Xong",J497&lt;&gt;"Bỏ qua",ISNUMBER(I497)),I497+ROW()/100000,"")</f>
        <v/>
      </c>
      <c r="T497">
        <f>IF(O497="","",IFERROR(INDEX(SK_TD,MATCH(O497,SK_A,0)),""))</f>
        <v/>
      </c>
      <c r="V497">
        <f>IF(AND(O497&lt;&gt;"",O497=SEL_K,J497&lt;&gt;"Xong",J497&lt;&gt;"Bỏ qua"),IF(ISNUMBER(I497),I497,99999)+ROW()/100000,"")</f>
        <v/>
      </c>
    </row>
    <row r="498">
      <c r="A498" s="12">
        <f>IF(O498="","",IFERROR(INDEX(SK_B,MATCH(O498,SK_A,0))&amp;"",""))</f>
        <v/>
      </c>
      <c r="B498" s="45">
        <f>IF(O498="","",IFERROR(INDEX(SK_C,MATCH(O498,SK_A,0)),""))</f>
        <v/>
      </c>
      <c r="C498" s="46">
        <f>IF(Q498="","",IF(Q498=0,"D",IF(Q498&lt;0,"D"&amp;Q498,"D+"&amp;Q498)))</f>
        <v/>
      </c>
      <c r="D498" s="14" t="n"/>
      <c r="E498" s="12" t="n"/>
      <c r="F498" s="46" t="n"/>
      <c r="G498" s="47" t="n"/>
      <c r="H498" s="14" t="n"/>
      <c r="I498" s="13">
        <f>IF(OR(B498="",Q498=""),"",IF(Q498&gt;0,IF(R498="Làm việc",WORKDAY(IFERROR(IF(INDEX(SK_D,MATCH(O498,SK_A,0))="",B498,INDEX(SK_D,MATCH(O498,SK_A,0))),B498),Q498,HOLI),IFERROR(IF(INDEX(SK_D,MATCH(O498,SK_A,0))="",B498,INDEX(SK_D,MATCH(O498,SK_A,0))),B498)+Q498),B498+Q498))</f>
        <v/>
      </c>
      <c r="J498" s="14" t="n"/>
      <c r="K498" s="13" t="n"/>
      <c r="L498" s="12" t="n"/>
      <c r="M498" s="48">
        <f>IF(E498="","",IF(J498="Bỏ qua","—",IF(J498="Xong",IF(AND(ISNUMBER(K498),ISNUMBER(I498),K498&gt;I498),"Xong trễ","Xong"),MID(IF(G498=""," · CHƯA GIAO","")&amp;IF(NOT(ISNUMBER(I498)),"",IF(TODAY()&gt;I498," · QUÁ HẠN "&amp;(TODAY()-I498)&amp;" ngày",IF(I498-TODAY()&lt;=3," · Đến hạn "&amp;IF(I498=TODAY(),"hôm nay","trong "&amp;(I498-TODAY())&amp;" ngày"),"")))&amp;IF(J498="Chờ đối tác"," · Chờ đối tác"&amp;IF(ISNUMBER(N498)," "&amp;(TODAY()-INT(N498))&amp;" ngày",""),""),4,200))))</f>
        <v/>
      </c>
      <c r="N498" s="49" t="n"/>
      <c r="S498">
        <f>IF(AND(E498&lt;&gt;"",T498="Có",J498&lt;&gt;"Xong",J498&lt;&gt;"Bỏ qua",ISNUMBER(I498)),I498+ROW()/100000,"")</f>
        <v/>
      </c>
      <c r="T498">
        <f>IF(O498="","",IFERROR(INDEX(SK_TD,MATCH(O498,SK_A,0)),""))</f>
        <v/>
      </c>
      <c r="V498">
        <f>IF(AND(O498&lt;&gt;"",O498=SEL_K,J498&lt;&gt;"Xong",J498&lt;&gt;"Bỏ qua"),IF(ISNUMBER(I498),I498,99999)+ROW()/100000,"")</f>
        <v/>
      </c>
    </row>
    <row r="499">
      <c r="A499" s="12">
        <f>IF(O499="","",IFERROR(INDEX(SK_B,MATCH(O499,SK_A,0))&amp;"",""))</f>
        <v/>
      </c>
      <c r="B499" s="45">
        <f>IF(O499="","",IFERROR(INDEX(SK_C,MATCH(O499,SK_A,0)),""))</f>
        <v/>
      </c>
      <c r="C499" s="46">
        <f>IF(Q499="","",IF(Q499=0,"D",IF(Q499&lt;0,"D"&amp;Q499,"D+"&amp;Q499)))</f>
        <v/>
      </c>
      <c r="D499" s="14" t="n"/>
      <c r="E499" s="12" t="n"/>
      <c r="F499" s="46" t="n"/>
      <c r="G499" s="47" t="n"/>
      <c r="H499" s="14" t="n"/>
      <c r="I499" s="13">
        <f>IF(OR(B499="",Q499=""),"",IF(Q499&gt;0,IF(R499="Làm việc",WORKDAY(IFERROR(IF(INDEX(SK_D,MATCH(O499,SK_A,0))="",B499,INDEX(SK_D,MATCH(O499,SK_A,0))),B499),Q499,HOLI),IFERROR(IF(INDEX(SK_D,MATCH(O499,SK_A,0))="",B499,INDEX(SK_D,MATCH(O499,SK_A,0))),B499)+Q499),B499+Q499))</f>
        <v/>
      </c>
      <c r="J499" s="14" t="n"/>
      <c r="K499" s="13" t="n"/>
      <c r="L499" s="12" t="n"/>
      <c r="M499" s="48">
        <f>IF(E499="","",IF(J499="Bỏ qua","—",IF(J499="Xong",IF(AND(ISNUMBER(K499),ISNUMBER(I499),K499&gt;I499),"Xong trễ","Xong"),MID(IF(G499=""," · CHƯA GIAO","")&amp;IF(NOT(ISNUMBER(I499)),"",IF(TODAY()&gt;I499," · QUÁ HẠN "&amp;(TODAY()-I499)&amp;" ngày",IF(I499-TODAY()&lt;=3," · Đến hạn "&amp;IF(I499=TODAY(),"hôm nay","trong "&amp;(I499-TODAY())&amp;" ngày"),"")))&amp;IF(J499="Chờ đối tác"," · Chờ đối tác"&amp;IF(ISNUMBER(N499)," "&amp;(TODAY()-INT(N499))&amp;" ngày",""),""),4,200))))</f>
        <v/>
      </c>
      <c r="N499" s="49" t="n"/>
      <c r="S499">
        <f>IF(AND(E499&lt;&gt;"",T499="Có",J499&lt;&gt;"Xong",J499&lt;&gt;"Bỏ qua",ISNUMBER(I499)),I499+ROW()/100000,"")</f>
        <v/>
      </c>
      <c r="T499">
        <f>IF(O499="","",IFERROR(INDEX(SK_TD,MATCH(O499,SK_A,0)),""))</f>
        <v/>
      </c>
      <c r="V499">
        <f>IF(AND(O499&lt;&gt;"",O499=SEL_K,J499&lt;&gt;"Xong",J499&lt;&gt;"Bỏ qua"),IF(ISNUMBER(I499),I499,99999)+ROW()/100000,"")</f>
        <v/>
      </c>
    </row>
    <row r="500">
      <c r="A500" s="12">
        <f>IF(O500="","",IFERROR(INDEX(SK_B,MATCH(O500,SK_A,0))&amp;"",""))</f>
        <v/>
      </c>
      <c r="B500" s="45">
        <f>IF(O500="","",IFERROR(INDEX(SK_C,MATCH(O500,SK_A,0)),""))</f>
        <v/>
      </c>
      <c r="C500" s="46">
        <f>IF(Q500="","",IF(Q500=0,"D",IF(Q500&lt;0,"D"&amp;Q500,"D+"&amp;Q500)))</f>
        <v/>
      </c>
      <c r="D500" s="14" t="n"/>
      <c r="E500" s="12" t="n"/>
      <c r="F500" s="46" t="n"/>
      <c r="G500" s="47" t="n"/>
      <c r="H500" s="14" t="n"/>
      <c r="I500" s="13">
        <f>IF(OR(B500="",Q500=""),"",IF(Q500&gt;0,IF(R500="Làm việc",WORKDAY(IFERROR(IF(INDEX(SK_D,MATCH(O500,SK_A,0))="",B500,INDEX(SK_D,MATCH(O500,SK_A,0))),B500),Q500,HOLI),IFERROR(IF(INDEX(SK_D,MATCH(O500,SK_A,0))="",B500,INDEX(SK_D,MATCH(O500,SK_A,0))),B500)+Q500),B500+Q500))</f>
        <v/>
      </c>
      <c r="J500" s="14" t="n"/>
      <c r="K500" s="13" t="n"/>
      <c r="L500" s="12" t="n"/>
      <c r="M500" s="48">
        <f>IF(E500="","",IF(J500="Bỏ qua","—",IF(J500="Xong",IF(AND(ISNUMBER(K500),ISNUMBER(I500),K500&gt;I500),"Xong trễ","Xong"),MID(IF(G500=""," · CHƯA GIAO","")&amp;IF(NOT(ISNUMBER(I500)),"",IF(TODAY()&gt;I500," · QUÁ HẠN "&amp;(TODAY()-I500)&amp;" ngày",IF(I500-TODAY()&lt;=3," · Đến hạn "&amp;IF(I500=TODAY(),"hôm nay","trong "&amp;(I500-TODAY())&amp;" ngày"),"")))&amp;IF(J500="Chờ đối tác"," · Chờ đối tác"&amp;IF(ISNUMBER(N500)," "&amp;(TODAY()-INT(N500))&amp;" ngày",""),""),4,200))))</f>
        <v/>
      </c>
      <c r="N500" s="49" t="n"/>
      <c r="S500">
        <f>IF(AND(E500&lt;&gt;"",T500="Có",J500&lt;&gt;"Xong",J500&lt;&gt;"Bỏ qua",ISNUMBER(I500)),I500+ROW()/100000,"")</f>
        <v/>
      </c>
      <c r="T500">
        <f>IF(O500="","",IFERROR(INDEX(SK_TD,MATCH(O500,SK_A,0)),""))</f>
        <v/>
      </c>
      <c r="V500">
        <f>IF(AND(O500&lt;&gt;"",O500=SEL_K,J500&lt;&gt;"Xong",J500&lt;&gt;"Bỏ qua"),IF(ISNUMBER(I500),I500,99999)+ROW()/100000,"")</f>
        <v/>
      </c>
    </row>
    <row r="501">
      <c r="A501" s="12">
        <f>IF(O501="","",IFERROR(INDEX(SK_B,MATCH(O501,SK_A,0))&amp;"",""))</f>
        <v/>
      </c>
      <c r="B501" s="45">
        <f>IF(O501="","",IFERROR(INDEX(SK_C,MATCH(O501,SK_A,0)),""))</f>
        <v/>
      </c>
      <c r="C501" s="46">
        <f>IF(Q501="","",IF(Q501=0,"D",IF(Q501&lt;0,"D"&amp;Q501,"D+"&amp;Q501)))</f>
        <v/>
      </c>
      <c r="D501" s="14" t="n"/>
      <c r="E501" s="12" t="n"/>
      <c r="F501" s="46" t="n"/>
      <c r="G501" s="47" t="n"/>
      <c r="H501" s="14" t="n"/>
      <c r="I501" s="13">
        <f>IF(OR(B501="",Q501=""),"",IF(Q501&gt;0,IF(R501="Làm việc",WORKDAY(IFERROR(IF(INDEX(SK_D,MATCH(O501,SK_A,0))="",B501,INDEX(SK_D,MATCH(O501,SK_A,0))),B501),Q501,HOLI),IFERROR(IF(INDEX(SK_D,MATCH(O501,SK_A,0))="",B501,INDEX(SK_D,MATCH(O501,SK_A,0))),B501)+Q501),B501+Q501))</f>
        <v/>
      </c>
      <c r="J501" s="14" t="n"/>
      <c r="K501" s="13" t="n"/>
      <c r="L501" s="12" t="n"/>
      <c r="M501" s="48">
        <f>IF(E501="","",IF(J501="Bỏ qua","—",IF(J501="Xong",IF(AND(ISNUMBER(K501),ISNUMBER(I501),K501&gt;I501),"Xong trễ","Xong"),MID(IF(G501=""," · CHƯA GIAO","")&amp;IF(NOT(ISNUMBER(I501)),"",IF(TODAY()&gt;I501," · QUÁ HẠN "&amp;(TODAY()-I501)&amp;" ngày",IF(I501-TODAY()&lt;=3," · Đến hạn "&amp;IF(I501=TODAY(),"hôm nay","trong "&amp;(I501-TODAY())&amp;" ngày"),"")))&amp;IF(J501="Chờ đối tác"," · Chờ đối tác"&amp;IF(ISNUMBER(N501)," "&amp;(TODAY()-INT(N501))&amp;" ngày",""),""),4,200))))</f>
        <v/>
      </c>
      <c r="N501" s="49" t="n"/>
      <c r="S501">
        <f>IF(AND(E501&lt;&gt;"",T501="Có",J501&lt;&gt;"Xong",J501&lt;&gt;"Bỏ qua",ISNUMBER(I501)),I501+ROW()/100000,"")</f>
        <v/>
      </c>
      <c r="T501">
        <f>IF(O501="","",IFERROR(INDEX(SK_TD,MATCH(O501,SK_A,0)),""))</f>
        <v/>
      </c>
      <c r="V501">
        <f>IF(AND(O501&lt;&gt;"",O501=SEL_K,J501&lt;&gt;"Xong",J501&lt;&gt;"Bỏ qua"),IF(ISNUMBER(I501),I501,99999)+ROW()/100000,"")</f>
        <v/>
      </c>
    </row>
    <row r="502">
      <c r="A502" s="12">
        <f>IF(O502="","",IFERROR(INDEX(SK_B,MATCH(O502,SK_A,0))&amp;"",""))</f>
        <v/>
      </c>
      <c r="B502" s="45">
        <f>IF(O502="","",IFERROR(INDEX(SK_C,MATCH(O502,SK_A,0)),""))</f>
        <v/>
      </c>
      <c r="C502" s="46">
        <f>IF(Q502="","",IF(Q502=0,"D",IF(Q502&lt;0,"D"&amp;Q502,"D+"&amp;Q502)))</f>
        <v/>
      </c>
      <c r="D502" s="14" t="n"/>
      <c r="E502" s="12" t="n"/>
      <c r="F502" s="46" t="n"/>
      <c r="G502" s="47" t="n"/>
      <c r="H502" s="14" t="n"/>
      <c r="I502" s="13">
        <f>IF(OR(B502="",Q502=""),"",IF(Q502&gt;0,IF(R502="Làm việc",WORKDAY(IFERROR(IF(INDEX(SK_D,MATCH(O502,SK_A,0))="",B502,INDEX(SK_D,MATCH(O502,SK_A,0))),B502),Q502,HOLI),IFERROR(IF(INDEX(SK_D,MATCH(O502,SK_A,0))="",B502,INDEX(SK_D,MATCH(O502,SK_A,0))),B502)+Q502),B502+Q502))</f>
        <v/>
      </c>
      <c r="J502" s="14" t="n"/>
      <c r="K502" s="13" t="n"/>
      <c r="L502" s="12" t="n"/>
      <c r="M502" s="48">
        <f>IF(E502="","",IF(J502="Bỏ qua","—",IF(J502="Xong",IF(AND(ISNUMBER(K502),ISNUMBER(I502),K502&gt;I502),"Xong trễ","Xong"),MID(IF(G502=""," · CHƯA GIAO","")&amp;IF(NOT(ISNUMBER(I502)),"",IF(TODAY()&gt;I502," · QUÁ HẠN "&amp;(TODAY()-I502)&amp;" ngày",IF(I502-TODAY()&lt;=3," · Đến hạn "&amp;IF(I502=TODAY(),"hôm nay","trong "&amp;(I502-TODAY())&amp;" ngày"),"")))&amp;IF(J502="Chờ đối tác"," · Chờ đối tác"&amp;IF(ISNUMBER(N502)," "&amp;(TODAY()-INT(N502))&amp;" ngày",""),""),4,200))))</f>
        <v/>
      </c>
      <c r="N502" s="49" t="n"/>
      <c r="S502">
        <f>IF(AND(E502&lt;&gt;"",T502="Có",J502&lt;&gt;"Xong",J502&lt;&gt;"Bỏ qua",ISNUMBER(I502)),I502+ROW()/100000,"")</f>
        <v/>
      </c>
      <c r="T502">
        <f>IF(O502="","",IFERROR(INDEX(SK_TD,MATCH(O502,SK_A,0)),""))</f>
        <v/>
      </c>
      <c r="V502">
        <f>IF(AND(O502&lt;&gt;"",O502=SEL_K,J502&lt;&gt;"Xong",J502&lt;&gt;"Bỏ qua"),IF(ISNUMBER(I502),I502,99999)+ROW()/100000,"")</f>
        <v/>
      </c>
    </row>
    <row r="503">
      <c r="A503" s="12">
        <f>IF(O503="","",IFERROR(INDEX(SK_B,MATCH(O503,SK_A,0))&amp;"",""))</f>
        <v/>
      </c>
      <c r="B503" s="45">
        <f>IF(O503="","",IFERROR(INDEX(SK_C,MATCH(O503,SK_A,0)),""))</f>
        <v/>
      </c>
      <c r="C503" s="46">
        <f>IF(Q503="","",IF(Q503=0,"D",IF(Q503&lt;0,"D"&amp;Q503,"D+"&amp;Q503)))</f>
        <v/>
      </c>
      <c r="D503" s="14" t="n"/>
      <c r="E503" s="12" t="n"/>
      <c r="F503" s="46" t="n"/>
      <c r="G503" s="47" t="n"/>
      <c r="H503" s="14" t="n"/>
      <c r="I503" s="13">
        <f>IF(OR(B503="",Q503=""),"",IF(Q503&gt;0,IF(R503="Làm việc",WORKDAY(IFERROR(IF(INDEX(SK_D,MATCH(O503,SK_A,0))="",B503,INDEX(SK_D,MATCH(O503,SK_A,0))),B503),Q503,HOLI),IFERROR(IF(INDEX(SK_D,MATCH(O503,SK_A,0))="",B503,INDEX(SK_D,MATCH(O503,SK_A,0))),B503)+Q503),B503+Q503))</f>
        <v/>
      </c>
      <c r="J503" s="14" t="n"/>
      <c r="K503" s="13" t="n"/>
      <c r="L503" s="12" t="n"/>
      <c r="M503" s="48">
        <f>IF(E503="","",IF(J503="Bỏ qua","—",IF(J503="Xong",IF(AND(ISNUMBER(K503),ISNUMBER(I503),K503&gt;I503),"Xong trễ","Xong"),MID(IF(G503=""," · CHƯA GIAO","")&amp;IF(NOT(ISNUMBER(I503)),"",IF(TODAY()&gt;I503," · QUÁ HẠN "&amp;(TODAY()-I503)&amp;" ngày",IF(I503-TODAY()&lt;=3," · Đến hạn "&amp;IF(I503=TODAY(),"hôm nay","trong "&amp;(I503-TODAY())&amp;" ngày"),"")))&amp;IF(J503="Chờ đối tác"," · Chờ đối tác"&amp;IF(ISNUMBER(N503)," "&amp;(TODAY()-INT(N503))&amp;" ngày",""),""),4,200))))</f>
        <v/>
      </c>
      <c r="N503" s="49" t="n"/>
      <c r="S503">
        <f>IF(AND(E503&lt;&gt;"",T503="Có",J503&lt;&gt;"Xong",J503&lt;&gt;"Bỏ qua",ISNUMBER(I503)),I503+ROW()/100000,"")</f>
        <v/>
      </c>
      <c r="T503">
        <f>IF(O503="","",IFERROR(INDEX(SK_TD,MATCH(O503,SK_A,0)),""))</f>
        <v/>
      </c>
      <c r="V503">
        <f>IF(AND(O503&lt;&gt;"",O503=SEL_K,J503&lt;&gt;"Xong",J503&lt;&gt;"Bỏ qua"),IF(ISNUMBER(I503),I503,99999)+ROW()/100000,"")</f>
        <v/>
      </c>
    </row>
    <row r="504">
      <c r="A504" s="12">
        <f>IF(O504="","",IFERROR(INDEX(SK_B,MATCH(O504,SK_A,0))&amp;"",""))</f>
        <v/>
      </c>
      <c r="B504" s="45">
        <f>IF(O504="","",IFERROR(INDEX(SK_C,MATCH(O504,SK_A,0)),""))</f>
        <v/>
      </c>
      <c r="C504" s="46">
        <f>IF(Q504="","",IF(Q504=0,"D",IF(Q504&lt;0,"D"&amp;Q504,"D+"&amp;Q504)))</f>
        <v/>
      </c>
      <c r="D504" s="14" t="n"/>
      <c r="E504" s="12" t="n"/>
      <c r="F504" s="46" t="n"/>
      <c r="G504" s="47" t="n"/>
      <c r="H504" s="14" t="n"/>
      <c r="I504" s="13">
        <f>IF(OR(B504="",Q504=""),"",IF(Q504&gt;0,IF(R504="Làm việc",WORKDAY(IFERROR(IF(INDEX(SK_D,MATCH(O504,SK_A,0))="",B504,INDEX(SK_D,MATCH(O504,SK_A,0))),B504),Q504,HOLI),IFERROR(IF(INDEX(SK_D,MATCH(O504,SK_A,0))="",B504,INDEX(SK_D,MATCH(O504,SK_A,0))),B504)+Q504),B504+Q504))</f>
        <v/>
      </c>
      <c r="J504" s="14" t="n"/>
      <c r="K504" s="13" t="n"/>
      <c r="L504" s="12" t="n"/>
      <c r="M504" s="48">
        <f>IF(E504="","",IF(J504="Bỏ qua","—",IF(J504="Xong",IF(AND(ISNUMBER(K504),ISNUMBER(I504),K504&gt;I504),"Xong trễ","Xong"),MID(IF(G504=""," · CHƯA GIAO","")&amp;IF(NOT(ISNUMBER(I504)),"",IF(TODAY()&gt;I504," · QUÁ HẠN "&amp;(TODAY()-I504)&amp;" ngày",IF(I504-TODAY()&lt;=3," · Đến hạn "&amp;IF(I504=TODAY(),"hôm nay","trong "&amp;(I504-TODAY())&amp;" ngày"),"")))&amp;IF(J504="Chờ đối tác"," · Chờ đối tác"&amp;IF(ISNUMBER(N504)," "&amp;(TODAY()-INT(N504))&amp;" ngày",""),""),4,200))))</f>
        <v/>
      </c>
      <c r="N504" s="49" t="n"/>
      <c r="S504">
        <f>IF(AND(E504&lt;&gt;"",T504="Có",J504&lt;&gt;"Xong",J504&lt;&gt;"Bỏ qua",ISNUMBER(I504)),I504+ROW()/100000,"")</f>
        <v/>
      </c>
      <c r="T504">
        <f>IF(O504="","",IFERROR(INDEX(SK_TD,MATCH(O504,SK_A,0)),""))</f>
        <v/>
      </c>
      <c r="V504">
        <f>IF(AND(O504&lt;&gt;"",O504=SEL_K,J504&lt;&gt;"Xong",J504&lt;&gt;"Bỏ qua"),IF(ISNUMBER(I504),I504,99999)+ROW()/100000,"")</f>
        <v/>
      </c>
    </row>
    <row r="505">
      <c r="A505" s="12">
        <f>IF(O505="","",IFERROR(INDEX(SK_B,MATCH(O505,SK_A,0))&amp;"",""))</f>
        <v/>
      </c>
      <c r="B505" s="45">
        <f>IF(O505="","",IFERROR(INDEX(SK_C,MATCH(O505,SK_A,0)),""))</f>
        <v/>
      </c>
      <c r="C505" s="46">
        <f>IF(Q505="","",IF(Q505=0,"D",IF(Q505&lt;0,"D"&amp;Q505,"D+"&amp;Q505)))</f>
        <v/>
      </c>
      <c r="D505" s="14" t="n"/>
      <c r="E505" s="12" t="n"/>
      <c r="F505" s="46" t="n"/>
      <c r="G505" s="47" t="n"/>
      <c r="H505" s="14" t="n"/>
      <c r="I505" s="13">
        <f>IF(OR(B505="",Q505=""),"",IF(Q505&gt;0,IF(R505="Làm việc",WORKDAY(IFERROR(IF(INDEX(SK_D,MATCH(O505,SK_A,0))="",B505,INDEX(SK_D,MATCH(O505,SK_A,0))),B505),Q505,HOLI),IFERROR(IF(INDEX(SK_D,MATCH(O505,SK_A,0))="",B505,INDEX(SK_D,MATCH(O505,SK_A,0))),B505)+Q505),B505+Q505))</f>
        <v/>
      </c>
      <c r="J505" s="14" t="n"/>
      <c r="K505" s="13" t="n"/>
      <c r="L505" s="12" t="n"/>
      <c r="M505" s="48">
        <f>IF(E505="","",IF(J505="Bỏ qua","—",IF(J505="Xong",IF(AND(ISNUMBER(K505),ISNUMBER(I505),K505&gt;I505),"Xong trễ","Xong"),MID(IF(G505=""," · CHƯA GIAO","")&amp;IF(NOT(ISNUMBER(I505)),"",IF(TODAY()&gt;I505," · QUÁ HẠN "&amp;(TODAY()-I505)&amp;" ngày",IF(I505-TODAY()&lt;=3," · Đến hạn "&amp;IF(I505=TODAY(),"hôm nay","trong "&amp;(I505-TODAY())&amp;" ngày"),"")))&amp;IF(J505="Chờ đối tác"," · Chờ đối tác"&amp;IF(ISNUMBER(N505)," "&amp;(TODAY()-INT(N505))&amp;" ngày",""),""),4,200))))</f>
        <v/>
      </c>
      <c r="N505" s="49" t="n"/>
      <c r="S505">
        <f>IF(AND(E505&lt;&gt;"",T505="Có",J505&lt;&gt;"Xong",J505&lt;&gt;"Bỏ qua",ISNUMBER(I505)),I505+ROW()/100000,"")</f>
        <v/>
      </c>
      <c r="T505">
        <f>IF(O505="","",IFERROR(INDEX(SK_TD,MATCH(O505,SK_A,0)),""))</f>
        <v/>
      </c>
      <c r="V505">
        <f>IF(AND(O505&lt;&gt;"",O505=SEL_K,J505&lt;&gt;"Xong",J505&lt;&gt;"Bỏ qua"),IF(ISNUMBER(I505),I505,99999)+ROW()/100000,"")</f>
        <v/>
      </c>
    </row>
    <row r="506">
      <c r="A506" s="12">
        <f>IF(O506="","",IFERROR(INDEX(SK_B,MATCH(O506,SK_A,0))&amp;"",""))</f>
        <v/>
      </c>
      <c r="B506" s="45">
        <f>IF(O506="","",IFERROR(INDEX(SK_C,MATCH(O506,SK_A,0)),""))</f>
        <v/>
      </c>
      <c r="C506" s="46">
        <f>IF(Q506="","",IF(Q506=0,"D",IF(Q506&lt;0,"D"&amp;Q506,"D+"&amp;Q506)))</f>
        <v/>
      </c>
      <c r="D506" s="14" t="n"/>
      <c r="E506" s="12" t="n"/>
      <c r="F506" s="46" t="n"/>
      <c r="G506" s="47" t="n"/>
      <c r="H506" s="14" t="n"/>
      <c r="I506" s="13">
        <f>IF(OR(B506="",Q506=""),"",IF(Q506&gt;0,IF(R506="Làm việc",WORKDAY(IFERROR(IF(INDEX(SK_D,MATCH(O506,SK_A,0))="",B506,INDEX(SK_D,MATCH(O506,SK_A,0))),B506),Q506,HOLI),IFERROR(IF(INDEX(SK_D,MATCH(O506,SK_A,0))="",B506,INDEX(SK_D,MATCH(O506,SK_A,0))),B506)+Q506),B506+Q506))</f>
        <v/>
      </c>
      <c r="J506" s="14" t="n"/>
      <c r="K506" s="13" t="n"/>
      <c r="L506" s="12" t="n"/>
      <c r="M506" s="48">
        <f>IF(E506="","",IF(J506="Bỏ qua","—",IF(J506="Xong",IF(AND(ISNUMBER(K506),ISNUMBER(I506),K506&gt;I506),"Xong trễ","Xong"),MID(IF(G506=""," · CHƯA GIAO","")&amp;IF(NOT(ISNUMBER(I506)),"",IF(TODAY()&gt;I506," · QUÁ HẠN "&amp;(TODAY()-I506)&amp;" ngày",IF(I506-TODAY()&lt;=3," · Đến hạn "&amp;IF(I506=TODAY(),"hôm nay","trong "&amp;(I506-TODAY())&amp;" ngày"),"")))&amp;IF(J506="Chờ đối tác"," · Chờ đối tác"&amp;IF(ISNUMBER(N506)," "&amp;(TODAY()-INT(N506))&amp;" ngày",""),""),4,200))))</f>
        <v/>
      </c>
      <c r="N506" s="49" t="n"/>
      <c r="S506">
        <f>IF(AND(E506&lt;&gt;"",T506="Có",J506&lt;&gt;"Xong",J506&lt;&gt;"Bỏ qua",ISNUMBER(I506)),I506+ROW()/100000,"")</f>
        <v/>
      </c>
      <c r="T506">
        <f>IF(O506="","",IFERROR(INDEX(SK_TD,MATCH(O506,SK_A,0)),""))</f>
        <v/>
      </c>
      <c r="V506">
        <f>IF(AND(O506&lt;&gt;"",O506=SEL_K,J506&lt;&gt;"Xong",J506&lt;&gt;"Bỏ qua"),IF(ISNUMBER(I506),I506,99999)+ROW()/100000,"")</f>
        <v/>
      </c>
    </row>
    <row r="507">
      <c r="A507" s="12">
        <f>IF(O507="","",IFERROR(INDEX(SK_B,MATCH(O507,SK_A,0))&amp;"",""))</f>
        <v/>
      </c>
      <c r="B507" s="45">
        <f>IF(O507="","",IFERROR(INDEX(SK_C,MATCH(O507,SK_A,0)),""))</f>
        <v/>
      </c>
      <c r="C507" s="46">
        <f>IF(Q507="","",IF(Q507=0,"D",IF(Q507&lt;0,"D"&amp;Q507,"D+"&amp;Q507)))</f>
        <v/>
      </c>
      <c r="D507" s="14" t="n"/>
      <c r="E507" s="12" t="n"/>
      <c r="F507" s="46" t="n"/>
      <c r="G507" s="47" t="n"/>
      <c r="H507" s="14" t="n"/>
      <c r="I507" s="13">
        <f>IF(OR(B507="",Q507=""),"",IF(Q507&gt;0,IF(R507="Làm việc",WORKDAY(IFERROR(IF(INDEX(SK_D,MATCH(O507,SK_A,0))="",B507,INDEX(SK_D,MATCH(O507,SK_A,0))),B507),Q507,HOLI),IFERROR(IF(INDEX(SK_D,MATCH(O507,SK_A,0))="",B507,INDEX(SK_D,MATCH(O507,SK_A,0))),B507)+Q507),B507+Q507))</f>
        <v/>
      </c>
      <c r="J507" s="14" t="n"/>
      <c r="K507" s="13" t="n"/>
      <c r="L507" s="12" t="n"/>
      <c r="M507" s="48">
        <f>IF(E507="","",IF(J507="Bỏ qua","—",IF(J507="Xong",IF(AND(ISNUMBER(K507),ISNUMBER(I507),K507&gt;I507),"Xong trễ","Xong"),MID(IF(G507=""," · CHƯA GIAO","")&amp;IF(NOT(ISNUMBER(I507)),"",IF(TODAY()&gt;I507," · QUÁ HẠN "&amp;(TODAY()-I507)&amp;" ngày",IF(I507-TODAY()&lt;=3," · Đến hạn "&amp;IF(I507=TODAY(),"hôm nay","trong "&amp;(I507-TODAY())&amp;" ngày"),"")))&amp;IF(J507="Chờ đối tác"," · Chờ đối tác"&amp;IF(ISNUMBER(N507)," "&amp;(TODAY()-INT(N507))&amp;" ngày",""),""),4,200))))</f>
        <v/>
      </c>
      <c r="N507" s="49" t="n"/>
      <c r="S507">
        <f>IF(AND(E507&lt;&gt;"",T507="Có",J507&lt;&gt;"Xong",J507&lt;&gt;"Bỏ qua",ISNUMBER(I507)),I507+ROW()/100000,"")</f>
        <v/>
      </c>
      <c r="T507">
        <f>IF(O507="","",IFERROR(INDEX(SK_TD,MATCH(O507,SK_A,0)),""))</f>
        <v/>
      </c>
      <c r="V507">
        <f>IF(AND(O507&lt;&gt;"",O507=SEL_K,J507&lt;&gt;"Xong",J507&lt;&gt;"Bỏ qua"),IF(ISNUMBER(I507),I507,99999)+ROW()/100000,"")</f>
        <v/>
      </c>
    </row>
    <row r="508">
      <c r="A508" s="12">
        <f>IF(O508="","",IFERROR(INDEX(SK_B,MATCH(O508,SK_A,0))&amp;"",""))</f>
        <v/>
      </c>
      <c r="B508" s="45">
        <f>IF(O508="","",IFERROR(INDEX(SK_C,MATCH(O508,SK_A,0)),""))</f>
        <v/>
      </c>
      <c r="C508" s="46">
        <f>IF(Q508="","",IF(Q508=0,"D",IF(Q508&lt;0,"D"&amp;Q508,"D+"&amp;Q508)))</f>
        <v/>
      </c>
      <c r="D508" s="14" t="n"/>
      <c r="E508" s="12" t="n"/>
      <c r="F508" s="46" t="n"/>
      <c r="G508" s="47" t="n"/>
      <c r="H508" s="14" t="n"/>
      <c r="I508" s="13">
        <f>IF(OR(B508="",Q508=""),"",IF(Q508&gt;0,IF(R508="Làm việc",WORKDAY(IFERROR(IF(INDEX(SK_D,MATCH(O508,SK_A,0))="",B508,INDEX(SK_D,MATCH(O508,SK_A,0))),B508),Q508,HOLI),IFERROR(IF(INDEX(SK_D,MATCH(O508,SK_A,0))="",B508,INDEX(SK_D,MATCH(O508,SK_A,0))),B508)+Q508),B508+Q508))</f>
        <v/>
      </c>
      <c r="J508" s="14" t="n"/>
      <c r="K508" s="13" t="n"/>
      <c r="L508" s="12" t="n"/>
      <c r="M508" s="48">
        <f>IF(E508="","",IF(J508="Bỏ qua","—",IF(J508="Xong",IF(AND(ISNUMBER(K508),ISNUMBER(I508),K508&gt;I508),"Xong trễ","Xong"),MID(IF(G508=""," · CHƯA GIAO","")&amp;IF(NOT(ISNUMBER(I508)),"",IF(TODAY()&gt;I508," · QUÁ HẠN "&amp;(TODAY()-I508)&amp;" ngày",IF(I508-TODAY()&lt;=3," · Đến hạn "&amp;IF(I508=TODAY(),"hôm nay","trong "&amp;(I508-TODAY())&amp;" ngày"),"")))&amp;IF(J508="Chờ đối tác"," · Chờ đối tác"&amp;IF(ISNUMBER(N508)," "&amp;(TODAY()-INT(N508))&amp;" ngày",""),""),4,200))))</f>
        <v/>
      </c>
      <c r="N508" s="49" t="n"/>
      <c r="S508">
        <f>IF(AND(E508&lt;&gt;"",T508="Có",J508&lt;&gt;"Xong",J508&lt;&gt;"Bỏ qua",ISNUMBER(I508)),I508+ROW()/100000,"")</f>
        <v/>
      </c>
      <c r="T508">
        <f>IF(O508="","",IFERROR(INDEX(SK_TD,MATCH(O508,SK_A,0)),""))</f>
        <v/>
      </c>
      <c r="V508">
        <f>IF(AND(O508&lt;&gt;"",O508=SEL_K,J508&lt;&gt;"Xong",J508&lt;&gt;"Bỏ qua"),IF(ISNUMBER(I508),I508,99999)+ROW()/100000,"")</f>
        <v/>
      </c>
    </row>
    <row r="509">
      <c r="A509" s="12">
        <f>IF(O509="","",IFERROR(INDEX(SK_B,MATCH(O509,SK_A,0))&amp;"",""))</f>
        <v/>
      </c>
      <c r="B509" s="45">
        <f>IF(O509="","",IFERROR(INDEX(SK_C,MATCH(O509,SK_A,0)),""))</f>
        <v/>
      </c>
      <c r="C509" s="46">
        <f>IF(Q509="","",IF(Q509=0,"D",IF(Q509&lt;0,"D"&amp;Q509,"D+"&amp;Q509)))</f>
        <v/>
      </c>
      <c r="D509" s="14" t="n"/>
      <c r="E509" s="12" t="n"/>
      <c r="F509" s="46" t="n"/>
      <c r="G509" s="47" t="n"/>
      <c r="H509" s="14" t="n"/>
      <c r="I509" s="13">
        <f>IF(OR(B509="",Q509=""),"",IF(Q509&gt;0,IF(R509="Làm việc",WORKDAY(IFERROR(IF(INDEX(SK_D,MATCH(O509,SK_A,0))="",B509,INDEX(SK_D,MATCH(O509,SK_A,0))),B509),Q509,HOLI),IFERROR(IF(INDEX(SK_D,MATCH(O509,SK_A,0))="",B509,INDEX(SK_D,MATCH(O509,SK_A,0))),B509)+Q509),B509+Q509))</f>
        <v/>
      </c>
      <c r="J509" s="14" t="n"/>
      <c r="K509" s="13" t="n"/>
      <c r="L509" s="12" t="n"/>
      <c r="M509" s="48">
        <f>IF(E509="","",IF(J509="Bỏ qua","—",IF(J509="Xong",IF(AND(ISNUMBER(K509),ISNUMBER(I509),K509&gt;I509),"Xong trễ","Xong"),MID(IF(G509=""," · CHƯA GIAO","")&amp;IF(NOT(ISNUMBER(I509)),"",IF(TODAY()&gt;I509," · QUÁ HẠN "&amp;(TODAY()-I509)&amp;" ngày",IF(I509-TODAY()&lt;=3," · Đến hạn "&amp;IF(I509=TODAY(),"hôm nay","trong "&amp;(I509-TODAY())&amp;" ngày"),"")))&amp;IF(J509="Chờ đối tác"," · Chờ đối tác"&amp;IF(ISNUMBER(N509)," "&amp;(TODAY()-INT(N509))&amp;" ngày",""),""),4,200))))</f>
        <v/>
      </c>
      <c r="N509" s="49" t="n"/>
      <c r="S509">
        <f>IF(AND(E509&lt;&gt;"",T509="Có",J509&lt;&gt;"Xong",J509&lt;&gt;"Bỏ qua",ISNUMBER(I509)),I509+ROW()/100000,"")</f>
        <v/>
      </c>
      <c r="T509">
        <f>IF(O509="","",IFERROR(INDEX(SK_TD,MATCH(O509,SK_A,0)),""))</f>
        <v/>
      </c>
      <c r="V509">
        <f>IF(AND(O509&lt;&gt;"",O509=SEL_K,J509&lt;&gt;"Xong",J509&lt;&gt;"Bỏ qua"),IF(ISNUMBER(I509),I509,99999)+ROW()/100000,"")</f>
        <v/>
      </c>
    </row>
    <row r="510">
      <c r="A510" s="12">
        <f>IF(O510="","",IFERROR(INDEX(SK_B,MATCH(O510,SK_A,0))&amp;"",""))</f>
        <v/>
      </c>
      <c r="B510" s="45">
        <f>IF(O510="","",IFERROR(INDEX(SK_C,MATCH(O510,SK_A,0)),""))</f>
        <v/>
      </c>
      <c r="C510" s="46">
        <f>IF(Q510="","",IF(Q510=0,"D",IF(Q510&lt;0,"D"&amp;Q510,"D+"&amp;Q510)))</f>
        <v/>
      </c>
      <c r="D510" s="14" t="n"/>
      <c r="E510" s="12" t="n"/>
      <c r="F510" s="46" t="n"/>
      <c r="G510" s="47" t="n"/>
      <c r="H510" s="14" t="n"/>
      <c r="I510" s="13">
        <f>IF(OR(B510="",Q510=""),"",IF(Q510&gt;0,IF(R510="Làm việc",WORKDAY(IFERROR(IF(INDEX(SK_D,MATCH(O510,SK_A,0))="",B510,INDEX(SK_D,MATCH(O510,SK_A,0))),B510),Q510,HOLI),IFERROR(IF(INDEX(SK_D,MATCH(O510,SK_A,0))="",B510,INDEX(SK_D,MATCH(O510,SK_A,0))),B510)+Q510),B510+Q510))</f>
        <v/>
      </c>
      <c r="J510" s="14" t="n"/>
      <c r="K510" s="13" t="n"/>
      <c r="L510" s="12" t="n"/>
      <c r="M510" s="48">
        <f>IF(E510="","",IF(J510="Bỏ qua","—",IF(J510="Xong",IF(AND(ISNUMBER(K510),ISNUMBER(I510),K510&gt;I510),"Xong trễ","Xong"),MID(IF(G510=""," · CHƯA GIAO","")&amp;IF(NOT(ISNUMBER(I510)),"",IF(TODAY()&gt;I510," · QUÁ HẠN "&amp;(TODAY()-I510)&amp;" ngày",IF(I510-TODAY()&lt;=3," · Đến hạn "&amp;IF(I510=TODAY(),"hôm nay","trong "&amp;(I510-TODAY())&amp;" ngày"),"")))&amp;IF(J510="Chờ đối tác"," · Chờ đối tác"&amp;IF(ISNUMBER(N510)," "&amp;(TODAY()-INT(N510))&amp;" ngày",""),""),4,200))))</f>
        <v/>
      </c>
      <c r="N510" s="49" t="n"/>
      <c r="S510">
        <f>IF(AND(E510&lt;&gt;"",T510="Có",J510&lt;&gt;"Xong",J510&lt;&gt;"Bỏ qua",ISNUMBER(I510)),I510+ROW()/100000,"")</f>
        <v/>
      </c>
      <c r="T510">
        <f>IF(O510="","",IFERROR(INDEX(SK_TD,MATCH(O510,SK_A,0)),""))</f>
        <v/>
      </c>
      <c r="V510">
        <f>IF(AND(O510&lt;&gt;"",O510=SEL_K,J510&lt;&gt;"Xong",J510&lt;&gt;"Bỏ qua"),IF(ISNUMBER(I510),I510,99999)+ROW()/100000,"")</f>
        <v/>
      </c>
    </row>
    <row r="511">
      <c r="A511" s="12">
        <f>IF(O511="","",IFERROR(INDEX(SK_B,MATCH(O511,SK_A,0))&amp;"",""))</f>
        <v/>
      </c>
      <c r="B511" s="45">
        <f>IF(O511="","",IFERROR(INDEX(SK_C,MATCH(O511,SK_A,0)),""))</f>
        <v/>
      </c>
      <c r="C511" s="46">
        <f>IF(Q511="","",IF(Q511=0,"D",IF(Q511&lt;0,"D"&amp;Q511,"D+"&amp;Q511)))</f>
        <v/>
      </c>
      <c r="D511" s="14" t="n"/>
      <c r="E511" s="12" t="n"/>
      <c r="F511" s="46" t="n"/>
      <c r="G511" s="47" t="n"/>
      <c r="H511" s="14" t="n"/>
      <c r="I511" s="13">
        <f>IF(OR(B511="",Q511=""),"",IF(Q511&gt;0,IF(R511="Làm việc",WORKDAY(IFERROR(IF(INDEX(SK_D,MATCH(O511,SK_A,0))="",B511,INDEX(SK_D,MATCH(O511,SK_A,0))),B511),Q511,HOLI),IFERROR(IF(INDEX(SK_D,MATCH(O511,SK_A,0))="",B511,INDEX(SK_D,MATCH(O511,SK_A,0))),B511)+Q511),B511+Q511))</f>
        <v/>
      </c>
      <c r="J511" s="14" t="n"/>
      <c r="K511" s="13" t="n"/>
      <c r="L511" s="12" t="n"/>
      <c r="M511" s="48">
        <f>IF(E511="","",IF(J511="Bỏ qua","—",IF(J511="Xong",IF(AND(ISNUMBER(K511),ISNUMBER(I511),K511&gt;I511),"Xong trễ","Xong"),MID(IF(G511=""," · CHƯA GIAO","")&amp;IF(NOT(ISNUMBER(I511)),"",IF(TODAY()&gt;I511," · QUÁ HẠN "&amp;(TODAY()-I511)&amp;" ngày",IF(I511-TODAY()&lt;=3," · Đến hạn "&amp;IF(I511=TODAY(),"hôm nay","trong "&amp;(I511-TODAY())&amp;" ngày"),"")))&amp;IF(J511="Chờ đối tác"," · Chờ đối tác"&amp;IF(ISNUMBER(N511)," "&amp;(TODAY()-INT(N511))&amp;" ngày",""),""),4,200))))</f>
        <v/>
      </c>
      <c r="N511" s="49" t="n"/>
      <c r="S511">
        <f>IF(AND(E511&lt;&gt;"",T511="Có",J511&lt;&gt;"Xong",J511&lt;&gt;"Bỏ qua",ISNUMBER(I511)),I511+ROW()/100000,"")</f>
        <v/>
      </c>
      <c r="T511">
        <f>IF(O511="","",IFERROR(INDEX(SK_TD,MATCH(O511,SK_A,0)),""))</f>
        <v/>
      </c>
      <c r="V511">
        <f>IF(AND(O511&lt;&gt;"",O511=SEL_K,J511&lt;&gt;"Xong",J511&lt;&gt;"Bỏ qua"),IF(ISNUMBER(I511),I511,99999)+ROW()/100000,"")</f>
        <v/>
      </c>
    </row>
    <row r="512">
      <c r="A512" s="12">
        <f>IF(O512="","",IFERROR(INDEX(SK_B,MATCH(O512,SK_A,0))&amp;"",""))</f>
        <v/>
      </c>
      <c r="B512" s="45">
        <f>IF(O512="","",IFERROR(INDEX(SK_C,MATCH(O512,SK_A,0)),""))</f>
        <v/>
      </c>
      <c r="C512" s="46">
        <f>IF(Q512="","",IF(Q512=0,"D",IF(Q512&lt;0,"D"&amp;Q512,"D+"&amp;Q512)))</f>
        <v/>
      </c>
      <c r="D512" s="14" t="n"/>
      <c r="E512" s="12" t="n"/>
      <c r="F512" s="46" t="n"/>
      <c r="G512" s="47" t="n"/>
      <c r="H512" s="14" t="n"/>
      <c r="I512" s="13">
        <f>IF(OR(B512="",Q512=""),"",IF(Q512&gt;0,IF(R512="Làm việc",WORKDAY(IFERROR(IF(INDEX(SK_D,MATCH(O512,SK_A,0))="",B512,INDEX(SK_D,MATCH(O512,SK_A,0))),B512),Q512,HOLI),IFERROR(IF(INDEX(SK_D,MATCH(O512,SK_A,0))="",B512,INDEX(SK_D,MATCH(O512,SK_A,0))),B512)+Q512),B512+Q512))</f>
        <v/>
      </c>
      <c r="J512" s="14" t="n"/>
      <c r="K512" s="13" t="n"/>
      <c r="L512" s="12" t="n"/>
      <c r="M512" s="48">
        <f>IF(E512="","",IF(J512="Bỏ qua","—",IF(J512="Xong",IF(AND(ISNUMBER(K512),ISNUMBER(I512),K512&gt;I512),"Xong trễ","Xong"),MID(IF(G512=""," · CHƯA GIAO","")&amp;IF(NOT(ISNUMBER(I512)),"",IF(TODAY()&gt;I512," · QUÁ HẠN "&amp;(TODAY()-I512)&amp;" ngày",IF(I512-TODAY()&lt;=3," · Đến hạn "&amp;IF(I512=TODAY(),"hôm nay","trong "&amp;(I512-TODAY())&amp;" ngày"),"")))&amp;IF(J512="Chờ đối tác"," · Chờ đối tác"&amp;IF(ISNUMBER(N512)," "&amp;(TODAY()-INT(N512))&amp;" ngày",""),""),4,200))))</f>
        <v/>
      </c>
      <c r="N512" s="49" t="n"/>
      <c r="S512">
        <f>IF(AND(E512&lt;&gt;"",T512="Có",J512&lt;&gt;"Xong",J512&lt;&gt;"Bỏ qua",ISNUMBER(I512)),I512+ROW()/100000,"")</f>
        <v/>
      </c>
      <c r="T512">
        <f>IF(O512="","",IFERROR(INDEX(SK_TD,MATCH(O512,SK_A,0)),""))</f>
        <v/>
      </c>
      <c r="V512">
        <f>IF(AND(O512&lt;&gt;"",O512=SEL_K,J512&lt;&gt;"Xong",J512&lt;&gt;"Bỏ qua"),IF(ISNUMBER(I512),I512,99999)+ROW()/100000,"")</f>
        <v/>
      </c>
    </row>
    <row r="513">
      <c r="A513" s="12">
        <f>IF(O513="","",IFERROR(INDEX(SK_B,MATCH(O513,SK_A,0))&amp;"",""))</f>
        <v/>
      </c>
      <c r="B513" s="45">
        <f>IF(O513="","",IFERROR(INDEX(SK_C,MATCH(O513,SK_A,0)),""))</f>
        <v/>
      </c>
      <c r="C513" s="46">
        <f>IF(Q513="","",IF(Q513=0,"D",IF(Q513&lt;0,"D"&amp;Q513,"D+"&amp;Q513)))</f>
        <v/>
      </c>
      <c r="D513" s="14" t="n"/>
      <c r="E513" s="12" t="n"/>
      <c r="F513" s="46" t="n"/>
      <c r="G513" s="47" t="n"/>
      <c r="H513" s="14" t="n"/>
      <c r="I513" s="13">
        <f>IF(OR(B513="",Q513=""),"",IF(Q513&gt;0,IF(R513="Làm việc",WORKDAY(IFERROR(IF(INDEX(SK_D,MATCH(O513,SK_A,0))="",B513,INDEX(SK_D,MATCH(O513,SK_A,0))),B513),Q513,HOLI),IFERROR(IF(INDEX(SK_D,MATCH(O513,SK_A,0))="",B513,INDEX(SK_D,MATCH(O513,SK_A,0))),B513)+Q513),B513+Q513))</f>
        <v/>
      </c>
      <c r="J513" s="14" t="n"/>
      <c r="K513" s="13" t="n"/>
      <c r="L513" s="12" t="n"/>
      <c r="M513" s="48">
        <f>IF(E513="","",IF(J513="Bỏ qua","—",IF(J513="Xong",IF(AND(ISNUMBER(K513),ISNUMBER(I513),K513&gt;I513),"Xong trễ","Xong"),MID(IF(G513=""," · CHƯA GIAO","")&amp;IF(NOT(ISNUMBER(I513)),"",IF(TODAY()&gt;I513," · QUÁ HẠN "&amp;(TODAY()-I513)&amp;" ngày",IF(I513-TODAY()&lt;=3," · Đến hạn "&amp;IF(I513=TODAY(),"hôm nay","trong "&amp;(I513-TODAY())&amp;" ngày"),"")))&amp;IF(J513="Chờ đối tác"," · Chờ đối tác"&amp;IF(ISNUMBER(N513)," "&amp;(TODAY()-INT(N513))&amp;" ngày",""),""),4,200))))</f>
        <v/>
      </c>
      <c r="N513" s="49" t="n"/>
      <c r="S513">
        <f>IF(AND(E513&lt;&gt;"",T513="Có",J513&lt;&gt;"Xong",J513&lt;&gt;"Bỏ qua",ISNUMBER(I513)),I513+ROW()/100000,"")</f>
        <v/>
      </c>
      <c r="T513">
        <f>IF(O513="","",IFERROR(INDEX(SK_TD,MATCH(O513,SK_A,0)),""))</f>
        <v/>
      </c>
      <c r="V513">
        <f>IF(AND(O513&lt;&gt;"",O513=SEL_K,J513&lt;&gt;"Xong",J513&lt;&gt;"Bỏ qua"),IF(ISNUMBER(I513),I513,99999)+ROW()/100000,"")</f>
        <v/>
      </c>
    </row>
    <row r="514">
      <c r="A514" s="12">
        <f>IF(O514="","",IFERROR(INDEX(SK_B,MATCH(O514,SK_A,0))&amp;"",""))</f>
        <v/>
      </c>
      <c r="B514" s="45">
        <f>IF(O514="","",IFERROR(INDEX(SK_C,MATCH(O514,SK_A,0)),""))</f>
        <v/>
      </c>
      <c r="C514" s="46">
        <f>IF(Q514="","",IF(Q514=0,"D",IF(Q514&lt;0,"D"&amp;Q514,"D+"&amp;Q514)))</f>
        <v/>
      </c>
      <c r="D514" s="14" t="n"/>
      <c r="E514" s="12" t="n"/>
      <c r="F514" s="46" t="n"/>
      <c r="G514" s="47" t="n"/>
      <c r="H514" s="14" t="n"/>
      <c r="I514" s="13">
        <f>IF(OR(B514="",Q514=""),"",IF(Q514&gt;0,IF(R514="Làm việc",WORKDAY(IFERROR(IF(INDEX(SK_D,MATCH(O514,SK_A,0))="",B514,INDEX(SK_D,MATCH(O514,SK_A,0))),B514),Q514,HOLI),IFERROR(IF(INDEX(SK_D,MATCH(O514,SK_A,0))="",B514,INDEX(SK_D,MATCH(O514,SK_A,0))),B514)+Q514),B514+Q514))</f>
        <v/>
      </c>
      <c r="J514" s="14" t="n"/>
      <c r="K514" s="13" t="n"/>
      <c r="L514" s="12" t="n"/>
      <c r="M514" s="48">
        <f>IF(E514="","",IF(J514="Bỏ qua","—",IF(J514="Xong",IF(AND(ISNUMBER(K514),ISNUMBER(I514),K514&gt;I514),"Xong trễ","Xong"),MID(IF(G514=""," · CHƯA GIAO","")&amp;IF(NOT(ISNUMBER(I514)),"",IF(TODAY()&gt;I514," · QUÁ HẠN "&amp;(TODAY()-I514)&amp;" ngày",IF(I514-TODAY()&lt;=3," · Đến hạn "&amp;IF(I514=TODAY(),"hôm nay","trong "&amp;(I514-TODAY())&amp;" ngày"),"")))&amp;IF(J514="Chờ đối tác"," · Chờ đối tác"&amp;IF(ISNUMBER(N514)," "&amp;(TODAY()-INT(N514))&amp;" ngày",""),""),4,200))))</f>
        <v/>
      </c>
      <c r="N514" s="49" t="n"/>
      <c r="S514">
        <f>IF(AND(E514&lt;&gt;"",T514="Có",J514&lt;&gt;"Xong",J514&lt;&gt;"Bỏ qua",ISNUMBER(I514)),I514+ROW()/100000,"")</f>
        <v/>
      </c>
      <c r="T514">
        <f>IF(O514="","",IFERROR(INDEX(SK_TD,MATCH(O514,SK_A,0)),""))</f>
        <v/>
      </c>
      <c r="V514">
        <f>IF(AND(O514&lt;&gt;"",O514=SEL_K,J514&lt;&gt;"Xong",J514&lt;&gt;"Bỏ qua"),IF(ISNUMBER(I514),I514,99999)+ROW()/100000,"")</f>
        <v/>
      </c>
    </row>
    <row r="515">
      <c r="A515" s="12">
        <f>IF(O515="","",IFERROR(INDEX(SK_B,MATCH(O515,SK_A,0))&amp;"",""))</f>
        <v/>
      </c>
      <c r="B515" s="45">
        <f>IF(O515="","",IFERROR(INDEX(SK_C,MATCH(O515,SK_A,0)),""))</f>
        <v/>
      </c>
      <c r="C515" s="46">
        <f>IF(Q515="","",IF(Q515=0,"D",IF(Q515&lt;0,"D"&amp;Q515,"D+"&amp;Q515)))</f>
        <v/>
      </c>
      <c r="D515" s="14" t="n"/>
      <c r="E515" s="12" t="n"/>
      <c r="F515" s="46" t="n"/>
      <c r="G515" s="47" t="n"/>
      <c r="H515" s="14" t="n"/>
      <c r="I515" s="13">
        <f>IF(OR(B515="",Q515=""),"",IF(Q515&gt;0,IF(R515="Làm việc",WORKDAY(IFERROR(IF(INDEX(SK_D,MATCH(O515,SK_A,0))="",B515,INDEX(SK_D,MATCH(O515,SK_A,0))),B515),Q515,HOLI),IFERROR(IF(INDEX(SK_D,MATCH(O515,SK_A,0))="",B515,INDEX(SK_D,MATCH(O515,SK_A,0))),B515)+Q515),B515+Q515))</f>
        <v/>
      </c>
      <c r="J515" s="14" t="n"/>
      <c r="K515" s="13" t="n"/>
      <c r="L515" s="12" t="n"/>
      <c r="M515" s="48">
        <f>IF(E515="","",IF(J515="Bỏ qua","—",IF(J515="Xong",IF(AND(ISNUMBER(K515),ISNUMBER(I515),K515&gt;I515),"Xong trễ","Xong"),MID(IF(G515=""," · CHƯA GIAO","")&amp;IF(NOT(ISNUMBER(I515)),"",IF(TODAY()&gt;I515," · QUÁ HẠN "&amp;(TODAY()-I515)&amp;" ngày",IF(I515-TODAY()&lt;=3," · Đến hạn "&amp;IF(I515=TODAY(),"hôm nay","trong "&amp;(I515-TODAY())&amp;" ngày"),"")))&amp;IF(J515="Chờ đối tác"," · Chờ đối tác"&amp;IF(ISNUMBER(N515)," "&amp;(TODAY()-INT(N515))&amp;" ngày",""),""),4,200))))</f>
        <v/>
      </c>
      <c r="N515" s="49" t="n"/>
      <c r="S515">
        <f>IF(AND(E515&lt;&gt;"",T515="Có",J515&lt;&gt;"Xong",J515&lt;&gt;"Bỏ qua",ISNUMBER(I515)),I515+ROW()/100000,"")</f>
        <v/>
      </c>
      <c r="T515">
        <f>IF(O515="","",IFERROR(INDEX(SK_TD,MATCH(O515,SK_A,0)),""))</f>
        <v/>
      </c>
      <c r="V515">
        <f>IF(AND(O515&lt;&gt;"",O515=SEL_K,J515&lt;&gt;"Xong",J515&lt;&gt;"Bỏ qua"),IF(ISNUMBER(I515),I515,99999)+ROW()/100000,"")</f>
        <v/>
      </c>
    </row>
    <row r="516">
      <c r="A516" s="12">
        <f>IF(O516="","",IFERROR(INDEX(SK_B,MATCH(O516,SK_A,0))&amp;"",""))</f>
        <v/>
      </c>
      <c r="B516" s="45">
        <f>IF(O516="","",IFERROR(INDEX(SK_C,MATCH(O516,SK_A,0)),""))</f>
        <v/>
      </c>
      <c r="C516" s="46">
        <f>IF(Q516="","",IF(Q516=0,"D",IF(Q516&lt;0,"D"&amp;Q516,"D+"&amp;Q516)))</f>
        <v/>
      </c>
      <c r="D516" s="14" t="n"/>
      <c r="E516" s="12" t="n"/>
      <c r="F516" s="46" t="n"/>
      <c r="G516" s="47" t="n"/>
      <c r="H516" s="14" t="n"/>
      <c r="I516" s="13">
        <f>IF(OR(B516="",Q516=""),"",IF(Q516&gt;0,IF(R516="Làm việc",WORKDAY(IFERROR(IF(INDEX(SK_D,MATCH(O516,SK_A,0))="",B516,INDEX(SK_D,MATCH(O516,SK_A,0))),B516),Q516,HOLI),IFERROR(IF(INDEX(SK_D,MATCH(O516,SK_A,0))="",B516,INDEX(SK_D,MATCH(O516,SK_A,0))),B516)+Q516),B516+Q516))</f>
        <v/>
      </c>
      <c r="J516" s="14" t="n"/>
      <c r="K516" s="13" t="n"/>
      <c r="L516" s="12" t="n"/>
      <c r="M516" s="48">
        <f>IF(E516="","",IF(J516="Bỏ qua","—",IF(J516="Xong",IF(AND(ISNUMBER(K516),ISNUMBER(I516),K516&gt;I516),"Xong trễ","Xong"),MID(IF(G516=""," · CHƯA GIAO","")&amp;IF(NOT(ISNUMBER(I516)),"",IF(TODAY()&gt;I516," · QUÁ HẠN "&amp;(TODAY()-I516)&amp;" ngày",IF(I516-TODAY()&lt;=3," · Đến hạn "&amp;IF(I516=TODAY(),"hôm nay","trong "&amp;(I516-TODAY())&amp;" ngày"),"")))&amp;IF(J516="Chờ đối tác"," · Chờ đối tác"&amp;IF(ISNUMBER(N516)," "&amp;(TODAY()-INT(N516))&amp;" ngày",""),""),4,200))))</f>
        <v/>
      </c>
      <c r="N516" s="49" t="n"/>
      <c r="S516">
        <f>IF(AND(E516&lt;&gt;"",T516="Có",J516&lt;&gt;"Xong",J516&lt;&gt;"Bỏ qua",ISNUMBER(I516)),I516+ROW()/100000,"")</f>
        <v/>
      </c>
      <c r="T516">
        <f>IF(O516="","",IFERROR(INDEX(SK_TD,MATCH(O516,SK_A,0)),""))</f>
        <v/>
      </c>
      <c r="V516">
        <f>IF(AND(O516&lt;&gt;"",O516=SEL_K,J516&lt;&gt;"Xong",J516&lt;&gt;"Bỏ qua"),IF(ISNUMBER(I516),I516,99999)+ROW()/100000,"")</f>
        <v/>
      </c>
    </row>
    <row r="517">
      <c r="A517" s="12">
        <f>IF(O517="","",IFERROR(INDEX(SK_B,MATCH(O517,SK_A,0))&amp;"",""))</f>
        <v/>
      </c>
      <c r="B517" s="45">
        <f>IF(O517="","",IFERROR(INDEX(SK_C,MATCH(O517,SK_A,0)),""))</f>
        <v/>
      </c>
      <c r="C517" s="46">
        <f>IF(Q517="","",IF(Q517=0,"D",IF(Q517&lt;0,"D"&amp;Q517,"D+"&amp;Q517)))</f>
        <v/>
      </c>
      <c r="D517" s="14" t="n"/>
      <c r="E517" s="12" t="n"/>
      <c r="F517" s="46" t="n"/>
      <c r="G517" s="47" t="n"/>
      <c r="H517" s="14" t="n"/>
      <c r="I517" s="13">
        <f>IF(OR(B517="",Q517=""),"",IF(Q517&gt;0,IF(R517="Làm việc",WORKDAY(IFERROR(IF(INDEX(SK_D,MATCH(O517,SK_A,0))="",B517,INDEX(SK_D,MATCH(O517,SK_A,0))),B517),Q517,HOLI),IFERROR(IF(INDEX(SK_D,MATCH(O517,SK_A,0))="",B517,INDEX(SK_D,MATCH(O517,SK_A,0))),B517)+Q517),B517+Q517))</f>
        <v/>
      </c>
      <c r="J517" s="14" t="n"/>
      <c r="K517" s="13" t="n"/>
      <c r="L517" s="12" t="n"/>
      <c r="M517" s="48">
        <f>IF(E517="","",IF(J517="Bỏ qua","—",IF(J517="Xong",IF(AND(ISNUMBER(K517),ISNUMBER(I517),K517&gt;I517),"Xong trễ","Xong"),MID(IF(G517=""," · CHƯA GIAO","")&amp;IF(NOT(ISNUMBER(I517)),"",IF(TODAY()&gt;I517," · QUÁ HẠN "&amp;(TODAY()-I517)&amp;" ngày",IF(I517-TODAY()&lt;=3," · Đến hạn "&amp;IF(I517=TODAY(),"hôm nay","trong "&amp;(I517-TODAY())&amp;" ngày"),"")))&amp;IF(J517="Chờ đối tác"," · Chờ đối tác"&amp;IF(ISNUMBER(N517)," "&amp;(TODAY()-INT(N517))&amp;" ngày",""),""),4,200))))</f>
        <v/>
      </c>
      <c r="N517" s="49" t="n"/>
      <c r="S517">
        <f>IF(AND(E517&lt;&gt;"",T517="Có",J517&lt;&gt;"Xong",J517&lt;&gt;"Bỏ qua",ISNUMBER(I517)),I517+ROW()/100000,"")</f>
        <v/>
      </c>
      <c r="T517">
        <f>IF(O517="","",IFERROR(INDEX(SK_TD,MATCH(O517,SK_A,0)),""))</f>
        <v/>
      </c>
      <c r="V517">
        <f>IF(AND(O517&lt;&gt;"",O517=SEL_K,J517&lt;&gt;"Xong",J517&lt;&gt;"Bỏ qua"),IF(ISNUMBER(I517),I517,99999)+ROW()/100000,"")</f>
        <v/>
      </c>
    </row>
    <row r="518">
      <c r="A518" s="12">
        <f>IF(O518="","",IFERROR(INDEX(SK_B,MATCH(O518,SK_A,0))&amp;"",""))</f>
        <v/>
      </c>
      <c r="B518" s="45">
        <f>IF(O518="","",IFERROR(INDEX(SK_C,MATCH(O518,SK_A,0)),""))</f>
        <v/>
      </c>
      <c r="C518" s="46">
        <f>IF(Q518="","",IF(Q518=0,"D",IF(Q518&lt;0,"D"&amp;Q518,"D+"&amp;Q518)))</f>
        <v/>
      </c>
      <c r="D518" s="14" t="n"/>
      <c r="E518" s="12" t="n"/>
      <c r="F518" s="46" t="n"/>
      <c r="G518" s="47" t="n"/>
      <c r="H518" s="14" t="n"/>
      <c r="I518" s="13">
        <f>IF(OR(B518="",Q518=""),"",IF(Q518&gt;0,IF(R518="Làm việc",WORKDAY(IFERROR(IF(INDEX(SK_D,MATCH(O518,SK_A,0))="",B518,INDEX(SK_D,MATCH(O518,SK_A,0))),B518),Q518,HOLI),IFERROR(IF(INDEX(SK_D,MATCH(O518,SK_A,0))="",B518,INDEX(SK_D,MATCH(O518,SK_A,0))),B518)+Q518),B518+Q518))</f>
        <v/>
      </c>
      <c r="J518" s="14" t="n"/>
      <c r="K518" s="13" t="n"/>
      <c r="L518" s="12" t="n"/>
      <c r="M518" s="48">
        <f>IF(E518="","",IF(J518="Bỏ qua","—",IF(J518="Xong",IF(AND(ISNUMBER(K518),ISNUMBER(I518),K518&gt;I518),"Xong trễ","Xong"),MID(IF(G518=""," · CHƯA GIAO","")&amp;IF(NOT(ISNUMBER(I518)),"",IF(TODAY()&gt;I518," · QUÁ HẠN "&amp;(TODAY()-I518)&amp;" ngày",IF(I518-TODAY()&lt;=3," · Đến hạn "&amp;IF(I518=TODAY(),"hôm nay","trong "&amp;(I518-TODAY())&amp;" ngày"),"")))&amp;IF(J518="Chờ đối tác"," · Chờ đối tác"&amp;IF(ISNUMBER(N518)," "&amp;(TODAY()-INT(N518))&amp;" ngày",""),""),4,200))))</f>
        <v/>
      </c>
      <c r="N518" s="49" t="n"/>
      <c r="S518">
        <f>IF(AND(E518&lt;&gt;"",T518="Có",J518&lt;&gt;"Xong",J518&lt;&gt;"Bỏ qua",ISNUMBER(I518)),I518+ROW()/100000,"")</f>
        <v/>
      </c>
      <c r="T518">
        <f>IF(O518="","",IFERROR(INDEX(SK_TD,MATCH(O518,SK_A,0)),""))</f>
        <v/>
      </c>
      <c r="V518">
        <f>IF(AND(O518&lt;&gt;"",O518=SEL_K,J518&lt;&gt;"Xong",J518&lt;&gt;"Bỏ qua"),IF(ISNUMBER(I518),I518,99999)+ROW()/100000,"")</f>
        <v/>
      </c>
    </row>
    <row r="519">
      <c r="A519" s="12">
        <f>IF(O519="","",IFERROR(INDEX(SK_B,MATCH(O519,SK_A,0))&amp;"",""))</f>
        <v/>
      </c>
      <c r="B519" s="45">
        <f>IF(O519="","",IFERROR(INDEX(SK_C,MATCH(O519,SK_A,0)),""))</f>
        <v/>
      </c>
      <c r="C519" s="46">
        <f>IF(Q519="","",IF(Q519=0,"D",IF(Q519&lt;0,"D"&amp;Q519,"D+"&amp;Q519)))</f>
        <v/>
      </c>
      <c r="D519" s="14" t="n"/>
      <c r="E519" s="12" t="n"/>
      <c r="F519" s="46" t="n"/>
      <c r="G519" s="47" t="n"/>
      <c r="H519" s="14" t="n"/>
      <c r="I519" s="13">
        <f>IF(OR(B519="",Q519=""),"",IF(Q519&gt;0,IF(R519="Làm việc",WORKDAY(IFERROR(IF(INDEX(SK_D,MATCH(O519,SK_A,0))="",B519,INDEX(SK_D,MATCH(O519,SK_A,0))),B519),Q519,HOLI),IFERROR(IF(INDEX(SK_D,MATCH(O519,SK_A,0))="",B519,INDEX(SK_D,MATCH(O519,SK_A,0))),B519)+Q519),B519+Q519))</f>
        <v/>
      </c>
      <c r="J519" s="14" t="n"/>
      <c r="K519" s="13" t="n"/>
      <c r="L519" s="12" t="n"/>
      <c r="M519" s="48">
        <f>IF(E519="","",IF(J519="Bỏ qua","—",IF(J519="Xong",IF(AND(ISNUMBER(K519),ISNUMBER(I519),K519&gt;I519),"Xong trễ","Xong"),MID(IF(G519=""," · CHƯA GIAO","")&amp;IF(NOT(ISNUMBER(I519)),"",IF(TODAY()&gt;I519," · QUÁ HẠN "&amp;(TODAY()-I519)&amp;" ngày",IF(I519-TODAY()&lt;=3," · Đến hạn "&amp;IF(I519=TODAY(),"hôm nay","trong "&amp;(I519-TODAY())&amp;" ngày"),"")))&amp;IF(J519="Chờ đối tác"," · Chờ đối tác"&amp;IF(ISNUMBER(N519)," "&amp;(TODAY()-INT(N519))&amp;" ngày",""),""),4,200))))</f>
        <v/>
      </c>
      <c r="N519" s="49" t="n"/>
      <c r="S519">
        <f>IF(AND(E519&lt;&gt;"",T519="Có",J519&lt;&gt;"Xong",J519&lt;&gt;"Bỏ qua",ISNUMBER(I519)),I519+ROW()/100000,"")</f>
        <v/>
      </c>
      <c r="T519">
        <f>IF(O519="","",IFERROR(INDEX(SK_TD,MATCH(O519,SK_A,0)),""))</f>
        <v/>
      </c>
      <c r="V519">
        <f>IF(AND(O519&lt;&gt;"",O519=SEL_K,J519&lt;&gt;"Xong",J519&lt;&gt;"Bỏ qua"),IF(ISNUMBER(I519),I519,99999)+ROW()/100000,"")</f>
        <v/>
      </c>
    </row>
    <row r="520">
      <c r="A520" s="12">
        <f>IF(O520="","",IFERROR(INDEX(SK_B,MATCH(O520,SK_A,0))&amp;"",""))</f>
        <v/>
      </c>
      <c r="B520" s="45">
        <f>IF(O520="","",IFERROR(INDEX(SK_C,MATCH(O520,SK_A,0)),""))</f>
        <v/>
      </c>
      <c r="C520" s="46">
        <f>IF(Q520="","",IF(Q520=0,"D",IF(Q520&lt;0,"D"&amp;Q520,"D+"&amp;Q520)))</f>
        <v/>
      </c>
      <c r="D520" s="14" t="n"/>
      <c r="E520" s="12" t="n"/>
      <c r="F520" s="46" t="n"/>
      <c r="G520" s="47" t="n"/>
      <c r="H520" s="14" t="n"/>
      <c r="I520" s="13">
        <f>IF(OR(B520="",Q520=""),"",IF(Q520&gt;0,IF(R520="Làm việc",WORKDAY(IFERROR(IF(INDEX(SK_D,MATCH(O520,SK_A,0))="",B520,INDEX(SK_D,MATCH(O520,SK_A,0))),B520),Q520,HOLI),IFERROR(IF(INDEX(SK_D,MATCH(O520,SK_A,0))="",B520,INDEX(SK_D,MATCH(O520,SK_A,0))),B520)+Q520),B520+Q520))</f>
        <v/>
      </c>
      <c r="J520" s="14" t="n"/>
      <c r="K520" s="13" t="n"/>
      <c r="L520" s="12" t="n"/>
      <c r="M520" s="48">
        <f>IF(E520="","",IF(J520="Bỏ qua","—",IF(J520="Xong",IF(AND(ISNUMBER(K520),ISNUMBER(I520),K520&gt;I520),"Xong trễ","Xong"),MID(IF(G520=""," · CHƯA GIAO","")&amp;IF(NOT(ISNUMBER(I520)),"",IF(TODAY()&gt;I520," · QUÁ HẠN "&amp;(TODAY()-I520)&amp;" ngày",IF(I520-TODAY()&lt;=3," · Đến hạn "&amp;IF(I520=TODAY(),"hôm nay","trong "&amp;(I520-TODAY())&amp;" ngày"),"")))&amp;IF(J520="Chờ đối tác"," · Chờ đối tác"&amp;IF(ISNUMBER(N520)," "&amp;(TODAY()-INT(N520))&amp;" ngày",""),""),4,200))))</f>
        <v/>
      </c>
      <c r="N520" s="49" t="n"/>
      <c r="S520">
        <f>IF(AND(E520&lt;&gt;"",T520="Có",J520&lt;&gt;"Xong",J520&lt;&gt;"Bỏ qua",ISNUMBER(I520)),I520+ROW()/100000,"")</f>
        <v/>
      </c>
      <c r="T520">
        <f>IF(O520="","",IFERROR(INDEX(SK_TD,MATCH(O520,SK_A,0)),""))</f>
        <v/>
      </c>
      <c r="V520">
        <f>IF(AND(O520&lt;&gt;"",O520=SEL_K,J520&lt;&gt;"Xong",J520&lt;&gt;"Bỏ qua"),IF(ISNUMBER(I520),I520,99999)+ROW()/100000,"")</f>
        <v/>
      </c>
    </row>
    <row r="521">
      <c r="A521" s="12">
        <f>IF(O521="","",IFERROR(INDEX(SK_B,MATCH(O521,SK_A,0))&amp;"",""))</f>
        <v/>
      </c>
      <c r="B521" s="45">
        <f>IF(O521="","",IFERROR(INDEX(SK_C,MATCH(O521,SK_A,0)),""))</f>
        <v/>
      </c>
      <c r="C521" s="46">
        <f>IF(Q521="","",IF(Q521=0,"D",IF(Q521&lt;0,"D"&amp;Q521,"D+"&amp;Q521)))</f>
        <v/>
      </c>
      <c r="D521" s="14" t="n"/>
      <c r="E521" s="12" t="n"/>
      <c r="F521" s="46" t="n"/>
      <c r="G521" s="47" t="n"/>
      <c r="H521" s="14" t="n"/>
      <c r="I521" s="13">
        <f>IF(OR(B521="",Q521=""),"",IF(Q521&gt;0,IF(R521="Làm việc",WORKDAY(IFERROR(IF(INDEX(SK_D,MATCH(O521,SK_A,0))="",B521,INDEX(SK_D,MATCH(O521,SK_A,0))),B521),Q521,HOLI),IFERROR(IF(INDEX(SK_D,MATCH(O521,SK_A,0))="",B521,INDEX(SK_D,MATCH(O521,SK_A,0))),B521)+Q521),B521+Q521))</f>
        <v/>
      </c>
      <c r="J521" s="14" t="n"/>
      <c r="K521" s="13" t="n"/>
      <c r="L521" s="12" t="n"/>
      <c r="M521" s="48">
        <f>IF(E521="","",IF(J521="Bỏ qua","—",IF(J521="Xong",IF(AND(ISNUMBER(K521),ISNUMBER(I521),K521&gt;I521),"Xong trễ","Xong"),MID(IF(G521=""," · CHƯA GIAO","")&amp;IF(NOT(ISNUMBER(I521)),"",IF(TODAY()&gt;I521," · QUÁ HẠN "&amp;(TODAY()-I521)&amp;" ngày",IF(I521-TODAY()&lt;=3," · Đến hạn "&amp;IF(I521=TODAY(),"hôm nay","trong "&amp;(I521-TODAY())&amp;" ngày"),"")))&amp;IF(J521="Chờ đối tác"," · Chờ đối tác"&amp;IF(ISNUMBER(N521)," "&amp;(TODAY()-INT(N521))&amp;" ngày",""),""),4,200))))</f>
        <v/>
      </c>
      <c r="N521" s="49" t="n"/>
      <c r="S521">
        <f>IF(AND(E521&lt;&gt;"",T521="Có",J521&lt;&gt;"Xong",J521&lt;&gt;"Bỏ qua",ISNUMBER(I521)),I521+ROW()/100000,"")</f>
        <v/>
      </c>
      <c r="T521">
        <f>IF(O521="","",IFERROR(INDEX(SK_TD,MATCH(O521,SK_A,0)),""))</f>
        <v/>
      </c>
      <c r="V521">
        <f>IF(AND(O521&lt;&gt;"",O521=SEL_K,J521&lt;&gt;"Xong",J521&lt;&gt;"Bỏ qua"),IF(ISNUMBER(I521),I521,99999)+ROW()/100000,"")</f>
        <v/>
      </c>
    </row>
    <row r="522">
      <c r="A522" s="12">
        <f>IF(O522="","",IFERROR(INDEX(SK_B,MATCH(O522,SK_A,0))&amp;"",""))</f>
        <v/>
      </c>
      <c r="B522" s="45">
        <f>IF(O522="","",IFERROR(INDEX(SK_C,MATCH(O522,SK_A,0)),""))</f>
        <v/>
      </c>
      <c r="C522" s="46">
        <f>IF(Q522="","",IF(Q522=0,"D",IF(Q522&lt;0,"D"&amp;Q522,"D+"&amp;Q522)))</f>
        <v/>
      </c>
      <c r="D522" s="14" t="n"/>
      <c r="E522" s="12" t="n"/>
      <c r="F522" s="46" t="n"/>
      <c r="G522" s="47" t="n"/>
      <c r="H522" s="14" t="n"/>
      <c r="I522" s="13">
        <f>IF(OR(B522="",Q522=""),"",IF(Q522&gt;0,IF(R522="Làm việc",WORKDAY(IFERROR(IF(INDEX(SK_D,MATCH(O522,SK_A,0))="",B522,INDEX(SK_D,MATCH(O522,SK_A,0))),B522),Q522,HOLI),IFERROR(IF(INDEX(SK_D,MATCH(O522,SK_A,0))="",B522,INDEX(SK_D,MATCH(O522,SK_A,0))),B522)+Q522),B522+Q522))</f>
        <v/>
      </c>
      <c r="J522" s="14" t="n"/>
      <c r="K522" s="13" t="n"/>
      <c r="L522" s="12" t="n"/>
      <c r="M522" s="48">
        <f>IF(E522="","",IF(J522="Bỏ qua","—",IF(J522="Xong",IF(AND(ISNUMBER(K522),ISNUMBER(I522),K522&gt;I522),"Xong trễ","Xong"),MID(IF(G522=""," · CHƯA GIAO","")&amp;IF(NOT(ISNUMBER(I522)),"",IF(TODAY()&gt;I522," · QUÁ HẠN "&amp;(TODAY()-I522)&amp;" ngày",IF(I522-TODAY()&lt;=3," · Đến hạn "&amp;IF(I522=TODAY(),"hôm nay","trong "&amp;(I522-TODAY())&amp;" ngày"),"")))&amp;IF(J522="Chờ đối tác"," · Chờ đối tác"&amp;IF(ISNUMBER(N522)," "&amp;(TODAY()-INT(N522))&amp;" ngày",""),""),4,200))))</f>
        <v/>
      </c>
      <c r="N522" s="49" t="n"/>
      <c r="S522">
        <f>IF(AND(E522&lt;&gt;"",T522="Có",J522&lt;&gt;"Xong",J522&lt;&gt;"Bỏ qua",ISNUMBER(I522)),I522+ROW()/100000,"")</f>
        <v/>
      </c>
      <c r="T522">
        <f>IF(O522="","",IFERROR(INDEX(SK_TD,MATCH(O522,SK_A,0)),""))</f>
        <v/>
      </c>
      <c r="V522">
        <f>IF(AND(O522&lt;&gt;"",O522=SEL_K,J522&lt;&gt;"Xong",J522&lt;&gt;"Bỏ qua"),IF(ISNUMBER(I522),I522,99999)+ROW()/100000,"")</f>
        <v/>
      </c>
    </row>
    <row r="523">
      <c r="A523" s="12">
        <f>IF(O523="","",IFERROR(INDEX(SK_B,MATCH(O523,SK_A,0))&amp;"",""))</f>
        <v/>
      </c>
      <c r="B523" s="45">
        <f>IF(O523="","",IFERROR(INDEX(SK_C,MATCH(O523,SK_A,0)),""))</f>
        <v/>
      </c>
      <c r="C523" s="46">
        <f>IF(Q523="","",IF(Q523=0,"D",IF(Q523&lt;0,"D"&amp;Q523,"D+"&amp;Q523)))</f>
        <v/>
      </c>
      <c r="D523" s="14" t="n"/>
      <c r="E523" s="12" t="n"/>
      <c r="F523" s="46" t="n"/>
      <c r="G523" s="47" t="n"/>
      <c r="H523" s="14" t="n"/>
      <c r="I523" s="13">
        <f>IF(OR(B523="",Q523=""),"",IF(Q523&gt;0,IF(R523="Làm việc",WORKDAY(IFERROR(IF(INDEX(SK_D,MATCH(O523,SK_A,0))="",B523,INDEX(SK_D,MATCH(O523,SK_A,0))),B523),Q523,HOLI),IFERROR(IF(INDEX(SK_D,MATCH(O523,SK_A,0))="",B523,INDEX(SK_D,MATCH(O523,SK_A,0))),B523)+Q523),B523+Q523))</f>
        <v/>
      </c>
      <c r="J523" s="14" t="n"/>
      <c r="K523" s="13" t="n"/>
      <c r="L523" s="12" t="n"/>
      <c r="M523" s="48">
        <f>IF(E523="","",IF(J523="Bỏ qua","—",IF(J523="Xong",IF(AND(ISNUMBER(K523),ISNUMBER(I523),K523&gt;I523),"Xong trễ","Xong"),MID(IF(G523=""," · CHƯA GIAO","")&amp;IF(NOT(ISNUMBER(I523)),"",IF(TODAY()&gt;I523," · QUÁ HẠN "&amp;(TODAY()-I523)&amp;" ngày",IF(I523-TODAY()&lt;=3," · Đến hạn "&amp;IF(I523=TODAY(),"hôm nay","trong "&amp;(I523-TODAY())&amp;" ngày"),"")))&amp;IF(J523="Chờ đối tác"," · Chờ đối tác"&amp;IF(ISNUMBER(N523)," "&amp;(TODAY()-INT(N523))&amp;" ngày",""),""),4,200))))</f>
        <v/>
      </c>
      <c r="N523" s="49" t="n"/>
      <c r="S523">
        <f>IF(AND(E523&lt;&gt;"",T523="Có",J523&lt;&gt;"Xong",J523&lt;&gt;"Bỏ qua",ISNUMBER(I523)),I523+ROW()/100000,"")</f>
        <v/>
      </c>
      <c r="T523">
        <f>IF(O523="","",IFERROR(INDEX(SK_TD,MATCH(O523,SK_A,0)),""))</f>
        <v/>
      </c>
      <c r="V523">
        <f>IF(AND(O523&lt;&gt;"",O523=SEL_K,J523&lt;&gt;"Xong",J523&lt;&gt;"Bỏ qua"),IF(ISNUMBER(I523),I523,99999)+ROW()/100000,"")</f>
        <v/>
      </c>
    </row>
    <row r="524">
      <c r="A524" s="12">
        <f>IF(O524="","",IFERROR(INDEX(SK_B,MATCH(O524,SK_A,0))&amp;"",""))</f>
        <v/>
      </c>
      <c r="B524" s="45">
        <f>IF(O524="","",IFERROR(INDEX(SK_C,MATCH(O524,SK_A,0)),""))</f>
        <v/>
      </c>
      <c r="C524" s="46">
        <f>IF(Q524="","",IF(Q524=0,"D",IF(Q524&lt;0,"D"&amp;Q524,"D+"&amp;Q524)))</f>
        <v/>
      </c>
      <c r="D524" s="14" t="n"/>
      <c r="E524" s="12" t="n"/>
      <c r="F524" s="46" t="n"/>
      <c r="G524" s="47" t="n"/>
      <c r="H524" s="14" t="n"/>
      <c r="I524" s="13">
        <f>IF(OR(B524="",Q524=""),"",IF(Q524&gt;0,IF(R524="Làm việc",WORKDAY(IFERROR(IF(INDEX(SK_D,MATCH(O524,SK_A,0))="",B524,INDEX(SK_D,MATCH(O524,SK_A,0))),B524),Q524,HOLI),IFERROR(IF(INDEX(SK_D,MATCH(O524,SK_A,0))="",B524,INDEX(SK_D,MATCH(O524,SK_A,0))),B524)+Q524),B524+Q524))</f>
        <v/>
      </c>
      <c r="J524" s="14" t="n"/>
      <c r="K524" s="13" t="n"/>
      <c r="L524" s="12" t="n"/>
      <c r="M524" s="48">
        <f>IF(E524="","",IF(J524="Bỏ qua","—",IF(J524="Xong",IF(AND(ISNUMBER(K524),ISNUMBER(I524),K524&gt;I524),"Xong trễ","Xong"),MID(IF(G524=""," · CHƯA GIAO","")&amp;IF(NOT(ISNUMBER(I524)),"",IF(TODAY()&gt;I524," · QUÁ HẠN "&amp;(TODAY()-I524)&amp;" ngày",IF(I524-TODAY()&lt;=3," · Đến hạn "&amp;IF(I524=TODAY(),"hôm nay","trong "&amp;(I524-TODAY())&amp;" ngày"),"")))&amp;IF(J524="Chờ đối tác"," · Chờ đối tác"&amp;IF(ISNUMBER(N524)," "&amp;(TODAY()-INT(N524))&amp;" ngày",""),""),4,200))))</f>
        <v/>
      </c>
      <c r="N524" s="49" t="n"/>
      <c r="S524">
        <f>IF(AND(E524&lt;&gt;"",T524="Có",J524&lt;&gt;"Xong",J524&lt;&gt;"Bỏ qua",ISNUMBER(I524)),I524+ROW()/100000,"")</f>
        <v/>
      </c>
      <c r="T524">
        <f>IF(O524="","",IFERROR(INDEX(SK_TD,MATCH(O524,SK_A,0)),""))</f>
        <v/>
      </c>
      <c r="V524">
        <f>IF(AND(O524&lt;&gt;"",O524=SEL_K,J524&lt;&gt;"Xong",J524&lt;&gt;"Bỏ qua"),IF(ISNUMBER(I524),I524,99999)+ROW()/100000,"")</f>
        <v/>
      </c>
    </row>
    <row r="525">
      <c r="A525" s="12">
        <f>IF(O525="","",IFERROR(INDEX(SK_B,MATCH(O525,SK_A,0))&amp;"",""))</f>
        <v/>
      </c>
      <c r="B525" s="45">
        <f>IF(O525="","",IFERROR(INDEX(SK_C,MATCH(O525,SK_A,0)),""))</f>
        <v/>
      </c>
      <c r="C525" s="46">
        <f>IF(Q525="","",IF(Q525=0,"D",IF(Q525&lt;0,"D"&amp;Q525,"D+"&amp;Q525)))</f>
        <v/>
      </c>
      <c r="D525" s="14" t="n"/>
      <c r="E525" s="12" t="n"/>
      <c r="F525" s="46" t="n"/>
      <c r="G525" s="47" t="n"/>
      <c r="H525" s="14" t="n"/>
      <c r="I525" s="13">
        <f>IF(OR(B525="",Q525=""),"",IF(Q525&gt;0,IF(R525="Làm việc",WORKDAY(IFERROR(IF(INDEX(SK_D,MATCH(O525,SK_A,0))="",B525,INDEX(SK_D,MATCH(O525,SK_A,0))),B525),Q525,HOLI),IFERROR(IF(INDEX(SK_D,MATCH(O525,SK_A,0))="",B525,INDEX(SK_D,MATCH(O525,SK_A,0))),B525)+Q525),B525+Q525))</f>
        <v/>
      </c>
      <c r="J525" s="14" t="n"/>
      <c r="K525" s="13" t="n"/>
      <c r="L525" s="12" t="n"/>
      <c r="M525" s="48">
        <f>IF(E525="","",IF(J525="Bỏ qua","—",IF(J525="Xong",IF(AND(ISNUMBER(K525),ISNUMBER(I525),K525&gt;I525),"Xong trễ","Xong"),MID(IF(G525=""," · CHƯA GIAO","")&amp;IF(NOT(ISNUMBER(I525)),"",IF(TODAY()&gt;I525," · QUÁ HẠN "&amp;(TODAY()-I525)&amp;" ngày",IF(I525-TODAY()&lt;=3," · Đến hạn "&amp;IF(I525=TODAY(),"hôm nay","trong "&amp;(I525-TODAY())&amp;" ngày"),"")))&amp;IF(J525="Chờ đối tác"," · Chờ đối tác"&amp;IF(ISNUMBER(N525)," "&amp;(TODAY()-INT(N525))&amp;" ngày",""),""),4,200))))</f>
        <v/>
      </c>
      <c r="N525" s="49" t="n"/>
      <c r="S525">
        <f>IF(AND(E525&lt;&gt;"",T525="Có",J525&lt;&gt;"Xong",J525&lt;&gt;"Bỏ qua",ISNUMBER(I525)),I525+ROW()/100000,"")</f>
        <v/>
      </c>
      <c r="T525">
        <f>IF(O525="","",IFERROR(INDEX(SK_TD,MATCH(O525,SK_A,0)),""))</f>
        <v/>
      </c>
      <c r="V525">
        <f>IF(AND(O525&lt;&gt;"",O525=SEL_K,J525&lt;&gt;"Xong",J525&lt;&gt;"Bỏ qua"),IF(ISNUMBER(I525),I525,99999)+ROW()/100000,"")</f>
        <v/>
      </c>
    </row>
    <row r="526">
      <c r="A526" s="12">
        <f>IF(O526="","",IFERROR(INDEX(SK_B,MATCH(O526,SK_A,0))&amp;"",""))</f>
        <v/>
      </c>
      <c r="B526" s="45">
        <f>IF(O526="","",IFERROR(INDEX(SK_C,MATCH(O526,SK_A,0)),""))</f>
        <v/>
      </c>
      <c r="C526" s="46">
        <f>IF(Q526="","",IF(Q526=0,"D",IF(Q526&lt;0,"D"&amp;Q526,"D+"&amp;Q526)))</f>
        <v/>
      </c>
      <c r="D526" s="14" t="n"/>
      <c r="E526" s="12" t="n"/>
      <c r="F526" s="46" t="n"/>
      <c r="G526" s="47" t="n"/>
      <c r="H526" s="14" t="n"/>
      <c r="I526" s="13">
        <f>IF(OR(B526="",Q526=""),"",IF(Q526&gt;0,IF(R526="Làm việc",WORKDAY(IFERROR(IF(INDEX(SK_D,MATCH(O526,SK_A,0))="",B526,INDEX(SK_D,MATCH(O526,SK_A,0))),B526),Q526,HOLI),IFERROR(IF(INDEX(SK_D,MATCH(O526,SK_A,0))="",B526,INDEX(SK_D,MATCH(O526,SK_A,0))),B526)+Q526),B526+Q526))</f>
        <v/>
      </c>
      <c r="J526" s="14" t="n"/>
      <c r="K526" s="13" t="n"/>
      <c r="L526" s="12" t="n"/>
      <c r="M526" s="48">
        <f>IF(E526="","",IF(J526="Bỏ qua","—",IF(J526="Xong",IF(AND(ISNUMBER(K526),ISNUMBER(I526),K526&gt;I526),"Xong trễ","Xong"),MID(IF(G526=""," · CHƯA GIAO","")&amp;IF(NOT(ISNUMBER(I526)),"",IF(TODAY()&gt;I526," · QUÁ HẠN "&amp;(TODAY()-I526)&amp;" ngày",IF(I526-TODAY()&lt;=3," · Đến hạn "&amp;IF(I526=TODAY(),"hôm nay","trong "&amp;(I526-TODAY())&amp;" ngày"),"")))&amp;IF(J526="Chờ đối tác"," · Chờ đối tác"&amp;IF(ISNUMBER(N526)," "&amp;(TODAY()-INT(N526))&amp;" ngày",""),""),4,200))))</f>
        <v/>
      </c>
      <c r="N526" s="49" t="n"/>
      <c r="S526">
        <f>IF(AND(E526&lt;&gt;"",T526="Có",J526&lt;&gt;"Xong",J526&lt;&gt;"Bỏ qua",ISNUMBER(I526)),I526+ROW()/100000,"")</f>
        <v/>
      </c>
      <c r="T526">
        <f>IF(O526="","",IFERROR(INDEX(SK_TD,MATCH(O526,SK_A,0)),""))</f>
        <v/>
      </c>
      <c r="V526">
        <f>IF(AND(O526&lt;&gt;"",O526=SEL_K,J526&lt;&gt;"Xong",J526&lt;&gt;"Bỏ qua"),IF(ISNUMBER(I526),I526,99999)+ROW()/100000,"")</f>
        <v/>
      </c>
    </row>
    <row r="527">
      <c r="A527" s="12">
        <f>IF(O527="","",IFERROR(INDEX(SK_B,MATCH(O527,SK_A,0))&amp;"",""))</f>
        <v/>
      </c>
      <c r="B527" s="45">
        <f>IF(O527="","",IFERROR(INDEX(SK_C,MATCH(O527,SK_A,0)),""))</f>
        <v/>
      </c>
      <c r="C527" s="46">
        <f>IF(Q527="","",IF(Q527=0,"D",IF(Q527&lt;0,"D"&amp;Q527,"D+"&amp;Q527)))</f>
        <v/>
      </c>
      <c r="D527" s="14" t="n"/>
      <c r="E527" s="12" t="n"/>
      <c r="F527" s="46" t="n"/>
      <c r="G527" s="47" t="n"/>
      <c r="H527" s="14" t="n"/>
      <c r="I527" s="13">
        <f>IF(OR(B527="",Q527=""),"",IF(Q527&gt;0,IF(R527="Làm việc",WORKDAY(IFERROR(IF(INDEX(SK_D,MATCH(O527,SK_A,0))="",B527,INDEX(SK_D,MATCH(O527,SK_A,0))),B527),Q527,HOLI),IFERROR(IF(INDEX(SK_D,MATCH(O527,SK_A,0))="",B527,INDEX(SK_D,MATCH(O527,SK_A,0))),B527)+Q527),B527+Q527))</f>
        <v/>
      </c>
      <c r="J527" s="14" t="n"/>
      <c r="K527" s="13" t="n"/>
      <c r="L527" s="12" t="n"/>
      <c r="M527" s="48">
        <f>IF(E527="","",IF(J527="Bỏ qua","—",IF(J527="Xong",IF(AND(ISNUMBER(K527),ISNUMBER(I527),K527&gt;I527),"Xong trễ","Xong"),MID(IF(G527=""," · CHƯA GIAO","")&amp;IF(NOT(ISNUMBER(I527)),"",IF(TODAY()&gt;I527," · QUÁ HẠN "&amp;(TODAY()-I527)&amp;" ngày",IF(I527-TODAY()&lt;=3," · Đến hạn "&amp;IF(I527=TODAY(),"hôm nay","trong "&amp;(I527-TODAY())&amp;" ngày"),"")))&amp;IF(J527="Chờ đối tác"," · Chờ đối tác"&amp;IF(ISNUMBER(N527)," "&amp;(TODAY()-INT(N527))&amp;" ngày",""),""),4,200))))</f>
        <v/>
      </c>
      <c r="N527" s="49" t="n"/>
      <c r="S527">
        <f>IF(AND(E527&lt;&gt;"",T527="Có",J527&lt;&gt;"Xong",J527&lt;&gt;"Bỏ qua",ISNUMBER(I527)),I527+ROW()/100000,"")</f>
        <v/>
      </c>
      <c r="T527">
        <f>IF(O527="","",IFERROR(INDEX(SK_TD,MATCH(O527,SK_A,0)),""))</f>
        <v/>
      </c>
      <c r="V527">
        <f>IF(AND(O527&lt;&gt;"",O527=SEL_K,J527&lt;&gt;"Xong",J527&lt;&gt;"Bỏ qua"),IF(ISNUMBER(I527),I527,99999)+ROW()/100000,"")</f>
        <v/>
      </c>
    </row>
    <row r="528">
      <c r="A528" s="12">
        <f>IF(O528="","",IFERROR(INDEX(SK_B,MATCH(O528,SK_A,0))&amp;"",""))</f>
        <v/>
      </c>
      <c r="B528" s="45">
        <f>IF(O528="","",IFERROR(INDEX(SK_C,MATCH(O528,SK_A,0)),""))</f>
        <v/>
      </c>
      <c r="C528" s="46">
        <f>IF(Q528="","",IF(Q528=0,"D",IF(Q528&lt;0,"D"&amp;Q528,"D+"&amp;Q528)))</f>
        <v/>
      </c>
      <c r="D528" s="14" t="n"/>
      <c r="E528" s="12" t="n"/>
      <c r="F528" s="46" t="n"/>
      <c r="G528" s="47" t="n"/>
      <c r="H528" s="14" t="n"/>
      <c r="I528" s="13">
        <f>IF(OR(B528="",Q528=""),"",IF(Q528&gt;0,IF(R528="Làm việc",WORKDAY(IFERROR(IF(INDEX(SK_D,MATCH(O528,SK_A,0))="",B528,INDEX(SK_D,MATCH(O528,SK_A,0))),B528),Q528,HOLI),IFERROR(IF(INDEX(SK_D,MATCH(O528,SK_A,0))="",B528,INDEX(SK_D,MATCH(O528,SK_A,0))),B528)+Q528),B528+Q528))</f>
        <v/>
      </c>
      <c r="J528" s="14" t="n"/>
      <c r="K528" s="13" t="n"/>
      <c r="L528" s="12" t="n"/>
      <c r="M528" s="48">
        <f>IF(E528="","",IF(J528="Bỏ qua","—",IF(J528="Xong",IF(AND(ISNUMBER(K528),ISNUMBER(I528),K528&gt;I528),"Xong trễ","Xong"),MID(IF(G528=""," · CHƯA GIAO","")&amp;IF(NOT(ISNUMBER(I528)),"",IF(TODAY()&gt;I528," · QUÁ HẠN "&amp;(TODAY()-I528)&amp;" ngày",IF(I528-TODAY()&lt;=3," · Đến hạn "&amp;IF(I528=TODAY(),"hôm nay","trong "&amp;(I528-TODAY())&amp;" ngày"),"")))&amp;IF(J528="Chờ đối tác"," · Chờ đối tác"&amp;IF(ISNUMBER(N528)," "&amp;(TODAY()-INT(N528))&amp;" ngày",""),""),4,200))))</f>
        <v/>
      </c>
      <c r="N528" s="49" t="n"/>
      <c r="S528">
        <f>IF(AND(E528&lt;&gt;"",T528="Có",J528&lt;&gt;"Xong",J528&lt;&gt;"Bỏ qua",ISNUMBER(I528)),I528+ROW()/100000,"")</f>
        <v/>
      </c>
      <c r="T528">
        <f>IF(O528="","",IFERROR(INDEX(SK_TD,MATCH(O528,SK_A,0)),""))</f>
        <v/>
      </c>
      <c r="V528">
        <f>IF(AND(O528&lt;&gt;"",O528=SEL_K,J528&lt;&gt;"Xong",J528&lt;&gt;"Bỏ qua"),IF(ISNUMBER(I528),I528,99999)+ROW()/100000,"")</f>
        <v/>
      </c>
    </row>
    <row r="529">
      <c r="A529" s="12">
        <f>IF(O529="","",IFERROR(INDEX(SK_B,MATCH(O529,SK_A,0))&amp;"",""))</f>
        <v/>
      </c>
      <c r="B529" s="45">
        <f>IF(O529="","",IFERROR(INDEX(SK_C,MATCH(O529,SK_A,0)),""))</f>
        <v/>
      </c>
      <c r="C529" s="46">
        <f>IF(Q529="","",IF(Q529=0,"D",IF(Q529&lt;0,"D"&amp;Q529,"D+"&amp;Q529)))</f>
        <v/>
      </c>
      <c r="D529" s="14" t="n"/>
      <c r="E529" s="12" t="n"/>
      <c r="F529" s="46" t="n"/>
      <c r="G529" s="47" t="n"/>
      <c r="H529" s="14" t="n"/>
      <c r="I529" s="13">
        <f>IF(OR(B529="",Q529=""),"",IF(Q529&gt;0,IF(R529="Làm việc",WORKDAY(IFERROR(IF(INDEX(SK_D,MATCH(O529,SK_A,0))="",B529,INDEX(SK_D,MATCH(O529,SK_A,0))),B529),Q529,HOLI),IFERROR(IF(INDEX(SK_D,MATCH(O529,SK_A,0))="",B529,INDEX(SK_D,MATCH(O529,SK_A,0))),B529)+Q529),B529+Q529))</f>
        <v/>
      </c>
      <c r="J529" s="14" t="n"/>
      <c r="K529" s="13" t="n"/>
      <c r="L529" s="12" t="n"/>
      <c r="M529" s="48">
        <f>IF(E529="","",IF(J529="Bỏ qua","—",IF(J529="Xong",IF(AND(ISNUMBER(K529),ISNUMBER(I529),K529&gt;I529),"Xong trễ","Xong"),MID(IF(G529=""," · CHƯA GIAO","")&amp;IF(NOT(ISNUMBER(I529)),"",IF(TODAY()&gt;I529," · QUÁ HẠN "&amp;(TODAY()-I529)&amp;" ngày",IF(I529-TODAY()&lt;=3," · Đến hạn "&amp;IF(I529=TODAY(),"hôm nay","trong "&amp;(I529-TODAY())&amp;" ngày"),"")))&amp;IF(J529="Chờ đối tác"," · Chờ đối tác"&amp;IF(ISNUMBER(N529)," "&amp;(TODAY()-INT(N529))&amp;" ngày",""),""),4,200))))</f>
        <v/>
      </c>
      <c r="N529" s="49" t="n"/>
      <c r="S529">
        <f>IF(AND(E529&lt;&gt;"",T529="Có",J529&lt;&gt;"Xong",J529&lt;&gt;"Bỏ qua",ISNUMBER(I529)),I529+ROW()/100000,"")</f>
        <v/>
      </c>
      <c r="T529">
        <f>IF(O529="","",IFERROR(INDEX(SK_TD,MATCH(O529,SK_A,0)),""))</f>
        <v/>
      </c>
      <c r="V529">
        <f>IF(AND(O529&lt;&gt;"",O529=SEL_K,J529&lt;&gt;"Xong",J529&lt;&gt;"Bỏ qua"),IF(ISNUMBER(I529),I529,99999)+ROW()/100000,"")</f>
        <v/>
      </c>
    </row>
    <row r="530">
      <c r="A530" s="12">
        <f>IF(O530="","",IFERROR(INDEX(SK_B,MATCH(O530,SK_A,0))&amp;"",""))</f>
        <v/>
      </c>
      <c r="B530" s="45">
        <f>IF(O530="","",IFERROR(INDEX(SK_C,MATCH(O530,SK_A,0)),""))</f>
        <v/>
      </c>
      <c r="C530" s="46">
        <f>IF(Q530="","",IF(Q530=0,"D",IF(Q530&lt;0,"D"&amp;Q530,"D+"&amp;Q530)))</f>
        <v/>
      </c>
      <c r="D530" s="14" t="n"/>
      <c r="E530" s="12" t="n"/>
      <c r="F530" s="46" t="n"/>
      <c r="G530" s="47" t="n"/>
      <c r="H530" s="14" t="n"/>
      <c r="I530" s="13">
        <f>IF(OR(B530="",Q530=""),"",IF(Q530&gt;0,IF(R530="Làm việc",WORKDAY(IFERROR(IF(INDEX(SK_D,MATCH(O530,SK_A,0))="",B530,INDEX(SK_D,MATCH(O530,SK_A,0))),B530),Q530,HOLI),IFERROR(IF(INDEX(SK_D,MATCH(O530,SK_A,0))="",B530,INDEX(SK_D,MATCH(O530,SK_A,0))),B530)+Q530),B530+Q530))</f>
        <v/>
      </c>
      <c r="J530" s="14" t="n"/>
      <c r="K530" s="13" t="n"/>
      <c r="L530" s="12" t="n"/>
      <c r="M530" s="48">
        <f>IF(E530="","",IF(J530="Bỏ qua","—",IF(J530="Xong",IF(AND(ISNUMBER(K530),ISNUMBER(I530),K530&gt;I530),"Xong trễ","Xong"),MID(IF(G530=""," · CHƯA GIAO","")&amp;IF(NOT(ISNUMBER(I530)),"",IF(TODAY()&gt;I530," · QUÁ HẠN "&amp;(TODAY()-I530)&amp;" ngày",IF(I530-TODAY()&lt;=3," · Đến hạn "&amp;IF(I530=TODAY(),"hôm nay","trong "&amp;(I530-TODAY())&amp;" ngày"),"")))&amp;IF(J530="Chờ đối tác"," · Chờ đối tác"&amp;IF(ISNUMBER(N530)," "&amp;(TODAY()-INT(N530))&amp;" ngày",""),""),4,200))))</f>
        <v/>
      </c>
      <c r="N530" s="49" t="n"/>
      <c r="S530">
        <f>IF(AND(E530&lt;&gt;"",T530="Có",J530&lt;&gt;"Xong",J530&lt;&gt;"Bỏ qua",ISNUMBER(I530)),I530+ROW()/100000,"")</f>
        <v/>
      </c>
      <c r="T530">
        <f>IF(O530="","",IFERROR(INDEX(SK_TD,MATCH(O530,SK_A,0)),""))</f>
        <v/>
      </c>
      <c r="V530">
        <f>IF(AND(O530&lt;&gt;"",O530=SEL_K,J530&lt;&gt;"Xong",J530&lt;&gt;"Bỏ qua"),IF(ISNUMBER(I530),I530,99999)+ROW()/100000,"")</f>
        <v/>
      </c>
    </row>
    <row r="531">
      <c r="A531" s="12">
        <f>IF(O531="","",IFERROR(INDEX(SK_B,MATCH(O531,SK_A,0))&amp;"",""))</f>
        <v/>
      </c>
      <c r="B531" s="45">
        <f>IF(O531="","",IFERROR(INDEX(SK_C,MATCH(O531,SK_A,0)),""))</f>
        <v/>
      </c>
      <c r="C531" s="46">
        <f>IF(Q531="","",IF(Q531=0,"D",IF(Q531&lt;0,"D"&amp;Q531,"D+"&amp;Q531)))</f>
        <v/>
      </c>
      <c r="D531" s="14" t="n"/>
      <c r="E531" s="12" t="n"/>
      <c r="F531" s="46" t="n"/>
      <c r="G531" s="47" t="n"/>
      <c r="H531" s="14" t="n"/>
      <c r="I531" s="13">
        <f>IF(OR(B531="",Q531=""),"",IF(Q531&gt;0,IF(R531="Làm việc",WORKDAY(IFERROR(IF(INDEX(SK_D,MATCH(O531,SK_A,0))="",B531,INDEX(SK_D,MATCH(O531,SK_A,0))),B531),Q531,HOLI),IFERROR(IF(INDEX(SK_D,MATCH(O531,SK_A,0))="",B531,INDEX(SK_D,MATCH(O531,SK_A,0))),B531)+Q531),B531+Q531))</f>
        <v/>
      </c>
      <c r="J531" s="14" t="n"/>
      <c r="K531" s="13" t="n"/>
      <c r="L531" s="12" t="n"/>
      <c r="M531" s="48">
        <f>IF(E531="","",IF(J531="Bỏ qua","—",IF(J531="Xong",IF(AND(ISNUMBER(K531),ISNUMBER(I531),K531&gt;I531),"Xong trễ","Xong"),MID(IF(G531=""," · CHƯA GIAO","")&amp;IF(NOT(ISNUMBER(I531)),"",IF(TODAY()&gt;I531," · QUÁ HẠN "&amp;(TODAY()-I531)&amp;" ngày",IF(I531-TODAY()&lt;=3," · Đến hạn "&amp;IF(I531=TODAY(),"hôm nay","trong "&amp;(I531-TODAY())&amp;" ngày"),"")))&amp;IF(J531="Chờ đối tác"," · Chờ đối tác"&amp;IF(ISNUMBER(N531)," "&amp;(TODAY()-INT(N531))&amp;" ngày",""),""),4,200))))</f>
        <v/>
      </c>
      <c r="N531" s="49" t="n"/>
      <c r="S531">
        <f>IF(AND(E531&lt;&gt;"",T531="Có",J531&lt;&gt;"Xong",J531&lt;&gt;"Bỏ qua",ISNUMBER(I531)),I531+ROW()/100000,"")</f>
        <v/>
      </c>
      <c r="T531">
        <f>IF(O531="","",IFERROR(INDEX(SK_TD,MATCH(O531,SK_A,0)),""))</f>
        <v/>
      </c>
      <c r="V531">
        <f>IF(AND(O531&lt;&gt;"",O531=SEL_K,J531&lt;&gt;"Xong",J531&lt;&gt;"Bỏ qua"),IF(ISNUMBER(I531),I531,99999)+ROW()/100000,"")</f>
        <v/>
      </c>
    </row>
    <row r="532">
      <c r="A532" s="12">
        <f>IF(O532="","",IFERROR(INDEX(SK_B,MATCH(O532,SK_A,0))&amp;"",""))</f>
        <v/>
      </c>
      <c r="B532" s="45">
        <f>IF(O532="","",IFERROR(INDEX(SK_C,MATCH(O532,SK_A,0)),""))</f>
        <v/>
      </c>
      <c r="C532" s="46">
        <f>IF(Q532="","",IF(Q532=0,"D",IF(Q532&lt;0,"D"&amp;Q532,"D+"&amp;Q532)))</f>
        <v/>
      </c>
      <c r="D532" s="14" t="n"/>
      <c r="E532" s="12" t="n"/>
      <c r="F532" s="46" t="n"/>
      <c r="G532" s="47" t="n"/>
      <c r="H532" s="14" t="n"/>
      <c r="I532" s="13">
        <f>IF(OR(B532="",Q532=""),"",IF(Q532&gt;0,IF(R532="Làm việc",WORKDAY(IFERROR(IF(INDEX(SK_D,MATCH(O532,SK_A,0))="",B532,INDEX(SK_D,MATCH(O532,SK_A,0))),B532),Q532,HOLI),IFERROR(IF(INDEX(SK_D,MATCH(O532,SK_A,0))="",B532,INDEX(SK_D,MATCH(O532,SK_A,0))),B532)+Q532),B532+Q532))</f>
        <v/>
      </c>
      <c r="J532" s="14" t="n"/>
      <c r="K532" s="13" t="n"/>
      <c r="L532" s="12" t="n"/>
      <c r="M532" s="48">
        <f>IF(E532="","",IF(J532="Bỏ qua","—",IF(J532="Xong",IF(AND(ISNUMBER(K532),ISNUMBER(I532),K532&gt;I532),"Xong trễ","Xong"),MID(IF(G532=""," · CHƯA GIAO","")&amp;IF(NOT(ISNUMBER(I532)),"",IF(TODAY()&gt;I532," · QUÁ HẠN "&amp;(TODAY()-I532)&amp;" ngày",IF(I532-TODAY()&lt;=3," · Đến hạn "&amp;IF(I532=TODAY(),"hôm nay","trong "&amp;(I532-TODAY())&amp;" ngày"),"")))&amp;IF(J532="Chờ đối tác"," · Chờ đối tác"&amp;IF(ISNUMBER(N532)," "&amp;(TODAY()-INT(N532))&amp;" ngày",""),""),4,200))))</f>
        <v/>
      </c>
      <c r="N532" s="49" t="n"/>
      <c r="S532">
        <f>IF(AND(E532&lt;&gt;"",T532="Có",J532&lt;&gt;"Xong",J532&lt;&gt;"Bỏ qua",ISNUMBER(I532)),I532+ROW()/100000,"")</f>
        <v/>
      </c>
      <c r="T532">
        <f>IF(O532="","",IFERROR(INDEX(SK_TD,MATCH(O532,SK_A,0)),""))</f>
        <v/>
      </c>
      <c r="V532">
        <f>IF(AND(O532&lt;&gt;"",O532=SEL_K,J532&lt;&gt;"Xong",J532&lt;&gt;"Bỏ qua"),IF(ISNUMBER(I532),I532,99999)+ROW()/100000,"")</f>
        <v/>
      </c>
    </row>
    <row r="533">
      <c r="A533" s="12">
        <f>IF(O533="","",IFERROR(INDEX(SK_B,MATCH(O533,SK_A,0))&amp;"",""))</f>
        <v/>
      </c>
      <c r="B533" s="45">
        <f>IF(O533="","",IFERROR(INDEX(SK_C,MATCH(O533,SK_A,0)),""))</f>
        <v/>
      </c>
      <c r="C533" s="46">
        <f>IF(Q533="","",IF(Q533=0,"D",IF(Q533&lt;0,"D"&amp;Q533,"D+"&amp;Q533)))</f>
        <v/>
      </c>
      <c r="D533" s="14" t="n"/>
      <c r="E533" s="12" t="n"/>
      <c r="F533" s="46" t="n"/>
      <c r="G533" s="47" t="n"/>
      <c r="H533" s="14" t="n"/>
      <c r="I533" s="13">
        <f>IF(OR(B533="",Q533=""),"",IF(Q533&gt;0,IF(R533="Làm việc",WORKDAY(IFERROR(IF(INDEX(SK_D,MATCH(O533,SK_A,0))="",B533,INDEX(SK_D,MATCH(O533,SK_A,0))),B533),Q533,HOLI),IFERROR(IF(INDEX(SK_D,MATCH(O533,SK_A,0))="",B533,INDEX(SK_D,MATCH(O533,SK_A,0))),B533)+Q533),B533+Q533))</f>
        <v/>
      </c>
      <c r="J533" s="14" t="n"/>
      <c r="K533" s="13" t="n"/>
      <c r="L533" s="12" t="n"/>
      <c r="M533" s="48">
        <f>IF(E533="","",IF(J533="Bỏ qua","—",IF(J533="Xong",IF(AND(ISNUMBER(K533),ISNUMBER(I533),K533&gt;I533),"Xong trễ","Xong"),MID(IF(G533=""," · CHƯA GIAO","")&amp;IF(NOT(ISNUMBER(I533)),"",IF(TODAY()&gt;I533," · QUÁ HẠN "&amp;(TODAY()-I533)&amp;" ngày",IF(I533-TODAY()&lt;=3," · Đến hạn "&amp;IF(I533=TODAY(),"hôm nay","trong "&amp;(I533-TODAY())&amp;" ngày"),"")))&amp;IF(J533="Chờ đối tác"," · Chờ đối tác"&amp;IF(ISNUMBER(N533)," "&amp;(TODAY()-INT(N533))&amp;" ngày",""),""),4,200))))</f>
        <v/>
      </c>
      <c r="N533" s="49" t="n"/>
      <c r="S533">
        <f>IF(AND(E533&lt;&gt;"",T533="Có",J533&lt;&gt;"Xong",J533&lt;&gt;"Bỏ qua",ISNUMBER(I533)),I533+ROW()/100000,"")</f>
        <v/>
      </c>
      <c r="T533">
        <f>IF(O533="","",IFERROR(INDEX(SK_TD,MATCH(O533,SK_A,0)),""))</f>
        <v/>
      </c>
      <c r="V533">
        <f>IF(AND(O533&lt;&gt;"",O533=SEL_K,J533&lt;&gt;"Xong",J533&lt;&gt;"Bỏ qua"),IF(ISNUMBER(I533),I533,99999)+ROW()/100000,"")</f>
        <v/>
      </c>
    </row>
    <row r="534">
      <c r="A534" s="12">
        <f>IF(O534="","",IFERROR(INDEX(SK_B,MATCH(O534,SK_A,0))&amp;"",""))</f>
        <v/>
      </c>
      <c r="B534" s="45">
        <f>IF(O534="","",IFERROR(INDEX(SK_C,MATCH(O534,SK_A,0)),""))</f>
        <v/>
      </c>
      <c r="C534" s="46">
        <f>IF(Q534="","",IF(Q534=0,"D",IF(Q534&lt;0,"D"&amp;Q534,"D+"&amp;Q534)))</f>
        <v/>
      </c>
      <c r="D534" s="14" t="n"/>
      <c r="E534" s="12" t="n"/>
      <c r="F534" s="46" t="n"/>
      <c r="G534" s="47" t="n"/>
      <c r="H534" s="14" t="n"/>
      <c r="I534" s="13">
        <f>IF(OR(B534="",Q534=""),"",IF(Q534&gt;0,IF(R534="Làm việc",WORKDAY(IFERROR(IF(INDEX(SK_D,MATCH(O534,SK_A,0))="",B534,INDEX(SK_D,MATCH(O534,SK_A,0))),B534),Q534,HOLI),IFERROR(IF(INDEX(SK_D,MATCH(O534,SK_A,0))="",B534,INDEX(SK_D,MATCH(O534,SK_A,0))),B534)+Q534),B534+Q534))</f>
        <v/>
      </c>
      <c r="J534" s="14" t="n"/>
      <c r="K534" s="13" t="n"/>
      <c r="L534" s="12" t="n"/>
      <c r="M534" s="48">
        <f>IF(E534="","",IF(J534="Bỏ qua","—",IF(J534="Xong",IF(AND(ISNUMBER(K534),ISNUMBER(I534),K534&gt;I534),"Xong trễ","Xong"),MID(IF(G534=""," · CHƯA GIAO","")&amp;IF(NOT(ISNUMBER(I534)),"",IF(TODAY()&gt;I534," · QUÁ HẠN "&amp;(TODAY()-I534)&amp;" ngày",IF(I534-TODAY()&lt;=3," · Đến hạn "&amp;IF(I534=TODAY(),"hôm nay","trong "&amp;(I534-TODAY())&amp;" ngày"),"")))&amp;IF(J534="Chờ đối tác"," · Chờ đối tác"&amp;IF(ISNUMBER(N534)," "&amp;(TODAY()-INT(N534))&amp;" ngày",""),""),4,200))))</f>
        <v/>
      </c>
      <c r="N534" s="49" t="n"/>
      <c r="S534">
        <f>IF(AND(E534&lt;&gt;"",T534="Có",J534&lt;&gt;"Xong",J534&lt;&gt;"Bỏ qua",ISNUMBER(I534)),I534+ROW()/100000,"")</f>
        <v/>
      </c>
      <c r="T534">
        <f>IF(O534="","",IFERROR(INDEX(SK_TD,MATCH(O534,SK_A,0)),""))</f>
        <v/>
      </c>
      <c r="V534">
        <f>IF(AND(O534&lt;&gt;"",O534=SEL_K,J534&lt;&gt;"Xong",J534&lt;&gt;"Bỏ qua"),IF(ISNUMBER(I534),I534,99999)+ROW()/100000,"")</f>
        <v/>
      </c>
    </row>
    <row r="535">
      <c r="A535" s="12">
        <f>IF(O535="","",IFERROR(INDEX(SK_B,MATCH(O535,SK_A,0))&amp;"",""))</f>
        <v/>
      </c>
      <c r="B535" s="45">
        <f>IF(O535="","",IFERROR(INDEX(SK_C,MATCH(O535,SK_A,0)),""))</f>
        <v/>
      </c>
      <c r="C535" s="46">
        <f>IF(Q535="","",IF(Q535=0,"D",IF(Q535&lt;0,"D"&amp;Q535,"D+"&amp;Q535)))</f>
        <v/>
      </c>
      <c r="D535" s="14" t="n"/>
      <c r="E535" s="12" t="n"/>
      <c r="F535" s="46" t="n"/>
      <c r="G535" s="47" t="n"/>
      <c r="H535" s="14" t="n"/>
      <c r="I535" s="13">
        <f>IF(OR(B535="",Q535=""),"",IF(Q535&gt;0,IF(R535="Làm việc",WORKDAY(IFERROR(IF(INDEX(SK_D,MATCH(O535,SK_A,0))="",B535,INDEX(SK_D,MATCH(O535,SK_A,0))),B535),Q535,HOLI),IFERROR(IF(INDEX(SK_D,MATCH(O535,SK_A,0))="",B535,INDEX(SK_D,MATCH(O535,SK_A,0))),B535)+Q535),B535+Q535))</f>
        <v/>
      </c>
      <c r="J535" s="14" t="n"/>
      <c r="K535" s="13" t="n"/>
      <c r="L535" s="12" t="n"/>
      <c r="M535" s="48">
        <f>IF(E535="","",IF(J535="Bỏ qua","—",IF(J535="Xong",IF(AND(ISNUMBER(K535),ISNUMBER(I535),K535&gt;I535),"Xong trễ","Xong"),MID(IF(G535=""," · CHƯA GIAO","")&amp;IF(NOT(ISNUMBER(I535)),"",IF(TODAY()&gt;I535," · QUÁ HẠN "&amp;(TODAY()-I535)&amp;" ngày",IF(I535-TODAY()&lt;=3," · Đến hạn "&amp;IF(I535=TODAY(),"hôm nay","trong "&amp;(I535-TODAY())&amp;" ngày"),"")))&amp;IF(J535="Chờ đối tác"," · Chờ đối tác"&amp;IF(ISNUMBER(N535)," "&amp;(TODAY()-INT(N535))&amp;" ngày",""),""),4,200))))</f>
        <v/>
      </c>
      <c r="N535" s="49" t="n"/>
      <c r="S535">
        <f>IF(AND(E535&lt;&gt;"",T535="Có",J535&lt;&gt;"Xong",J535&lt;&gt;"Bỏ qua",ISNUMBER(I535)),I535+ROW()/100000,"")</f>
        <v/>
      </c>
      <c r="T535">
        <f>IF(O535="","",IFERROR(INDEX(SK_TD,MATCH(O535,SK_A,0)),""))</f>
        <v/>
      </c>
      <c r="V535">
        <f>IF(AND(O535&lt;&gt;"",O535=SEL_K,J535&lt;&gt;"Xong",J535&lt;&gt;"Bỏ qua"),IF(ISNUMBER(I535),I535,99999)+ROW()/100000,"")</f>
        <v/>
      </c>
    </row>
    <row r="536">
      <c r="A536" s="12">
        <f>IF(O536="","",IFERROR(INDEX(SK_B,MATCH(O536,SK_A,0))&amp;"",""))</f>
        <v/>
      </c>
      <c r="B536" s="45">
        <f>IF(O536="","",IFERROR(INDEX(SK_C,MATCH(O536,SK_A,0)),""))</f>
        <v/>
      </c>
      <c r="C536" s="46">
        <f>IF(Q536="","",IF(Q536=0,"D",IF(Q536&lt;0,"D"&amp;Q536,"D+"&amp;Q536)))</f>
        <v/>
      </c>
      <c r="D536" s="14" t="n"/>
      <c r="E536" s="12" t="n"/>
      <c r="F536" s="46" t="n"/>
      <c r="G536" s="47" t="n"/>
      <c r="H536" s="14" t="n"/>
      <c r="I536" s="13">
        <f>IF(OR(B536="",Q536=""),"",IF(Q536&gt;0,IF(R536="Làm việc",WORKDAY(IFERROR(IF(INDEX(SK_D,MATCH(O536,SK_A,0))="",B536,INDEX(SK_D,MATCH(O536,SK_A,0))),B536),Q536,HOLI),IFERROR(IF(INDEX(SK_D,MATCH(O536,SK_A,0))="",B536,INDEX(SK_D,MATCH(O536,SK_A,0))),B536)+Q536),B536+Q536))</f>
        <v/>
      </c>
      <c r="J536" s="14" t="n"/>
      <c r="K536" s="13" t="n"/>
      <c r="L536" s="12" t="n"/>
      <c r="M536" s="48">
        <f>IF(E536="","",IF(J536="Bỏ qua","—",IF(J536="Xong",IF(AND(ISNUMBER(K536),ISNUMBER(I536),K536&gt;I536),"Xong trễ","Xong"),MID(IF(G536=""," · CHƯA GIAO","")&amp;IF(NOT(ISNUMBER(I536)),"",IF(TODAY()&gt;I536," · QUÁ HẠN "&amp;(TODAY()-I536)&amp;" ngày",IF(I536-TODAY()&lt;=3," · Đến hạn "&amp;IF(I536=TODAY(),"hôm nay","trong "&amp;(I536-TODAY())&amp;" ngày"),"")))&amp;IF(J536="Chờ đối tác"," · Chờ đối tác"&amp;IF(ISNUMBER(N536)," "&amp;(TODAY()-INT(N536))&amp;" ngày",""),""),4,200))))</f>
        <v/>
      </c>
      <c r="N536" s="49" t="n"/>
      <c r="S536">
        <f>IF(AND(E536&lt;&gt;"",T536="Có",J536&lt;&gt;"Xong",J536&lt;&gt;"Bỏ qua",ISNUMBER(I536)),I536+ROW()/100000,"")</f>
        <v/>
      </c>
      <c r="T536">
        <f>IF(O536="","",IFERROR(INDEX(SK_TD,MATCH(O536,SK_A,0)),""))</f>
        <v/>
      </c>
      <c r="V536">
        <f>IF(AND(O536&lt;&gt;"",O536=SEL_K,J536&lt;&gt;"Xong",J536&lt;&gt;"Bỏ qua"),IF(ISNUMBER(I536),I536,99999)+ROW()/100000,"")</f>
        <v/>
      </c>
    </row>
    <row r="537">
      <c r="A537" s="12">
        <f>IF(O537="","",IFERROR(INDEX(SK_B,MATCH(O537,SK_A,0))&amp;"",""))</f>
        <v/>
      </c>
      <c r="B537" s="45">
        <f>IF(O537="","",IFERROR(INDEX(SK_C,MATCH(O537,SK_A,0)),""))</f>
        <v/>
      </c>
      <c r="C537" s="46">
        <f>IF(Q537="","",IF(Q537=0,"D",IF(Q537&lt;0,"D"&amp;Q537,"D+"&amp;Q537)))</f>
        <v/>
      </c>
      <c r="D537" s="14" t="n"/>
      <c r="E537" s="12" t="n"/>
      <c r="F537" s="46" t="n"/>
      <c r="G537" s="47" t="n"/>
      <c r="H537" s="14" t="n"/>
      <c r="I537" s="13">
        <f>IF(OR(B537="",Q537=""),"",IF(Q537&gt;0,IF(R537="Làm việc",WORKDAY(IFERROR(IF(INDEX(SK_D,MATCH(O537,SK_A,0))="",B537,INDEX(SK_D,MATCH(O537,SK_A,0))),B537),Q537,HOLI),IFERROR(IF(INDEX(SK_D,MATCH(O537,SK_A,0))="",B537,INDEX(SK_D,MATCH(O537,SK_A,0))),B537)+Q537),B537+Q537))</f>
        <v/>
      </c>
      <c r="J537" s="14" t="n"/>
      <c r="K537" s="13" t="n"/>
      <c r="L537" s="12" t="n"/>
      <c r="M537" s="48">
        <f>IF(E537="","",IF(J537="Bỏ qua","—",IF(J537="Xong",IF(AND(ISNUMBER(K537),ISNUMBER(I537),K537&gt;I537),"Xong trễ","Xong"),MID(IF(G537=""," · CHƯA GIAO","")&amp;IF(NOT(ISNUMBER(I537)),"",IF(TODAY()&gt;I537," · QUÁ HẠN "&amp;(TODAY()-I537)&amp;" ngày",IF(I537-TODAY()&lt;=3," · Đến hạn "&amp;IF(I537=TODAY(),"hôm nay","trong "&amp;(I537-TODAY())&amp;" ngày"),"")))&amp;IF(J537="Chờ đối tác"," · Chờ đối tác"&amp;IF(ISNUMBER(N537)," "&amp;(TODAY()-INT(N537))&amp;" ngày",""),""),4,200))))</f>
        <v/>
      </c>
      <c r="N537" s="49" t="n"/>
      <c r="S537">
        <f>IF(AND(E537&lt;&gt;"",T537="Có",J537&lt;&gt;"Xong",J537&lt;&gt;"Bỏ qua",ISNUMBER(I537)),I537+ROW()/100000,"")</f>
        <v/>
      </c>
      <c r="T537">
        <f>IF(O537="","",IFERROR(INDEX(SK_TD,MATCH(O537,SK_A,0)),""))</f>
        <v/>
      </c>
      <c r="V537">
        <f>IF(AND(O537&lt;&gt;"",O537=SEL_K,J537&lt;&gt;"Xong",J537&lt;&gt;"Bỏ qua"),IF(ISNUMBER(I537),I537,99999)+ROW()/100000,"")</f>
        <v/>
      </c>
    </row>
    <row r="538">
      <c r="A538" s="12">
        <f>IF(O538="","",IFERROR(INDEX(SK_B,MATCH(O538,SK_A,0))&amp;"",""))</f>
        <v/>
      </c>
      <c r="B538" s="45">
        <f>IF(O538="","",IFERROR(INDEX(SK_C,MATCH(O538,SK_A,0)),""))</f>
        <v/>
      </c>
      <c r="C538" s="46">
        <f>IF(Q538="","",IF(Q538=0,"D",IF(Q538&lt;0,"D"&amp;Q538,"D+"&amp;Q538)))</f>
        <v/>
      </c>
      <c r="D538" s="14" t="n"/>
      <c r="E538" s="12" t="n"/>
      <c r="F538" s="46" t="n"/>
      <c r="G538" s="47" t="n"/>
      <c r="H538" s="14" t="n"/>
      <c r="I538" s="13">
        <f>IF(OR(B538="",Q538=""),"",IF(Q538&gt;0,IF(R538="Làm việc",WORKDAY(IFERROR(IF(INDEX(SK_D,MATCH(O538,SK_A,0))="",B538,INDEX(SK_D,MATCH(O538,SK_A,0))),B538),Q538,HOLI),IFERROR(IF(INDEX(SK_D,MATCH(O538,SK_A,0))="",B538,INDEX(SK_D,MATCH(O538,SK_A,0))),B538)+Q538),B538+Q538))</f>
        <v/>
      </c>
      <c r="J538" s="14" t="n"/>
      <c r="K538" s="13" t="n"/>
      <c r="L538" s="12" t="n"/>
      <c r="M538" s="48">
        <f>IF(E538="","",IF(J538="Bỏ qua","—",IF(J538="Xong",IF(AND(ISNUMBER(K538),ISNUMBER(I538),K538&gt;I538),"Xong trễ","Xong"),MID(IF(G538=""," · CHƯA GIAO","")&amp;IF(NOT(ISNUMBER(I538)),"",IF(TODAY()&gt;I538," · QUÁ HẠN "&amp;(TODAY()-I538)&amp;" ngày",IF(I538-TODAY()&lt;=3," · Đến hạn "&amp;IF(I538=TODAY(),"hôm nay","trong "&amp;(I538-TODAY())&amp;" ngày"),"")))&amp;IF(J538="Chờ đối tác"," · Chờ đối tác"&amp;IF(ISNUMBER(N538)," "&amp;(TODAY()-INT(N538))&amp;" ngày",""),""),4,200))))</f>
        <v/>
      </c>
      <c r="N538" s="49" t="n"/>
      <c r="S538">
        <f>IF(AND(E538&lt;&gt;"",T538="Có",J538&lt;&gt;"Xong",J538&lt;&gt;"Bỏ qua",ISNUMBER(I538)),I538+ROW()/100000,"")</f>
        <v/>
      </c>
      <c r="T538">
        <f>IF(O538="","",IFERROR(INDEX(SK_TD,MATCH(O538,SK_A,0)),""))</f>
        <v/>
      </c>
      <c r="V538">
        <f>IF(AND(O538&lt;&gt;"",O538=SEL_K,J538&lt;&gt;"Xong",J538&lt;&gt;"Bỏ qua"),IF(ISNUMBER(I538),I538,99999)+ROW()/100000,"")</f>
        <v/>
      </c>
    </row>
    <row r="539">
      <c r="A539" s="12">
        <f>IF(O539="","",IFERROR(INDEX(SK_B,MATCH(O539,SK_A,0))&amp;"",""))</f>
        <v/>
      </c>
      <c r="B539" s="45">
        <f>IF(O539="","",IFERROR(INDEX(SK_C,MATCH(O539,SK_A,0)),""))</f>
        <v/>
      </c>
      <c r="C539" s="46">
        <f>IF(Q539="","",IF(Q539=0,"D",IF(Q539&lt;0,"D"&amp;Q539,"D+"&amp;Q539)))</f>
        <v/>
      </c>
      <c r="D539" s="14" t="n"/>
      <c r="E539" s="12" t="n"/>
      <c r="F539" s="46" t="n"/>
      <c r="G539" s="47" t="n"/>
      <c r="H539" s="14" t="n"/>
      <c r="I539" s="13">
        <f>IF(OR(B539="",Q539=""),"",IF(Q539&gt;0,IF(R539="Làm việc",WORKDAY(IFERROR(IF(INDEX(SK_D,MATCH(O539,SK_A,0))="",B539,INDEX(SK_D,MATCH(O539,SK_A,0))),B539),Q539,HOLI),IFERROR(IF(INDEX(SK_D,MATCH(O539,SK_A,0))="",B539,INDEX(SK_D,MATCH(O539,SK_A,0))),B539)+Q539),B539+Q539))</f>
        <v/>
      </c>
      <c r="J539" s="14" t="n"/>
      <c r="K539" s="13" t="n"/>
      <c r="L539" s="12" t="n"/>
      <c r="M539" s="48">
        <f>IF(E539="","",IF(J539="Bỏ qua","—",IF(J539="Xong",IF(AND(ISNUMBER(K539),ISNUMBER(I539),K539&gt;I539),"Xong trễ","Xong"),MID(IF(G539=""," · CHƯA GIAO","")&amp;IF(NOT(ISNUMBER(I539)),"",IF(TODAY()&gt;I539," · QUÁ HẠN "&amp;(TODAY()-I539)&amp;" ngày",IF(I539-TODAY()&lt;=3," · Đến hạn "&amp;IF(I539=TODAY(),"hôm nay","trong "&amp;(I539-TODAY())&amp;" ngày"),"")))&amp;IF(J539="Chờ đối tác"," · Chờ đối tác"&amp;IF(ISNUMBER(N539)," "&amp;(TODAY()-INT(N539))&amp;" ngày",""),""),4,200))))</f>
        <v/>
      </c>
      <c r="N539" s="49" t="n"/>
      <c r="S539">
        <f>IF(AND(E539&lt;&gt;"",T539="Có",J539&lt;&gt;"Xong",J539&lt;&gt;"Bỏ qua",ISNUMBER(I539)),I539+ROW()/100000,"")</f>
        <v/>
      </c>
      <c r="T539">
        <f>IF(O539="","",IFERROR(INDEX(SK_TD,MATCH(O539,SK_A,0)),""))</f>
        <v/>
      </c>
      <c r="V539">
        <f>IF(AND(O539&lt;&gt;"",O539=SEL_K,J539&lt;&gt;"Xong",J539&lt;&gt;"Bỏ qua"),IF(ISNUMBER(I539),I539,99999)+ROW()/100000,"")</f>
        <v/>
      </c>
    </row>
    <row r="540">
      <c r="A540" s="12">
        <f>IF(O540="","",IFERROR(INDEX(SK_B,MATCH(O540,SK_A,0))&amp;"",""))</f>
        <v/>
      </c>
      <c r="B540" s="45">
        <f>IF(O540="","",IFERROR(INDEX(SK_C,MATCH(O540,SK_A,0)),""))</f>
        <v/>
      </c>
      <c r="C540" s="46">
        <f>IF(Q540="","",IF(Q540=0,"D",IF(Q540&lt;0,"D"&amp;Q540,"D+"&amp;Q540)))</f>
        <v/>
      </c>
      <c r="D540" s="14" t="n"/>
      <c r="E540" s="12" t="n"/>
      <c r="F540" s="46" t="n"/>
      <c r="G540" s="47" t="n"/>
      <c r="H540" s="14" t="n"/>
      <c r="I540" s="13">
        <f>IF(OR(B540="",Q540=""),"",IF(Q540&gt;0,IF(R540="Làm việc",WORKDAY(IFERROR(IF(INDEX(SK_D,MATCH(O540,SK_A,0))="",B540,INDEX(SK_D,MATCH(O540,SK_A,0))),B540),Q540,HOLI),IFERROR(IF(INDEX(SK_D,MATCH(O540,SK_A,0))="",B540,INDEX(SK_D,MATCH(O540,SK_A,0))),B540)+Q540),B540+Q540))</f>
        <v/>
      </c>
      <c r="J540" s="14" t="n"/>
      <c r="K540" s="13" t="n"/>
      <c r="L540" s="12" t="n"/>
      <c r="M540" s="48">
        <f>IF(E540="","",IF(J540="Bỏ qua","—",IF(J540="Xong",IF(AND(ISNUMBER(K540),ISNUMBER(I540),K540&gt;I540),"Xong trễ","Xong"),MID(IF(G540=""," · CHƯA GIAO","")&amp;IF(NOT(ISNUMBER(I540)),"",IF(TODAY()&gt;I540," · QUÁ HẠN "&amp;(TODAY()-I540)&amp;" ngày",IF(I540-TODAY()&lt;=3," · Đến hạn "&amp;IF(I540=TODAY(),"hôm nay","trong "&amp;(I540-TODAY())&amp;" ngày"),"")))&amp;IF(J540="Chờ đối tác"," · Chờ đối tác"&amp;IF(ISNUMBER(N540)," "&amp;(TODAY()-INT(N540))&amp;" ngày",""),""),4,200))))</f>
        <v/>
      </c>
      <c r="N540" s="49" t="n"/>
      <c r="S540">
        <f>IF(AND(E540&lt;&gt;"",T540="Có",J540&lt;&gt;"Xong",J540&lt;&gt;"Bỏ qua",ISNUMBER(I540)),I540+ROW()/100000,"")</f>
        <v/>
      </c>
      <c r="T540">
        <f>IF(O540="","",IFERROR(INDEX(SK_TD,MATCH(O540,SK_A,0)),""))</f>
        <v/>
      </c>
      <c r="V540">
        <f>IF(AND(O540&lt;&gt;"",O540=SEL_K,J540&lt;&gt;"Xong",J540&lt;&gt;"Bỏ qua"),IF(ISNUMBER(I540),I540,99999)+ROW()/100000,"")</f>
        <v/>
      </c>
    </row>
    <row r="541">
      <c r="A541" s="12">
        <f>IF(O541="","",IFERROR(INDEX(SK_B,MATCH(O541,SK_A,0))&amp;"",""))</f>
        <v/>
      </c>
      <c r="B541" s="45">
        <f>IF(O541="","",IFERROR(INDEX(SK_C,MATCH(O541,SK_A,0)),""))</f>
        <v/>
      </c>
      <c r="C541" s="46">
        <f>IF(Q541="","",IF(Q541=0,"D",IF(Q541&lt;0,"D"&amp;Q541,"D+"&amp;Q541)))</f>
        <v/>
      </c>
      <c r="D541" s="14" t="n"/>
      <c r="E541" s="12" t="n"/>
      <c r="F541" s="46" t="n"/>
      <c r="G541" s="47" t="n"/>
      <c r="H541" s="14" t="n"/>
      <c r="I541" s="13">
        <f>IF(OR(B541="",Q541=""),"",IF(Q541&gt;0,IF(R541="Làm việc",WORKDAY(IFERROR(IF(INDEX(SK_D,MATCH(O541,SK_A,0))="",B541,INDEX(SK_D,MATCH(O541,SK_A,0))),B541),Q541,HOLI),IFERROR(IF(INDEX(SK_D,MATCH(O541,SK_A,0))="",B541,INDEX(SK_D,MATCH(O541,SK_A,0))),B541)+Q541),B541+Q541))</f>
        <v/>
      </c>
      <c r="J541" s="14" t="n"/>
      <c r="K541" s="13" t="n"/>
      <c r="L541" s="12" t="n"/>
      <c r="M541" s="48">
        <f>IF(E541="","",IF(J541="Bỏ qua","—",IF(J541="Xong",IF(AND(ISNUMBER(K541),ISNUMBER(I541),K541&gt;I541),"Xong trễ","Xong"),MID(IF(G541=""," · CHƯA GIAO","")&amp;IF(NOT(ISNUMBER(I541)),"",IF(TODAY()&gt;I541," · QUÁ HẠN "&amp;(TODAY()-I541)&amp;" ngày",IF(I541-TODAY()&lt;=3," · Đến hạn "&amp;IF(I541=TODAY(),"hôm nay","trong "&amp;(I541-TODAY())&amp;" ngày"),"")))&amp;IF(J541="Chờ đối tác"," · Chờ đối tác"&amp;IF(ISNUMBER(N541)," "&amp;(TODAY()-INT(N541))&amp;" ngày",""),""),4,200))))</f>
        <v/>
      </c>
      <c r="N541" s="49" t="n"/>
      <c r="S541">
        <f>IF(AND(E541&lt;&gt;"",T541="Có",J541&lt;&gt;"Xong",J541&lt;&gt;"Bỏ qua",ISNUMBER(I541)),I541+ROW()/100000,"")</f>
        <v/>
      </c>
      <c r="T541">
        <f>IF(O541="","",IFERROR(INDEX(SK_TD,MATCH(O541,SK_A,0)),""))</f>
        <v/>
      </c>
      <c r="V541">
        <f>IF(AND(O541&lt;&gt;"",O541=SEL_K,J541&lt;&gt;"Xong",J541&lt;&gt;"Bỏ qua"),IF(ISNUMBER(I541),I541,99999)+ROW()/100000,"")</f>
        <v/>
      </c>
    </row>
    <row r="542">
      <c r="A542" s="12">
        <f>IF(O542="","",IFERROR(INDEX(SK_B,MATCH(O542,SK_A,0))&amp;"",""))</f>
        <v/>
      </c>
      <c r="B542" s="45">
        <f>IF(O542="","",IFERROR(INDEX(SK_C,MATCH(O542,SK_A,0)),""))</f>
        <v/>
      </c>
      <c r="C542" s="46">
        <f>IF(Q542="","",IF(Q542=0,"D",IF(Q542&lt;0,"D"&amp;Q542,"D+"&amp;Q542)))</f>
        <v/>
      </c>
      <c r="D542" s="14" t="n"/>
      <c r="E542" s="12" t="n"/>
      <c r="F542" s="46" t="n"/>
      <c r="G542" s="47" t="n"/>
      <c r="H542" s="14" t="n"/>
      <c r="I542" s="13">
        <f>IF(OR(B542="",Q542=""),"",IF(Q542&gt;0,IF(R542="Làm việc",WORKDAY(IFERROR(IF(INDEX(SK_D,MATCH(O542,SK_A,0))="",B542,INDEX(SK_D,MATCH(O542,SK_A,0))),B542),Q542,HOLI),IFERROR(IF(INDEX(SK_D,MATCH(O542,SK_A,0))="",B542,INDEX(SK_D,MATCH(O542,SK_A,0))),B542)+Q542),B542+Q542))</f>
        <v/>
      </c>
      <c r="J542" s="14" t="n"/>
      <c r="K542" s="13" t="n"/>
      <c r="L542" s="12" t="n"/>
      <c r="M542" s="48">
        <f>IF(E542="","",IF(J542="Bỏ qua","—",IF(J542="Xong",IF(AND(ISNUMBER(K542),ISNUMBER(I542),K542&gt;I542),"Xong trễ","Xong"),MID(IF(G542=""," · CHƯA GIAO","")&amp;IF(NOT(ISNUMBER(I542)),"",IF(TODAY()&gt;I542," · QUÁ HẠN "&amp;(TODAY()-I542)&amp;" ngày",IF(I542-TODAY()&lt;=3," · Đến hạn "&amp;IF(I542=TODAY(),"hôm nay","trong "&amp;(I542-TODAY())&amp;" ngày"),"")))&amp;IF(J542="Chờ đối tác"," · Chờ đối tác"&amp;IF(ISNUMBER(N542)," "&amp;(TODAY()-INT(N542))&amp;" ngày",""),""),4,200))))</f>
        <v/>
      </c>
      <c r="N542" s="49" t="n"/>
      <c r="S542">
        <f>IF(AND(E542&lt;&gt;"",T542="Có",J542&lt;&gt;"Xong",J542&lt;&gt;"Bỏ qua",ISNUMBER(I542)),I542+ROW()/100000,"")</f>
        <v/>
      </c>
      <c r="T542">
        <f>IF(O542="","",IFERROR(INDEX(SK_TD,MATCH(O542,SK_A,0)),""))</f>
        <v/>
      </c>
      <c r="V542">
        <f>IF(AND(O542&lt;&gt;"",O542=SEL_K,J542&lt;&gt;"Xong",J542&lt;&gt;"Bỏ qua"),IF(ISNUMBER(I542),I542,99999)+ROW()/100000,"")</f>
        <v/>
      </c>
    </row>
    <row r="543">
      <c r="A543" s="12">
        <f>IF(O543="","",IFERROR(INDEX(SK_B,MATCH(O543,SK_A,0))&amp;"",""))</f>
        <v/>
      </c>
      <c r="B543" s="45">
        <f>IF(O543="","",IFERROR(INDEX(SK_C,MATCH(O543,SK_A,0)),""))</f>
        <v/>
      </c>
      <c r="C543" s="46">
        <f>IF(Q543="","",IF(Q543=0,"D",IF(Q543&lt;0,"D"&amp;Q543,"D+"&amp;Q543)))</f>
        <v/>
      </c>
      <c r="D543" s="14" t="n"/>
      <c r="E543" s="12" t="n"/>
      <c r="F543" s="46" t="n"/>
      <c r="G543" s="47" t="n"/>
      <c r="H543" s="14" t="n"/>
      <c r="I543" s="13">
        <f>IF(OR(B543="",Q543=""),"",IF(Q543&gt;0,IF(R543="Làm việc",WORKDAY(IFERROR(IF(INDEX(SK_D,MATCH(O543,SK_A,0))="",B543,INDEX(SK_D,MATCH(O543,SK_A,0))),B543),Q543,HOLI),IFERROR(IF(INDEX(SK_D,MATCH(O543,SK_A,0))="",B543,INDEX(SK_D,MATCH(O543,SK_A,0))),B543)+Q543),B543+Q543))</f>
        <v/>
      </c>
      <c r="J543" s="14" t="n"/>
      <c r="K543" s="13" t="n"/>
      <c r="L543" s="12" t="n"/>
      <c r="M543" s="48">
        <f>IF(E543="","",IF(J543="Bỏ qua","—",IF(J543="Xong",IF(AND(ISNUMBER(K543),ISNUMBER(I543),K543&gt;I543),"Xong trễ","Xong"),MID(IF(G543=""," · CHƯA GIAO","")&amp;IF(NOT(ISNUMBER(I543)),"",IF(TODAY()&gt;I543," · QUÁ HẠN "&amp;(TODAY()-I543)&amp;" ngày",IF(I543-TODAY()&lt;=3," · Đến hạn "&amp;IF(I543=TODAY(),"hôm nay","trong "&amp;(I543-TODAY())&amp;" ngày"),"")))&amp;IF(J543="Chờ đối tác"," · Chờ đối tác"&amp;IF(ISNUMBER(N543)," "&amp;(TODAY()-INT(N543))&amp;" ngày",""),""),4,200))))</f>
        <v/>
      </c>
      <c r="N543" s="49" t="n"/>
      <c r="S543">
        <f>IF(AND(E543&lt;&gt;"",T543="Có",J543&lt;&gt;"Xong",J543&lt;&gt;"Bỏ qua",ISNUMBER(I543)),I543+ROW()/100000,"")</f>
        <v/>
      </c>
      <c r="T543">
        <f>IF(O543="","",IFERROR(INDEX(SK_TD,MATCH(O543,SK_A,0)),""))</f>
        <v/>
      </c>
      <c r="V543">
        <f>IF(AND(O543&lt;&gt;"",O543=SEL_K,J543&lt;&gt;"Xong",J543&lt;&gt;"Bỏ qua"),IF(ISNUMBER(I543),I543,99999)+ROW()/100000,"")</f>
        <v/>
      </c>
    </row>
    <row r="544">
      <c r="A544" s="12">
        <f>IF(O544="","",IFERROR(INDEX(SK_B,MATCH(O544,SK_A,0))&amp;"",""))</f>
        <v/>
      </c>
      <c r="B544" s="45">
        <f>IF(O544="","",IFERROR(INDEX(SK_C,MATCH(O544,SK_A,0)),""))</f>
        <v/>
      </c>
      <c r="C544" s="46">
        <f>IF(Q544="","",IF(Q544=0,"D",IF(Q544&lt;0,"D"&amp;Q544,"D+"&amp;Q544)))</f>
        <v/>
      </c>
      <c r="D544" s="14" t="n"/>
      <c r="E544" s="12" t="n"/>
      <c r="F544" s="46" t="n"/>
      <c r="G544" s="47" t="n"/>
      <c r="H544" s="14" t="n"/>
      <c r="I544" s="13">
        <f>IF(OR(B544="",Q544=""),"",IF(Q544&gt;0,IF(R544="Làm việc",WORKDAY(IFERROR(IF(INDEX(SK_D,MATCH(O544,SK_A,0))="",B544,INDEX(SK_D,MATCH(O544,SK_A,0))),B544),Q544,HOLI),IFERROR(IF(INDEX(SK_D,MATCH(O544,SK_A,0))="",B544,INDEX(SK_D,MATCH(O544,SK_A,0))),B544)+Q544),B544+Q544))</f>
        <v/>
      </c>
      <c r="J544" s="14" t="n"/>
      <c r="K544" s="13" t="n"/>
      <c r="L544" s="12" t="n"/>
      <c r="M544" s="48">
        <f>IF(E544="","",IF(J544="Bỏ qua","—",IF(J544="Xong",IF(AND(ISNUMBER(K544),ISNUMBER(I544),K544&gt;I544),"Xong trễ","Xong"),MID(IF(G544=""," · CHƯA GIAO","")&amp;IF(NOT(ISNUMBER(I544)),"",IF(TODAY()&gt;I544," · QUÁ HẠN "&amp;(TODAY()-I544)&amp;" ngày",IF(I544-TODAY()&lt;=3," · Đến hạn "&amp;IF(I544=TODAY(),"hôm nay","trong "&amp;(I544-TODAY())&amp;" ngày"),"")))&amp;IF(J544="Chờ đối tác"," · Chờ đối tác"&amp;IF(ISNUMBER(N544)," "&amp;(TODAY()-INT(N544))&amp;" ngày",""),""),4,200))))</f>
        <v/>
      </c>
      <c r="N544" s="49" t="n"/>
      <c r="S544">
        <f>IF(AND(E544&lt;&gt;"",T544="Có",J544&lt;&gt;"Xong",J544&lt;&gt;"Bỏ qua",ISNUMBER(I544)),I544+ROW()/100000,"")</f>
        <v/>
      </c>
      <c r="T544">
        <f>IF(O544="","",IFERROR(INDEX(SK_TD,MATCH(O544,SK_A,0)),""))</f>
        <v/>
      </c>
      <c r="V544">
        <f>IF(AND(O544&lt;&gt;"",O544=SEL_K,J544&lt;&gt;"Xong",J544&lt;&gt;"Bỏ qua"),IF(ISNUMBER(I544),I544,99999)+ROW()/100000,"")</f>
        <v/>
      </c>
    </row>
    <row r="545">
      <c r="A545" s="12">
        <f>IF(O545="","",IFERROR(INDEX(SK_B,MATCH(O545,SK_A,0))&amp;"",""))</f>
        <v/>
      </c>
      <c r="B545" s="45">
        <f>IF(O545="","",IFERROR(INDEX(SK_C,MATCH(O545,SK_A,0)),""))</f>
        <v/>
      </c>
      <c r="C545" s="46">
        <f>IF(Q545="","",IF(Q545=0,"D",IF(Q545&lt;0,"D"&amp;Q545,"D+"&amp;Q545)))</f>
        <v/>
      </c>
      <c r="D545" s="14" t="n"/>
      <c r="E545" s="12" t="n"/>
      <c r="F545" s="46" t="n"/>
      <c r="G545" s="47" t="n"/>
      <c r="H545" s="14" t="n"/>
      <c r="I545" s="13">
        <f>IF(OR(B545="",Q545=""),"",IF(Q545&gt;0,IF(R545="Làm việc",WORKDAY(IFERROR(IF(INDEX(SK_D,MATCH(O545,SK_A,0))="",B545,INDEX(SK_D,MATCH(O545,SK_A,0))),B545),Q545,HOLI),IFERROR(IF(INDEX(SK_D,MATCH(O545,SK_A,0))="",B545,INDEX(SK_D,MATCH(O545,SK_A,0))),B545)+Q545),B545+Q545))</f>
        <v/>
      </c>
      <c r="J545" s="14" t="n"/>
      <c r="K545" s="13" t="n"/>
      <c r="L545" s="12" t="n"/>
      <c r="M545" s="48">
        <f>IF(E545="","",IF(J545="Bỏ qua","—",IF(J545="Xong",IF(AND(ISNUMBER(K545),ISNUMBER(I545),K545&gt;I545),"Xong trễ","Xong"),MID(IF(G545=""," · CHƯA GIAO","")&amp;IF(NOT(ISNUMBER(I545)),"",IF(TODAY()&gt;I545," · QUÁ HẠN "&amp;(TODAY()-I545)&amp;" ngày",IF(I545-TODAY()&lt;=3," · Đến hạn "&amp;IF(I545=TODAY(),"hôm nay","trong "&amp;(I545-TODAY())&amp;" ngày"),"")))&amp;IF(J545="Chờ đối tác"," · Chờ đối tác"&amp;IF(ISNUMBER(N545)," "&amp;(TODAY()-INT(N545))&amp;" ngày",""),""),4,200))))</f>
        <v/>
      </c>
      <c r="N545" s="49" t="n"/>
      <c r="S545">
        <f>IF(AND(E545&lt;&gt;"",T545="Có",J545&lt;&gt;"Xong",J545&lt;&gt;"Bỏ qua",ISNUMBER(I545)),I545+ROW()/100000,"")</f>
        <v/>
      </c>
      <c r="T545">
        <f>IF(O545="","",IFERROR(INDEX(SK_TD,MATCH(O545,SK_A,0)),""))</f>
        <v/>
      </c>
      <c r="V545">
        <f>IF(AND(O545&lt;&gt;"",O545=SEL_K,J545&lt;&gt;"Xong",J545&lt;&gt;"Bỏ qua"),IF(ISNUMBER(I545),I545,99999)+ROW()/100000,"")</f>
        <v/>
      </c>
    </row>
    <row r="546">
      <c r="A546" s="12">
        <f>IF(O546="","",IFERROR(INDEX(SK_B,MATCH(O546,SK_A,0))&amp;"",""))</f>
        <v/>
      </c>
      <c r="B546" s="45">
        <f>IF(O546="","",IFERROR(INDEX(SK_C,MATCH(O546,SK_A,0)),""))</f>
        <v/>
      </c>
      <c r="C546" s="46">
        <f>IF(Q546="","",IF(Q546=0,"D",IF(Q546&lt;0,"D"&amp;Q546,"D+"&amp;Q546)))</f>
        <v/>
      </c>
      <c r="D546" s="14" t="n"/>
      <c r="E546" s="12" t="n"/>
      <c r="F546" s="46" t="n"/>
      <c r="G546" s="47" t="n"/>
      <c r="H546" s="14" t="n"/>
      <c r="I546" s="13">
        <f>IF(OR(B546="",Q546=""),"",IF(Q546&gt;0,IF(R546="Làm việc",WORKDAY(IFERROR(IF(INDEX(SK_D,MATCH(O546,SK_A,0))="",B546,INDEX(SK_D,MATCH(O546,SK_A,0))),B546),Q546,HOLI),IFERROR(IF(INDEX(SK_D,MATCH(O546,SK_A,0))="",B546,INDEX(SK_D,MATCH(O546,SK_A,0))),B546)+Q546),B546+Q546))</f>
        <v/>
      </c>
      <c r="J546" s="14" t="n"/>
      <c r="K546" s="13" t="n"/>
      <c r="L546" s="12" t="n"/>
      <c r="M546" s="48">
        <f>IF(E546="","",IF(J546="Bỏ qua","—",IF(J546="Xong",IF(AND(ISNUMBER(K546),ISNUMBER(I546),K546&gt;I546),"Xong trễ","Xong"),MID(IF(G546=""," · CHƯA GIAO","")&amp;IF(NOT(ISNUMBER(I546)),"",IF(TODAY()&gt;I546," · QUÁ HẠN "&amp;(TODAY()-I546)&amp;" ngày",IF(I546-TODAY()&lt;=3," · Đến hạn "&amp;IF(I546=TODAY(),"hôm nay","trong "&amp;(I546-TODAY())&amp;" ngày"),"")))&amp;IF(J546="Chờ đối tác"," · Chờ đối tác"&amp;IF(ISNUMBER(N546)," "&amp;(TODAY()-INT(N546))&amp;" ngày",""),""),4,200))))</f>
        <v/>
      </c>
      <c r="N546" s="49" t="n"/>
      <c r="S546">
        <f>IF(AND(E546&lt;&gt;"",T546="Có",J546&lt;&gt;"Xong",J546&lt;&gt;"Bỏ qua",ISNUMBER(I546)),I546+ROW()/100000,"")</f>
        <v/>
      </c>
      <c r="T546">
        <f>IF(O546="","",IFERROR(INDEX(SK_TD,MATCH(O546,SK_A,0)),""))</f>
        <v/>
      </c>
      <c r="V546">
        <f>IF(AND(O546&lt;&gt;"",O546=SEL_K,J546&lt;&gt;"Xong",J546&lt;&gt;"Bỏ qua"),IF(ISNUMBER(I546),I546,99999)+ROW()/100000,"")</f>
        <v/>
      </c>
    </row>
    <row r="547">
      <c r="A547" s="12">
        <f>IF(O547="","",IFERROR(INDEX(SK_B,MATCH(O547,SK_A,0))&amp;"",""))</f>
        <v/>
      </c>
      <c r="B547" s="45">
        <f>IF(O547="","",IFERROR(INDEX(SK_C,MATCH(O547,SK_A,0)),""))</f>
        <v/>
      </c>
      <c r="C547" s="46">
        <f>IF(Q547="","",IF(Q547=0,"D",IF(Q547&lt;0,"D"&amp;Q547,"D+"&amp;Q547)))</f>
        <v/>
      </c>
      <c r="D547" s="14" t="n"/>
      <c r="E547" s="12" t="n"/>
      <c r="F547" s="46" t="n"/>
      <c r="G547" s="47" t="n"/>
      <c r="H547" s="14" t="n"/>
      <c r="I547" s="13">
        <f>IF(OR(B547="",Q547=""),"",IF(Q547&gt;0,IF(R547="Làm việc",WORKDAY(IFERROR(IF(INDEX(SK_D,MATCH(O547,SK_A,0))="",B547,INDEX(SK_D,MATCH(O547,SK_A,0))),B547),Q547,HOLI),IFERROR(IF(INDEX(SK_D,MATCH(O547,SK_A,0))="",B547,INDEX(SK_D,MATCH(O547,SK_A,0))),B547)+Q547),B547+Q547))</f>
        <v/>
      </c>
      <c r="J547" s="14" t="n"/>
      <c r="K547" s="13" t="n"/>
      <c r="L547" s="12" t="n"/>
      <c r="M547" s="48">
        <f>IF(E547="","",IF(J547="Bỏ qua","—",IF(J547="Xong",IF(AND(ISNUMBER(K547),ISNUMBER(I547),K547&gt;I547),"Xong trễ","Xong"),MID(IF(G547=""," · CHƯA GIAO","")&amp;IF(NOT(ISNUMBER(I547)),"",IF(TODAY()&gt;I547," · QUÁ HẠN "&amp;(TODAY()-I547)&amp;" ngày",IF(I547-TODAY()&lt;=3," · Đến hạn "&amp;IF(I547=TODAY(),"hôm nay","trong "&amp;(I547-TODAY())&amp;" ngày"),"")))&amp;IF(J547="Chờ đối tác"," · Chờ đối tác"&amp;IF(ISNUMBER(N547)," "&amp;(TODAY()-INT(N547))&amp;" ngày",""),""),4,200))))</f>
        <v/>
      </c>
      <c r="N547" s="49" t="n"/>
      <c r="S547">
        <f>IF(AND(E547&lt;&gt;"",T547="Có",J547&lt;&gt;"Xong",J547&lt;&gt;"Bỏ qua",ISNUMBER(I547)),I547+ROW()/100000,"")</f>
        <v/>
      </c>
      <c r="T547">
        <f>IF(O547="","",IFERROR(INDEX(SK_TD,MATCH(O547,SK_A,0)),""))</f>
        <v/>
      </c>
      <c r="V547">
        <f>IF(AND(O547&lt;&gt;"",O547=SEL_K,J547&lt;&gt;"Xong",J547&lt;&gt;"Bỏ qua"),IF(ISNUMBER(I547),I547,99999)+ROW()/100000,"")</f>
        <v/>
      </c>
    </row>
    <row r="548">
      <c r="A548" s="12">
        <f>IF(O548="","",IFERROR(INDEX(SK_B,MATCH(O548,SK_A,0))&amp;"",""))</f>
        <v/>
      </c>
      <c r="B548" s="45">
        <f>IF(O548="","",IFERROR(INDEX(SK_C,MATCH(O548,SK_A,0)),""))</f>
        <v/>
      </c>
      <c r="C548" s="46">
        <f>IF(Q548="","",IF(Q548=0,"D",IF(Q548&lt;0,"D"&amp;Q548,"D+"&amp;Q548)))</f>
        <v/>
      </c>
      <c r="D548" s="14" t="n"/>
      <c r="E548" s="12" t="n"/>
      <c r="F548" s="46" t="n"/>
      <c r="G548" s="47" t="n"/>
      <c r="H548" s="14" t="n"/>
      <c r="I548" s="13">
        <f>IF(OR(B548="",Q548=""),"",IF(Q548&gt;0,IF(R548="Làm việc",WORKDAY(IFERROR(IF(INDEX(SK_D,MATCH(O548,SK_A,0))="",B548,INDEX(SK_D,MATCH(O548,SK_A,0))),B548),Q548,HOLI),IFERROR(IF(INDEX(SK_D,MATCH(O548,SK_A,0))="",B548,INDEX(SK_D,MATCH(O548,SK_A,0))),B548)+Q548),B548+Q548))</f>
        <v/>
      </c>
      <c r="J548" s="14" t="n"/>
      <c r="K548" s="13" t="n"/>
      <c r="L548" s="12" t="n"/>
      <c r="M548" s="48">
        <f>IF(E548="","",IF(J548="Bỏ qua","—",IF(J548="Xong",IF(AND(ISNUMBER(K548),ISNUMBER(I548),K548&gt;I548),"Xong trễ","Xong"),MID(IF(G548=""," · CHƯA GIAO","")&amp;IF(NOT(ISNUMBER(I548)),"",IF(TODAY()&gt;I548," · QUÁ HẠN "&amp;(TODAY()-I548)&amp;" ngày",IF(I548-TODAY()&lt;=3," · Đến hạn "&amp;IF(I548=TODAY(),"hôm nay","trong "&amp;(I548-TODAY())&amp;" ngày"),"")))&amp;IF(J548="Chờ đối tác"," · Chờ đối tác"&amp;IF(ISNUMBER(N548)," "&amp;(TODAY()-INT(N548))&amp;" ngày",""),""),4,200))))</f>
        <v/>
      </c>
      <c r="N548" s="49" t="n"/>
      <c r="S548">
        <f>IF(AND(E548&lt;&gt;"",T548="Có",J548&lt;&gt;"Xong",J548&lt;&gt;"Bỏ qua",ISNUMBER(I548)),I548+ROW()/100000,"")</f>
        <v/>
      </c>
      <c r="T548">
        <f>IF(O548="","",IFERROR(INDEX(SK_TD,MATCH(O548,SK_A,0)),""))</f>
        <v/>
      </c>
      <c r="V548">
        <f>IF(AND(O548&lt;&gt;"",O548=SEL_K,J548&lt;&gt;"Xong",J548&lt;&gt;"Bỏ qua"),IF(ISNUMBER(I548),I548,99999)+ROW()/100000,"")</f>
        <v/>
      </c>
    </row>
    <row r="549">
      <c r="A549" s="12">
        <f>IF(O549="","",IFERROR(INDEX(SK_B,MATCH(O549,SK_A,0))&amp;"",""))</f>
        <v/>
      </c>
      <c r="B549" s="45">
        <f>IF(O549="","",IFERROR(INDEX(SK_C,MATCH(O549,SK_A,0)),""))</f>
        <v/>
      </c>
      <c r="C549" s="46">
        <f>IF(Q549="","",IF(Q549=0,"D",IF(Q549&lt;0,"D"&amp;Q549,"D+"&amp;Q549)))</f>
        <v/>
      </c>
      <c r="D549" s="14" t="n"/>
      <c r="E549" s="12" t="n"/>
      <c r="F549" s="46" t="n"/>
      <c r="G549" s="47" t="n"/>
      <c r="H549" s="14" t="n"/>
      <c r="I549" s="13">
        <f>IF(OR(B549="",Q549=""),"",IF(Q549&gt;0,IF(R549="Làm việc",WORKDAY(IFERROR(IF(INDEX(SK_D,MATCH(O549,SK_A,0))="",B549,INDEX(SK_D,MATCH(O549,SK_A,0))),B549),Q549,HOLI),IFERROR(IF(INDEX(SK_D,MATCH(O549,SK_A,0))="",B549,INDEX(SK_D,MATCH(O549,SK_A,0))),B549)+Q549),B549+Q549))</f>
        <v/>
      </c>
      <c r="J549" s="14" t="n"/>
      <c r="K549" s="13" t="n"/>
      <c r="L549" s="12" t="n"/>
      <c r="M549" s="48">
        <f>IF(E549="","",IF(J549="Bỏ qua","—",IF(J549="Xong",IF(AND(ISNUMBER(K549),ISNUMBER(I549),K549&gt;I549),"Xong trễ","Xong"),MID(IF(G549=""," · CHƯA GIAO","")&amp;IF(NOT(ISNUMBER(I549)),"",IF(TODAY()&gt;I549," · QUÁ HẠN "&amp;(TODAY()-I549)&amp;" ngày",IF(I549-TODAY()&lt;=3," · Đến hạn "&amp;IF(I549=TODAY(),"hôm nay","trong "&amp;(I549-TODAY())&amp;" ngày"),"")))&amp;IF(J549="Chờ đối tác"," · Chờ đối tác"&amp;IF(ISNUMBER(N549)," "&amp;(TODAY()-INT(N549))&amp;" ngày",""),""),4,200))))</f>
        <v/>
      </c>
      <c r="N549" s="49" t="n"/>
      <c r="S549">
        <f>IF(AND(E549&lt;&gt;"",T549="Có",J549&lt;&gt;"Xong",J549&lt;&gt;"Bỏ qua",ISNUMBER(I549)),I549+ROW()/100000,"")</f>
        <v/>
      </c>
      <c r="T549">
        <f>IF(O549="","",IFERROR(INDEX(SK_TD,MATCH(O549,SK_A,0)),""))</f>
        <v/>
      </c>
      <c r="V549">
        <f>IF(AND(O549&lt;&gt;"",O549=SEL_K,J549&lt;&gt;"Xong",J549&lt;&gt;"Bỏ qua"),IF(ISNUMBER(I549),I549,99999)+ROW()/100000,"")</f>
        <v/>
      </c>
    </row>
    <row r="550">
      <c r="A550" s="12">
        <f>IF(O550="","",IFERROR(INDEX(SK_B,MATCH(O550,SK_A,0))&amp;"",""))</f>
        <v/>
      </c>
      <c r="B550" s="45">
        <f>IF(O550="","",IFERROR(INDEX(SK_C,MATCH(O550,SK_A,0)),""))</f>
        <v/>
      </c>
      <c r="C550" s="46">
        <f>IF(Q550="","",IF(Q550=0,"D",IF(Q550&lt;0,"D"&amp;Q550,"D+"&amp;Q550)))</f>
        <v/>
      </c>
      <c r="D550" s="14" t="n"/>
      <c r="E550" s="12" t="n"/>
      <c r="F550" s="46" t="n"/>
      <c r="G550" s="47" t="n"/>
      <c r="H550" s="14" t="n"/>
      <c r="I550" s="13">
        <f>IF(OR(B550="",Q550=""),"",IF(Q550&gt;0,IF(R550="Làm việc",WORKDAY(IFERROR(IF(INDEX(SK_D,MATCH(O550,SK_A,0))="",B550,INDEX(SK_D,MATCH(O550,SK_A,0))),B550),Q550,HOLI),IFERROR(IF(INDEX(SK_D,MATCH(O550,SK_A,0))="",B550,INDEX(SK_D,MATCH(O550,SK_A,0))),B550)+Q550),B550+Q550))</f>
        <v/>
      </c>
      <c r="J550" s="14" t="n"/>
      <c r="K550" s="13" t="n"/>
      <c r="L550" s="12" t="n"/>
      <c r="M550" s="48">
        <f>IF(E550="","",IF(J550="Bỏ qua","—",IF(J550="Xong",IF(AND(ISNUMBER(K550),ISNUMBER(I550),K550&gt;I550),"Xong trễ","Xong"),MID(IF(G550=""," · CHƯA GIAO","")&amp;IF(NOT(ISNUMBER(I550)),"",IF(TODAY()&gt;I550," · QUÁ HẠN "&amp;(TODAY()-I550)&amp;" ngày",IF(I550-TODAY()&lt;=3," · Đến hạn "&amp;IF(I550=TODAY(),"hôm nay","trong "&amp;(I550-TODAY())&amp;" ngày"),"")))&amp;IF(J550="Chờ đối tác"," · Chờ đối tác"&amp;IF(ISNUMBER(N550)," "&amp;(TODAY()-INT(N550))&amp;" ngày",""),""),4,200))))</f>
        <v/>
      </c>
      <c r="N550" s="49" t="n"/>
      <c r="S550">
        <f>IF(AND(E550&lt;&gt;"",T550="Có",J550&lt;&gt;"Xong",J550&lt;&gt;"Bỏ qua",ISNUMBER(I550)),I550+ROW()/100000,"")</f>
        <v/>
      </c>
      <c r="T550">
        <f>IF(O550="","",IFERROR(INDEX(SK_TD,MATCH(O550,SK_A,0)),""))</f>
        <v/>
      </c>
      <c r="V550">
        <f>IF(AND(O550&lt;&gt;"",O550=SEL_K,J550&lt;&gt;"Xong",J550&lt;&gt;"Bỏ qua"),IF(ISNUMBER(I550),I550,99999)+ROW()/100000,"")</f>
        <v/>
      </c>
    </row>
    <row r="551">
      <c r="A551" s="12">
        <f>IF(O551="","",IFERROR(INDEX(SK_B,MATCH(O551,SK_A,0))&amp;"",""))</f>
        <v/>
      </c>
      <c r="B551" s="45">
        <f>IF(O551="","",IFERROR(INDEX(SK_C,MATCH(O551,SK_A,0)),""))</f>
        <v/>
      </c>
      <c r="C551" s="46">
        <f>IF(Q551="","",IF(Q551=0,"D",IF(Q551&lt;0,"D"&amp;Q551,"D+"&amp;Q551)))</f>
        <v/>
      </c>
      <c r="D551" s="14" t="n"/>
      <c r="E551" s="12" t="n"/>
      <c r="F551" s="46" t="n"/>
      <c r="G551" s="47" t="n"/>
      <c r="H551" s="14" t="n"/>
      <c r="I551" s="13">
        <f>IF(OR(B551="",Q551=""),"",IF(Q551&gt;0,IF(R551="Làm việc",WORKDAY(IFERROR(IF(INDEX(SK_D,MATCH(O551,SK_A,0))="",B551,INDEX(SK_D,MATCH(O551,SK_A,0))),B551),Q551,HOLI),IFERROR(IF(INDEX(SK_D,MATCH(O551,SK_A,0))="",B551,INDEX(SK_D,MATCH(O551,SK_A,0))),B551)+Q551),B551+Q551))</f>
        <v/>
      </c>
      <c r="J551" s="14" t="n"/>
      <c r="K551" s="13" t="n"/>
      <c r="L551" s="12" t="n"/>
      <c r="M551" s="48">
        <f>IF(E551="","",IF(J551="Bỏ qua","—",IF(J551="Xong",IF(AND(ISNUMBER(K551),ISNUMBER(I551),K551&gt;I551),"Xong trễ","Xong"),MID(IF(G551=""," · CHƯA GIAO","")&amp;IF(NOT(ISNUMBER(I551)),"",IF(TODAY()&gt;I551," · QUÁ HẠN "&amp;(TODAY()-I551)&amp;" ngày",IF(I551-TODAY()&lt;=3," · Đến hạn "&amp;IF(I551=TODAY(),"hôm nay","trong "&amp;(I551-TODAY())&amp;" ngày"),"")))&amp;IF(J551="Chờ đối tác"," · Chờ đối tác"&amp;IF(ISNUMBER(N551)," "&amp;(TODAY()-INT(N551))&amp;" ngày",""),""),4,200))))</f>
        <v/>
      </c>
      <c r="N551" s="49" t="n"/>
      <c r="S551">
        <f>IF(AND(E551&lt;&gt;"",T551="Có",J551&lt;&gt;"Xong",J551&lt;&gt;"Bỏ qua",ISNUMBER(I551)),I551+ROW()/100000,"")</f>
        <v/>
      </c>
      <c r="T551">
        <f>IF(O551="","",IFERROR(INDEX(SK_TD,MATCH(O551,SK_A,0)),""))</f>
        <v/>
      </c>
      <c r="V551">
        <f>IF(AND(O551&lt;&gt;"",O551=SEL_K,J551&lt;&gt;"Xong",J551&lt;&gt;"Bỏ qua"),IF(ISNUMBER(I551),I551,99999)+ROW()/100000,"")</f>
        <v/>
      </c>
    </row>
    <row r="552">
      <c r="A552" s="12">
        <f>IF(O552="","",IFERROR(INDEX(SK_B,MATCH(O552,SK_A,0))&amp;"",""))</f>
        <v/>
      </c>
      <c r="B552" s="45">
        <f>IF(O552="","",IFERROR(INDEX(SK_C,MATCH(O552,SK_A,0)),""))</f>
        <v/>
      </c>
      <c r="C552" s="46">
        <f>IF(Q552="","",IF(Q552=0,"D",IF(Q552&lt;0,"D"&amp;Q552,"D+"&amp;Q552)))</f>
        <v/>
      </c>
      <c r="D552" s="14" t="n"/>
      <c r="E552" s="12" t="n"/>
      <c r="F552" s="46" t="n"/>
      <c r="G552" s="47" t="n"/>
      <c r="H552" s="14" t="n"/>
      <c r="I552" s="13">
        <f>IF(OR(B552="",Q552=""),"",IF(Q552&gt;0,IF(R552="Làm việc",WORKDAY(IFERROR(IF(INDEX(SK_D,MATCH(O552,SK_A,0))="",B552,INDEX(SK_D,MATCH(O552,SK_A,0))),B552),Q552,HOLI),IFERROR(IF(INDEX(SK_D,MATCH(O552,SK_A,0))="",B552,INDEX(SK_D,MATCH(O552,SK_A,0))),B552)+Q552),B552+Q552))</f>
        <v/>
      </c>
      <c r="J552" s="14" t="n"/>
      <c r="K552" s="13" t="n"/>
      <c r="L552" s="12" t="n"/>
      <c r="M552" s="48">
        <f>IF(E552="","",IF(J552="Bỏ qua","—",IF(J552="Xong",IF(AND(ISNUMBER(K552),ISNUMBER(I552),K552&gt;I552),"Xong trễ","Xong"),MID(IF(G552=""," · CHƯA GIAO","")&amp;IF(NOT(ISNUMBER(I552)),"",IF(TODAY()&gt;I552," · QUÁ HẠN "&amp;(TODAY()-I552)&amp;" ngày",IF(I552-TODAY()&lt;=3," · Đến hạn "&amp;IF(I552=TODAY(),"hôm nay","trong "&amp;(I552-TODAY())&amp;" ngày"),"")))&amp;IF(J552="Chờ đối tác"," · Chờ đối tác"&amp;IF(ISNUMBER(N552)," "&amp;(TODAY()-INT(N552))&amp;" ngày",""),""),4,200))))</f>
        <v/>
      </c>
      <c r="N552" s="49" t="n"/>
      <c r="S552">
        <f>IF(AND(E552&lt;&gt;"",T552="Có",J552&lt;&gt;"Xong",J552&lt;&gt;"Bỏ qua",ISNUMBER(I552)),I552+ROW()/100000,"")</f>
        <v/>
      </c>
      <c r="T552">
        <f>IF(O552="","",IFERROR(INDEX(SK_TD,MATCH(O552,SK_A,0)),""))</f>
        <v/>
      </c>
      <c r="V552">
        <f>IF(AND(O552&lt;&gt;"",O552=SEL_K,J552&lt;&gt;"Xong",J552&lt;&gt;"Bỏ qua"),IF(ISNUMBER(I552),I552,99999)+ROW()/100000,"")</f>
        <v/>
      </c>
    </row>
    <row r="553">
      <c r="A553" s="12">
        <f>IF(O553="","",IFERROR(INDEX(SK_B,MATCH(O553,SK_A,0))&amp;"",""))</f>
        <v/>
      </c>
      <c r="B553" s="45">
        <f>IF(O553="","",IFERROR(INDEX(SK_C,MATCH(O553,SK_A,0)),""))</f>
        <v/>
      </c>
      <c r="C553" s="46">
        <f>IF(Q553="","",IF(Q553=0,"D",IF(Q553&lt;0,"D"&amp;Q553,"D+"&amp;Q553)))</f>
        <v/>
      </c>
      <c r="D553" s="14" t="n"/>
      <c r="E553" s="12" t="n"/>
      <c r="F553" s="46" t="n"/>
      <c r="G553" s="47" t="n"/>
      <c r="H553" s="14" t="n"/>
      <c r="I553" s="13">
        <f>IF(OR(B553="",Q553=""),"",IF(Q553&gt;0,IF(R553="Làm việc",WORKDAY(IFERROR(IF(INDEX(SK_D,MATCH(O553,SK_A,0))="",B553,INDEX(SK_D,MATCH(O553,SK_A,0))),B553),Q553,HOLI),IFERROR(IF(INDEX(SK_D,MATCH(O553,SK_A,0))="",B553,INDEX(SK_D,MATCH(O553,SK_A,0))),B553)+Q553),B553+Q553))</f>
        <v/>
      </c>
      <c r="J553" s="14" t="n"/>
      <c r="K553" s="13" t="n"/>
      <c r="L553" s="12" t="n"/>
      <c r="M553" s="48">
        <f>IF(E553="","",IF(J553="Bỏ qua","—",IF(J553="Xong",IF(AND(ISNUMBER(K553),ISNUMBER(I553),K553&gt;I553),"Xong trễ","Xong"),MID(IF(G553=""," · CHƯA GIAO","")&amp;IF(NOT(ISNUMBER(I553)),"",IF(TODAY()&gt;I553," · QUÁ HẠN "&amp;(TODAY()-I553)&amp;" ngày",IF(I553-TODAY()&lt;=3," · Đến hạn "&amp;IF(I553=TODAY(),"hôm nay","trong "&amp;(I553-TODAY())&amp;" ngày"),"")))&amp;IF(J553="Chờ đối tác"," · Chờ đối tác"&amp;IF(ISNUMBER(N553)," "&amp;(TODAY()-INT(N553))&amp;" ngày",""),""),4,200))))</f>
        <v/>
      </c>
      <c r="N553" s="49" t="n"/>
      <c r="S553">
        <f>IF(AND(E553&lt;&gt;"",T553="Có",J553&lt;&gt;"Xong",J553&lt;&gt;"Bỏ qua",ISNUMBER(I553)),I553+ROW()/100000,"")</f>
        <v/>
      </c>
      <c r="T553">
        <f>IF(O553="","",IFERROR(INDEX(SK_TD,MATCH(O553,SK_A,0)),""))</f>
        <v/>
      </c>
      <c r="V553">
        <f>IF(AND(O553&lt;&gt;"",O553=SEL_K,J553&lt;&gt;"Xong",J553&lt;&gt;"Bỏ qua"),IF(ISNUMBER(I553),I553,99999)+ROW()/100000,"")</f>
        <v/>
      </c>
    </row>
    <row r="554">
      <c r="A554" s="12">
        <f>IF(O554="","",IFERROR(INDEX(SK_B,MATCH(O554,SK_A,0))&amp;"",""))</f>
        <v/>
      </c>
      <c r="B554" s="45">
        <f>IF(O554="","",IFERROR(INDEX(SK_C,MATCH(O554,SK_A,0)),""))</f>
        <v/>
      </c>
      <c r="C554" s="46">
        <f>IF(Q554="","",IF(Q554=0,"D",IF(Q554&lt;0,"D"&amp;Q554,"D+"&amp;Q554)))</f>
        <v/>
      </c>
      <c r="D554" s="14" t="n"/>
      <c r="E554" s="12" t="n"/>
      <c r="F554" s="46" t="n"/>
      <c r="G554" s="47" t="n"/>
      <c r="H554" s="14" t="n"/>
      <c r="I554" s="13">
        <f>IF(OR(B554="",Q554=""),"",IF(Q554&gt;0,IF(R554="Làm việc",WORKDAY(IFERROR(IF(INDEX(SK_D,MATCH(O554,SK_A,0))="",B554,INDEX(SK_D,MATCH(O554,SK_A,0))),B554),Q554,HOLI),IFERROR(IF(INDEX(SK_D,MATCH(O554,SK_A,0))="",B554,INDEX(SK_D,MATCH(O554,SK_A,0))),B554)+Q554),B554+Q554))</f>
        <v/>
      </c>
      <c r="J554" s="14" t="n"/>
      <c r="K554" s="13" t="n"/>
      <c r="L554" s="12" t="n"/>
      <c r="M554" s="48">
        <f>IF(E554="","",IF(J554="Bỏ qua","—",IF(J554="Xong",IF(AND(ISNUMBER(K554),ISNUMBER(I554),K554&gt;I554),"Xong trễ","Xong"),MID(IF(G554=""," · CHƯA GIAO","")&amp;IF(NOT(ISNUMBER(I554)),"",IF(TODAY()&gt;I554," · QUÁ HẠN "&amp;(TODAY()-I554)&amp;" ngày",IF(I554-TODAY()&lt;=3," · Đến hạn "&amp;IF(I554=TODAY(),"hôm nay","trong "&amp;(I554-TODAY())&amp;" ngày"),"")))&amp;IF(J554="Chờ đối tác"," · Chờ đối tác"&amp;IF(ISNUMBER(N554)," "&amp;(TODAY()-INT(N554))&amp;" ngày",""),""),4,200))))</f>
        <v/>
      </c>
      <c r="N554" s="49" t="n"/>
      <c r="S554">
        <f>IF(AND(E554&lt;&gt;"",T554="Có",J554&lt;&gt;"Xong",J554&lt;&gt;"Bỏ qua",ISNUMBER(I554)),I554+ROW()/100000,"")</f>
        <v/>
      </c>
      <c r="T554">
        <f>IF(O554="","",IFERROR(INDEX(SK_TD,MATCH(O554,SK_A,0)),""))</f>
        <v/>
      </c>
      <c r="V554">
        <f>IF(AND(O554&lt;&gt;"",O554=SEL_K,J554&lt;&gt;"Xong",J554&lt;&gt;"Bỏ qua"),IF(ISNUMBER(I554),I554,99999)+ROW()/100000,"")</f>
        <v/>
      </c>
    </row>
    <row r="555">
      <c r="A555" s="12">
        <f>IF(O555="","",IFERROR(INDEX(SK_B,MATCH(O555,SK_A,0))&amp;"",""))</f>
        <v/>
      </c>
      <c r="B555" s="45">
        <f>IF(O555="","",IFERROR(INDEX(SK_C,MATCH(O555,SK_A,0)),""))</f>
        <v/>
      </c>
      <c r="C555" s="46">
        <f>IF(Q555="","",IF(Q555=0,"D",IF(Q555&lt;0,"D"&amp;Q555,"D+"&amp;Q555)))</f>
        <v/>
      </c>
      <c r="D555" s="14" t="n"/>
      <c r="E555" s="12" t="n"/>
      <c r="F555" s="46" t="n"/>
      <c r="G555" s="47" t="n"/>
      <c r="H555" s="14" t="n"/>
      <c r="I555" s="13">
        <f>IF(OR(B555="",Q555=""),"",IF(Q555&gt;0,IF(R555="Làm việc",WORKDAY(IFERROR(IF(INDEX(SK_D,MATCH(O555,SK_A,0))="",B555,INDEX(SK_D,MATCH(O555,SK_A,0))),B555),Q555,HOLI),IFERROR(IF(INDEX(SK_D,MATCH(O555,SK_A,0))="",B555,INDEX(SK_D,MATCH(O555,SK_A,0))),B555)+Q555),B555+Q555))</f>
        <v/>
      </c>
      <c r="J555" s="14" t="n"/>
      <c r="K555" s="13" t="n"/>
      <c r="L555" s="12" t="n"/>
      <c r="M555" s="48">
        <f>IF(E555="","",IF(J555="Bỏ qua","—",IF(J555="Xong",IF(AND(ISNUMBER(K555),ISNUMBER(I555),K555&gt;I555),"Xong trễ","Xong"),MID(IF(G555=""," · CHƯA GIAO","")&amp;IF(NOT(ISNUMBER(I555)),"",IF(TODAY()&gt;I555," · QUÁ HẠN "&amp;(TODAY()-I555)&amp;" ngày",IF(I555-TODAY()&lt;=3," · Đến hạn "&amp;IF(I555=TODAY(),"hôm nay","trong "&amp;(I555-TODAY())&amp;" ngày"),"")))&amp;IF(J555="Chờ đối tác"," · Chờ đối tác"&amp;IF(ISNUMBER(N555)," "&amp;(TODAY()-INT(N555))&amp;" ngày",""),""),4,200))))</f>
        <v/>
      </c>
      <c r="N555" s="49" t="n"/>
      <c r="S555">
        <f>IF(AND(E555&lt;&gt;"",T555="Có",J555&lt;&gt;"Xong",J555&lt;&gt;"Bỏ qua",ISNUMBER(I555)),I555+ROW()/100000,"")</f>
        <v/>
      </c>
      <c r="T555">
        <f>IF(O555="","",IFERROR(INDEX(SK_TD,MATCH(O555,SK_A,0)),""))</f>
        <v/>
      </c>
      <c r="V555">
        <f>IF(AND(O555&lt;&gt;"",O555=SEL_K,J555&lt;&gt;"Xong",J555&lt;&gt;"Bỏ qua"),IF(ISNUMBER(I555),I555,99999)+ROW()/100000,"")</f>
        <v/>
      </c>
    </row>
    <row r="556">
      <c r="A556" s="12">
        <f>IF(O556="","",IFERROR(INDEX(SK_B,MATCH(O556,SK_A,0))&amp;"",""))</f>
        <v/>
      </c>
      <c r="B556" s="45">
        <f>IF(O556="","",IFERROR(INDEX(SK_C,MATCH(O556,SK_A,0)),""))</f>
        <v/>
      </c>
      <c r="C556" s="46">
        <f>IF(Q556="","",IF(Q556=0,"D",IF(Q556&lt;0,"D"&amp;Q556,"D+"&amp;Q556)))</f>
        <v/>
      </c>
      <c r="D556" s="14" t="n"/>
      <c r="E556" s="12" t="n"/>
      <c r="F556" s="46" t="n"/>
      <c r="G556" s="47" t="n"/>
      <c r="H556" s="14" t="n"/>
      <c r="I556" s="13">
        <f>IF(OR(B556="",Q556=""),"",IF(Q556&gt;0,IF(R556="Làm việc",WORKDAY(IFERROR(IF(INDEX(SK_D,MATCH(O556,SK_A,0))="",B556,INDEX(SK_D,MATCH(O556,SK_A,0))),B556),Q556,HOLI),IFERROR(IF(INDEX(SK_D,MATCH(O556,SK_A,0))="",B556,INDEX(SK_D,MATCH(O556,SK_A,0))),B556)+Q556),B556+Q556))</f>
        <v/>
      </c>
      <c r="J556" s="14" t="n"/>
      <c r="K556" s="13" t="n"/>
      <c r="L556" s="12" t="n"/>
      <c r="M556" s="48">
        <f>IF(E556="","",IF(J556="Bỏ qua","—",IF(J556="Xong",IF(AND(ISNUMBER(K556),ISNUMBER(I556),K556&gt;I556),"Xong trễ","Xong"),MID(IF(G556=""," · CHƯA GIAO","")&amp;IF(NOT(ISNUMBER(I556)),"",IF(TODAY()&gt;I556," · QUÁ HẠN "&amp;(TODAY()-I556)&amp;" ngày",IF(I556-TODAY()&lt;=3," · Đến hạn "&amp;IF(I556=TODAY(),"hôm nay","trong "&amp;(I556-TODAY())&amp;" ngày"),"")))&amp;IF(J556="Chờ đối tác"," · Chờ đối tác"&amp;IF(ISNUMBER(N556)," "&amp;(TODAY()-INT(N556))&amp;" ngày",""),""),4,200))))</f>
        <v/>
      </c>
      <c r="N556" s="49" t="n"/>
      <c r="S556">
        <f>IF(AND(E556&lt;&gt;"",T556="Có",J556&lt;&gt;"Xong",J556&lt;&gt;"Bỏ qua",ISNUMBER(I556)),I556+ROW()/100000,"")</f>
        <v/>
      </c>
      <c r="T556">
        <f>IF(O556="","",IFERROR(INDEX(SK_TD,MATCH(O556,SK_A,0)),""))</f>
        <v/>
      </c>
      <c r="V556">
        <f>IF(AND(O556&lt;&gt;"",O556=SEL_K,J556&lt;&gt;"Xong",J556&lt;&gt;"Bỏ qua"),IF(ISNUMBER(I556),I556,99999)+ROW()/100000,"")</f>
        <v/>
      </c>
    </row>
    <row r="557">
      <c r="A557" s="12">
        <f>IF(O557="","",IFERROR(INDEX(SK_B,MATCH(O557,SK_A,0))&amp;"",""))</f>
        <v/>
      </c>
      <c r="B557" s="45">
        <f>IF(O557="","",IFERROR(INDEX(SK_C,MATCH(O557,SK_A,0)),""))</f>
        <v/>
      </c>
      <c r="C557" s="46">
        <f>IF(Q557="","",IF(Q557=0,"D",IF(Q557&lt;0,"D"&amp;Q557,"D+"&amp;Q557)))</f>
        <v/>
      </c>
      <c r="D557" s="14" t="n"/>
      <c r="E557" s="12" t="n"/>
      <c r="F557" s="46" t="n"/>
      <c r="G557" s="47" t="n"/>
      <c r="H557" s="14" t="n"/>
      <c r="I557" s="13">
        <f>IF(OR(B557="",Q557=""),"",IF(Q557&gt;0,IF(R557="Làm việc",WORKDAY(IFERROR(IF(INDEX(SK_D,MATCH(O557,SK_A,0))="",B557,INDEX(SK_D,MATCH(O557,SK_A,0))),B557),Q557,HOLI),IFERROR(IF(INDEX(SK_D,MATCH(O557,SK_A,0))="",B557,INDEX(SK_D,MATCH(O557,SK_A,0))),B557)+Q557),B557+Q557))</f>
        <v/>
      </c>
      <c r="J557" s="14" t="n"/>
      <c r="K557" s="13" t="n"/>
      <c r="L557" s="12" t="n"/>
      <c r="M557" s="48">
        <f>IF(E557="","",IF(J557="Bỏ qua","—",IF(J557="Xong",IF(AND(ISNUMBER(K557),ISNUMBER(I557),K557&gt;I557),"Xong trễ","Xong"),MID(IF(G557=""," · CHƯA GIAO","")&amp;IF(NOT(ISNUMBER(I557)),"",IF(TODAY()&gt;I557," · QUÁ HẠN "&amp;(TODAY()-I557)&amp;" ngày",IF(I557-TODAY()&lt;=3," · Đến hạn "&amp;IF(I557=TODAY(),"hôm nay","trong "&amp;(I557-TODAY())&amp;" ngày"),"")))&amp;IF(J557="Chờ đối tác"," · Chờ đối tác"&amp;IF(ISNUMBER(N557)," "&amp;(TODAY()-INT(N557))&amp;" ngày",""),""),4,200))))</f>
        <v/>
      </c>
      <c r="N557" s="49" t="n"/>
      <c r="S557">
        <f>IF(AND(E557&lt;&gt;"",T557="Có",J557&lt;&gt;"Xong",J557&lt;&gt;"Bỏ qua",ISNUMBER(I557)),I557+ROW()/100000,"")</f>
        <v/>
      </c>
      <c r="T557">
        <f>IF(O557="","",IFERROR(INDEX(SK_TD,MATCH(O557,SK_A,0)),""))</f>
        <v/>
      </c>
      <c r="V557">
        <f>IF(AND(O557&lt;&gt;"",O557=SEL_K,J557&lt;&gt;"Xong",J557&lt;&gt;"Bỏ qua"),IF(ISNUMBER(I557),I557,99999)+ROW()/100000,"")</f>
        <v/>
      </c>
    </row>
    <row r="558">
      <c r="A558" s="12">
        <f>IF(O558="","",IFERROR(INDEX(SK_B,MATCH(O558,SK_A,0))&amp;"",""))</f>
        <v/>
      </c>
      <c r="B558" s="45">
        <f>IF(O558="","",IFERROR(INDEX(SK_C,MATCH(O558,SK_A,0)),""))</f>
        <v/>
      </c>
      <c r="C558" s="46">
        <f>IF(Q558="","",IF(Q558=0,"D",IF(Q558&lt;0,"D"&amp;Q558,"D+"&amp;Q558)))</f>
        <v/>
      </c>
      <c r="D558" s="14" t="n"/>
      <c r="E558" s="12" t="n"/>
      <c r="F558" s="46" t="n"/>
      <c r="G558" s="47" t="n"/>
      <c r="H558" s="14" t="n"/>
      <c r="I558" s="13">
        <f>IF(OR(B558="",Q558=""),"",IF(Q558&gt;0,IF(R558="Làm việc",WORKDAY(IFERROR(IF(INDEX(SK_D,MATCH(O558,SK_A,0))="",B558,INDEX(SK_D,MATCH(O558,SK_A,0))),B558),Q558,HOLI),IFERROR(IF(INDEX(SK_D,MATCH(O558,SK_A,0))="",B558,INDEX(SK_D,MATCH(O558,SK_A,0))),B558)+Q558),B558+Q558))</f>
        <v/>
      </c>
      <c r="J558" s="14" t="n"/>
      <c r="K558" s="13" t="n"/>
      <c r="L558" s="12" t="n"/>
      <c r="M558" s="48">
        <f>IF(E558="","",IF(J558="Bỏ qua","—",IF(J558="Xong",IF(AND(ISNUMBER(K558),ISNUMBER(I558),K558&gt;I558),"Xong trễ","Xong"),MID(IF(G558=""," · CHƯA GIAO","")&amp;IF(NOT(ISNUMBER(I558)),"",IF(TODAY()&gt;I558," · QUÁ HẠN "&amp;(TODAY()-I558)&amp;" ngày",IF(I558-TODAY()&lt;=3," · Đến hạn "&amp;IF(I558=TODAY(),"hôm nay","trong "&amp;(I558-TODAY())&amp;" ngày"),"")))&amp;IF(J558="Chờ đối tác"," · Chờ đối tác"&amp;IF(ISNUMBER(N558)," "&amp;(TODAY()-INT(N558))&amp;" ngày",""),""),4,200))))</f>
        <v/>
      </c>
      <c r="N558" s="49" t="n"/>
      <c r="S558">
        <f>IF(AND(E558&lt;&gt;"",T558="Có",J558&lt;&gt;"Xong",J558&lt;&gt;"Bỏ qua",ISNUMBER(I558)),I558+ROW()/100000,"")</f>
        <v/>
      </c>
      <c r="T558">
        <f>IF(O558="","",IFERROR(INDEX(SK_TD,MATCH(O558,SK_A,0)),""))</f>
        <v/>
      </c>
      <c r="V558">
        <f>IF(AND(O558&lt;&gt;"",O558=SEL_K,J558&lt;&gt;"Xong",J558&lt;&gt;"Bỏ qua"),IF(ISNUMBER(I558),I558,99999)+ROW()/100000,"")</f>
        <v/>
      </c>
    </row>
    <row r="559">
      <c r="A559" s="12">
        <f>IF(O559="","",IFERROR(INDEX(SK_B,MATCH(O559,SK_A,0))&amp;"",""))</f>
        <v/>
      </c>
      <c r="B559" s="45">
        <f>IF(O559="","",IFERROR(INDEX(SK_C,MATCH(O559,SK_A,0)),""))</f>
        <v/>
      </c>
      <c r="C559" s="46">
        <f>IF(Q559="","",IF(Q559=0,"D",IF(Q559&lt;0,"D"&amp;Q559,"D+"&amp;Q559)))</f>
        <v/>
      </c>
      <c r="D559" s="14" t="n"/>
      <c r="E559" s="12" t="n"/>
      <c r="F559" s="46" t="n"/>
      <c r="G559" s="47" t="n"/>
      <c r="H559" s="14" t="n"/>
      <c r="I559" s="13">
        <f>IF(OR(B559="",Q559=""),"",IF(Q559&gt;0,IF(R559="Làm việc",WORKDAY(IFERROR(IF(INDEX(SK_D,MATCH(O559,SK_A,0))="",B559,INDEX(SK_D,MATCH(O559,SK_A,0))),B559),Q559,HOLI),IFERROR(IF(INDEX(SK_D,MATCH(O559,SK_A,0))="",B559,INDEX(SK_D,MATCH(O559,SK_A,0))),B559)+Q559),B559+Q559))</f>
        <v/>
      </c>
      <c r="J559" s="14" t="n"/>
      <c r="K559" s="13" t="n"/>
      <c r="L559" s="12" t="n"/>
      <c r="M559" s="48">
        <f>IF(E559="","",IF(J559="Bỏ qua","—",IF(J559="Xong",IF(AND(ISNUMBER(K559),ISNUMBER(I559),K559&gt;I559),"Xong trễ","Xong"),MID(IF(G559=""," · CHƯA GIAO","")&amp;IF(NOT(ISNUMBER(I559)),"",IF(TODAY()&gt;I559," · QUÁ HẠN "&amp;(TODAY()-I559)&amp;" ngày",IF(I559-TODAY()&lt;=3," · Đến hạn "&amp;IF(I559=TODAY(),"hôm nay","trong "&amp;(I559-TODAY())&amp;" ngày"),"")))&amp;IF(J559="Chờ đối tác"," · Chờ đối tác"&amp;IF(ISNUMBER(N559)," "&amp;(TODAY()-INT(N559))&amp;" ngày",""),""),4,200))))</f>
        <v/>
      </c>
      <c r="N559" s="49" t="n"/>
      <c r="S559">
        <f>IF(AND(E559&lt;&gt;"",T559="Có",J559&lt;&gt;"Xong",J559&lt;&gt;"Bỏ qua",ISNUMBER(I559)),I559+ROW()/100000,"")</f>
        <v/>
      </c>
      <c r="T559">
        <f>IF(O559="","",IFERROR(INDEX(SK_TD,MATCH(O559,SK_A,0)),""))</f>
        <v/>
      </c>
      <c r="V559">
        <f>IF(AND(O559&lt;&gt;"",O559=SEL_K,J559&lt;&gt;"Xong",J559&lt;&gt;"Bỏ qua"),IF(ISNUMBER(I559),I559,99999)+ROW()/100000,"")</f>
        <v/>
      </c>
    </row>
    <row r="560">
      <c r="A560" s="12">
        <f>IF(O560="","",IFERROR(INDEX(SK_B,MATCH(O560,SK_A,0))&amp;"",""))</f>
        <v/>
      </c>
      <c r="B560" s="45">
        <f>IF(O560="","",IFERROR(INDEX(SK_C,MATCH(O560,SK_A,0)),""))</f>
        <v/>
      </c>
      <c r="C560" s="46">
        <f>IF(Q560="","",IF(Q560=0,"D",IF(Q560&lt;0,"D"&amp;Q560,"D+"&amp;Q560)))</f>
        <v/>
      </c>
      <c r="D560" s="14" t="n"/>
      <c r="E560" s="12" t="n"/>
      <c r="F560" s="46" t="n"/>
      <c r="G560" s="47" t="n"/>
      <c r="H560" s="14" t="n"/>
      <c r="I560" s="13">
        <f>IF(OR(B560="",Q560=""),"",IF(Q560&gt;0,IF(R560="Làm việc",WORKDAY(IFERROR(IF(INDEX(SK_D,MATCH(O560,SK_A,0))="",B560,INDEX(SK_D,MATCH(O560,SK_A,0))),B560),Q560,HOLI),IFERROR(IF(INDEX(SK_D,MATCH(O560,SK_A,0))="",B560,INDEX(SK_D,MATCH(O560,SK_A,0))),B560)+Q560),B560+Q560))</f>
        <v/>
      </c>
      <c r="J560" s="14" t="n"/>
      <c r="K560" s="13" t="n"/>
      <c r="L560" s="12" t="n"/>
      <c r="M560" s="48">
        <f>IF(E560="","",IF(J560="Bỏ qua","—",IF(J560="Xong",IF(AND(ISNUMBER(K560),ISNUMBER(I560),K560&gt;I560),"Xong trễ","Xong"),MID(IF(G560=""," · CHƯA GIAO","")&amp;IF(NOT(ISNUMBER(I560)),"",IF(TODAY()&gt;I560," · QUÁ HẠN "&amp;(TODAY()-I560)&amp;" ngày",IF(I560-TODAY()&lt;=3," · Đến hạn "&amp;IF(I560=TODAY(),"hôm nay","trong "&amp;(I560-TODAY())&amp;" ngày"),"")))&amp;IF(J560="Chờ đối tác"," · Chờ đối tác"&amp;IF(ISNUMBER(N560)," "&amp;(TODAY()-INT(N560))&amp;" ngày",""),""),4,200))))</f>
        <v/>
      </c>
      <c r="N560" s="49" t="n"/>
      <c r="S560">
        <f>IF(AND(E560&lt;&gt;"",T560="Có",J560&lt;&gt;"Xong",J560&lt;&gt;"Bỏ qua",ISNUMBER(I560)),I560+ROW()/100000,"")</f>
        <v/>
      </c>
      <c r="T560">
        <f>IF(O560="","",IFERROR(INDEX(SK_TD,MATCH(O560,SK_A,0)),""))</f>
        <v/>
      </c>
      <c r="V560">
        <f>IF(AND(O560&lt;&gt;"",O560=SEL_K,J560&lt;&gt;"Xong",J560&lt;&gt;"Bỏ qua"),IF(ISNUMBER(I560),I560,99999)+ROW()/100000,"")</f>
        <v/>
      </c>
    </row>
    <row r="561">
      <c r="A561" s="12">
        <f>IF(O561="","",IFERROR(INDEX(SK_B,MATCH(O561,SK_A,0))&amp;"",""))</f>
        <v/>
      </c>
      <c r="B561" s="45">
        <f>IF(O561="","",IFERROR(INDEX(SK_C,MATCH(O561,SK_A,0)),""))</f>
        <v/>
      </c>
      <c r="C561" s="46">
        <f>IF(Q561="","",IF(Q561=0,"D",IF(Q561&lt;0,"D"&amp;Q561,"D+"&amp;Q561)))</f>
        <v/>
      </c>
      <c r="D561" s="14" t="n"/>
      <c r="E561" s="12" t="n"/>
      <c r="F561" s="46" t="n"/>
      <c r="G561" s="47" t="n"/>
      <c r="H561" s="14" t="n"/>
      <c r="I561" s="13">
        <f>IF(OR(B561="",Q561=""),"",IF(Q561&gt;0,IF(R561="Làm việc",WORKDAY(IFERROR(IF(INDEX(SK_D,MATCH(O561,SK_A,0))="",B561,INDEX(SK_D,MATCH(O561,SK_A,0))),B561),Q561,HOLI),IFERROR(IF(INDEX(SK_D,MATCH(O561,SK_A,0))="",B561,INDEX(SK_D,MATCH(O561,SK_A,0))),B561)+Q561),B561+Q561))</f>
        <v/>
      </c>
      <c r="J561" s="14" t="n"/>
      <c r="K561" s="13" t="n"/>
      <c r="L561" s="12" t="n"/>
      <c r="M561" s="48">
        <f>IF(E561="","",IF(J561="Bỏ qua","—",IF(J561="Xong",IF(AND(ISNUMBER(K561),ISNUMBER(I561),K561&gt;I561),"Xong trễ","Xong"),MID(IF(G561=""," · CHƯA GIAO","")&amp;IF(NOT(ISNUMBER(I561)),"",IF(TODAY()&gt;I561," · QUÁ HẠN "&amp;(TODAY()-I561)&amp;" ngày",IF(I561-TODAY()&lt;=3," · Đến hạn "&amp;IF(I561=TODAY(),"hôm nay","trong "&amp;(I561-TODAY())&amp;" ngày"),"")))&amp;IF(J561="Chờ đối tác"," · Chờ đối tác"&amp;IF(ISNUMBER(N561)," "&amp;(TODAY()-INT(N561))&amp;" ngày",""),""),4,200))))</f>
        <v/>
      </c>
      <c r="N561" s="49" t="n"/>
      <c r="S561">
        <f>IF(AND(E561&lt;&gt;"",T561="Có",J561&lt;&gt;"Xong",J561&lt;&gt;"Bỏ qua",ISNUMBER(I561)),I561+ROW()/100000,"")</f>
        <v/>
      </c>
      <c r="T561">
        <f>IF(O561="","",IFERROR(INDEX(SK_TD,MATCH(O561,SK_A,0)),""))</f>
        <v/>
      </c>
      <c r="V561">
        <f>IF(AND(O561&lt;&gt;"",O561=SEL_K,J561&lt;&gt;"Xong",J561&lt;&gt;"Bỏ qua"),IF(ISNUMBER(I561),I561,99999)+ROW()/100000,"")</f>
        <v/>
      </c>
    </row>
    <row r="562">
      <c r="A562" s="12">
        <f>IF(O562="","",IFERROR(INDEX(SK_B,MATCH(O562,SK_A,0))&amp;"",""))</f>
        <v/>
      </c>
      <c r="B562" s="45">
        <f>IF(O562="","",IFERROR(INDEX(SK_C,MATCH(O562,SK_A,0)),""))</f>
        <v/>
      </c>
      <c r="C562" s="46">
        <f>IF(Q562="","",IF(Q562=0,"D",IF(Q562&lt;0,"D"&amp;Q562,"D+"&amp;Q562)))</f>
        <v/>
      </c>
      <c r="D562" s="14" t="n"/>
      <c r="E562" s="12" t="n"/>
      <c r="F562" s="46" t="n"/>
      <c r="G562" s="47" t="n"/>
      <c r="H562" s="14" t="n"/>
      <c r="I562" s="13">
        <f>IF(OR(B562="",Q562=""),"",IF(Q562&gt;0,IF(R562="Làm việc",WORKDAY(IFERROR(IF(INDEX(SK_D,MATCH(O562,SK_A,0))="",B562,INDEX(SK_D,MATCH(O562,SK_A,0))),B562),Q562,HOLI),IFERROR(IF(INDEX(SK_D,MATCH(O562,SK_A,0))="",B562,INDEX(SK_D,MATCH(O562,SK_A,0))),B562)+Q562),B562+Q562))</f>
        <v/>
      </c>
      <c r="J562" s="14" t="n"/>
      <c r="K562" s="13" t="n"/>
      <c r="L562" s="12" t="n"/>
      <c r="M562" s="48">
        <f>IF(E562="","",IF(J562="Bỏ qua","—",IF(J562="Xong",IF(AND(ISNUMBER(K562),ISNUMBER(I562),K562&gt;I562),"Xong trễ","Xong"),MID(IF(G562=""," · CHƯA GIAO","")&amp;IF(NOT(ISNUMBER(I562)),"",IF(TODAY()&gt;I562," · QUÁ HẠN "&amp;(TODAY()-I562)&amp;" ngày",IF(I562-TODAY()&lt;=3," · Đến hạn "&amp;IF(I562=TODAY(),"hôm nay","trong "&amp;(I562-TODAY())&amp;" ngày"),"")))&amp;IF(J562="Chờ đối tác"," · Chờ đối tác"&amp;IF(ISNUMBER(N562)," "&amp;(TODAY()-INT(N562))&amp;" ngày",""),""),4,200))))</f>
        <v/>
      </c>
      <c r="N562" s="49" t="n"/>
      <c r="S562">
        <f>IF(AND(E562&lt;&gt;"",T562="Có",J562&lt;&gt;"Xong",J562&lt;&gt;"Bỏ qua",ISNUMBER(I562)),I562+ROW()/100000,"")</f>
        <v/>
      </c>
      <c r="T562">
        <f>IF(O562="","",IFERROR(INDEX(SK_TD,MATCH(O562,SK_A,0)),""))</f>
        <v/>
      </c>
      <c r="V562">
        <f>IF(AND(O562&lt;&gt;"",O562=SEL_K,J562&lt;&gt;"Xong",J562&lt;&gt;"Bỏ qua"),IF(ISNUMBER(I562),I562,99999)+ROW()/100000,"")</f>
        <v/>
      </c>
    </row>
    <row r="563">
      <c r="A563" s="12">
        <f>IF(O563="","",IFERROR(INDEX(SK_B,MATCH(O563,SK_A,0))&amp;"",""))</f>
        <v/>
      </c>
      <c r="B563" s="45">
        <f>IF(O563="","",IFERROR(INDEX(SK_C,MATCH(O563,SK_A,0)),""))</f>
        <v/>
      </c>
      <c r="C563" s="46">
        <f>IF(Q563="","",IF(Q563=0,"D",IF(Q563&lt;0,"D"&amp;Q563,"D+"&amp;Q563)))</f>
        <v/>
      </c>
      <c r="D563" s="14" t="n"/>
      <c r="E563" s="12" t="n"/>
      <c r="F563" s="46" t="n"/>
      <c r="G563" s="47" t="n"/>
      <c r="H563" s="14" t="n"/>
      <c r="I563" s="13">
        <f>IF(OR(B563="",Q563=""),"",IF(Q563&gt;0,IF(R563="Làm việc",WORKDAY(IFERROR(IF(INDEX(SK_D,MATCH(O563,SK_A,0))="",B563,INDEX(SK_D,MATCH(O563,SK_A,0))),B563),Q563,HOLI),IFERROR(IF(INDEX(SK_D,MATCH(O563,SK_A,0))="",B563,INDEX(SK_D,MATCH(O563,SK_A,0))),B563)+Q563),B563+Q563))</f>
        <v/>
      </c>
      <c r="J563" s="14" t="n"/>
      <c r="K563" s="13" t="n"/>
      <c r="L563" s="12" t="n"/>
      <c r="M563" s="48">
        <f>IF(E563="","",IF(J563="Bỏ qua","—",IF(J563="Xong",IF(AND(ISNUMBER(K563),ISNUMBER(I563),K563&gt;I563),"Xong trễ","Xong"),MID(IF(G563=""," · CHƯA GIAO","")&amp;IF(NOT(ISNUMBER(I563)),"",IF(TODAY()&gt;I563," · QUÁ HẠN "&amp;(TODAY()-I563)&amp;" ngày",IF(I563-TODAY()&lt;=3," · Đến hạn "&amp;IF(I563=TODAY(),"hôm nay","trong "&amp;(I563-TODAY())&amp;" ngày"),"")))&amp;IF(J563="Chờ đối tác"," · Chờ đối tác"&amp;IF(ISNUMBER(N563)," "&amp;(TODAY()-INT(N563))&amp;" ngày",""),""),4,200))))</f>
        <v/>
      </c>
      <c r="N563" s="49" t="n"/>
      <c r="S563">
        <f>IF(AND(E563&lt;&gt;"",T563="Có",J563&lt;&gt;"Xong",J563&lt;&gt;"Bỏ qua",ISNUMBER(I563)),I563+ROW()/100000,"")</f>
        <v/>
      </c>
      <c r="T563">
        <f>IF(O563="","",IFERROR(INDEX(SK_TD,MATCH(O563,SK_A,0)),""))</f>
        <v/>
      </c>
      <c r="V563">
        <f>IF(AND(O563&lt;&gt;"",O563=SEL_K,J563&lt;&gt;"Xong",J563&lt;&gt;"Bỏ qua"),IF(ISNUMBER(I563),I563,99999)+ROW()/100000,"")</f>
        <v/>
      </c>
    </row>
    <row r="564">
      <c r="A564" s="12">
        <f>IF(O564="","",IFERROR(INDEX(SK_B,MATCH(O564,SK_A,0))&amp;"",""))</f>
        <v/>
      </c>
      <c r="B564" s="45">
        <f>IF(O564="","",IFERROR(INDEX(SK_C,MATCH(O564,SK_A,0)),""))</f>
        <v/>
      </c>
      <c r="C564" s="46">
        <f>IF(Q564="","",IF(Q564=0,"D",IF(Q564&lt;0,"D"&amp;Q564,"D+"&amp;Q564)))</f>
        <v/>
      </c>
      <c r="D564" s="14" t="n"/>
      <c r="E564" s="12" t="n"/>
      <c r="F564" s="46" t="n"/>
      <c r="G564" s="47" t="n"/>
      <c r="H564" s="14" t="n"/>
      <c r="I564" s="13">
        <f>IF(OR(B564="",Q564=""),"",IF(Q564&gt;0,IF(R564="Làm việc",WORKDAY(IFERROR(IF(INDEX(SK_D,MATCH(O564,SK_A,0))="",B564,INDEX(SK_D,MATCH(O564,SK_A,0))),B564),Q564,HOLI),IFERROR(IF(INDEX(SK_D,MATCH(O564,SK_A,0))="",B564,INDEX(SK_D,MATCH(O564,SK_A,0))),B564)+Q564),B564+Q564))</f>
        <v/>
      </c>
      <c r="J564" s="14" t="n"/>
      <c r="K564" s="13" t="n"/>
      <c r="L564" s="12" t="n"/>
      <c r="M564" s="48">
        <f>IF(E564="","",IF(J564="Bỏ qua","—",IF(J564="Xong",IF(AND(ISNUMBER(K564),ISNUMBER(I564),K564&gt;I564),"Xong trễ","Xong"),MID(IF(G564=""," · CHƯA GIAO","")&amp;IF(NOT(ISNUMBER(I564)),"",IF(TODAY()&gt;I564," · QUÁ HẠN "&amp;(TODAY()-I564)&amp;" ngày",IF(I564-TODAY()&lt;=3," · Đến hạn "&amp;IF(I564=TODAY(),"hôm nay","trong "&amp;(I564-TODAY())&amp;" ngày"),"")))&amp;IF(J564="Chờ đối tác"," · Chờ đối tác"&amp;IF(ISNUMBER(N564)," "&amp;(TODAY()-INT(N564))&amp;" ngày",""),""),4,200))))</f>
        <v/>
      </c>
      <c r="N564" s="49" t="n"/>
      <c r="S564">
        <f>IF(AND(E564&lt;&gt;"",T564="Có",J564&lt;&gt;"Xong",J564&lt;&gt;"Bỏ qua",ISNUMBER(I564)),I564+ROW()/100000,"")</f>
        <v/>
      </c>
      <c r="T564">
        <f>IF(O564="","",IFERROR(INDEX(SK_TD,MATCH(O564,SK_A,0)),""))</f>
        <v/>
      </c>
      <c r="V564">
        <f>IF(AND(O564&lt;&gt;"",O564=SEL_K,J564&lt;&gt;"Xong",J564&lt;&gt;"Bỏ qua"),IF(ISNUMBER(I564),I564,99999)+ROW()/100000,"")</f>
        <v/>
      </c>
    </row>
    <row r="565">
      <c r="A565" s="12">
        <f>IF(O565="","",IFERROR(INDEX(SK_B,MATCH(O565,SK_A,0))&amp;"",""))</f>
        <v/>
      </c>
      <c r="B565" s="45">
        <f>IF(O565="","",IFERROR(INDEX(SK_C,MATCH(O565,SK_A,0)),""))</f>
        <v/>
      </c>
      <c r="C565" s="46">
        <f>IF(Q565="","",IF(Q565=0,"D",IF(Q565&lt;0,"D"&amp;Q565,"D+"&amp;Q565)))</f>
        <v/>
      </c>
      <c r="D565" s="14" t="n"/>
      <c r="E565" s="12" t="n"/>
      <c r="F565" s="46" t="n"/>
      <c r="G565" s="47" t="n"/>
      <c r="H565" s="14" t="n"/>
      <c r="I565" s="13">
        <f>IF(OR(B565="",Q565=""),"",IF(Q565&gt;0,IF(R565="Làm việc",WORKDAY(IFERROR(IF(INDEX(SK_D,MATCH(O565,SK_A,0))="",B565,INDEX(SK_D,MATCH(O565,SK_A,0))),B565),Q565,HOLI),IFERROR(IF(INDEX(SK_D,MATCH(O565,SK_A,0))="",B565,INDEX(SK_D,MATCH(O565,SK_A,0))),B565)+Q565),B565+Q565))</f>
        <v/>
      </c>
      <c r="J565" s="14" t="n"/>
      <c r="K565" s="13" t="n"/>
      <c r="L565" s="12" t="n"/>
      <c r="M565" s="48">
        <f>IF(E565="","",IF(J565="Bỏ qua","—",IF(J565="Xong",IF(AND(ISNUMBER(K565),ISNUMBER(I565),K565&gt;I565),"Xong trễ","Xong"),MID(IF(G565=""," · CHƯA GIAO","")&amp;IF(NOT(ISNUMBER(I565)),"",IF(TODAY()&gt;I565," · QUÁ HẠN "&amp;(TODAY()-I565)&amp;" ngày",IF(I565-TODAY()&lt;=3," · Đến hạn "&amp;IF(I565=TODAY(),"hôm nay","trong "&amp;(I565-TODAY())&amp;" ngày"),"")))&amp;IF(J565="Chờ đối tác"," · Chờ đối tác"&amp;IF(ISNUMBER(N565)," "&amp;(TODAY()-INT(N565))&amp;" ngày",""),""),4,200))))</f>
        <v/>
      </c>
      <c r="N565" s="49" t="n"/>
      <c r="S565">
        <f>IF(AND(E565&lt;&gt;"",T565="Có",J565&lt;&gt;"Xong",J565&lt;&gt;"Bỏ qua",ISNUMBER(I565)),I565+ROW()/100000,"")</f>
        <v/>
      </c>
      <c r="T565">
        <f>IF(O565="","",IFERROR(INDEX(SK_TD,MATCH(O565,SK_A,0)),""))</f>
        <v/>
      </c>
      <c r="V565">
        <f>IF(AND(O565&lt;&gt;"",O565=SEL_K,J565&lt;&gt;"Xong",J565&lt;&gt;"Bỏ qua"),IF(ISNUMBER(I565),I565,99999)+ROW()/100000,"")</f>
        <v/>
      </c>
    </row>
    <row r="566">
      <c r="A566" s="12">
        <f>IF(O566="","",IFERROR(INDEX(SK_B,MATCH(O566,SK_A,0))&amp;"",""))</f>
        <v/>
      </c>
      <c r="B566" s="45">
        <f>IF(O566="","",IFERROR(INDEX(SK_C,MATCH(O566,SK_A,0)),""))</f>
        <v/>
      </c>
      <c r="C566" s="46">
        <f>IF(Q566="","",IF(Q566=0,"D",IF(Q566&lt;0,"D"&amp;Q566,"D+"&amp;Q566)))</f>
        <v/>
      </c>
      <c r="D566" s="14" t="n"/>
      <c r="E566" s="12" t="n"/>
      <c r="F566" s="46" t="n"/>
      <c r="G566" s="47" t="n"/>
      <c r="H566" s="14" t="n"/>
      <c r="I566" s="13">
        <f>IF(OR(B566="",Q566=""),"",IF(Q566&gt;0,IF(R566="Làm việc",WORKDAY(IFERROR(IF(INDEX(SK_D,MATCH(O566,SK_A,0))="",B566,INDEX(SK_D,MATCH(O566,SK_A,0))),B566),Q566,HOLI),IFERROR(IF(INDEX(SK_D,MATCH(O566,SK_A,0))="",B566,INDEX(SK_D,MATCH(O566,SK_A,0))),B566)+Q566),B566+Q566))</f>
        <v/>
      </c>
      <c r="J566" s="14" t="n"/>
      <c r="K566" s="13" t="n"/>
      <c r="L566" s="12" t="n"/>
      <c r="M566" s="48">
        <f>IF(E566="","",IF(J566="Bỏ qua","—",IF(J566="Xong",IF(AND(ISNUMBER(K566),ISNUMBER(I566),K566&gt;I566),"Xong trễ","Xong"),MID(IF(G566=""," · CHƯA GIAO","")&amp;IF(NOT(ISNUMBER(I566)),"",IF(TODAY()&gt;I566," · QUÁ HẠN "&amp;(TODAY()-I566)&amp;" ngày",IF(I566-TODAY()&lt;=3," · Đến hạn "&amp;IF(I566=TODAY(),"hôm nay","trong "&amp;(I566-TODAY())&amp;" ngày"),"")))&amp;IF(J566="Chờ đối tác"," · Chờ đối tác"&amp;IF(ISNUMBER(N566)," "&amp;(TODAY()-INT(N566))&amp;" ngày",""),""),4,200))))</f>
        <v/>
      </c>
      <c r="N566" s="49" t="n"/>
      <c r="S566">
        <f>IF(AND(E566&lt;&gt;"",T566="Có",J566&lt;&gt;"Xong",J566&lt;&gt;"Bỏ qua",ISNUMBER(I566)),I566+ROW()/100000,"")</f>
        <v/>
      </c>
      <c r="T566">
        <f>IF(O566="","",IFERROR(INDEX(SK_TD,MATCH(O566,SK_A,0)),""))</f>
        <v/>
      </c>
      <c r="V566">
        <f>IF(AND(O566&lt;&gt;"",O566=SEL_K,J566&lt;&gt;"Xong",J566&lt;&gt;"Bỏ qua"),IF(ISNUMBER(I566),I566,99999)+ROW()/100000,"")</f>
        <v/>
      </c>
    </row>
    <row r="567">
      <c r="A567" s="12">
        <f>IF(O567="","",IFERROR(INDEX(SK_B,MATCH(O567,SK_A,0))&amp;"",""))</f>
        <v/>
      </c>
      <c r="B567" s="45">
        <f>IF(O567="","",IFERROR(INDEX(SK_C,MATCH(O567,SK_A,0)),""))</f>
        <v/>
      </c>
      <c r="C567" s="46">
        <f>IF(Q567="","",IF(Q567=0,"D",IF(Q567&lt;0,"D"&amp;Q567,"D+"&amp;Q567)))</f>
        <v/>
      </c>
      <c r="D567" s="14" t="n"/>
      <c r="E567" s="12" t="n"/>
      <c r="F567" s="46" t="n"/>
      <c r="G567" s="47" t="n"/>
      <c r="H567" s="14" t="n"/>
      <c r="I567" s="13">
        <f>IF(OR(B567="",Q567=""),"",IF(Q567&gt;0,IF(R567="Làm việc",WORKDAY(IFERROR(IF(INDEX(SK_D,MATCH(O567,SK_A,0))="",B567,INDEX(SK_D,MATCH(O567,SK_A,0))),B567),Q567,HOLI),IFERROR(IF(INDEX(SK_D,MATCH(O567,SK_A,0))="",B567,INDEX(SK_D,MATCH(O567,SK_A,0))),B567)+Q567),B567+Q567))</f>
        <v/>
      </c>
      <c r="J567" s="14" t="n"/>
      <c r="K567" s="13" t="n"/>
      <c r="L567" s="12" t="n"/>
      <c r="M567" s="48">
        <f>IF(E567="","",IF(J567="Bỏ qua","—",IF(J567="Xong",IF(AND(ISNUMBER(K567),ISNUMBER(I567),K567&gt;I567),"Xong trễ","Xong"),MID(IF(G567=""," · CHƯA GIAO","")&amp;IF(NOT(ISNUMBER(I567)),"",IF(TODAY()&gt;I567," · QUÁ HẠN "&amp;(TODAY()-I567)&amp;" ngày",IF(I567-TODAY()&lt;=3," · Đến hạn "&amp;IF(I567=TODAY(),"hôm nay","trong "&amp;(I567-TODAY())&amp;" ngày"),"")))&amp;IF(J567="Chờ đối tác"," · Chờ đối tác"&amp;IF(ISNUMBER(N567)," "&amp;(TODAY()-INT(N567))&amp;" ngày",""),""),4,200))))</f>
        <v/>
      </c>
      <c r="N567" s="49" t="n"/>
      <c r="S567">
        <f>IF(AND(E567&lt;&gt;"",T567="Có",J567&lt;&gt;"Xong",J567&lt;&gt;"Bỏ qua",ISNUMBER(I567)),I567+ROW()/100000,"")</f>
        <v/>
      </c>
      <c r="T567">
        <f>IF(O567="","",IFERROR(INDEX(SK_TD,MATCH(O567,SK_A,0)),""))</f>
        <v/>
      </c>
      <c r="V567">
        <f>IF(AND(O567&lt;&gt;"",O567=SEL_K,J567&lt;&gt;"Xong",J567&lt;&gt;"Bỏ qua"),IF(ISNUMBER(I567),I567,99999)+ROW()/100000,"")</f>
        <v/>
      </c>
    </row>
    <row r="568">
      <c r="A568" s="12">
        <f>IF(O568="","",IFERROR(INDEX(SK_B,MATCH(O568,SK_A,0))&amp;"",""))</f>
        <v/>
      </c>
      <c r="B568" s="45">
        <f>IF(O568="","",IFERROR(INDEX(SK_C,MATCH(O568,SK_A,0)),""))</f>
        <v/>
      </c>
      <c r="C568" s="46">
        <f>IF(Q568="","",IF(Q568=0,"D",IF(Q568&lt;0,"D"&amp;Q568,"D+"&amp;Q568)))</f>
        <v/>
      </c>
      <c r="D568" s="14" t="n"/>
      <c r="E568" s="12" t="n"/>
      <c r="F568" s="46" t="n"/>
      <c r="G568" s="47" t="n"/>
      <c r="H568" s="14" t="n"/>
      <c r="I568" s="13">
        <f>IF(OR(B568="",Q568=""),"",IF(Q568&gt;0,IF(R568="Làm việc",WORKDAY(IFERROR(IF(INDEX(SK_D,MATCH(O568,SK_A,0))="",B568,INDEX(SK_D,MATCH(O568,SK_A,0))),B568),Q568,HOLI),IFERROR(IF(INDEX(SK_D,MATCH(O568,SK_A,0))="",B568,INDEX(SK_D,MATCH(O568,SK_A,0))),B568)+Q568),B568+Q568))</f>
        <v/>
      </c>
      <c r="J568" s="14" t="n"/>
      <c r="K568" s="13" t="n"/>
      <c r="L568" s="12" t="n"/>
      <c r="M568" s="48">
        <f>IF(E568="","",IF(J568="Bỏ qua","—",IF(J568="Xong",IF(AND(ISNUMBER(K568),ISNUMBER(I568),K568&gt;I568),"Xong trễ","Xong"),MID(IF(G568=""," · CHƯA GIAO","")&amp;IF(NOT(ISNUMBER(I568)),"",IF(TODAY()&gt;I568," · QUÁ HẠN "&amp;(TODAY()-I568)&amp;" ngày",IF(I568-TODAY()&lt;=3," · Đến hạn "&amp;IF(I568=TODAY(),"hôm nay","trong "&amp;(I568-TODAY())&amp;" ngày"),"")))&amp;IF(J568="Chờ đối tác"," · Chờ đối tác"&amp;IF(ISNUMBER(N568)," "&amp;(TODAY()-INT(N568))&amp;" ngày",""),""),4,200))))</f>
        <v/>
      </c>
      <c r="N568" s="49" t="n"/>
      <c r="S568">
        <f>IF(AND(E568&lt;&gt;"",T568="Có",J568&lt;&gt;"Xong",J568&lt;&gt;"Bỏ qua",ISNUMBER(I568)),I568+ROW()/100000,"")</f>
        <v/>
      </c>
      <c r="T568">
        <f>IF(O568="","",IFERROR(INDEX(SK_TD,MATCH(O568,SK_A,0)),""))</f>
        <v/>
      </c>
      <c r="V568">
        <f>IF(AND(O568&lt;&gt;"",O568=SEL_K,J568&lt;&gt;"Xong",J568&lt;&gt;"Bỏ qua"),IF(ISNUMBER(I568),I568,99999)+ROW()/100000,"")</f>
        <v/>
      </c>
    </row>
    <row r="569">
      <c r="A569" s="12">
        <f>IF(O569="","",IFERROR(INDEX(SK_B,MATCH(O569,SK_A,0))&amp;"",""))</f>
        <v/>
      </c>
      <c r="B569" s="45">
        <f>IF(O569="","",IFERROR(INDEX(SK_C,MATCH(O569,SK_A,0)),""))</f>
        <v/>
      </c>
      <c r="C569" s="46">
        <f>IF(Q569="","",IF(Q569=0,"D",IF(Q569&lt;0,"D"&amp;Q569,"D+"&amp;Q569)))</f>
        <v/>
      </c>
      <c r="D569" s="14" t="n"/>
      <c r="E569" s="12" t="n"/>
      <c r="F569" s="46" t="n"/>
      <c r="G569" s="47" t="n"/>
      <c r="H569" s="14" t="n"/>
      <c r="I569" s="13">
        <f>IF(OR(B569="",Q569=""),"",IF(Q569&gt;0,IF(R569="Làm việc",WORKDAY(IFERROR(IF(INDEX(SK_D,MATCH(O569,SK_A,0))="",B569,INDEX(SK_D,MATCH(O569,SK_A,0))),B569),Q569,HOLI),IFERROR(IF(INDEX(SK_D,MATCH(O569,SK_A,0))="",B569,INDEX(SK_D,MATCH(O569,SK_A,0))),B569)+Q569),B569+Q569))</f>
        <v/>
      </c>
      <c r="J569" s="14" t="n"/>
      <c r="K569" s="13" t="n"/>
      <c r="L569" s="12" t="n"/>
      <c r="M569" s="48">
        <f>IF(E569="","",IF(J569="Bỏ qua","—",IF(J569="Xong",IF(AND(ISNUMBER(K569),ISNUMBER(I569),K569&gt;I569),"Xong trễ","Xong"),MID(IF(G569=""," · CHƯA GIAO","")&amp;IF(NOT(ISNUMBER(I569)),"",IF(TODAY()&gt;I569," · QUÁ HẠN "&amp;(TODAY()-I569)&amp;" ngày",IF(I569-TODAY()&lt;=3," · Đến hạn "&amp;IF(I569=TODAY(),"hôm nay","trong "&amp;(I569-TODAY())&amp;" ngày"),"")))&amp;IF(J569="Chờ đối tác"," · Chờ đối tác"&amp;IF(ISNUMBER(N569)," "&amp;(TODAY()-INT(N569))&amp;" ngày",""),""),4,200))))</f>
        <v/>
      </c>
      <c r="N569" s="49" t="n"/>
      <c r="S569">
        <f>IF(AND(E569&lt;&gt;"",T569="Có",J569&lt;&gt;"Xong",J569&lt;&gt;"Bỏ qua",ISNUMBER(I569)),I569+ROW()/100000,"")</f>
        <v/>
      </c>
      <c r="T569">
        <f>IF(O569="","",IFERROR(INDEX(SK_TD,MATCH(O569,SK_A,0)),""))</f>
        <v/>
      </c>
      <c r="V569">
        <f>IF(AND(O569&lt;&gt;"",O569=SEL_K,J569&lt;&gt;"Xong",J569&lt;&gt;"Bỏ qua"),IF(ISNUMBER(I569),I569,99999)+ROW()/100000,"")</f>
        <v/>
      </c>
    </row>
    <row r="570">
      <c r="A570" s="12">
        <f>IF(O570="","",IFERROR(INDEX(SK_B,MATCH(O570,SK_A,0))&amp;"",""))</f>
        <v/>
      </c>
      <c r="B570" s="45">
        <f>IF(O570="","",IFERROR(INDEX(SK_C,MATCH(O570,SK_A,0)),""))</f>
        <v/>
      </c>
      <c r="C570" s="46">
        <f>IF(Q570="","",IF(Q570=0,"D",IF(Q570&lt;0,"D"&amp;Q570,"D+"&amp;Q570)))</f>
        <v/>
      </c>
      <c r="D570" s="14" t="n"/>
      <c r="E570" s="12" t="n"/>
      <c r="F570" s="46" t="n"/>
      <c r="G570" s="47" t="n"/>
      <c r="H570" s="14" t="n"/>
      <c r="I570" s="13">
        <f>IF(OR(B570="",Q570=""),"",IF(Q570&gt;0,IF(R570="Làm việc",WORKDAY(IFERROR(IF(INDEX(SK_D,MATCH(O570,SK_A,0))="",B570,INDEX(SK_D,MATCH(O570,SK_A,0))),B570),Q570,HOLI),IFERROR(IF(INDEX(SK_D,MATCH(O570,SK_A,0))="",B570,INDEX(SK_D,MATCH(O570,SK_A,0))),B570)+Q570),B570+Q570))</f>
        <v/>
      </c>
      <c r="J570" s="14" t="n"/>
      <c r="K570" s="13" t="n"/>
      <c r="L570" s="12" t="n"/>
      <c r="M570" s="48">
        <f>IF(E570="","",IF(J570="Bỏ qua","—",IF(J570="Xong",IF(AND(ISNUMBER(K570),ISNUMBER(I570),K570&gt;I570),"Xong trễ","Xong"),MID(IF(G570=""," · CHƯA GIAO","")&amp;IF(NOT(ISNUMBER(I570)),"",IF(TODAY()&gt;I570," · QUÁ HẠN "&amp;(TODAY()-I570)&amp;" ngày",IF(I570-TODAY()&lt;=3," · Đến hạn "&amp;IF(I570=TODAY(),"hôm nay","trong "&amp;(I570-TODAY())&amp;" ngày"),"")))&amp;IF(J570="Chờ đối tác"," · Chờ đối tác"&amp;IF(ISNUMBER(N570)," "&amp;(TODAY()-INT(N570))&amp;" ngày",""),""),4,200))))</f>
        <v/>
      </c>
      <c r="N570" s="49" t="n"/>
      <c r="S570">
        <f>IF(AND(E570&lt;&gt;"",T570="Có",J570&lt;&gt;"Xong",J570&lt;&gt;"Bỏ qua",ISNUMBER(I570)),I570+ROW()/100000,"")</f>
        <v/>
      </c>
      <c r="T570">
        <f>IF(O570="","",IFERROR(INDEX(SK_TD,MATCH(O570,SK_A,0)),""))</f>
        <v/>
      </c>
      <c r="V570">
        <f>IF(AND(O570&lt;&gt;"",O570=SEL_K,J570&lt;&gt;"Xong",J570&lt;&gt;"Bỏ qua"),IF(ISNUMBER(I570),I570,99999)+ROW()/100000,"")</f>
        <v/>
      </c>
    </row>
    <row r="571">
      <c r="A571" s="12">
        <f>IF(O571="","",IFERROR(INDEX(SK_B,MATCH(O571,SK_A,0))&amp;"",""))</f>
        <v/>
      </c>
      <c r="B571" s="45">
        <f>IF(O571="","",IFERROR(INDEX(SK_C,MATCH(O571,SK_A,0)),""))</f>
        <v/>
      </c>
      <c r="C571" s="46">
        <f>IF(Q571="","",IF(Q571=0,"D",IF(Q571&lt;0,"D"&amp;Q571,"D+"&amp;Q571)))</f>
        <v/>
      </c>
      <c r="D571" s="14" t="n"/>
      <c r="E571" s="12" t="n"/>
      <c r="F571" s="46" t="n"/>
      <c r="G571" s="47" t="n"/>
      <c r="H571" s="14" t="n"/>
      <c r="I571" s="13">
        <f>IF(OR(B571="",Q571=""),"",IF(Q571&gt;0,IF(R571="Làm việc",WORKDAY(IFERROR(IF(INDEX(SK_D,MATCH(O571,SK_A,0))="",B571,INDEX(SK_D,MATCH(O571,SK_A,0))),B571),Q571,HOLI),IFERROR(IF(INDEX(SK_D,MATCH(O571,SK_A,0))="",B571,INDEX(SK_D,MATCH(O571,SK_A,0))),B571)+Q571),B571+Q571))</f>
        <v/>
      </c>
      <c r="J571" s="14" t="n"/>
      <c r="K571" s="13" t="n"/>
      <c r="L571" s="12" t="n"/>
      <c r="M571" s="48">
        <f>IF(E571="","",IF(J571="Bỏ qua","—",IF(J571="Xong",IF(AND(ISNUMBER(K571),ISNUMBER(I571),K571&gt;I571),"Xong trễ","Xong"),MID(IF(G571=""," · CHƯA GIAO","")&amp;IF(NOT(ISNUMBER(I571)),"",IF(TODAY()&gt;I571," · QUÁ HẠN "&amp;(TODAY()-I571)&amp;" ngày",IF(I571-TODAY()&lt;=3," · Đến hạn "&amp;IF(I571=TODAY(),"hôm nay","trong "&amp;(I571-TODAY())&amp;" ngày"),"")))&amp;IF(J571="Chờ đối tác"," · Chờ đối tác"&amp;IF(ISNUMBER(N571)," "&amp;(TODAY()-INT(N571))&amp;" ngày",""),""),4,200))))</f>
        <v/>
      </c>
      <c r="N571" s="49" t="n"/>
      <c r="S571">
        <f>IF(AND(E571&lt;&gt;"",T571="Có",J571&lt;&gt;"Xong",J571&lt;&gt;"Bỏ qua",ISNUMBER(I571)),I571+ROW()/100000,"")</f>
        <v/>
      </c>
      <c r="T571">
        <f>IF(O571="","",IFERROR(INDEX(SK_TD,MATCH(O571,SK_A,0)),""))</f>
        <v/>
      </c>
      <c r="V571">
        <f>IF(AND(O571&lt;&gt;"",O571=SEL_K,J571&lt;&gt;"Xong",J571&lt;&gt;"Bỏ qua"),IF(ISNUMBER(I571),I571,99999)+ROW()/100000,"")</f>
        <v/>
      </c>
    </row>
    <row r="572">
      <c r="A572" s="12">
        <f>IF(O572="","",IFERROR(INDEX(SK_B,MATCH(O572,SK_A,0))&amp;"",""))</f>
        <v/>
      </c>
      <c r="B572" s="45">
        <f>IF(O572="","",IFERROR(INDEX(SK_C,MATCH(O572,SK_A,0)),""))</f>
        <v/>
      </c>
      <c r="C572" s="46">
        <f>IF(Q572="","",IF(Q572=0,"D",IF(Q572&lt;0,"D"&amp;Q572,"D+"&amp;Q572)))</f>
        <v/>
      </c>
      <c r="D572" s="14" t="n"/>
      <c r="E572" s="12" t="n"/>
      <c r="F572" s="46" t="n"/>
      <c r="G572" s="47" t="n"/>
      <c r="H572" s="14" t="n"/>
      <c r="I572" s="13">
        <f>IF(OR(B572="",Q572=""),"",IF(Q572&gt;0,IF(R572="Làm việc",WORKDAY(IFERROR(IF(INDEX(SK_D,MATCH(O572,SK_A,0))="",B572,INDEX(SK_D,MATCH(O572,SK_A,0))),B572),Q572,HOLI),IFERROR(IF(INDEX(SK_D,MATCH(O572,SK_A,0))="",B572,INDEX(SK_D,MATCH(O572,SK_A,0))),B572)+Q572),B572+Q572))</f>
        <v/>
      </c>
      <c r="J572" s="14" t="n"/>
      <c r="K572" s="13" t="n"/>
      <c r="L572" s="12" t="n"/>
      <c r="M572" s="48">
        <f>IF(E572="","",IF(J572="Bỏ qua","—",IF(J572="Xong",IF(AND(ISNUMBER(K572),ISNUMBER(I572),K572&gt;I572),"Xong trễ","Xong"),MID(IF(G572=""," · CHƯA GIAO","")&amp;IF(NOT(ISNUMBER(I572)),"",IF(TODAY()&gt;I572," · QUÁ HẠN "&amp;(TODAY()-I572)&amp;" ngày",IF(I572-TODAY()&lt;=3," · Đến hạn "&amp;IF(I572=TODAY(),"hôm nay","trong "&amp;(I572-TODAY())&amp;" ngày"),"")))&amp;IF(J572="Chờ đối tác"," · Chờ đối tác"&amp;IF(ISNUMBER(N572)," "&amp;(TODAY()-INT(N572))&amp;" ngày",""),""),4,200))))</f>
        <v/>
      </c>
      <c r="N572" s="49" t="n"/>
      <c r="S572">
        <f>IF(AND(E572&lt;&gt;"",T572="Có",J572&lt;&gt;"Xong",J572&lt;&gt;"Bỏ qua",ISNUMBER(I572)),I572+ROW()/100000,"")</f>
        <v/>
      </c>
      <c r="T572">
        <f>IF(O572="","",IFERROR(INDEX(SK_TD,MATCH(O572,SK_A,0)),""))</f>
        <v/>
      </c>
      <c r="V572">
        <f>IF(AND(O572&lt;&gt;"",O572=SEL_K,J572&lt;&gt;"Xong",J572&lt;&gt;"Bỏ qua"),IF(ISNUMBER(I572),I572,99999)+ROW()/100000,"")</f>
        <v/>
      </c>
    </row>
    <row r="573">
      <c r="A573" s="12">
        <f>IF(O573="","",IFERROR(INDEX(SK_B,MATCH(O573,SK_A,0))&amp;"",""))</f>
        <v/>
      </c>
      <c r="B573" s="45">
        <f>IF(O573="","",IFERROR(INDEX(SK_C,MATCH(O573,SK_A,0)),""))</f>
        <v/>
      </c>
      <c r="C573" s="46">
        <f>IF(Q573="","",IF(Q573=0,"D",IF(Q573&lt;0,"D"&amp;Q573,"D+"&amp;Q573)))</f>
        <v/>
      </c>
      <c r="D573" s="14" t="n"/>
      <c r="E573" s="12" t="n"/>
      <c r="F573" s="46" t="n"/>
      <c r="G573" s="47" t="n"/>
      <c r="H573" s="14" t="n"/>
      <c r="I573" s="13">
        <f>IF(OR(B573="",Q573=""),"",IF(Q573&gt;0,IF(R573="Làm việc",WORKDAY(IFERROR(IF(INDEX(SK_D,MATCH(O573,SK_A,0))="",B573,INDEX(SK_D,MATCH(O573,SK_A,0))),B573),Q573,HOLI),IFERROR(IF(INDEX(SK_D,MATCH(O573,SK_A,0))="",B573,INDEX(SK_D,MATCH(O573,SK_A,0))),B573)+Q573),B573+Q573))</f>
        <v/>
      </c>
      <c r="J573" s="14" t="n"/>
      <c r="K573" s="13" t="n"/>
      <c r="L573" s="12" t="n"/>
      <c r="M573" s="48">
        <f>IF(E573="","",IF(J573="Bỏ qua","—",IF(J573="Xong",IF(AND(ISNUMBER(K573),ISNUMBER(I573),K573&gt;I573),"Xong trễ","Xong"),MID(IF(G573=""," · CHƯA GIAO","")&amp;IF(NOT(ISNUMBER(I573)),"",IF(TODAY()&gt;I573," · QUÁ HẠN "&amp;(TODAY()-I573)&amp;" ngày",IF(I573-TODAY()&lt;=3," · Đến hạn "&amp;IF(I573=TODAY(),"hôm nay","trong "&amp;(I573-TODAY())&amp;" ngày"),"")))&amp;IF(J573="Chờ đối tác"," · Chờ đối tác"&amp;IF(ISNUMBER(N573)," "&amp;(TODAY()-INT(N573))&amp;" ngày",""),""),4,200))))</f>
        <v/>
      </c>
      <c r="N573" s="49" t="n"/>
      <c r="S573">
        <f>IF(AND(E573&lt;&gt;"",T573="Có",J573&lt;&gt;"Xong",J573&lt;&gt;"Bỏ qua",ISNUMBER(I573)),I573+ROW()/100000,"")</f>
        <v/>
      </c>
      <c r="T573">
        <f>IF(O573="","",IFERROR(INDEX(SK_TD,MATCH(O573,SK_A,0)),""))</f>
        <v/>
      </c>
      <c r="V573">
        <f>IF(AND(O573&lt;&gt;"",O573=SEL_K,J573&lt;&gt;"Xong",J573&lt;&gt;"Bỏ qua"),IF(ISNUMBER(I573),I573,99999)+ROW()/100000,"")</f>
        <v/>
      </c>
    </row>
    <row r="574">
      <c r="A574" s="12">
        <f>IF(O574="","",IFERROR(INDEX(SK_B,MATCH(O574,SK_A,0))&amp;"",""))</f>
        <v/>
      </c>
      <c r="B574" s="45">
        <f>IF(O574="","",IFERROR(INDEX(SK_C,MATCH(O574,SK_A,0)),""))</f>
        <v/>
      </c>
      <c r="C574" s="46">
        <f>IF(Q574="","",IF(Q574=0,"D",IF(Q574&lt;0,"D"&amp;Q574,"D+"&amp;Q574)))</f>
        <v/>
      </c>
      <c r="D574" s="14" t="n"/>
      <c r="E574" s="12" t="n"/>
      <c r="F574" s="46" t="n"/>
      <c r="G574" s="47" t="n"/>
      <c r="H574" s="14" t="n"/>
      <c r="I574" s="13">
        <f>IF(OR(B574="",Q574=""),"",IF(Q574&gt;0,IF(R574="Làm việc",WORKDAY(IFERROR(IF(INDEX(SK_D,MATCH(O574,SK_A,0))="",B574,INDEX(SK_D,MATCH(O574,SK_A,0))),B574),Q574,HOLI),IFERROR(IF(INDEX(SK_D,MATCH(O574,SK_A,0))="",B574,INDEX(SK_D,MATCH(O574,SK_A,0))),B574)+Q574),B574+Q574))</f>
        <v/>
      </c>
      <c r="J574" s="14" t="n"/>
      <c r="K574" s="13" t="n"/>
      <c r="L574" s="12" t="n"/>
      <c r="M574" s="48">
        <f>IF(E574="","",IF(J574="Bỏ qua","—",IF(J574="Xong",IF(AND(ISNUMBER(K574),ISNUMBER(I574),K574&gt;I574),"Xong trễ","Xong"),MID(IF(G574=""," · CHƯA GIAO","")&amp;IF(NOT(ISNUMBER(I574)),"",IF(TODAY()&gt;I574," · QUÁ HẠN "&amp;(TODAY()-I574)&amp;" ngày",IF(I574-TODAY()&lt;=3," · Đến hạn "&amp;IF(I574=TODAY(),"hôm nay","trong "&amp;(I574-TODAY())&amp;" ngày"),"")))&amp;IF(J574="Chờ đối tác"," · Chờ đối tác"&amp;IF(ISNUMBER(N574)," "&amp;(TODAY()-INT(N574))&amp;" ngày",""),""),4,200))))</f>
        <v/>
      </c>
      <c r="N574" s="49" t="n"/>
      <c r="S574">
        <f>IF(AND(E574&lt;&gt;"",T574="Có",J574&lt;&gt;"Xong",J574&lt;&gt;"Bỏ qua",ISNUMBER(I574)),I574+ROW()/100000,"")</f>
        <v/>
      </c>
      <c r="T574">
        <f>IF(O574="","",IFERROR(INDEX(SK_TD,MATCH(O574,SK_A,0)),""))</f>
        <v/>
      </c>
      <c r="V574">
        <f>IF(AND(O574&lt;&gt;"",O574=SEL_K,J574&lt;&gt;"Xong",J574&lt;&gt;"Bỏ qua"),IF(ISNUMBER(I574),I574,99999)+ROW()/100000,"")</f>
        <v/>
      </c>
    </row>
    <row r="575">
      <c r="A575" s="12">
        <f>IF(O575="","",IFERROR(INDEX(SK_B,MATCH(O575,SK_A,0))&amp;"",""))</f>
        <v/>
      </c>
      <c r="B575" s="45">
        <f>IF(O575="","",IFERROR(INDEX(SK_C,MATCH(O575,SK_A,0)),""))</f>
        <v/>
      </c>
      <c r="C575" s="46">
        <f>IF(Q575="","",IF(Q575=0,"D",IF(Q575&lt;0,"D"&amp;Q575,"D+"&amp;Q575)))</f>
        <v/>
      </c>
      <c r="D575" s="14" t="n"/>
      <c r="E575" s="12" t="n"/>
      <c r="F575" s="46" t="n"/>
      <c r="G575" s="47" t="n"/>
      <c r="H575" s="14" t="n"/>
      <c r="I575" s="13">
        <f>IF(OR(B575="",Q575=""),"",IF(Q575&gt;0,IF(R575="Làm việc",WORKDAY(IFERROR(IF(INDEX(SK_D,MATCH(O575,SK_A,0))="",B575,INDEX(SK_D,MATCH(O575,SK_A,0))),B575),Q575,HOLI),IFERROR(IF(INDEX(SK_D,MATCH(O575,SK_A,0))="",B575,INDEX(SK_D,MATCH(O575,SK_A,0))),B575)+Q575),B575+Q575))</f>
        <v/>
      </c>
      <c r="J575" s="14" t="n"/>
      <c r="K575" s="13" t="n"/>
      <c r="L575" s="12" t="n"/>
      <c r="M575" s="48">
        <f>IF(E575="","",IF(J575="Bỏ qua","—",IF(J575="Xong",IF(AND(ISNUMBER(K575),ISNUMBER(I575),K575&gt;I575),"Xong trễ","Xong"),MID(IF(G575=""," · CHƯA GIAO","")&amp;IF(NOT(ISNUMBER(I575)),"",IF(TODAY()&gt;I575," · QUÁ HẠN "&amp;(TODAY()-I575)&amp;" ngày",IF(I575-TODAY()&lt;=3," · Đến hạn "&amp;IF(I575=TODAY(),"hôm nay","trong "&amp;(I575-TODAY())&amp;" ngày"),"")))&amp;IF(J575="Chờ đối tác"," · Chờ đối tác"&amp;IF(ISNUMBER(N575)," "&amp;(TODAY()-INT(N575))&amp;" ngày",""),""),4,200))))</f>
        <v/>
      </c>
      <c r="N575" s="49" t="n"/>
      <c r="S575">
        <f>IF(AND(E575&lt;&gt;"",T575="Có",J575&lt;&gt;"Xong",J575&lt;&gt;"Bỏ qua",ISNUMBER(I575)),I575+ROW()/100000,"")</f>
        <v/>
      </c>
      <c r="T575">
        <f>IF(O575="","",IFERROR(INDEX(SK_TD,MATCH(O575,SK_A,0)),""))</f>
        <v/>
      </c>
      <c r="V575">
        <f>IF(AND(O575&lt;&gt;"",O575=SEL_K,J575&lt;&gt;"Xong",J575&lt;&gt;"Bỏ qua"),IF(ISNUMBER(I575),I575,99999)+ROW()/100000,"")</f>
        <v/>
      </c>
    </row>
    <row r="576">
      <c r="A576" s="12">
        <f>IF(O576="","",IFERROR(INDEX(SK_B,MATCH(O576,SK_A,0))&amp;"",""))</f>
        <v/>
      </c>
      <c r="B576" s="45">
        <f>IF(O576="","",IFERROR(INDEX(SK_C,MATCH(O576,SK_A,0)),""))</f>
        <v/>
      </c>
      <c r="C576" s="46">
        <f>IF(Q576="","",IF(Q576=0,"D",IF(Q576&lt;0,"D"&amp;Q576,"D+"&amp;Q576)))</f>
        <v/>
      </c>
      <c r="D576" s="14" t="n"/>
      <c r="E576" s="12" t="n"/>
      <c r="F576" s="46" t="n"/>
      <c r="G576" s="47" t="n"/>
      <c r="H576" s="14" t="n"/>
      <c r="I576" s="13">
        <f>IF(OR(B576="",Q576=""),"",IF(Q576&gt;0,IF(R576="Làm việc",WORKDAY(IFERROR(IF(INDEX(SK_D,MATCH(O576,SK_A,0))="",B576,INDEX(SK_D,MATCH(O576,SK_A,0))),B576),Q576,HOLI),IFERROR(IF(INDEX(SK_D,MATCH(O576,SK_A,0))="",B576,INDEX(SK_D,MATCH(O576,SK_A,0))),B576)+Q576),B576+Q576))</f>
        <v/>
      </c>
      <c r="J576" s="14" t="n"/>
      <c r="K576" s="13" t="n"/>
      <c r="L576" s="12" t="n"/>
      <c r="M576" s="48">
        <f>IF(E576="","",IF(J576="Bỏ qua","—",IF(J576="Xong",IF(AND(ISNUMBER(K576),ISNUMBER(I576),K576&gt;I576),"Xong trễ","Xong"),MID(IF(G576=""," · CHƯA GIAO","")&amp;IF(NOT(ISNUMBER(I576)),"",IF(TODAY()&gt;I576," · QUÁ HẠN "&amp;(TODAY()-I576)&amp;" ngày",IF(I576-TODAY()&lt;=3," · Đến hạn "&amp;IF(I576=TODAY(),"hôm nay","trong "&amp;(I576-TODAY())&amp;" ngày"),"")))&amp;IF(J576="Chờ đối tác"," · Chờ đối tác"&amp;IF(ISNUMBER(N576)," "&amp;(TODAY()-INT(N576))&amp;" ngày",""),""),4,200))))</f>
        <v/>
      </c>
      <c r="N576" s="49" t="n"/>
      <c r="S576">
        <f>IF(AND(E576&lt;&gt;"",T576="Có",J576&lt;&gt;"Xong",J576&lt;&gt;"Bỏ qua",ISNUMBER(I576)),I576+ROW()/100000,"")</f>
        <v/>
      </c>
      <c r="T576">
        <f>IF(O576="","",IFERROR(INDEX(SK_TD,MATCH(O576,SK_A,0)),""))</f>
        <v/>
      </c>
      <c r="V576">
        <f>IF(AND(O576&lt;&gt;"",O576=SEL_K,J576&lt;&gt;"Xong",J576&lt;&gt;"Bỏ qua"),IF(ISNUMBER(I576),I576,99999)+ROW()/100000,"")</f>
        <v/>
      </c>
    </row>
    <row r="577">
      <c r="A577" s="12">
        <f>IF(O577="","",IFERROR(INDEX(SK_B,MATCH(O577,SK_A,0))&amp;"",""))</f>
        <v/>
      </c>
      <c r="B577" s="45">
        <f>IF(O577="","",IFERROR(INDEX(SK_C,MATCH(O577,SK_A,0)),""))</f>
        <v/>
      </c>
      <c r="C577" s="46">
        <f>IF(Q577="","",IF(Q577=0,"D",IF(Q577&lt;0,"D"&amp;Q577,"D+"&amp;Q577)))</f>
        <v/>
      </c>
      <c r="D577" s="14" t="n"/>
      <c r="E577" s="12" t="n"/>
      <c r="F577" s="46" t="n"/>
      <c r="G577" s="47" t="n"/>
      <c r="H577" s="14" t="n"/>
      <c r="I577" s="13">
        <f>IF(OR(B577="",Q577=""),"",IF(Q577&gt;0,IF(R577="Làm việc",WORKDAY(IFERROR(IF(INDEX(SK_D,MATCH(O577,SK_A,0))="",B577,INDEX(SK_D,MATCH(O577,SK_A,0))),B577),Q577,HOLI),IFERROR(IF(INDEX(SK_D,MATCH(O577,SK_A,0))="",B577,INDEX(SK_D,MATCH(O577,SK_A,0))),B577)+Q577),B577+Q577))</f>
        <v/>
      </c>
      <c r="J577" s="14" t="n"/>
      <c r="K577" s="13" t="n"/>
      <c r="L577" s="12" t="n"/>
      <c r="M577" s="48">
        <f>IF(E577="","",IF(J577="Bỏ qua","—",IF(J577="Xong",IF(AND(ISNUMBER(K577),ISNUMBER(I577),K577&gt;I577),"Xong trễ","Xong"),MID(IF(G577=""," · CHƯA GIAO","")&amp;IF(NOT(ISNUMBER(I577)),"",IF(TODAY()&gt;I577," · QUÁ HẠN "&amp;(TODAY()-I577)&amp;" ngày",IF(I577-TODAY()&lt;=3," · Đến hạn "&amp;IF(I577=TODAY(),"hôm nay","trong "&amp;(I577-TODAY())&amp;" ngày"),"")))&amp;IF(J577="Chờ đối tác"," · Chờ đối tác"&amp;IF(ISNUMBER(N577)," "&amp;(TODAY()-INT(N577))&amp;" ngày",""),""),4,200))))</f>
        <v/>
      </c>
      <c r="N577" s="49" t="n"/>
      <c r="S577">
        <f>IF(AND(E577&lt;&gt;"",T577="Có",J577&lt;&gt;"Xong",J577&lt;&gt;"Bỏ qua",ISNUMBER(I577)),I577+ROW()/100000,"")</f>
        <v/>
      </c>
      <c r="T577">
        <f>IF(O577="","",IFERROR(INDEX(SK_TD,MATCH(O577,SK_A,0)),""))</f>
        <v/>
      </c>
      <c r="V577">
        <f>IF(AND(O577&lt;&gt;"",O577=SEL_K,J577&lt;&gt;"Xong",J577&lt;&gt;"Bỏ qua"),IF(ISNUMBER(I577),I577,99999)+ROW()/100000,"")</f>
        <v/>
      </c>
    </row>
    <row r="578">
      <c r="A578" s="12">
        <f>IF(O578="","",IFERROR(INDEX(SK_B,MATCH(O578,SK_A,0))&amp;"",""))</f>
        <v/>
      </c>
      <c r="B578" s="45">
        <f>IF(O578="","",IFERROR(INDEX(SK_C,MATCH(O578,SK_A,0)),""))</f>
        <v/>
      </c>
      <c r="C578" s="46">
        <f>IF(Q578="","",IF(Q578=0,"D",IF(Q578&lt;0,"D"&amp;Q578,"D+"&amp;Q578)))</f>
        <v/>
      </c>
      <c r="D578" s="14" t="n"/>
      <c r="E578" s="12" t="n"/>
      <c r="F578" s="46" t="n"/>
      <c r="G578" s="47" t="n"/>
      <c r="H578" s="14" t="n"/>
      <c r="I578" s="13">
        <f>IF(OR(B578="",Q578=""),"",IF(Q578&gt;0,IF(R578="Làm việc",WORKDAY(IFERROR(IF(INDEX(SK_D,MATCH(O578,SK_A,0))="",B578,INDEX(SK_D,MATCH(O578,SK_A,0))),B578),Q578,HOLI),IFERROR(IF(INDEX(SK_D,MATCH(O578,SK_A,0))="",B578,INDEX(SK_D,MATCH(O578,SK_A,0))),B578)+Q578),B578+Q578))</f>
        <v/>
      </c>
      <c r="J578" s="14" t="n"/>
      <c r="K578" s="13" t="n"/>
      <c r="L578" s="12" t="n"/>
      <c r="M578" s="48">
        <f>IF(E578="","",IF(J578="Bỏ qua","—",IF(J578="Xong",IF(AND(ISNUMBER(K578),ISNUMBER(I578),K578&gt;I578),"Xong trễ","Xong"),MID(IF(G578=""," · CHƯA GIAO","")&amp;IF(NOT(ISNUMBER(I578)),"",IF(TODAY()&gt;I578," · QUÁ HẠN "&amp;(TODAY()-I578)&amp;" ngày",IF(I578-TODAY()&lt;=3," · Đến hạn "&amp;IF(I578=TODAY(),"hôm nay","trong "&amp;(I578-TODAY())&amp;" ngày"),"")))&amp;IF(J578="Chờ đối tác"," · Chờ đối tác"&amp;IF(ISNUMBER(N578)," "&amp;(TODAY()-INT(N578))&amp;" ngày",""),""),4,200))))</f>
        <v/>
      </c>
      <c r="N578" s="49" t="n"/>
      <c r="S578">
        <f>IF(AND(E578&lt;&gt;"",T578="Có",J578&lt;&gt;"Xong",J578&lt;&gt;"Bỏ qua",ISNUMBER(I578)),I578+ROW()/100000,"")</f>
        <v/>
      </c>
      <c r="T578">
        <f>IF(O578="","",IFERROR(INDEX(SK_TD,MATCH(O578,SK_A,0)),""))</f>
        <v/>
      </c>
      <c r="V578">
        <f>IF(AND(O578&lt;&gt;"",O578=SEL_K,J578&lt;&gt;"Xong",J578&lt;&gt;"Bỏ qua"),IF(ISNUMBER(I578),I578,99999)+ROW()/100000,"")</f>
        <v/>
      </c>
    </row>
    <row r="579">
      <c r="A579" s="12">
        <f>IF(O579="","",IFERROR(INDEX(SK_B,MATCH(O579,SK_A,0))&amp;"",""))</f>
        <v/>
      </c>
      <c r="B579" s="45">
        <f>IF(O579="","",IFERROR(INDEX(SK_C,MATCH(O579,SK_A,0)),""))</f>
        <v/>
      </c>
      <c r="C579" s="46">
        <f>IF(Q579="","",IF(Q579=0,"D",IF(Q579&lt;0,"D"&amp;Q579,"D+"&amp;Q579)))</f>
        <v/>
      </c>
      <c r="D579" s="14" t="n"/>
      <c r="E579" s="12" t="n"/>
      <c r="F579" s="46" t="n"/>
      <c r="G579" s="47" t="n"/>
      <c r="H579" s="14" t="n"/>
      <c r="I579" s="13">
        <f>IF(OR(B579="",Q579=""),"",IF(Q579&gt;0,IF(R579="Làm việc",WORKDAY(IFERROR(IF(INDEX(SK_D,MATCH(O579,SK_A,0))="",B579,INDEX(SK_D,MATCH(O579,SK_A,0))),B579),Q579,HOLI),IFERROR(IF(INDEX(SK_D,MATCH(O579,SK_A,0))="",B579,INDEX(SK_D,MATCH(O579,SK_A,0))),B579)+Q579),B579+Q579))</f>
        <v/>
      </c>
      <c r="J579" s="14" t="n"/>
      <c r="K579" s="13" t="n"/>
      <c r="L579" s="12" t="n"/>
      <c r="M579" s="48">
        <f>IF(E579="","",IF(J579="Bỏ qua","—",IF(J579="Xong",IF(AND(ISNUMBER(K579),ISNUMBER(I579),K579&gt;I579),"Xong trễ","Xong"),MID(IF(G579=""," · CHƯA GIAO","")&amp;IF(NOT(ISNUMBER(I579)),"",IF(TODAY()&gt;I579," · QUÁ HẠN "&amp;(TODAY()-I579)&amp;" ngày",IF(I579-TODAY()&lt;=3," · Đến hạn "&amp;IF(I579=TODAY(),"hôm nay","trong "&amp;(I579-TODAY())&amp;" ngày"),"")))&amp;IF(J579="Chờ đối tác"," · Chờ đối tác"&amp;IF(ISNUMBER(N579)," "&amp;(TODAY()-INT(N579))&amp;" ngày",""),""),4,200))))</f>
        <v/>
      </c>
      <c r="N579" s="49" t="n"/>
      <c r="S579">
        <f>IF(AND(E579&lt;&gt;"",T579="Có",J579&lt;&gt;"Xong",J579&lt;&gt;"Bỏ qua",ISNUMBER(I579)),I579+ROW()/100000,"")</f>
        <v/>
      </c>
      <c r="T579">
        <f>IF(O579="","",IFERROR(INDEX(SK_TD,MATCH(O579,SK_A,0)),""))</f>
        <v/>
      </c>
      <c r="V579">
        <f>IF(AND(O579&lt;&gt;"",O579=SEL_K,J579&lt;&gt;"Xong",J579&lt;&gt;"Bỏ qua"),IF(ISNUMBER(I579),I579,99999)+ROW()/100000,"")</f>
        <v/>
      </c>
    </row>
    <row r="580">
      <c r="A580" s="12">
        <f>IF(O580="","",IFERROR(INDEX(SK_B,MATCH(O580,SK_A,0))&amp;"",""))</f>
        <v/>
      </c>
      <c r="B580" s="45">
        <f>IF(O580="","",IFERROR(INDEX(SK_C,MATCH(O580,SK_A,0)),""))</f>
        <v/>
      </c>
      <c r="C580" s="46">
        <f>IF(Q580="","",IF(Q580=0,"D",IF(Q580&lt;0,"D"&amp;Q580,"D+"&amp;Q580)))</f>
        <v/>
      </c>
      <c r="D580" s="14" t="n"/>
      <c r="E580" s="12" t="n"/>
      <c r="F580" s="46" t="n"/>
      <c r="G580" s="47" t="n"/>
      <c r="H580" s="14" t="n"/>
      <c r="I580" s="13">
        <f>IF(OR(B580="",Q580=""),"",IF(Q580&gt;0,IF(R580="Làm việc",WORKDAY(IFERROR(IF(INDEX(SK_D,MATCH(O580,SK_A,0))="",B580,INDEX(SK_D,MATCH(O580,SK_A,0))),B580),Q580,HOLI),IFERROR(IF(INDEX(SK_D,MATCH(O580,SK_A,0))="",B580,INDEX(SK_D,MATCH(O580,SK_A,0))),B580)+Q580),B580+Q580))</f>
        <v/>
      </c>
      <c r="J580" s="14" t="n"/>
      <c r="K580" s="13" t="n"/>
      <c r="L580" s="12" t="n"/>
      <c r="M580" s="48">
        <f>IF(E580="","",IF(J580="Bỏ qua","—",IF(J580="Xong",IF(AND(ISNUMBER(K580),ISNUMBER(I580),K580&gt;I580),"Xong trễ","Xong"),MID(IF(G580=""," · CHƯA GIAO","")&amp;IF(NOT(ISNUMBER(I580)),"",IF(TODAY()&gt;I580," · QUÁ HẠN "&amp;(TODAY()-I580)&amp;" ngày",IF(I580-TODAY()&lt;=3," · Đến hạn "&amp;IF(I580=TODAY(),"hôm nay","trong "&amp;(I580-TODAY())&amp;" ngày"),"")))&amp;IF(J580="Chờ đối tác"," · Chờ đối tác"&amp;IF(ISNUMBER(N580)," "&amp;(TODAY()-INT(N580))&amp;" ngày",""),""),4,200))))</f>
        <v/>
      </c>
      <c r="N580" s="49" t="n"/>
      <c r="S580">
        <f>IF(AND(E580&lt;&gt;"",T580="Có",J580&lt;&gt;"Xong",J580&lt;&gt;"Bỏ qua",ISNUMBER(I580)),I580+ROW()/100000,"")</f>
        <v/>
      </c>
      <c r="T580">
        <f>IF(O580="","",IFERROR(INDEX(SK_TD,MATCH(O580,SK_A,0)),""))</f>
        <v/>
      </c>
      <c r="V580">
        <f>IF(AND(O580&lt;&gt;"",O580=SEL_K,J580&lt;&gt;"Xong",J580&lt;&gt;"Bỏ qua"),IF(ISNUMBER(I580),I580,99999)+ROW()/100000,"")</f>
        <v/>
      </c>
    </row>
    <row r="581">
      <c r="A581" s="12">
        <f>IF(O581="","",IFERROR(INDEX(SK_B,MATCH(O581,SK_A,0))&amp;"",""))</f>
        <v/>
      </c>
      <c r="B581" s="45">
        <f>IF(O581="","",IFERROR(INDEX(SK_C,MATCH(O581,SK_A,0)),""))</f>
        <v/>
      </c>
      <c r="C581" s="46">
        <f>IF(Q581="","",IF(Q581=0,"D",IF(Q581&lt;0,"D"&amp;Q581,"D+"&amp;Q581)))</f>
        <v/>
      </c>
      <c r="D581" s="14" t="n"/>
      <c r="E581" s="12" t="n"/>
      <c r="F581" s="46" t="n"/>
      <c r="G581" s="47" t="n"/>
      <c r="H581" s="14" t="n"/>
      <c r="I581" s="13">
        <f>IF(OR(B581="",Q581=""),"",IF(Q581&gt;0,IF(R581="Làm việc",WORKDAY(IFERROR(IF(INDEX(SK_D,MATCH(O581,SK_A,0))="",B581,INDEX(SK_D,MATCH(O581,SK_A,0))),B581),Q581,HOLI),IFERROR(IF(INDEX(SK_D,MATCH(O581,SK_A,0))="",B581,INDEX(SK_D,MATCH(O581,SK_A,0))),B581)+Q581),B581+Q581))</f>
        <v/>
      </c>
      <c r="J581" s="14" t="n"/>
      <c r="K581" s="13" t="n"/>
      <c r="L581" s="12" t="n"/>
      <c r="M581" s="48">
        <f>IF(E581="","",IF(J581="Bỏ qua","—",IF(J581="Xong",IF(AND(ISNUMBER(K581),ISNUMBER(I581),K581&gt;I581),"Xong trễ","Xong"),MID(IF(G581=""," · CHƯA GIAO","")&amp;IF(NOT(ISNUMBER(I581)),"",IF(TODAY()&gt;I581," · QUÁ HẠN "&amp;(TODAY()-I581)&amp;" ngày",IF(I581-TODAY()&lt;=3," · Đến hạn "&amp;IF(I581=TODAY(),"hôm nay","trong "&amp;(I581-TODAY())&amp;" ngày"),"")))&amp;IF(J581="Chờ đối tác"," · Chờ đối tác"&amp;IF(ISNUMBER(N581)," "&amp;(TODAY()-INT(N581))&amp;" ngày",""),""),4,200))))</f>
        <v/>
      </c>
      <c r="N581" s="49" t="n"/>
      <c r="S581">
        <f>IF(AND(E581&lt;&gt;"",T581="Có",J581&lt;&gt;"Xong",J581&lt;&gt;"Bỏ qua",ISNUMBER(I581)),I581+ROW()/100000,"")</f>
        <v/>
      </c>
      <c r="T581">
        <f>IF(O581="","",IFERROR(INDEX(SK_TD,MATCH(O581,SK_A,0)),""))</f>
        <v/>
      </c>
      <c r="V581">
        <f>IF(AND(O581&lt;&gt;"",O581=SEL_K,J581&lt;&gt;"Xong",J581&lt;&gt;"Bỏ qua"),IF(ISNUMBER(I581),I581,99999)+ROW()/100000,"")</f>
        <v/>
      </c>
    </row>
    <row r="582">
      <c r="A582" s="12">
        <f>IF(O582="","",IFERROR(INDEX(SK_B,MATCH(O582,SK_A,0))&amp;"",""))</f>
        <v/>
      </c>
      <c r="B582" s="45">
        <f>IF(O582="","",IFERROR(INDEX(SK_C,MATCH(O582,SK_A,0)),""))</f>
        <v/>
      </c>
      <c r="C582" s="46">
        <f>IF(Q582="","",IF(Q582=0,"D",IF(Q582&lt;0,"D"&amp;Q582,"D+"&amp;Q582)))</f>
        <v/>
      </c>
      <c r="D582" s="14" t="n"/>
      <c r="E582" s="12" t="n"/>
      <c r="F582" s="46" t="n"/>
      <c r="G582" s="47" t="n"/>
      <c r="H582" s="14" t="n"/>
      <c r="I582" s="13">
        <f>IF(OR(B582="",Q582=""),"",IF(Q582&gt;0,IF(R582="Làm việc",WORKDAY(IFERROR(IF(INDEX(SK_D,MATCH(O582,SK_A,0))="",B582,INDEX(SK_D,MATCH(O582,SK_A,0))),B582),Q582,HOLI),IFERROR(IF(INDEX(SK_D,MATCH(O582,SK_A,0))="",B582,INDEX(SK_D,MATCH(O582,SK_A,0))),B582)+Q582),B582+Q582))</f>
        <v/>
      </c>
      <c r="J582" s="14" t="n"/>
      <c r="K582" s="13" t="n"/>
      <c r="L582" s="12" t="n"/>
      <c r="M582" s="48">
        <f>IF(E582="","",IF(J582="Bỏ qua","—",IF(J582="Xong",IF(AND(ISNUMBER(K582),ISNUMBER(I582),K582&gt;I582),"Xong trễ","Xong"),MID(IF(G582=""," · CHƯA GIAO","")&amp;IF(NOT(ISNUMBER(I582)),"",IF(TODAY()&gt;I582," · QUÁ HẠN "&amp;(TODAY()-I582)&amp;" ngày",IF(I582-TODAY()&lt;=3," · Đến hạn "&amp;IF(I582=TODAY(),"hôm nay","trong "&amp;(I582-TODAY())&amp;" ngày"),"")))&amp;IF(J582="Chờ đối tác"," · Chờ đối tác"&amp;IF(ISNUMBER(N582)," "&amp;(TODAY()-INT(N582))&amp;" ngày",""),""),4,200))))</f>
        <v/>
      </c>
      <c r="N582" s="49" t="n"/>
      <c r="S582">
        <f>IF(AND(E582&lt;&gt;"",T582="Có",J582&lt;&gt;"Xong",J582&lt;&gt;"Bỏ qua",ISNUMBER(I582)),I582+ROW()/100000,"")</f>
        <v/>
      </c>
      <c r="T582">
        <f>IF(O582="","",IFERROR(INDEX(SK_TD,MATCH(O582,SK_A,0)),""))</f>
        <v/>
      </c>
      <c r="V582">
        <f>IF(AND(O582&lt;&gt;"",O582=SEL_K,J582&lt;&gt;"Xong",J582&lt;&gt;"Bỏ qua"),IF(ISNUMBER(I582),I582,99999)+ROW()/100000,"")</f>
        <v/>
      </c>
    </row>
    <row r="583">
      <c r="A583" s="12">
        <f>IF(O583="","",IFERROR(INDEX(SK_B,MATCH(O583,SK_A,0))&amp;"",""))</f>
        <v/>
      </c>
      <c r="B583" s="45">
        <f>IF(O583="","",IFERROR(INDEX(SK_C,MATCH(O583,SK_A,0)),""))</f>
        <v/>
      </c>
      <c r="C583" s="46">
        <f>IF(Q583="","",IF(Q583=0,"D",IF(Q583&lt;0,"D"&amp;Q583,"D+"&amp;Q583)))</f>
        <v/>
      </c>
      <c r="D583" s="14" t="n"/>
      <c r="E583" s="12" t="n"/>
      <c r="F583" s="46" t="n"/>
      <c r="G583" s="47" t="n"/>
      <c r="H583" s="14" t="n"/>
      <c r="I583" s="13">
        <f>IF(OR(B583="",Q583=""),"",IF(Q583&gt;0,IF(R583="Làm việc",WORKDAY(IFERROR(IF(INDEX(SK_D,MATCH(O583,SK_A,0))="",B583,INDEX(SK_D,MATCH(O583,SK_A,0))),B583),Q583,HOLI),IFERROR(IF(INDEX(SK_D,MATCH(O583,SK_A,0))="",B583,INDEX(SK_D,MATCH(O583,SK_A,0))),B583)+Q583),B583+Q583))</f>
        <v/>
      </c>
      <c r="J583" s="14" t="n"/>
      <c r="K583" s="13" t="n"/>
      <c r="L583" s="12" t="n"/>
      <c r="M583" s="48">
        <f>IF(E583="","",IF(J583="Bỏ qua","—",IF(J583="Xong",IF(AND(ISNUMBER(K583),ISNUMBER(I583),K583&gt;I583),"Xong trễ","Xong"),MID(IF(G583=""," · CHƯA GIAO","")&amp;IF(NOT(ISNUMBER(I583)),"",IF(TODAY()&gt;I583," · QUÁ HẠN "&amp;(TODAY()-I583)&amp;" ngày",IF(I583-TODAY()&lt;=3," · Đến hạn "&amp;IF(I583=TODAY(),"hôm nay","trong "&amp;(I583-TODAY())&amp;" ngày"),"")))&amp;IF(J583="Chờ đối tác"," · Chờ đối tác"&amp;IF(ISNUMBER(N583)," "&amp;(TODAY()-INT(N583))&amp;" ngày",""),""),4,200))))</f>
        <v/>
      </c>
      <c r="N583" s="49" t="n"/>
      <c r="S583">
        <f>IF(AND(E583&lt;&gt;"",T583="Có",J583&lt;&gt;"Xong",J583&lt;&gt;"Bỏ qua",ISNUMBER(I583)),I583+ROW()/100000,"")</f>
        <v/>
      </c>
      <c r="T583">
        <f>IF(O583="","",IFERROR(INDEX(SK_TD,MATCH(O583,SK_A,0)),""))</f>
        <v/>
      </c>
      <c r="V583">
        <f>IF(AND(O583&lt;&gt;"",O583=SEL_K,J583&lt;&gt;"Xong",J583&lt;&gt;"Bỏ qua"),IF(ISNUMBER(I583),I583,99999)+ROW()/100000,"")</f>
        <v/>
      </c>
    </row>
    <row r="584">
      <c r="A584" s="12">
        <f>IF(O584="","",IFERROR(INDEX(SK_B,MATCH(O584,SK_A,0))&amp;"",""))</f>
        <v/>
      </c>
      <c r="B584" s="45">
        <f>IF(O584="","",IFERROR(INDEX(SK_C,MATCH(O584,SK_A,0)),""))</f>
        <v/>
      </c>
      <c r="C584" s="46">
        <f>IF(Q584="","",IF(Q584=0,"D",IF(Q584&lt;0,"D"&amp;Q584,"D+"&amp;Q584)))</f>
        <v/>
      </c>
      <c r="D584" s="14" t="n"/>
      <c r="E584" s="12" t="n"/>
      <c r="F584" s="46" t="n"/>
      <c r="G584" s="47" t="n"/>
      <c r="H584" s="14" t="n"/>
      <c r="I584" s="13">
        <f>IF(OR(B584="",Q584=""),"",IF(Q584&gt;0,IF(R584="Làm việc",WORKDAY(IFERROR(IF(INDEX(SK_D,MATCH(O584,SK_A,0))="",B584,INDEX(SK_D,MATCH(O584,SK_A,0))),B584),Q584,HOLI),IFERROR(IF(INDEX(SK_D,MATCH(O584,SK_A,0))="",B584,INDEX(SK_D,MATCH(O584,SK_A,0))),B584)+Q584),B584+Q584))</f>
        <v/>
      </c>
      <c r="J584" s="14" t="n"/>
      <c r="K584" s="13" t="n"/>
      <c r="L584" s="12" t="n"/>
      <c r="M584" s="48">
        <f>IF(E584="","",IF(J584="Bỏ qua","—",IF(J584="Xong",IF(AND(ISNUMBER(K584),ISNUMBER(I584),K584&gt;I584),"Xong trễ","Xong"),MID(IF(G584=""," · CHƯA GIAO","")&amp;IF(NOT(ISNUMBER(I584)),"",IF(TODAY()&gt;I584," · QUÁ HẠN "&amp;(TODAY()-I584)&amp;" ngày",IF(I584-TODAY()&lt;=3," · Đến hạn "&amp;IF(I584=TODAY(),"hôm nay","trong "&amp;(I584-TODAY())&amp;" ngày"),"")))&amp;IF(J584="Chờ đối tác"," · Chờ đối tác"&amp;IF(ISNUMBER(N584)," "&amp;(TODAY()-INT(N584))&amp;" ngày",""),""),4,200))))</f>
        <v/>
      </c>
      <c r="N584" s="49" t="n"/>
      <c r="S584">
        <f>IF(AND(E584&lt;&gt;"",T584="Có",J584&lt;&gt;"Xong",J584&lt;&gt;"Bỏ qua",ISNUMBER(I584)),I584+ROW()/100000,"")</f>
        <v/>
      </c>
      <c r="T584">
        <f>IF(O584="","",IFERROR(INDEX(SK_TD,MATCH(O584,SK_A,0)),""))</f>
        <v/>
      </c>
      <c r="V584">
        <f>IF(AND(O584&lt;&gt;"",O584=SEL_K,J584&lt;&gt;"Xong",J584&lt;&gt;"Bỏ qua"),IF(ISNUMBER(I584),I584,99999)+ROW()/100000,"")</f>
        <v/>
      </c>
    </row>
    <row r="585">
      <c r="A585" s="12">
        <f>IF(O585="","",IFERROR(INDEX(SK_B,MATCH(O585,SK_A,0))&amp;"",""))</f>
        <v/>
      </c>
      <c r="B585" s="45">
        <f>IF(O585="","",IFERROR(INDEX(SK_C,MATCH(O585,SK_A,0)),""))</f>
        <v/>
      </c>
      <c r="C585" s="46">
        <f>IF(Q585="","",IF(Q585=0,"D",IF(Q585&lt;0,"D"&amp;Q585,"D+"&amp;Q585)))</f>
        <v/>
      </c>
      <c r="D585" s="14" t="n"/>
      <c r="E585" s="12" t="n"/>
      <c r="F585" s="46" t="n"/>
      <c r="G585" s="47" t="n"/>
      <c r="H585" s="14" t="n"/>
      <c r="I585" s="13">
        <f>IF(OR(B585="",Q585=""),"",IF(Q585&gt;0,IF(R585="Làm việc",WORKDAY(IFERROR(IF(INDEX(SK_D,MATCH(O585,SK_A,0))="",B585,INDEX(SK_D,MATCH(O585,SK_A,0))),B585),Q585,HOLI),IFERROR(IF(INDEX(SK_D,MATCH(O585,SK_A,0))="",B585,INDEX(SK_D,MATCH(O585,SK_A,0))),B585)+Q585),B585+Q585))</f>
        <v/>
      </c>
      <c r="J585" s="14" t="n"/>
      <c r="K585" s="13" t="n"/>
      <c r="L585" s="12" t="n"/>
      <c r="M585" s="48">
        <f>IF(E585="","",IF(J585="Bỏ qua","—",IF(J585="Xong",IF(AND(ISNUMBER(K585),ISNUMBER(I585),K585&gt;I585),"Xong trễ","Xong"),MID(IF(G585=""," · CHƯA GIAO","")&amp;IF(NOT(ISNUMBER(I585)),"",IF(TODAY()&gt;I585," · QUÁ HẠN "&amp;(TODAY()-I585)&amp;" ngày",IF(I585-TODAY()&lt;=3," · Đến hạn "&amp;IF(I585=TODAY(),"hôm nay","trong "&amp;(I585-TODAY())&amp;" ngày"),"")))&amp;IF(J585="Chờ đối tác"," · Chờ đối tác"&amp;IF(ISNUMBER(N585)," "&amp;(TODAY()-INT(N585))&amp;" ngày",""),""),4,200))))</f>
        <v/>
      </c>
      <c r="N585" s="49" t="n"/>
      <c r="S585">
        <f>IF(AND(E585&lt;&gt;"",T585="Có",J585&lt;&gt;"Xong",J585&lt;&gt;"Bỏ qua",ISNUMBER(I585)),I585+ROW()/100000,"")</f>
        <v/>
      </c>
      <c r="T585">
        <f>IF(O585="","",IFERROR(INDEX(SK_TD,MATCH(O585,SK_A,0)),""))</f>
        <v/>
      </c>
      <c r="V585">
        <f>IF(AND(O585&lt;&gt;"",O585=SEL_K,J585&lt;&gt;"Xong",J585&lt;&gt;"Bỏ qua"),IF(ISNUMBER(I585),I585,99999)+ROW()/100000,"")</f>
        <v/>
      </c>
    </row>
    <row r="586">
      <c r="A586" s="12">
        <f>IF(O586="","",IFERROR(INDEX(SK_B,MATCH(O586,SK_A,0))&amp;"",""))</f>
        <v/>
      </c>
      <c r="B586" s="45">
        <f>IF(O586="","",IFERROR(INDEX(SK_C,MATCH(O586,SK_A,0)),""))</f>
        <v/>
      </c>
      <c r="C586" s="46">
        <f>IF(Q586="","",IF(Q586=0,"D",IF(Q586&lt;0,"D"&amp;Q586,"D+"&amp;Q586)))</f>
        <v/>
      </c>
      <c r="D586" s="14" t="n"/>
      <c r="E586" s="12" t="n"/>
      <c r="F586" s="46" t="n"/>
      <c r="G586" s="47" t="n"/>
      <c r="H586" s="14" t="n"/>
      <c r="I586" s="13">
        <f>IF(OR(B586="",Q586=""),"",IF(Q586&gt;0,IF(R586="Làm việc",WORKDAY(IFERROR(IF(INDEX(SK_D,MATCH(O586,SK_A,0))="",B586,INDEX(SK_D,MATCH(O586,SK_A,0))),B586),Q586,HOLI),IFERROR(IF(INDEX(SK_D,MATCH(O586,SK_A,0))="",B586,INDEX(SK_D,MATCH(O586,SK_A,0))),B586)+Q586),B586+Q586))</f>
        <v/>
      </c>
      <c r="J586" s="14" t="n"/>
      <c r="K586" s="13" t="n"/>
      <c r="L586" s="12" t="n"/>
      <c r="M586" s="48">
        <f>IF(E586="","",IF(J586="Bỏ qua","—",IF(J586="Xong",IF(AND(ISNUMBER(K586),ISNUMBER(I586),K586&gt;I586),"Xong trễ","Xong"),MID(IF(G586=""," · CHƯA GIAO","")&amp;IF(NOT(ISNUMBER(I586)),"",IF(TODAY()&gt;I586," · QUÁ HẠN "&amp;(TODAY()-I586)&amp;" ngày",IF(I586-TODAY()&lt;=3," · Đến hạn "&amp;IF(I586=TODAY(),"hôm nay","trong "&amp;(I586-TODAY())&amp;" ngày"),"")))&amp;IF(J586="Chờ đối tác"," · Chờ đối tác"&amp;IF(ISNUMBER(N586)," "&amp;(TODAY()-INT(N586))&amp;" ngày",""),""),4,200))))</f>
        <v/>
      </c>
      <c r="N586" s="49" t="n"/>
      <c r="S586">
        <f>IF(AND(E586&lt;&gt;"",T586="Có",J586&lt;&gt;"Xong",J586&lt;&gt;"Bỏ qua",ISNUMBER(I586)),I586+ROW()/100000,"")</f>
        <v/>
      </c>
      <c r="T586">
        <f>IF(O586="","",IFERROR(INDEX(SK_TD,MATCH(O586,SK_A,0)),""))</f>
        <v/>
      </c>
      <c r="V586">
        <f>IF(AND(O586&lt;&gt;"",O586=SEL_K,J586&lt;&gt;"Xong",J586&lt;&gt;"Bỏ qua"),IF(ISNUMBER(I586),I586,99999)+ROW()/100000,"")</f>
        <v/>
      </c>
    </row>
    <row r="587">
      <c r="A587" s="12">
        <f>IF(O587="","",IFERROR(INDEX(SK_B,MATCH(O587,SK_A,0))&amp;"",""))</f>
        <v/>
      </c>
      <c r="B587" s="45">
        <f>IF(O587="","",IFERROR(INDEX(SK_C,MATCH(O587,SK_A,0)),""))</f>
        <v/>
      </c>
      <c r="C587" s="46">
        <f>IF(Q587="","",IF(Q587=0,"D",IF(Q587&lt;0,"D"&amp;Q587,"D+"&amp;Q587)))</f>
        <v/>
      </c>
      <c r="D587" s="14" t="n"/>
      <c r="E587" s="12" t="n"/>
      <c r="F587" s="46" t="n"/>
      <c r="G587" s="47" t="n"/>
      <c r="H587" s="14" t="n"/>
      <c r="I587" s="13">
        <f>IF(OR(B587="",Q587=""),"",IF(Q587&gt;0,IF(R587="Làm việc",WORKDAY(IFERROR(IF(INDEX(SK_D,MATCH(O587,SK_A,0))="",B587,INDEX(SK_D,MATCH(O587,SK_A,0))),B587),Q587,HOLI),IFERROR(IF(INDEX(SK_D,MATCH(O587,SK_A,0))="",B587,INDEX(SK_D,MATCH(O587,SK_A,0))),B587)+Q587),B587+Q587))</f>
        <v/>
      </c>
      <c r="J587" s="14" t="n"/>
      <c r="K587" s="13" t="n"/>
      <c r="L587" s="12" t="n"/>
      <c r="M587" s="48">
        <f>IF(E587="","",IF(J587="Bỏ qua","—",IF(J587="Xong",IF(AND(ISNUMBER(K587),ISNUMBER(I587),K587&gt;I587),"Xong trễ","Xong"),MID(IF(G587=""," · CHƯA GIAO","")&amp;IF(NOT(ISNUMBER(I587)),"",IF(TODAY()&gt;I587," · QUÁ HẠN "&amp;(TODAY()-I587)&amp;" ngày",IF(I587-TODAY()&lt;=3," · Đến hạn "&amp;IF(I587=TODAY(),"hôm nay","trong "&amp;(I587-TODAY())&amp;" ngày"),"")))&amp;IF(J587="Chờ đối tác"," · Chờ đối tác"&amp;IF(ISNUMBER(N587)," "&amp;(TODAY()-INT(N587))&amp;" ngày",""),""),4,200))))</f>
        <v/>
      </c>
      <c r="N587" s="49" t="n"/>
      <c r="S587">
        <f>IF(AND(E587&lt;&gt;"",T587="Có",J587&lt;&gt;"Xong",J587&lt;&gt;"Bỏ qua",ISNUMBER(I587)),I587+ROW()/100000,"")</f>
        <v/>
      </c>
      <c r="T587">
        <f>IF(O587="","",IFERROR(INDEX(SK_TD,MATCH(O587,SK_A,0)),""))</f>
        <v/>
      </c>
      <c r="V587">
        <f>IF(AND(O587&lt;&gt;"",O587=SEL_K,J587&lt;&gt;"Xong",J587&lt;&gt;"Bỏ qua"),IF(ISNUMBER(I587),I587,99999)+ROW()/100000,"")</f>
        <v/>
      </c>
    </row>
    <row r="588">
      <c r="A588" s="12">
        <f>IF(O588="","",IFERROR(INDEX(SK_B,MATCH(O588,SK_A,0))&amp;"",""))</f>
        <v/>
      </c>
      <c r="B588" s="45">
        <f>IF(O588="","",IFERROR(INDEX(SK_C,MATCH(O588,SK_A,0)),""))</f>
        <v/>
      </c>
      <c r="C588" s="46">
        <f>IF(Q588="","",IF(Q588=0,"D",IF(Q588&lt;0,"D"&amp;Q588,"D+"&amp;Q588)))</f>
        <v/>
      </c>
      <c r="D588" s="14" t="n"/>
      <c r="E588" s="12" t="n"/>
      <c r="F588" s="46" t="n"/>
      <c r="G588" s="47" t="n"/>
      <c r="H588" s="14" t="n"/>
      <c r="I588" s="13">
        <f>IF(OR(B588="",Q588=""),"",IF(Q588&gt;0,IF(R588="Làm việc",WORKDAY(IFERROR(IF(INDEX(SK_D,MATCH(O588,SK_A,0))="",B588,INDEX(SK_D,MATCH(O588,SK_A,0))),B588),Q588,HOLI),IFERROR(IF(INDEX(SK_D,MATCH(O588,SK_A,0))="",B588,INDEX(SK_D,MATCH(O588,SK_A,0))),B588)+Q588),B588+Q588))</f>
        <v/>
      </c>
      <c r="J588" s="14" t="n"/>
      <c r="K588" s="13" t="n"/>
      <c r="L588" s="12" t="n"/>
      <c r="M588" s="48">
        <f>IF(E588="","",IF(J588="Bỏ qua","—",IF(J588="Xong",IF(AND(ISNUMBER(K588),ISNUMBER(I588),K588&gt;I588),"Xong trễ","Xong"),MID(IF(G588=""," · CHƯA GIAO","")&amp;IF(NOT(ISNUMBER(I588)),"",IF(TODAY()&gt;I588," · QUÁ HẠN "&amp;(TODAY()-I588)&amp;" ngày",IF(I588-TODAY()&lt;=3," · Đến hạn "&amp;IF(I588=TODAY(),"hôm nay","trong "&amp;(I588-TODAY())&amp;" ngày"),"")))&amp;IF(J588="Chờ đối tác"," · Chờ đối tác"&amp;IF(ISNUMBER(N588)," "&amp;(TODAY()-INT(N588))&amp;" ngày",""),""),4,200))))</f>
        <v/>
      </c>
      <c r="N588" s="49" t="n"/>
      <c r="S588">
        <f>IF(AND(E588&lt;&gt;"",T588="Có",J588&lt;&gt;"Xong",J588&lt;&gt;"Bỏ qua",ISNUMBER(I588)),I588+ROW()/100000,"")</f>
        <v/>
      </c>
      <c r="T588">
        <f>IF(O588="","",IFERROR(INDEX(SK_TD,MATCH(O588,SK_A,0)),""))</f>
        <v/>
      </c>
      <c r="V588">
        <f>IF(AND(O588&lt;&gt;"",O588=SEL_K,J588&lt;&gt;"Xong",J588&lt;&gt;"Bỏ qua"),IF(ISNUMBER(I588),I588,99999)+ROW()/100000,"")</f>
        <v/>
      </c>
    </row>
    <row r="589">
      <c r="A589" s="12">
        <f>IF(O589="","",IFERROR(INDEX(SK_B,MATCH(O589,SK_A,0))&amp;"",""))</f>
        <v/>
      </c>
      <c r="B589" s="45">
        <f>IF(O589="","",IFERROR(INDEX(SK_C,MATCH(O589,SK_A,0)),""))</f>
        <v/>
      </c>
      <c r="C589" s="46">
        <f>IF(Q589="","",IF(Q589=0,"D",IF(Q589&lt;0,"D"&amp;Q589,"D+"&amp;Q589)))</f>
        <v/>
      </c>
      <c r="D589" s="14" t="n"/>
      <c r="E589" s="12" t="n"/>
      <c r="F589" s="46" t="n"/>
      <c r="G589" s="47" t="n"/>
      <c r="H589" s="14" t="n"/>
      <c r="I589" s="13">
        <f>IF(OR(B589="",Q589=""),"",IF(Q589&gt;0,IF(R589="Làm việc",WORKDAY(IFERROR(IF(INDEX(SK_D,MATCH(O589,SK_A,0))="",B589,INDEX(SK_D,MATCH(O589,SK_A,0))),B589),Q589,HOLI),IFERROR(IF(INDEX(SK_D,MATCH(O589,SK_A,0))="",B589,INDEX(SK_D,MATCH(O589,SK_A,0))),B589)+Q589),B589+Q589))</f>
        <v/>
      </c>
      <c r="J589" s="14" t="n"/>
      <c r="K589" s="13" t="n"/>
      <c r="L589" s="12" t="n"/>
      <c r="M589" s="48">
        <f>IF(E589="","",IF(J589="Bỏ qua","—",IF(J589="Xong",IF(AND(ISNUMBER(K589),ISNUMBER(I589),K589&gt;I589),"Xong trễ","Xong"),MID(IF(G589=""," · CHƯA GIAO","")&amp;IF(NOT(ISNUMBER(I589)),"",IF(TODAY()&gt;I589," · QUÁ HẠN "&amp;(TODAY()-I589)&amp;" ngày",IF(I589-TODAY()&lt;=3," · Đến hạn "&amp;IF(I589=TODAY(),"hôm nay","trong "&amp;(I589-TODAY())&amp;" ngày"),"")))&amp;IF(J589="Chờ đối tác"," · Chờ đối tác"&amp;IF(ISNUMBER(N589)," "&amp;(TODAY()-INT(N589))&amp;" ngày",""),""),4,200))))</f>
        <v/>
      </c>
      <c r="N589" s="49" t="n"/>
      <c r="S589">
        <f>IF(AND(E589&lt;&gt;"",T589="Có",J589&lt;&gt;"Xong",J589&lt;&gt;"Bỏ qua",ISNUMBER(I589)),I589+ROW()/100000,"")</f>
        <v/>
      </c>
      <c r="T589">
        <f>IF(O589="","",IFERROR(INDEX(SK_TD,MATCH(O589,SK_A,0)),""))</f>
        <v/>
      </c>
      <c r="V589">
        <f>IF(AND(O589&lt;&gt;"",O589=SEL_K,J589&lt;&gt;"Xong",J589&lt;&gt;"Bỏ qua"),IF(ISNUMBER(I589),I589,99999)+ROW()/100000,"")</f>
        <v/>
      </c>
    </row>
    <row r="590">
      <c r="A590" s="12">
        <f>IF(O590="","",IFERROR(INDEX(SK_B,MATCH(O590,SK_A,0))&amp;"",""))</f>
        <v/>
      </c>
      <c r="B590" s="45">
        <f>IF(O590="","",IFERROR(INDEX(SK_C,MATCH(O590,SK_A,0)),""))</f>
        <v/>
      </c>
      <c r="C590" s="46">
        <f>IF(Q590="","",IF(Q590=0,"D",IF(Q590&lt;0,"D"&amp;Q590,"D+"&amp;Q590)))</f>
        <v/>
      </c>
      <c r="D590" s="14" t="n"/>
      <c r="E590" s="12" t="n"/>
      <c r="F590" s="46" t="n"/>
      <c r="G590" s="47" t="n"/>
      <c r="H590" s="14" t="n"/>
      <c r="I590" s="13">
        <f>IF(OR(B590="",Q590=""),"",IF(Q590&gt;0,IF(R590="Làm việc",WORKDAY(IFERROR(IF(INDEX(SK_D,MATCH(O590,SK_A,0))="",B590,INDEX(SK_D,MATCH(O590,SK_A,0))),B590),Q590,HOLI),IFERROR(IF(INDEX(SK_D,MATCH(O590,SK_A,0))="",B590,INDEX(SK_D,MATCH(O590,SK_A,0))),B590)+Q590),B590+Q590))</f>
        <v/>
      </c>
      <c r="J590" s="14" t="n"/>
      <c r="K590" s="13" t="n"/>
      <c r="L590" s="12" t="n"/>
      <c r="M590" s="48">
        <f>IF(E590="","",IF(J590="Bỏ qua","—",IF(J590="Xong",IF(AND(ISNUMBER(K590),ISNUMBER(I590),K590&gt;I590),"Xong trễ","Xong"),MID(IF(G590=""," · CHƯA GIAO","")&amp;IF(NOT(ISNUMBER(I590)),"",IF(TODAY()&gt;I590," · QUÁ HẠN "&amp;(TODAY()-I590)&amp;" ngày",IF(I590-TODAY()&lt;=3," · Đến hạn "&amp;IF(I590=TODAY(),"hôm nay","trong "&amp;(I590-TODAY())&amp;" ngày"),"")))&amp;IF(J590="Chờ đối tác"," · Chờ đối tác"&amp;IF(ISNUMBER(N590)," "&amp;(TODAY()-INT(N590))&amp;" ngày",""),""),4,200))))</f>
        <v/>
      </c>
      <c r="N590" s="49" t="n"/>
      <c r="S590">
        <f>IF(AND(E590&lt;&gt;"",T590="Có",J590&lt;&gt;"Xong",J590&lt;&gt;"Bỏ qua",ISNUMBER(I590)),I590+ROW()/100000,"")</f>
        <v/>
      </c>
      <c r="T590">
        <f>IF(O590="","",IFERROR(INDEX(SK_TD,MATCH(O590,SK_A,0)),""))</f>
        <v/>
      </c>
      <c r="V590">
        <f>IF(AND(O590&lt;&gt;"",O590=SEL_K,J590&lt;&gt;"Xong",J590&lt;&gt;"Bỏ qua"),IF(ISNUMBER(I590),I590,99999)+ROW()/100000,"")</f>
        <v/>
      </c>
    </row>
    <row r="591">
      <c r="A591" s="12">
        <f>IF(O591="","",IFERROR(INDEX(SK_B,MATCH(O591,SK_A,0))&amp;"",""))</f>
        <v/>
      </c>
      <c r="B591" s="45">
        <f>IF(O591="","",IFERROR(INDEX(SK_C,MATCH(O591,SK_A,0)),""))</f>
        <v/>
      </c>
      <c r="C591" s="46">
        <f>IF(Q591="","",IF(Q591=0,"D",IF(Q591&lt;0,"D"&amp;Q591,"D+"&amp;Q591)))</f>
        <v/>
      </c>
      <c r="D591" s="14" t="n"/>
      <c r="E591" s="12" t="n"/>
      <c r="F591" s="46" t="n"/>
      <c r="G591" s="47" t="n"/>
      <c r="H591" s="14" t="n"/>
      <c r="I591" s="13">
        <f>IF(OR(B591="",Q591=""),"",IF(Q591&gt;0,IF(R591="Làm việc",WORKDAY(IFERROR(IF(INDEX(SK_D,MATCH(O591,SK_A,0))="",B591,INDEX(SK_D,MATCH(O591,SK_A,0))),B591),Q591,HOLI),IFERROR(IF(INDEX(SK_D,MATCH(O591,SK_A,0))="",B591,INDEX(SK_D,MATCH(O591,SK_A,0))),B591)+Q591),B591+Q591))</f>
        <v/>
      </c>
      <c r="J591" s="14" t="n"/>
      <c r="K591" s="13" t="n"/>
      <c r="L591" s="12" t="n"/>
      <c r="M591" s="48">
        <f>IF(E591="","",IF(J591="Bỏ qua","—",IF(J591="Xong",IF(AND(ISNUMBER(K591),ISNUMBER(I591),K591&gt;I591),"Xong trễ","Xong"),MID(IF(G591=""," · CHƯA GIAO","")&amp;IF(NOT(ISNUMBER(I591)),"",IF(TODAY()&gt;I591," · QUÁ HẠN "&amp;(TODAY()-I591)&amp;" ngày",IF(I591-TODAY()&lt;=3," · Đến hạn "&amp;IF(I591=TODAY(),"hôm nay","trong "&amp;(I591-TODAY())&amp;" ngày"),"")))&amp;IF(J591="Chờ đối tác"," · Chờ đối tác"&amp;IF(ISNUMBER(N591)," "&amp;(TODAY()-INT(N591))&amp;" ngày",""),""),4,200))))</f>
        <v/>
      </c>
      <c r="N591" s="49" t="n"/>
      <c r="S591">
        <f>IF(AND(E591&lt;&gt;"",T591="Có",J591&lt;&gt;"Xong",J591&lt;&gt;"Bỏ qua",ISNUMBER(I591)),I591+ROW()/100000,"")</f>
        <v/>
      </c>
      <c r="T591">
        <f>IF(O591="","",IFERROR(INDEX(SK_TD,MATCH(O591,SK_A,0)),""))</f>
        <v/>
      </c>
      <c r="V591">
        <f>IF(AND(O591&lt;&gt;"",O591=SEL_K,J591&lt;&gt;"Xong",J591&lt;&gt;"Bỏ qua"),IF(ISNUMBER(I591),I591,99999)+ROW()/100000,"")</f>
        <v/>
      </c>
    </row>
    <row r="592">
      <c r="A592" s="12">
        <f>IF(O592="","",IFERROR(INDEX(SK_B,MATCH(O592,SK_A,0))&amp;"",""))</f>
        <v/>
      </c>
      <c r="B592" s="45">
        <f>IF(O592="","",IFERROR(INDEX(SK_C,MATCH(O592,SK_A,0)),""))</f>
        <v/>
      </c>
      <c r="C592" s="46">
        <f>IF(Q592="","",IF(Q592=0,"D",IF(Q592&lt;0,"D"&amp;Q592,"D+"&amp;Q592)))</f>
        <v/>
      </c>
      <c r="D592" s="14" t="n"/>
      <c r="E592" s="12" t="n"/>
      <c r="F592" s="46" t="n"/>
      <c r="G592" s="47" t="n"/>
      <c r="H592" s="14" t="n"/>
      <c r="I592" s="13">
        <f>IF(OR(B592="",Q592=""),"",IF(Q592&gt;0,IF(R592="Làm việc",WORKDAY(IFERROR(IF(INDEX(SK_D,MATCH(O592,SK_A,0))="",B592,INDEX(SK_D,MATCH(O592,SK_A,0))),B592),Q592,HOLI),IFERROR(IF(INDEX(SK_D,MATCH(O592,SK_A,0))="",B592,INDEX(SK_D,MATCH(O592,SK_A,0))),B592)+Q592),B592+Q592))</f>
        <v/>
      </c>
      <c r="J592" s="14" t="n"/>
      <c r="K592" s="13" t="n"/>
      <c r="L592" s="12" t="n"/>
      <c r="M592" s="48">
        <f>IF(E592="","",IF(J592="Bỏ qua","—",IF(J592="Xong",IF(AND(ISNUMBER(K592),ISNUMBER(I592),K592&gt;I592),"Xong trễ","Xong"),MID(IF(G592=""," · CHƯA GIAO","")&amp;IF(NOT(ISNUMBER(I592)),"",IF(TODAY()&gt;I592," · QUÁ HẠN "&amp;(TODAY()-I592)&amp;" ngày",IF(I592-TODAY()&lt;=3," · Đến hạn "&amp;IF(I592=TODAY(),"hôm nay","trong "&amp;(I592-TODAY())&amp;" ngày"),"")))&amp;IF(J592="Chờ đối tác"," · Chờ đối tác"&amp;IF(ISNUMBER(N592)," "&amp;(TODAY()-INT(N592))&amp;" ngày",""),""),4,200))))</f>
        <v/>
      </c>
      <c r="N592" s="49" t="n"/>
      <c r="S592">
        <f>IF(AND(E592&lt;&gt;"",T592="Có",J592&lt;&gt;"Xong",J592&lt;&gt;"Bỏ qua",ISNUMBER(I592)),I592+ROW()/100000,"")</f>
        <v/>
      </c>
      <c r="T592">
        <f>IF(O592="","",IFERROR(INDEX(SK_TD,MATCH(O592,SK_A,0)),""))</f>
        <v/>
      </c>
      <c r="V592">
        <f>IF(AND(O592&lt;&gt;"",O592=SEL_K,J592&lt;&gt;"Xong",J592&lt;&gt;"Bỏ qua"),IF(ISNUMBER(I592),I592,99999)+ROW()/100000,"")</f>
        <v/>
      </c>
    </row>
    <row r="593">
      <c r="A593" s="12">
        <f>IF(O593="","",IFERROR(INDEX(SK_B,MATCH(O593,SK_A,0))&amp;"",""))</f>
        <v/>
      </c>
      <c r="B593" s="45">
        <f>IF(O593="","",IFERROR(INDEX(SK_C,MATCH(O593,SK_A,0)),""))</f>
        <v/>
      </c>
      <c r="C593" s="46">
        <f>IF(Q593="","",IF(Q593=0,"D",IF(Q593&lt;0,"D"&amp;Q593,"D+"&amp;Q593)))</f>
        <v/>
      </c>
      <c r="D593" s="14" t="n"/>
      <c r="E593" s="12" t="n"/>
      <c r="F593" s="46" t="n"/>
      <c r="G593" s="47" t="n"/>
      <c r="H593" s="14" t="n"/>
      <c r="I593" s="13">
        <f>IF(OR(B593="",Q593=""),"",IF(Q593&gt;0,IF(R593="Làm việc",WORKDAY(IFERROR(IF(INDEX(SK_D,MATCH(O593,SK_A,0))="",B593,INDEX(SK_D,MATCH(O593,SK_A,0))),B593),Q593,HOLI),IFERROR(IF(INDEX(SK_D,MATCH(O593,SK_A,0))="",B593,INDEX(SK_D,MATCH(O593,SK_A,0))),B593)+Q593),B593+Q593))</f>
        <v/>
      </c>
      <c r="J593" s="14" t="n"/>
      <c r="K593" s="13" t="n"/>
      <c r="L593" s="12" t="n"/>
      <c r="M593" s="48">
        <f>IF(E593="","",IF(J593="Bỏ qua","—",IF(J593="Xong",IF(AND(ISNUMBER(K593),ISNUMBER(I593),K593&gt;I593),"Xong trễ","Xong"),MID(IF(G593=""," · CHƯA GIAO","")&amp;IF(NOT(ISNUMBER(I593)),"",IF(TODAY()&gt;I593," · QUÁ HẠN "&amp;(TODAY()-I593)&amp;" ngày",IF(I593-TODAY()&lt;=3," · Đến hạn "&amp;IF(I593=TODAY(),"hôm nay","trong "&amp;(I593-TODAY())&amp;" ngày"),"")))&amp;IF(J593="Chờ đối tác"," · Chờ đối tác"&amp;IF(ISNUMBER(N593)," "&amp;(TODAY()-INT(N593))&amp;" ngày",""),""),4,200))))</f>
        <v/>
      </c>
      <c r="N593" s="49" t="n"/>
      <c r="S593">
        <f>IF(AND(E593&lt;&gt;"",T593="Có",J593&lt;&gt;"Xong",J593&lt;&gt;"Bỏ qua",ISNUMBER(I593)),I593+ROW()/100000,"")</f>
        <v/>
      </c>
      <c r="T593">
        <f>IF(O593="","",IFERROR(INDEX(SK_TD,MATCH(O593,SK_A,0)),""))</f>
        <v/>
      </c>
      <c r="V593">
        <f>IF(AND(O593&lt;&gt;"",O593=SEL_K,J593&lt;&gt;"Xong",J593&lt;&gt;"Bỏ qua"),IF(ISNUMBER(I593),I593,99999)+ROW()/100000,"")</f>
        <v/>
      </c>
    </row>
    <row r="594">
      <c r="A594" s="12">
        <f>IF(O594="","",IFERROR(INDEX(SK_B,MATCH(O594,SK_A,0))&amp;"",""))</f>
        <v/>
      </c>
      <c r="B594" s="45">
        <f>IF(O594="","",IFERROR(INDEX(SK_C,MATCH(O594,SK_A,0)),""))</f>
        <v/>
      </c>
      <c r="C594" s="46">
        <f>IF(Q594="","",IF(Q594=0,"D",IF(Q594&lt;0,"D"&amp;Q594,"D+"&amp;Q594)))</f>
        <v/>
      </c>
      <c r="D594" s="14" t="n"/>
      <c r="E594" s="12" t="n"/>
      <c r="F594" s="46" t="n"/>
      <c r="G594" s="47" t="n"/>
      <c r="H594" s="14" t="n"/>
      <c r="I594" s="13">
        <f>IF(OR(B594="",Q594=""),"",IF(Q594&gt;0,IF(R594="Làm việc",WORKDAY(IFERROR(IF(INDEX(SK_D,MATCH(O594,SK_A,0))="",B594,INDEX(SK_D,MATCH(O594,SK_A,0))),B594),Q594,HOLI),IFERROR(IF(INDEX(SK_D,MATCH(O594,SK_A,0))="",B594,INDEX(SK_D,MATCH(O594,SK_A,0))),B594)+Q594),B594+Q594))</f>
        <v/>
      </c>
      <c r="J594" s="14" t="n"/>
      <c r="K594" s="13" t="n"/>
      <c r="L594" s="12" t="n"/>
      <c r="M594" s="48">
        <f>IF(E594="","",IF(J594="Bỏ qua","—",IF(J594="Xong",IF(AND(ISNUMBER(K594),ISNUMBER(I594),K594&gt;I594),"Xong trễ","Xong"),MID(IF(G594=""," · CHƯA GIAO","")&amp;IF(NOT(ISNUMBER(I594)),"",IF(TODAY()&gt;I594," · QUÁ HẠN "&amp;(TODAY()-I594)&amp;" ngày",IF(I594-TODAY()&lt;=3," · Đến hạn "&amp;IF(I594=TODAY(),"hôm nay","trong "&amp;(I594-TODAY())&amp;" ngày"),"")))&amp;IF(J594="Chờ đối tác"," · Chờ đối tác"&amp;IF(ISNUMBER(N594)," "&amp;(TODAY()-INT(N594))&amp;" ngày",""),""),4,200))))</f>
        <v/>
      </c>
      <c r="N594" s="49" t="n"/>
      <c r="S594">
        <f>IF(AND(E594&lt;&gt;"",T594="Có",J594&lt;&gt;"Xong",J594&lt;&gt;"Bỏ qua",ISNUMBER(I594)),I594+ROW()/100000,"")</f>
        <v/>
      </c>
      <c r="T594">
        <f>IF(O594="","",IFERROR(INDEX(SK_TD,MATCH(O594,SK_A,0)),""))</f>
        <v/>
      </c>
      <c r="V594">
        <f>IF(AND(O594&lt;&gt;"",O594=SEL_K,J594&lt;&gt;"Xong",J594&lt;&gt;"Bỏ qua"),IF(ISNUMBER(I594),I594,99999)+ROW()/100000,"")</f>
        <v/>
      </c>
    </row>
    <row r="595">
      <c r="A595" s="12">
        <f>IF(O595="","",IFERROR(INDEX(SK_B,MATCH(O595,SK_A,0))&amp;"",""))</f>
        <v/>
      </c>
      <c r="B595" s="45">
        <f>IF(O595="","",IFERROR(INDEX(SK_C,MATCH(O595,SK_A,0)),""))</f>
        <v/>
      </c>
      <c r="C595" s="46">
        <f>IF(Q595="","",IF(Q595=0,"D",IF(Q595&lt;0,"D"&amp;Q595,"D+"&amp;Q595)))</f>
        <v/>
      </c>
      <c r="D595" s="14" t="n"/>
      <c r="E595" s="12" t="n"/>
      <c r="F595" s="46" t="n"/>
      <c r="G595" s="47" t="n"/>
      <c r="H595" s="14" t="n"/>
      <c r="I595" s="13">
        <f>IF(OR(B595="",Q595=""),"",IF(Q595&gt;0,IF(R595="Làm việc",WORKDAY(IFERROR(IF(INDEX(SK_D,MATCH(O595,SK_A,0))="",B595,INDEX(SK_D,MATCH(O595,SK_A,0))),B595),Q595,HOLI),IFERROR(IF(INDEX(SK_D,MATCH(O595,SK_A,0))="",B595,INDEX(SK_D,MATCH(O595,SK_A,0))),B595)+Q595),B595+Q595))</f>
        <v/>
      </c>
      <c r="J595" s="14" t="n"/>
      <c r="K595" s="13" t="n"/>
      <c r="L595" s="12" t="n"/>
      <c r="M595" s="48">
        <f>IF(E595="","",IF(J595="Bỏ qua","—",IF(J595="Xong",IF(AND(ISNUMBER(K595),ISNUMBER(I595),K595&gt;I595),"Xong trễ","Xong"),MID(IF(G595=""," · CHƯA GIAO","")&amp;IF(NOT(ISNUMBER(I595)),"",IF(TODAY()&gt;I595," · QUÁ HẠN "&amp;(TODAY()-I595)&amp;" ngày",IF(I595-TODAY()&lt;=3," · Đến hạn "&amp;IF(I595=TODAY(),"hôm nay","trong "&amp;(I595-TODAY())&amp;" ngày"),"")))&amp;IF(J595="Chờ đối tác"," · Chờ đối tác"&amp;IF(ISNUMBER(N595)," "&amp;(TODAY()-INT(N595))&amp;" ngày",""),""),4,200))))</f>
        <v/>
      </c>
      <c r="N595" s="49" t="n"/>
      <c r="S595">
        <f>IF(AND(E595&lt;&gt;"",T595="Có",J595&lt;&gt;"Xong",J595&lt;&gt;"Bỏ qua",ISNUMBER(I595)),I595+ROW()/100000,"")</f>
        <v/>
      </c>
      <c r="T595">
        <f>IF(O595="","",IFERROR(INDEX(SK_TD,MATCH(O595,SK_A,0)),""))</f>
        <v/>
      </c>
      <c r="V595">
        <f>IF(AND(O595&lt;&gt;"",O595=SEL_K,J595&lt;&gt;"Xong",J595&lt;&gt;"Bỏ qua"),IF(ISNUMBER(I595),I595,99999)+ROW()/100000,"")</f>
        <v/>
      </c>
    </row>
    <row r="596">
      <c r="A596" s="12">
        <f>IF(O596="","",IFERROR(INDEX(SK_B,MATCH(O596,SK_A,0))&amp;"",""))</f>
        <v/>
      </c>
      <c r="B596" s="45">
        <f>IF(O596="","",IFERROR(INDEX(SK_C,MATCH(O596,SK_A,0)),""))</f>
        <v/>
      </c>
      <c r="C596" s="46">
        <f>IF(Q596="","",IF(Q596=0,"D",IF(Q596&lt;0,"D"&amp;Q596,"D+"&amp;Q596)))</f>
        <v/>
      </c>
      <c r="D596" s="14" t="n"/>
      <c r="E596" s="12" t="n"/>
      <c r="F596" s="46" t="n"/>
      <c r="G596" s="47" t="n"/>
      <c r="H596" s="14" t="n"/>
      <c r="I596" s="13">
        <f>IF(OR(B596="",Q596=""),"",IF(Q596&gt;0,IF(R596="Làm việc",WORKDAY(IFERROR(IF(INDEX(SK_D,MATCH(O596,SK_A,0))="",B596,INDEX(SK_D,MATCH(O596,SK_A,0))),B596),Q596,HOLI),IFERROR(IF(INDEX(SK_D,MATCH(O596,SK_A,0))="",B596,INDEX(SK_D,MATCH(O596,SK_A,0))),B596)+Q596),B596+Q596))</f>
        <v/>
      </c>
      <c r="J596" s="14" t="n"/>
      <c r="K596" s="13" t="n"/>
      <c r="L596" s="12" t="n"/>
      <c r="M596" s="48">
        <f>IF(E596="","",IF(J596="Bỏ qua","—",IF(J596="Xong",IF(AND(ISNUMBER(K596),ISNUMBER(I596),K596&gt;I596),"Xong trễ","Xong"),MID(IF(G596=""," · CHƯA GIAO","")&amp;IF(NOT(ISNUMBER(I596)),"",IF(TODAY()&gt;I596," · QUÁ HẠN "&amp;(TODAY()-I596)&amp;" ngày",IF(I596-TODAY()&lt;=3," · Đến hạn "&amp;IF(I596=TODAY(),"hôm nay","trong "&amp;(I596-TODAY())&amp;" ngày"),"")))&amp;IF(J596="Chờ đối tác"," · Chờ đối tác"&amp;IF(ISNUMBER(N596)," "&amp;(TODAY()-INT(N596))&amp;" ngày",""),""),4,200))))</f>
        <v/>
      </c>
      <c r="N596" s="49" t="n"/>
      <c r="S596">
        <f>IF(AND(E596&lt;&gt;"",T596="Có",J596&lt;&gt;"Xong",J596&lt;&gt;"Bỏ qua",ISNUMBER(I596)),I596+ROW()/100000,"")</f>
        <v/>
      </c>
      <c r="T596">
        <f>IF(O596="","",IFERROR(INDEX(SK_TD,MATCH(O596,SK_A,0)),""))</f>
        <v/>
      </c>
      <c r="V596">
        <f>IF(AND(O596&lt;&gt;"",O596=SEL_K,J596&lt;&gt;"Xong",J596&lt;&gt;"Bỏ qua"),IF(ISNUMBER(I596),I596,99999)+ROW()/100000,"")</f>
        <v/>
      </c>
    </row>
    <row r="597">
      <c r="A597" s="12">
        <f>IF(O597="","",IFERROR(INDEX(SK_B,MATCH(O597,SK_A,0))&amp;"",""))</f>
        <v/>
      </c>
      <c r="B597" s="45">
        <f>IF(O597="","",IFERROR(INDEX(SK_C,MATCH(O597,SK_A,0)),""))</f>
        <v/>
      </c>
      <c r="C597" s="46">
        <f>IF(Q597="","",IF(Q597=0,"D",IF(Q597&lt;0,"D"&amp;Q597,"D+"&amp;Q597)))</f>
        <v/>
      </c>
      <c r="D597" s="14" t="n"/>
      <c r="E597" s="12" t="n"/>
      <c r="F597" s="46" t="n"/>
      <c r="G597" s="47" t="n"/>
      <c r="H597" s="14" t="n"/>
      <c r="I597" s="13">
        <f>IF(OR(B597="",Q597=""),"",IF(Q597&gt;0,IF(R597="Làm việc",WORKDAY(IFERROR(IF(INDEX(SK_D,MATCH(O597,SK_A,0))="",B597,INDEX(SK_D,MATCH(O597,SK_A,0))),B597),Q597,HOLI),IFERROR(IF(INDEX(SK_D,MATCH(O597,SK_A,0))="",B597,INDEX(SK_D,MATCH(O597,SK_A,0))),B597)+Q597),B597+Q597))</f>
        <v/>
      </c>
      <c r="J597" s="14" t="n"/>
      <c r="K597" s="13" t="n"/>
      <c r="L597" s="12" t="n"/>
      <c r="M597" s="48">
        <f>IF(E597="","",IF(J597="Bỏ qua","—",IF(J597="Xong",IF(AND(ISNUMBER(K597),ISNUMBER(I597),K597&gt;I597),"Xong trễ","Xong"),MID(IF(G597=""," · CHƯA GIAO","")&amp;IF(NOT(ISNUMBER(I597)),"",IF(TODAY()&gt;I597," · QUÁ HẠN "&amp;(TODAY()-I597)&amp;" ngày",IF(I597-TODAY()&lt;=3," · Đến hạn "&amp;IF(I597=TODAY(),"hôm nay","trong "&amp;(I597-TODAY())&amp;" ngày"),"")))&amp;IF(J597="Chờ đối tác"," · Chờ đối tác"&amp;IF(ISNUMBER(N597)," "&amp;(TODAY()-INT(N597))&amp;" ngày",""),""),4,200))))</f>
        <v/>
      </c>
      <c r="N597" s="49" t="n"/>
      <c r="S597">
        <f>IF(AND(E597&lt;&gt;"",T597="Có",J597&lt;&gt;"Xong",J597&lt;&gt;"Bỏ qua",ISNUMBER(I597)),I597+ROW()/100000,"")</f>
        <v/>
      </c>
      <c r="T597">
        <f>IF(O597="","",IFERROR(INDEX(SK_TD,MATCH(O597,SK_A,0)),""))</f>
        <v/>
      </c>
      <c r="V597">
        <f>IF(AND(O597&lt;&gt;"",O597=SEL_K,J597&lt;&gt;"Xong",J597&lt;&gt;"Bỏ qua"),IF(ISNUMBER(I597),I597,99999)+ROW()/100000,"")</f>
        <v/>
      </c>
    </row>
    <row r="598">
      <c r="A598" s="12">
        <f>IF(O598="","",IFERROR(INDEX(SK_B,MATCH(O598,SK_A,0))&amp;"",""))</f>
        <v/>
      </c>
      <c r="B598" s="45">
        <f>IF(O598="","",IFERROR(INDEX(SK_C,MATCH(O598,SK_A,0)),""))</f>
        <v/>
      </c>
      <c r="C598" s="46">
        <f>IF(Q598="","",IF(Q598=0,"D",IF(Q598&lt;0,"D"&amp;Q598,"D+"&amp;Q598)))</f>
        <v/>
      </c>
      <c r="D598" s="14" t="n"/>
      <c r="E598" s="12" t="n"/>
      <c r="F598" s="46" t="n"/>
      <c r="G598" s="47" t="n"/>
      <c r="H598" s="14" t="n"/>
      <c r="I598" s="13">
        <f>IF(OR(B598="",Q598=""),"",IF(Q598&gt;0,IF(R598="Làm việc",WORKDAY(IFERROR(IF(INDEX(SK_D,MATCH(O598,SK_A,0))="",B598,INDEX(SK_D,MATCH(O598,SK_A,0))),B598),Q598,HOLI),IFERROR(IF(INDEX(SK_D,MATCH(O598,SK_A,0))="",B598,INDEX(SK_D,MATCH(O598,SK_A,0))),B598)+Q598),B598+Q598))</f>
        <v/>
      </c>
      <c r="J598" s="14" t="n"/>
      <c r="K598" s="13" t="n"/>
      <c r="L598" s="12" t="n"/>
      <c r="M598" s="48">
        <f>IF(E598="","",IF(J598="Bỏ qua","—",IF(J598="Xong",IF(AND(ISNUMBER(K598),ISNUMBER(I598),K598&gt;I598),"Xong trễ","Xong"),MID(IF(G598=""," · CHƯA GIAO","")&amp;IF(NOT(ISNUMBER(I598)),"",IF(TODAY()&gt;I598," · QUÁ HẠN "&amp;(TODAY()-I598)&amp;" ngày",IF(I598-TODAY()&lt;=3," · Đến hạn "&amp;IF(I598=TODAY(),"hôm nay","trong "&amp;(I598-TODAY())&amp;" ngày"),"")))&amp;IF(J598="Chờ đối tác"," · Chờ đối tác"&amp;IF(ISNUMBER(N598)," "&amp;(TODAY()-INT(N598))&amp;" ngày",""),""),4,200))))</f>
        <v/>
      </c>
      <c r="N598" s="49" t="n"/>
      <c r="S598">
        <f>IF(AND(E598&lt;&gt;"",T598="Có",J598&lt;&gt;"Xong",J598&lt;&gt;"Bỏ qua",ISNUMBER(I598)),I598+ROW()/100000,"")</f>
        <v/>
      </c>
      <c r="T598">
        <f>IF(O598="","",IFERROR(INDEX(SK_TD,MATCH(O598,SK_A,0)),""))</f>
        <v/>
      </c>
      <c r="V598">
        <f>IF(AND(O598&lt;&gt;"",O598=SEL_K,J598&lt;&gt;"Xong",J598&lt;&gt;"Bỏ qua"),IF(ISNUMBER(I598),I598,99999)+ROW()/100000,"")</f>
        <v/>
      </c>
    </row>
    <row r="599">
      <c r="A599" s="12">
        <f>IF(O599="","",IFERROR(INDEX(SK_B,MATCH(O599,SK_A,0))&amp;"",""))</f>
        <v/>
      </c>
      <c r="B599" s="45">
        <f>IF(O599="","",IFERROR(INDEX(SK_C,MATCH(O599,SK_A,0)),""))</f>
        <v/>
      </c>
      <c r="C599" s="46">
        <f>IF(Q599="","",IF(Q599=0,"D",IF(Q599&lt;0,"D"&amp;Q599,"D+"&amp;Q599)))</f>
        <v/>
      </c>
      <c r="D599" s="14" t="n"/>
      <c r="E599" s="12" t="n"/>
      <c r="F599" s="46" t="n"/>
      <c r="G599" s="47" t="n"/>
      <c r="H599" s="14" t="n"/>
      <c r="I599" s="13">
        <f>IF(OR(B599="",Q599=""),"",IF(Q599&gt;0,IF(R599="Làm việc",WORKDAY(IFERROR(IF(INDEX(SK_D,MATCH(O599,SK_A,0))="",B599,INDEX(SK_D,MATCH(O599,SK_A,0))),B599),Q599,HOLI),IFERROR(IF(INDEX(SK_D,MATCH(O599,SK_A,0))="",B599,INDEX(SK_D,MATCH(O599,SK_A,0))),B599)+Q599),B599+Q599))</f>
        <v/>
      </c>
      <c r="J599" s="14" t="n"/>
      <c r="K599" s="13" t="n"/>
      <c r="L599" s="12" t="n"/>
      <c r="M599" s="48">
        <f>IF(E599="","",IF(J599="Bỏ qua","—",IF(J599="Xong",IF(AND(ISNUMBER(K599),ISNUMBER(I599),K599&gt;I599),"Xong trễ","Xong"),MID(IF(G599=""," · CHƯA GIAO","")&amp;IF(NOT(ISNUMBER(I599)),"",IF(TODAY()&gt;I599," · QUÁ HẠN "&amp;(TODAY()-I599)&amp;" ngày",IF(I599-TODAY()&lt;=3," · Đến hạn "&amp;IF(I599=TODAY(),"hôm nay","trong "&amp;(I599-TODAY())&amp;" ngày"),"")))&amp;IF(J599="Chờ đối tác"," · Chờ đối tác"&amp;IF(ISNUMBER(N599)," "&amp;(TODAY()-INT(N599))&amp;" ngày",""),""),4,200))))</f>
        <v/>
      </c>
      <c r="N599" s="49" t="n"/>
      <c r="S599">
        <f>IF(AND(E599&lt;&gt;"",T599="Có",J599&lt;&gt;"Xong",J599&lt;&gt;"Bỏ qua",ISNUMBER(I599)),I599+ROW()/100000,"")</f>
        <v/>
      </c>
      <c r="T599">
        <f>IF(O599="","",IFERROR(INDEX(SK_TD,MATCH(O599,SK_A,0)),""))</f>
        <v/>
      </c>
      <c r="V599">
        <f>IF(AND(O599&lt;&gt;"",O599=SEL_K,J599&lt;&gt;"Xong",J599&lt;&gt;"Bỏ qua"),IF(ISNUMBER(I599),I599,99999)+ROW()/100000,"")</f>
        <v/>
      </c>
    </row>
    <row r="600">
      <c r="A600" s="12">
        <f>IF(O600="","",IFERROR(INDEX(SK_B,MATCH(O600,SK_A,0))&amp;"",""))</f>
        <v/>
      </c>
      <c r="B600" s="45">
        <f>IF(O600="","",IFERROR(INDEX(SK_C,MATCH(O600,SK_A,0)),""))</f>
        <v/>
      </c>
      <c r="C600" s="46">
        <f>IF(Q600="","",IF(Q600=0,"D",IF(Q600&lt;0,"D"&amp;Q600,"D+"&amp;Q600)))</f>
        <v/>
      </c>
      <c r="D600" s="14" t="n"/>
      <c r="E600" s="12" t="n"/>
      <c r="F600" s="46" t="n"/>
      <c r="G600" s="47" t="n"/>
      <c r="H600" s="14" t="n"/>
      <c r="I600" s="13">
        <f>IF(OR(B600="",Q600=""),"",IF(Q600&gt;0,IF(R600="Làm việc",WORKDAY(IFERROR(IF(INDEX(SK_D,MATCH(O600,SK_A,0))="",B600,INDEX(SK_D,MATCH(O600,SK_A,0))),B600),Q600,HOLI),IFERROR(IF(INDEX(SK_D,MATCH(O600,SK_A,0))="",B600,INDEX(SK_D,MATCH(O600,SK_A,0))),B600)+Q600),B600+Q600))</f>
        <v/>
      </c>
      <c r="J600" s="14" t="n"/>
      <c r="K600" s="13" t="n"/>
      <c r="L600" s="12" t="n"/>
      <c r="M600" s="48">
        <f>IF(E600="","",IF(J600="Bỏ qua","—",IF(J600="Xong",IF(AND(ISNUMBER(K600),ISNUMBER(I600),K600&gt;I600),"Xong trễ","Xong"),MID(IF(G600=""," · CHƯA GIAO","")&amp;IF(NOT(ISNUMBER(I600)),"",IF(TODAY()&gt;I600," · QUÁ HẠN "&amp;(TODAY()-I600)&amp;" ngày",IF(I600-TODAY()&lt;=3," · Đến hạn "&amp;IF(I600=TODAY(),"hôm nay","trong "&amp;(I600-TODAY())&amp;" ngày"),"")))&amp;IF(J600="Chờ đối tác"," · Chờ đối tác"&amp;IF(ISNUMBER(N600)," "&amp;(TODAY()-INT(N600))&amp;" ngày",""),""),4,200))))</f>
        <v/>
      </c>
      <c r="N600" s="49" t="n"/>
      <c r="S600">
        <f>IF(AND(E600&lt;&gt;"",T600="Có",J600&lt;&gt;"Xong",J600&lt;&gt;"Bỏ qua",ISNUMBER(I600)),I600+ROW()/100000,"")</f>
        <v/>
      </c>
      <c r="T600">
        <f>IF(O600="","",IFERROR(INDEX(SK_TD,MATCH(O600,SK_A,0)),""))</f>
        <v/>
      </c>
      <c r="V600">
        <f>IF(AND(O600&lt;&gt;"",O600=SEL_K,J600&lt;&gt;"Xong",J600&lt;&gt;"Bỏ qua"),IF(ISNUMBER(I600),I600,99999)+ROW()/100000,"")</f>
        <v/>
      </c>
    </row>
    <row r="601">
      <c r="A601" s="12">
        <f>IF(O601="","",IFERROR(INDEX(SK_B,MATCH(O601,SK_A,0))&amp;"",""))</f>
        <v/>
      </c>
      <c r="B601" s="45">
        <f>IF(O601="","",IFERROR(INDEX(SK_C,MATCH(O601,SK_A,0)),""))</f>
        <v/>
      </c>
      <c r="C601" s="46">
        <f>IF(Q601="","",IF(Q601=0,"D",IF(Q601&lt;0,"D"&amp;Q601,"D+"&amp;Q601)))</f>
        <v/>
      </c>
      <c r="D601" s="14" t="n"/>
      <c r="E601" s="12" t="n"/>
      <c r="F601" s="46" t="n"/>
      <c r="G601" s="47" t="n"/>
      <c r="H601" s="14" t="n"/>
      <c r="I601" s="13">
        <f>IF(OR(B601="",Q601=""),"",IF(Q601&gt;0,IF(R601="Làm việc",WORKDAY(IFERROR(IF(INDEX(SK_D,MATCH(O601,SK_A,0))="",B601,INDEX(SK_D,MATCH(O601,SK_A,0))),B601),Q601,HOLI),IFERROR(IF(INDEX(SK_D,MATCH(O601,SK_A,0))="",B601,INDEX(SK_D,MATCH(O601,SK_A,0))),B601)+Q601),B601+Q601))</f>
        <v/>
      </c>
      <c r="J601" s="14" t="n"/>
      <c r="K601" s="13" t="n"/>
      <c r="L601" s="12" t="n"/>
      <c r="M601" s="48">
        <f>IF(E601="","",IF(J601="Bỏ qua","—",IF(J601="Xong",IF(AND(ISNUMBER(K601),ISNUMBER(I601),K601&gt;I601),"Xong trễ","Xong"),MID(IF(G601=""," · CHƯA GIAO","")&amp;IF(NOT(ISNUMBER(I601)),"",IF(TODAY()&gt;I601," · QUÁ HẠN "&amp;(TODAY()-I601)&amp;" ngày",IF(I601-TODAY()&lt;=3," · Đến hạn "&amp;IF(I601=TODAY(),"hôm nay","trong "&amp;(I601-TODAY())&amp;" ngày"),"")))&amp;IF(J601="Chờ đối tác"," · Chờ đối tác"&amp;IF(ISNUMBER(N601)," "&amp;(TODAY()-INT(N601))&amp;" ngày",""),""),4,200))))</f>
        <v/>
      </c>
      <c r="N601" s="49" t="n"/>
      <c r="S601">
        <f>IF(AND(E601&lt;&gt;"",T601="Có",J601&lt;&gt;"Xong",J601&lt;&gt;"Bỏ qua",ISNUMBER(I601)),I601+ROW()/100000,"")</f>
        <v/>
      </c>
      <c r="T601">
        <f>IF(O601="","",IFERROR(INDEX(SK_TD,MATCH(O601,SK_A,0)),""))</f>
        <v/>
      </c>
      <c r="V601">
        <f>IF(AND(O601&lt;&gt;"",O601=SEL_K,J601&lt;&gt;"Xong",J601&lt;&gt;"Bỏ qua"),IF(ISNUMBER(I601),I601,99999)+ROW()/100000,"")</f>
        <v/>
      </c>
    </row>
    <row r="602">
      <c r="A602" s="12">
        <f>IF(O602="","",IFERROR(INDEX(SK_B,MATCH(O602,SK_A,0))&amp;"",""))</f>
        <v/>
      </c>
      <c r="B602" s="45">
        <f>IF(O602="","",IFERROR(INDEX(SK_C,MATCH(O602,SK_A,0)),""))</f>
        <v/>
      </c>
      <c r="C602" s="46">
        <f>IF(Q602="","",IF(Q602=0,"D",IF(Q602&lt;0,"D"&amp;Q602,"D+"&amp;Q602)))</f>
        <v/>
      </c>
      <c r="D602" s="14" t="n"/>
      <c r="E602" s="12" t="n"/>
      <c r="F602" s="46" t="n"/>
      <c r="G602" s="47" t="n"/>
      <c r="H602" s="14" t="n"/>
      <c r="I602" s="13">
        <f>IF(OR(B602="",Q602=""),"",IF(Q602&gt;0,IF(R602="Làm việc",WORKDAY(IFERROR(IF(INDEX(SK_D,MATCH(O602,SK_A,0))="",B602,INDEX(SK_D,MATCH(O602,SK_A,0))),B602),Q602,HOLI),IFERROR(IF(INDEX(SK_D,MATCH(O602,SK_A,0))="",B602,INDEX(SK_D,MATCH(O602,SK_A,0))),B602)+Q602),B602+Q602))</f>
        <v/>
      </c>
      <c r="J602" s="14" t="n"/>
      <c r="K602" s="13" t="n"/>
      <c r="L602" s="12" t="n"/>
      <c r="M602" s="48">
        <f>IF(E602="","",IF(J602="Bỏ qua","—",IF(J602="Xong",IF(AND(ISNUMBER(K602),ISNUMBER(I602),K602&gt;I602),"Xong trễ","Xong"),MID(IF(G602=""," · CHƯA GIAO","")&amp;IF(NOT(ISNUMBER(I602)),"",IF(TODAY()&gt;I602," · QUÁ HẠN "&amp;(TODAY()-I602)&amp;" ngày",IF(I602-TODAY()&lt;=3," · Đến hạn "&amp;IF(I602=TODAY(),"hôm nay","trong "&amp;(I602-TODAY())&amp;" ngày"),"")))&amp;IF(J602="Chờ đối tác"," · Chờ đối tác"&amp;IF(ISNUMBER(N602)," "&amp;(TODAY()-INT(N602))&amp;" ngày",""),""),4,200))))</f>
        <v/>
      </c>
      <c r="N602" s="49" t="n"/>
      <c r="S602">
        <f>IF(AND(E602&lt;&gt;"",T602="Có",J602&lt;&gt;"Xong",J602&lt;&gt;"Bỏ qua",ISNUMBER(I602)),I602+ROW()/100000,"")</f>
        <v/>
      </c>
      <c r="T602">
        <f>IF(O602="","",IFERROR(INDEX(SK_TD,MATCH(O602,SK_A,0)),""))</f>
        <v/>
      </c>
      <c r="V602">
        <f>IF(AND(O602&lt;&gt;"",O602=SEL_K,J602&lt;&gt;"Xong",J602&lt;&gt;"Bỏ qua"),IF(ISNUMBER(I602),I602,99999)+ROW()/100000,"")</f>
        <v/>
      </c>
    </row>
    <row r="603">
      <c r="A603" s="12">
        <f>IF(O603="","",IFERROR(INDEX(SK_B,MATCH(O603,SK_A,0))&amp;"",""))</f>
        <v/>
      </c>
      <c r="B603" s="45">
        <f>IF(O603="","",IFERROR(INDEX(SK_C,MATCH(O603,SK_A,0)),""))</f>
        <v/>
      </c>
      <c r="C603" s="46">
        <f>IF(Q603="","",IF(Q603=0,"D",IF(Q603&lt;0,"D"&amp;Q603,"D+"&amp;Q603)))</f>
        <v/>
      </c>
      <c r="D603" s="14" t="n"/>
      <c r="E603" s="12" t="n"/>
      <c r="F603" s="46" t="n"/>
      <c r="G603" s="47" t="n"/>
      <c r="H603" s="14" t="n"/>
      <c r="I603" s="13">
        <f>IF(OR(B603="",Q603=""),"",IF(Q603&gt;0,IF(R603="Làm việc",WORKDAY(IFERROR(IF(INDEX(SK_D,MATCH(O603,SK_A,0))="",B603,INDEX(SK_D,MATCH(O603,SK_A,0))),B603),Q603,HOLI),IFERROR(IF(INDEX(SK_D,MATCH(O603,SK_A,0))="",B603,INDEX(SK_D,MATCH(O603,SK_A,0))),B603)+Q603),B603+Q603))</f>
        <v/>
      </c>
      <c r="J603" s="14" t="n"/>
      <c r="K603" s="13" t="n"/>
      <c r="L603" s="12" t="n"/>
      <c r="M603" s="48">
        <f>IF(E603="","",IF(J603="Bỏ qua","—",IF(J603="Xong",IF(AND(ISNUMBER(K603),ISNUMBER(I603),K603&gt;I603),"Xong trễ","Xong"),MID(IF(G603=""," · CHƯA GIAO","")&amp;IF(NOT(ISNUMBER(I603)),"",IF(TODAY()&gt;I603," · QUÁ HẠN "&amp;(TODAY()-I603)&amp;" ngày",IF(I603-TODAY()&lt;=3," · Đến hạn "&amp;IF(I603=TODAY(),"hôm nay","trong "&amp;(I603-TODAY())&amp;" ngày"),"")))&amp;IF(J603="Chờ đối tác"," · Chờ đối tác"&amp;IF(ISNUMBER(N603)," "&amp;(TODAY()-INT(N603))&amp;" ngày",""),""),4,200))))</f>
        <v/>
      </c>
      <c r="N603" s="49" t="n"/>
      <c r="S603">
        <f>IF(AND(E603&lt;&gt;"",T603="Có",J603&lt;&gt;"Xong",J603&lt;&gt;"Bỏ qua",ISNUMBER(I603)),I603+ROW()/100000,"")</f>
        <v/>
      </c>
      <c r="T603">
        <f>IF(O603="","",IFERROR(INDEX(SK_TD,MATCH(O603,SK_A,0)),""))</f>
        <v/>
      </c>
      <c r="V603">
        <f>IF(AND(O603&lt;&gt;"",O603=SEL_K,J603&lt;&gt;"Xong",J603&lt;&gt;"Bỏ qua"),IF(ISNUMBER(I603),I603,99999)+ROW()/100000,"")</f>
        <v/>
      </c>
    </row>
    <row r="604">
      <c r="A604" s="12">
        <f>IF(O604="","",IFERROR(INDEX(SK_B,MATCH(O604,SK_A,0))&amp;"",""))</f>
        <v/>
      </c>
      <c r="B604" s="45">
        <f>IF(O604="","",IFERROR(INDEX(SK_C,MATCH(O604,SK_A,0)),""))</f>
        <v/>
      </c>
      <c r="C604" s="46">
        <f>IF(Q604="","",IF(Q604=0,"D",IF(Q604&lt;0,"D"&amp;Q604,"D+"&amp;Q604)))</f>
        <v/>
      </c>
      <c r="D604" s="14" t="n"/>
      <c r="E604" s="12" t="n"/>
      <c r="F604" s="46" t="n"/>
      <c r="G604" s="47" t="n"/>
      <c r="H604" s="14" t="n"/>
      <c r="I604" s="13">
        <f>IF(OR(B604="",Q604=""),"",IF(Q604&gt;0,IF(R604="Làm việc",WORKDAY(IFERROR(IF(INDEX(SK_D,MATCH(O604,SK_A,0))="",B604,INDEX(SK_D,MATCH(O604,SK_A,0))),B604),Q604,HOLI),IFERROR(IF(INDEX(SK_D,MATCH(O604,SK_A,0))="",B604,INDEX(SK_D,MATCH(O604,SK_A,0))),B604)+Q604),B604+Q604))</f>
        <v/>
      </c>
      <c r="J604" s="14" t="n"/>
      <c r="K604" s="13" t="n"/>
      <c r="L604" s="12" t="n"/>
      <c r="M604" s="48">
        <f>IF(E604="","",IF(J604="Bỏ qua","—",IF(J604="Xong",IF(AND(ISNUMBER(K604),ISNUMBER(I604),K604&gt;I604),"Xong trễ","Xong"),MID(IF(G604=""," · CHƯA GIAO","")&amp;IF(NOT(ISNUMBER(I604)),"",IF(TODAY()&gt;I604," · QUÁ HẠN "&amp;(TODAY()-I604)&amp;" ngày",IF(I604-TODAY()&lt;=3," · Đến hạn "&amp;IF(I604=TODAY(),"hôm nay","trong "&amp;(I604-TODAY())&amp;" ngày"),"")))&amp;IF(J604="Chờ đối tác"," · Chờ đối tác"&amp;IF(ISNUMBER(N604)," "&amp;(TODAY()-INT(N604))&amp;" ngày",""),""),4,200))))</f>
        <v/>
      </c>
      <c r="N604" s="49" t="n"/>
      <c r="S604">
        <f>IF(AND(E604&lt;&gt;"",T604="Có",J604&lt;&gt;"Xong",J604&lt;&gt;"Bỏ qua",ISNUMBER(I604)),I604+ROW()/100000,"")</f>
        <v/>
      </c>
      <c r="T604">
        <f>IF(O604="","",IFERROR(INDEX(SK_TD,MATCH(O604,SK_A,0)),""))</f>
        <v/>
      </c>
      <c r="V604">
        <f>IF(AND(O604&lt;&gt;"",O604=SEL_K,J604&lt;&gt;"Xong",J604&lt;&gt;"Bỏ qua"),IF(ISNUMBER(I604),I604,99999)+ROW()/100000,"")</f>
        <v/>
      </c>
    </row>
    <row r="605">
      <c r="A605" s="12">
        <f>IF(O605="","",IFERROR(INDEX(SK_B,MATCH(O605,SK_A,0))&amp;"",""))</f>
        <v/>
      </c>
      <c r="B605" s="45">
        <f>IF(O605="","",IFERROR(INDEX(SK_C,MATCH(O605,SK_A,0)),""))</f>
        <v/>
      </c>
      <c r="C605" s="46">
        <f>IF(Q605="","",IF(Q605=0,"D",IF(Q605&lt;0,"D"&amp;Q605,"D+"&amp;Q605)))</f>
        <v/>
      </c>
      <c r="D605" s="14" t="n"/>
      <c r="E605" s="12" t="n"/>
      <c r="F605" s="46" t="n"/>
      <c r="G605" s="47" t="n"/>
      <c r="H605" s="14" t="n"/>
      <c r="I605" s="13">
        <f>IF(OR(B605="",Q605=""),"",IF(Q605&gt;0,IF(R605="Làm việc",WORKDAY(IFERROR(IF(INDEX(SK_D,MATCH(O605,SK_A,0))="",B605,INDEX(SK_D,MATCH(O605,SK_A,0))),B605),Q605,HOLI),IFERROR(IF(INDEX(SK_D,MATCH(O605,SK_A,0))="",B605,INDEX(SK_D,MATCH(O605,SK_A,0))),B605)+Q605),B605+Q605))</f>
        <v/>
      </c>
      <c r="J605" s="14" t="n"/>
      <c r="K605" s="13" t="n"/>
      <c r="L605" s="12" t="n"/>
      <c r="M605" s="48">
        <f>IF(E605="","",IF(J605="Bỏ qua","—",IF(J605="Xong",IF(AND(ISNUMBER(K605),ISNUMBER(I605),K605&gt;I605),"Xong trễ","Xong"),MID(IF(G605=""," · CHƯA GIAO","")&amp;IF(NOT(ISNUMBER(I605)),"",IF(TODAY()&gt;I605," · QUÁ HẠN "&amp;(TODAY()-I605)&amp;" ngày",IF(I605-TODAY()&lt;=3," · Đến hạn "&amp;IF(I605=TODAY(),"hôm nay","trong "&amp;(I605-TODAY())&amp;" ngày"),"")))&amp;IF(J605="Chờ đối tác"," · Chờ đối tác"&amp;IF(ISNUMBER(N605)," "&amp;(TODAY()-INT(N605))&amp;" ngày",""),""),4,200))))</f>
        <v/>
      </c>
      <c r="N605" s="49" t="n"/>
      <c r="S605">
        <f>IF(AND(E605&lt;&gt;"",T605="Có",J605&lt;&gt;"Xong",J605&lt;&gt;"Bỏ qua",ISNUMBER(I605)),I605+ROW()/100000,"")</f>
        <v/>
      </c>
      <c r="T605">
        <f>IF(O605="","",IFERROR(INDEX(SK_TD,MATCH(O605,SK_A,0)),""))</f>
        <v/>
      </c>
      <c r="V605">
        <f>IF(AND(O605&lt;&gt;"",O605=SEL_K,J605&lt;&gt;"Xong",J605&lt;&gt;"Bỏ qua"),IF(ISNUMBER(I605),I605,99999)+ROW()/100000,"")</f>
        <v/>
      </c>
    </row>
    <row r="606">
      <c r="A606" s="12">
        <f>IF(O606="","",IFERROR(INDEX(SK_B,MATCH(O606,SK_A,0))&amp;"",""))</f>
        <v/>
      </c>
      <c r="B606" s="45">
        <f>IF(O606="","",IFERROR(INDEX(SK_C,MATCH(O606,SK_A,0)),""))</f>
        <v/>
      </c>
      <c r="C606" s="46">
        <f>IF(Q606="","",IF(Q606=0,"D",IF(Q606&lt;0,"D"&amp;Q606,"D+"&amp;Q606)))</f>
        <v/>
      </c>
      <c r="D606" s="14" t="n"/>
      <c r="E606" s="12" t="n"/>
      <c r="F606" s="46" t="n"/>
      <c r="G606" s="47" t="n"/>
      <c r="H606" s="14" t="n"/>
      <c r="I606" s="13">
        <f>IF(OR(B606="",Q606=""),"",IF(Q606&gt;0,IF(R606="Làm việc",WORKDAY(IFERROR(IF(INDEX(SK_D,MATCH(O606,SK_A,0))="",B606,INDEX(SK_D,MATCH(O606,SK_A,0))),B606),Q606,HOLI),IFERROR(IF(INDEX(SK_D,MATCH(O606,SK_A,0))="",B606,INDEX(SK_D,MATCH(O606,SK_A,0))),B606)+Q606),B606+Q606))</f>
        <v/>
      </c>
      <c r="J606" s="14" t="n"/>
      <c r="K606" s="13" t="n"/>
      <c r="L606" s="12" t="n"/>
      <c r="M606" s="48">
        <f>IF(E606="","",IF(J606="Bỏ qua","—",IF(J606="Xong",IF(AND(ISNUMBER(K606),ISNUMBER(I606),K606&gt;I606),"Xong trễ","Xong"),MID(IF(G606=""," · CHƯA GIAO","")&amp;IF(NOT(ISNUMBER(I606)),"",IF(TODAY()&gt;I606," · QUÁ HẠN "&amp;(TODAY()-I606)&amp;" ngày",IF(I606-TODAY()&lt;=3," · Đến hạn "&amp;IF(I606=TODAY(),"hôm nay","trong "&amp;(I606-TODAY())&amp;" ngày"),"")))&amp;IF(J606="Chờ đối tác"," · Chờ đối tác"&amp;IF(ISNUMBER(N606)," "&amp;(TODAY()-INT(N606))&amp;" ngày",""),""),4,200))))</f>
        <v/>
      </c>
      <c r="N606" s="49" t="n"/>
      <c r="S606">
        <f>IF(AND(E606&lt;&gt;"",T606="Có",J606&lt;&gt;"Xong",J606&lt;&gt;"Bỏ qua",ISNUMBER(I606)),I606+ROW()/100000,"")</f>
        <v/>
      </c>
      <c r="T606">
        <f>IF(O606="","",IFERROR(INDEX(SK_TD,MATCH(O606,SK_A,0)),""))</f>
        <v/>
      </c>
      <c r="V606">
        <f>IF(AND(O606&lt;&gt;"",O606=SEL_K,J606&lt;&gt;"Xong",J606&lt;&gt;"Bỏ qua"),IF(ISNUMBER(I606),I606,99999)+ROW()/100000,"")</f>
        <v/>
      </c>
    </row>
    <row r="607">
      <c r="A607" s="12">
        <f>IF(O607="","",IFERROR(INDEX(SK_B,MATCH(O607,SK_A,0))&amp;"",""))</f>
        <v/>
      </c>
      <c r="B607" s="45">
        <f>IF(O607="","",IFERROR(INDEX(SK_C,MATCH(O607,SK_A,0)),""))</f>
        <v/>
      </c>
      <c r="C607" s="46">
        <f>IF(Q607="","",IF(Q607=0,"D",IF(Q607&lt;0,"D"&amp;Q607,"D+"&amp;Q607)))</f>
        <v/>
      </c>
      <c r="D607" s="14" t="n"/>
      <c r="E607" s="12" t="n"/>
      <c r="F607" s="46" t="n"/>
      <c r="G607" s="47" t="n"/>
      <c r="H607" s="14" t="n"/>
      <c r="I607" s="13">
        <f>IF(OR(B607="",Q607=""),"",IF(Q607&gt;0,IF(R607="Làm việc",WORKDAY(IFERROR(IF(INDEX(SK_D,MATCH(O607,SK_A,0))="",B607,INDEX(SK_D,MATCH(O607,SK_A,0))),B607),Q607,HOLI),IFERROR(IF(INDEX(SK_D,MATCH(O607,SK_A,0))="",B607,INDEX(SK_D,MATCH(O607,SK_A,0))),B607)+Q607),B607+Q607))</f>
        <v/>
      </c>
      <c r="J607" s="14" t="n"/>
      <c r="K607" s="13" t="n"/>
      <c r="L607" s="12" t="n"/>
      <c r="M607" s="48">
        <f>IF(E607="","",IF(J607="Bỏ qua","—",IF(J607="Xong",IF(AND(ISNUMBER(K607),ISNUMBER(I607),K607&gt;I607),"Xong trễ","Xong"),MID(IF(G607=""," · CHƯA GIAO","")&amp;IF(NOT(ISNUMBER(I607)),"",IF(TODAY()&gt;I607," · QUÁ HẠN "&amp;(TODAY()-I607)&amp;" ngày",IF(I607-TODAY()&lt;=3," · Đến hạn "&amp;IF(I607=TODAY(),"hôm nay","trong "&amp;(I607-TODAY())&amp;" ngày"),"")))&amp;IF(J607="Chờ đối tác"," · Chờ đối tác"&amp;IF(ISNUMBER(N607)," "&amp;(TODAY()-INT(N607))&amp;" ngày",""),""),4,200))))</f>
        <v/>
      </c>
      <c r="N607" s="49" t="n"/>
      <c r="S607">
        <f>IF(AND(E607&lt;&gt;"",T607="Có",J607&lt;&gt;"Xong",J607&lt;&gt;"Bỏ qua",ISNUMBER(I607)),I607+ROW()/100000,"")</f>
        <v/>
      </c>
      <c r="T607">
        <f>IF(O607="","",IFERROR(INDEX(SK_TD,MATCH(O607,SK_A,0)),""))</f>
        <v/>
      </c>
      <c r="V607">
        <f>IF(AND(O607&lt;&gt;"",O607=SEL_K,J607&lt;&gt;"Xong",J607&lt;&gt;"Bỏ qua"),IF(ISNUMBER(I607),I607,99999)+ROW()/100000,"")</f>
        <v/>
      </c>
    </row>
    <row r="608">
      <c r="A608" s="12">
        <f>IF(O608="","",IFERROR(INDEX(SK_B,MATCH(O608,SK_A,0))&amp;"",""))</f>
        <v/>
      </c>
      <c r="B608" s="45">
        <f>IF(O608="","",IFERROR(INDEX(SK_C,MATCH(O608,SK_A,0)),""))</f>
        <v/>
      </c>
      <c r="C608" s="46">
        <f>IF(Q608="","",IF(Q608=0,"D",IF(Q608&lt;0,"D"&amp;Q608,"D+"&amp;Q608)))</f>
        <v/>
      </c>
      <c r="D608" s="14" t="n"/>
      <c r="E608" s="12" t="n"/>
      <c r="F608" s="46" t="n"/>
      <c r="G608" s="47" t="n"/>
      <c r="H608" s="14" t="n"/>
      <c r="I608" s="13">
        <f>IF(OR(B608="",Q608=""),"",IF(Q608&gt;0,IF(R608="Làm việc",WORKDAY(IFERROR(IF(INDEX(SK_D,MATCH(O608,SK_A,0))="",B608,INDEX(SK_D,MATCH(O608,SK_A,0))),B608),Q608,HOLI),IFERROR(IF(INDEX(SK_D,MATCH(O608,SK_A,0))="",B608,INDEX(SK_D,MATCH(O608,SK_A,0))),B608)+Q608),B608+Q608))</f>
        <v/>
      </c>
      <c r="J608" s="14" t="n"/>
      <c r="K608" s="13" t="n"/>
      <c r="L608" s="12" t="n"/>
      <c r="M608" s="48">
        <f>IF(E608="","",IF(J608="Bỏ qua","—",IF(J608="Xong",IF(AND(ISNUMBER(K608),ISNUMBER(I608),K608&gt;I608),"Xong trễ","Xong"),MID(IF(G608=""," · CHƯA GIAO","")&amp;IF(NOT(ISNUMBER(I608)),"",IF(TODAY()&gt;I608," · QUÁ HẠN "&amp;(TODAY()-I608)&amp;" ngày",IF(I608-TODAY()&lt;=3," · Đến hạn "&amp;IF(I608=TODAY(),"hôm nay","trong "&amp;(I608-TODAY())&amp;" ngày"),"")))&amp;IF(J608="Chờ đối tác"," · Chờ đối tác"&amp;IF(ISNUMBER(N608)," "&amp;(TODAY()-INT(N608))&amp;" ngày",""),""),4,200))))</f>
        <v/>
      </c>
      <c r="N608" s="49" t="n"/>
      <c r="S608">
        <f>IF(AND(E608&lt;&gt;"",T608="Có",J608&lt;&gt;"Xong",J608&lt;&gt;"Bỏ qua",ISNUMBER(I608)),I608+ROW()/100000,"")</f>
        <v/>
      </c>
      <c r="T608">
        <f>IF(O608="","",IFERROR(INDEX(SK_TD,MATCH(O608,SK_A,0)),""))</f>
        <v/>
      </c>
      <c r="V608">
        <f>IF(AND(O608&lt;&gt;"",O608=SEL_K,J608&lt;&gt;"Xong",J608&lt;&gt;"Bỏ qua"),IF(ISNUMBER(I608),I608,99999)+ROW()/100000,"")</f>
        <v/>
      </c>
    </row>
    <row r="609">
      <c r="A609" s="12">
        <f>IF(O609="","",IFERROR(INDEX(SK_B,MATCH(O609,SK_A,0))&amp;"",""))</f>
        <v/>
      </c>
      <c r="B609" s="45">
        <f>IF(O609="","",IFERROR(INDEX(SK_C,MATCH(O609,SK_A,0)),""))</f>
        <v/>
      </c>
      <c r="C609" s="46">
        <f>IF(Q609="","",IF(Q609=0,"D",IF(Q609&lt;0,"D"&amp;Q609,"D+"&amp;Q609)))</f>
        <v/>
      </c>
      <c r="D609" s="14" t="n"/>
      <c r="E609" s="12" t="n"/>
      <c r="F609" s="46" t="n"/>
      <c r="G609" s="47" t="n"/>
      <c r="H609" s="14" t="n"/>
      <c r="I609" s="13">
        <f>IF(OR(B609="",Q609=""),"",IF(Q609&gt;0,IF(R609="Làm việc",WORKDAY(IFERROR(IF(INDEX(SK_D,MATCH(O609,SK_A,0))="",B609,INDEX(SK_D,MATCH(O609,SK_A,0))),B609),Q609,HOLI),IFERROR(IF(INDEX(SK_D,MATCH(O609,SK_A,0))="",B609,INDEX(SK_D,MATCH(O609,SK_A,0))),B609)+Q609),B609+Q609))</f>
        <v/>
      </c>
      <c r="J609" s="14" t="n"/>
      <c r="K609" s="13" t="n"/>
      <c r="L609" s="12" t="n"/>
      <c r="M609" s="48">
        <f>IF(E609="","",IF(J609="Bỏ qua","—",IF(J609="Xong",IF(AND(ISNUMBER(K609),ISNUMBER(I609),K609&gt;I609),"Xong trễ","Xong"),MID(IF(G609=""," · CHƯA GIAO","")&amp;IF(NOT(ISNUMBER(I609)),"",IF(TODAY()&gt;I609," · QUÁ HẠN "&amp;(TODAY()-I609)&amp;" ngày",IF(I609-TODAY()&lt;=3," · Đến hạn "&amp;IF(I609=TODAY(),"hôm nay","trong "&amp;(I609-TODAY())&amp;" ngày"),"")))&amp;IF(J609="Chờ đối tác"," · Chờ đối tác"&amp;IF(ISNUMBER(N609)," "&amp;(TODAY()-INT(N609))&amp;" ngày",""),""),4,200))))</f>
        <v/>
      </c>
      <c r="N609" s="49" t="n"/>
      <c r="S609">
        <f>IF(AND(E609&lt;&gt;"",T609="Có",J609&lt;&gt;"Xong",J609&lt;&gt;"Bỏ qua",ISNUMBER(I609)),I609+ROW()/100000,"")</f>
        <v/>
      </c>
      <c r="T609">
        <f>IF(O609="","",IFERROR(INDEX(SK_TD,MATCH(O609,SK_A,0)),""))</f>
        <v/>
      </c>
      <c r="V609">
        <f>IF(AND(O609&lt;&gt;"",O609=SEL_K,J609&lt;&gt;"Xong",J609&lt;&gt;"Bỏ qua"),IF(ISNUMBER(I609),I609,99999)+ROW()/100000,"")</f>
        <v/>
      </c>
    </row>
    <row r="610">
      <c r="A610" s="12">
        <f>IF(O610="","",IFERROR(INDEX(SK_B,MATCH(O610,SK_A,0))&amp;"",""))</f>
        <v/>
      </c>
      <c r="B610" s="45">
        <f>IF(O610="","",IFERROR(INDEX(SK_C,MATCH(O610,SK_A,0)),""))</f>
        <v/>
      </c>
      <c r="C610" s="46">
        <f>IF(Q610="","",IF(Q610=0,"D",IF(Q610&lt;0,"D"&amp;Q610,"D+"&amp;Q610)))</f>
        <v/>
      </c>
      <c r="D610" s="14" t="n"/>
      <c r="E610" s="12" t="n"/>
      <c r="F610" s="46" t="n"/>
      <c r="G610" s="47" t="n"/>
      <c r="H610" s="14" t="n"/>
      <c r="I610" s="13">
        <f>IF(OR(B610="",Q610=""),"",IF(Q610&gt;0,IF(R610="Làm việc",WORKDAY(IFERROR(IF(INDEX(SK_D,MATCH(O610,SK_A,0))="",B610,INDEX(SK_D,MATCH(O610,SK_A,0))),B610),Q610,HOLI),IFERROR(IF(INDEX(SK_D,MATCH(O610,SK_A,0))="",B610,INDEX(SK_D,MATCH(O610,SK_A,0))),B610)+Q610),B610+Q610))</f>
        <v/>
      </c>
      <c r="J610" s="14" t="n"/>
      <c r="K610" s="13" t="n"/>
      <c r="L610" s="12" t="n"/>
      <c r="M610" s="48">
        <f>IF(E610="","",IF(J610="Bỏ qua","—",IF(J610="Xong",IF(AND(ISNUMBER(K610),ISNUMBER(I610),K610&gt;I610),"Xong trễ","Xong"),MID(IF(G610=""," · CHƯA GIAO","")&amp;IF(NOT(ISNUMBER(I610)),"",IF(TODAY()&gt;I610," · QUÁ HẠN "&amp;(TODAY()-I610)&amp;" ngày",IF(I610-TODAY()&lt;=3," · Đến hạn "&amp;IF(I610=TODAY(),"hôm nay","trong "&amp;(I610-TODAY())&amp;" ngày"),"")))&amp;IF(J610="Chờ đối tác"," · Chờ đối tác"&amp;IF(ISNUMBER(N610)," "&amp;(TODAY()-INT(N610))&amp;" ngày",""),""),4,200))))</f>
        <v/>
      </c>
      <c r="N610" s="49" t="n"/>
      <c r="S610">
        <f>IF(AND(E610&lt;&gt;"",T610="Có",J610&lt;&gt;"Xong",J610&lt;&gt;"Bỏ qua",ISNUMBER(I610)),I610+ROW()/100000,"")</f>
        <v/>
      </c>
      <c r="T610">
        <f>IF(O610="","",IFERROR(INDEX(SK_TD,MATCH(O610,SK_A,0)),""))</f>
        <v/>
      </c>
      <c r="V610">
        <f>IF(AND(O610&lt;&gt;"",O610=SEL_K,J610&lt;&gt;"Xong",J610&lt;&gt;"Bỏ qua"),IF(ISNUMBER(I610),I610,99999)+ROW()/100000,"")</f>
        <v/>
      </c>
    </row>
    <row r="611">
      <c r="A611" s="12">
        <f>IF(O611="","",IFERROR(INDEX(SK_B,MATCH(O611,SK_A,0))&amp;"",""))</f>
        <v/>
      </c>
      <c r="B611" s="45">
        <f>IF(O611="","",IFERROR(INDEX(SK_C,MATCH(O611,SK_A,0)),""))</f>
        <v/>
      </c>
      <c r="C611" s="46">
        <f>IF(Q611="","",IF(Q611=0,"D",IF(Q611&lt;0,"D"&amp;Q611,"D+"&amp;Q611)))</f>
        <v/>
      </c>
      <c r="D611" s="14" t="n"/>
      <c r="E611" s="12" t="n"/>
      <c r="F611" s="46" t="n"/>
      <c r="G611" s="47" t="n"/>
      <c r="H611" s="14" t="n"/>
      <c r="I611" s="13">
        <f>IF(OR(B611="",Q611=""),"",IF(Q611&gt;0,IF(R611="Làm việc",WORKDAY(IFERROR(IF(INDEX(SK_D,MATCH(O611,SK_A,0))="",B611,INDEX(SK_D,MATCH(O611,SK_A,0))),B611),Q611,HOLI),IFERROR(IF(INDEX(SK_D,MATCH(O611,SK_A,0))="",B611,INDEX(SK_D,MATCH(O611,SK_A,0))),B611)+Q611),B611+Q611))</f>
        <v/>
      </c>
      <c r="J611" s="14" t="n"/>
      <c r="K611" s="13" t="n"/>
      <c r="L611" s="12" t="n"/>
      <c r="M611" s="48">
        <f>IF(E611="","",IF(J611="Bỏ qua","—",IF(J611="Xong",IF(AND(ISNUMBER(K611),ISNUMBER(I611),K611&gt;I611),"Xong trễ","Xong"),MID(IF(G611=""," · CHƯA GIAO","")&amp;IF(NOT(ISNUMBER(I611)),"",IF(TODAY()&gt;I611," · QUÁ HẠN "&amp;(TODAY()-I611)&amp;" ngày",IF(I611-TODAY()&lt;=3," · Đến hạn "&amp;IF(I611=TODAY(),"hôm nay","trong "&amp;(I611-TODAY())&amp;" ngày"),"")))&amp;IF(J611="Chờ đối tác"," · Chờ đối tác"&amp;IF(ISNUMBER(N611)," "&amp;(TODAY()-INT(N611))&amp;" ngày",""),""),4,200))))</f>
        <v/>
      </c>
      <c r="N611" s="49" t="n"/>
      <c r="S611">
        <f>IF(AND(E611&lt;&gt;"",T611="Có",J611&lt;&gt;"Xong",J611&lt;&gt;"Bỏ qua",ISNUMBER(I611)),I611+ROW()/100000,"")</f>
        <v/>
      </c>
      <c r="T611">
        <f>IF(O611="","",IFERROR(INDEX(SK_TD,MATCH(O611,SK_A,0)),""))</f>
        <v/>
      </c>
      <c r="V611">
        <f>IF(AND(O611&lt;&gt;"",O611=SEL_K,J611&lt;&gt;"Xong",J611&lt;&gt;"Bỏ qua"),IF(ISNUMBER(I611),I611,99999)+ROW()/100000,"")</f>
        <v/>
      </c>
    </row>
    <row r="612">
      <c r="A612" s="12">
        <f>IF(O612="","",IFERROR(INDEX(SK_B,MATCH(O612,SK_A,0))&amp;"",""))</f>
        <v/>
      </c>
      <c r="B612" s="45">
        <f>IF(O612="","",IFERROR(INDEX(SK_C,MATCH(O612,SK_A,0)),""))</f>
        <v/>
      </c>
      <c r="C612" s="46">
        <f>IF(Q612="","",IF(Q612=0,"D",IF(Q612&lt;0,"D"&amp;Q612,"D+"&amp;Q612)))</f>
        <v/>
      </c>
      <c r="D612" s="14" t="n"/>
      <c r="E612" s="12" t="n"/>
      <c r="F612" s="46" t="n"/>
      <c r="G612" s="47" t="n"/>
      <c r="H612" s="14" t="n"/>
      <c r="I612" s="13">
        <f>IF(OR(B612="",Q612=""),"",IF(Q612&gt;0,IF(R612="Làm việc",WORKDAY(IFERROR(IF(INDEX(SK_D,MATCH(O612,SK_A,0))="",B612,INDEX(SK_D,MATCH(O612,SK_A,0))),B612),Q612,HOLI),IFERROR(IF(INDEX(SK_D,MATCH(O612,SK_A,0))="",B612,INDEX(SK_D,MATCH(O612,SK_A,0))),B612)+Q612),B612+Q612))</f>
        <v/>
      </c>
      <c r="J612" s="14" t="n"/>
      <c r="K612" s="13" t="n"/>
      <c r="L612" s="12" t="n"/>
      <c r="M612" s="48">
        <f>IF(E612="","",IF(J612="Bỏ qua","—",IF(J612="Xong",IF(AND(ISNUMBER(K612),ISNUMBER(I612),K612&gt;I612),"Xong trễ","Xong"),MID(IF(G612=""," · CHƯA GIAO","")&amp;IF(NOT(ISNUMBER(I612)),"",IF(TODAY()&gt;I612," · QUÁ HẠN "&amp;(TODAY()-I612)&amp;" ngày",IF(I612-TODAY()&lt;=3," · Đến hạn "&amp;IF(I612=TODAY(),"hôm nay","trong "&amp;(I612-TODAY())&amp;" ngày"),"")))&amp;IF(J612="Chờ đối tác"," · Chờ đối tác"&amp;IF(ISNUMBER(N612)," "&amp;(TODAY()-INT(N612))&amp;" ngày",""),""),4,200))))</f>
        <v/>
      </c>
      <c r="N612" s="49" t="n"/>
      <c r="S612">
        <f>IF(AND(E612&lt;&gt;"",T612="Có",J612&lt;&gt;"Xong",J612&lt;&gt;"Bỏ qua",ISNUMBER(I612)),I612+ROW()/100000,"")</f>
        <v/>
      </c>
      <c r="T612">
        <f>IF(O612="","",IFERROR(INDEX(SK_TD,MATCH(O612,SK_A,0)),""))</f>
        <v/>
      </c>
      <c r="V612">
        <f>IF(AND(O612&lt;&gt;"",O612=SEL_K,J612&lt;&gt;"Xong",J612&lt;&gt;"Bỏ qua"),IF(ISNUMBER(I612),I612,99999)+ROW()/100000,"")</f>
        <v/>
      </c>
    </row>
    <row r="613">
      <c r="A613" s="12">
        <f>IF(O613="","",IFERROR(INDEX(SK_B,MATCH(O613,SK_A,0))&amp;"",""))</f>
        <v/>
      </c>
      <c r="B613" s="45">
        <f>IF(O613="","",IFERROR(INDEX(SK_C,MATCH(O613,SK_A,0)),""))</f>
        <v/>
      </c>
      <c r="C613" s="46">
        <f>IF(Q613="","",IF(Q613=0,"D",IF(Q613&lt;0,"D"&amp;Q613,"D+"&amp;Q613)))</f>
        <v/>
      </c>
      <c r="D613" s="14" t="n"/>
      <c r="E613" s="12" t="n"/>
      <c r="F613" s="46" t="n"/>
      <c r="G613" s="47" t="n"/>
      <c r="H613" s="14" t="n"/>
      <c r="I613" s="13">
        <f>IF(OR(B613="",Q613=""),"",IF(Q613&gt;0,IF(R613="Làm việc",WORKDAY(IFERROR(IF(INDEX(SK_D,MATCH(O613,SK_A,0))="",B613,INDEX(SK_D,MATCH(O613,SK_A,0))),B613),Q613,HOLI),IFERROR(IF(INDEX(SK_D,MATCH(O613,SK_A,0))="",B613,INDEX(SK_D,MATCH(O613,SK_A,0))),B613)+Q613),B613+Q613))</f>
        <v/>
      </c>
      <c r="J613" s="14" t="n"/>
      <c r="K613" s="13" t="n"/>
      <c r="L613" s="12" t="n"/>
      <c r="M613" s="48">
        <f>IF(E613="","",IF(J613="Bỏ qua","—",IF(J613="Xong",IF(AND(ISNUMBER(K613),ISNUMBER(I613),K613&gt;I613),"Xong trễ","Xong"),MID(IF(G613=""," · CHƯA GIAO","")&amp;IF(NOT(ISNUMBER(I613)),"",IF(TODAY()&gt;I613," · QUÁ HẠN "&amp;(TODAY()-I613)&amp;" ngày",IF(I613-TODAY()&lt;=3," · Đến hạn "&amp;IF(I613=TODAY(),"hôm nay","trong "&amp;(I613-TODAY())&amp;" ngày"),"")))&amp;IF(J613="Chờ đối tác"," · Chờ đối tác"&amp;IF(ISNUMBER(N613)," "&amp;(TODAY()-INT(N613))&amp;" ngày",""),""),4,200))))</f>
        <v/>
      </c>
      <c r="N613" s="49" t="n"/>
      <c r="S613">
        <f>IF(AND(E613&lt;&gt;"",T613="Có",J613&lt;&gt;"Xong",J613&lt;&gt;"Bỏ qua",ISNUMBER(I613)),I613+ROW()/100000,"")</f>
        <v/>
      </c>
      <c r="T613">
        <f>IF(O613="","",IFERROR(INDEX(SK_TD,MATCH(O613,SK_A,0)),""))</f>
        <v/>
      </c>
      <c r="V613">
        <f>IF(AND(O613&lt;&gt;"",O613=SEL_K,J613&lt;&gt;"Xong",J613&lt;&gt;"Bỏ qua"),IF(ISNUMBER(I613),I613,99999)+ROW()/100000,"")</f>
        <v/>
      </c>
    </row>
    <row r="614">
      <c r="A614" s="12">
        <f>IF(O614="","",IFERROR(INDEX(SK_B,MATCH(O614,SK_A,0))&amp;"",""))</f>
        <v/>
      </c>
      <c r="B614" s="45">
        <f>IF(O614="","",IFERROR(INDEX(SK_C,MATCH(O614,SK_A,0)),""))</f>
        <v/>
      </c>
      <c r="C614" s="46">
        <f>IF(Q614="","",IF(Q614=0,"D",IF(Q614&lt;0,"D"&amp;Q614,"D+"&amp;Q614)))</f>
        <v/>
      </c>
      <c r="D614" s="14" t="n"/>
      <c r="E614" s="12" t="n"/>
      <c r="F614" s="46" t="n"/>
      <c r="G614" s="47" t="n"/>
      <c r="H614" s="14" t="n"/>
      <c r="I614" s="13">
        <f>IF(OR(B614="",Q614=""),"",IF(Q614&gt;0,IF(R614="Làm việc",WORKDAY(IFERROR(IF(INDEX(SK_D,MATCH(O614,SK_A,0))="",B614,INDEX(SK_D,MATCH(O614,SK_A,0))),B614),Q614,HOLI),IFERROR(IF(INDEX(SK_D,MATCH(O614,SK_A,0))="",B614,INDEX(SK_D,MATCH(O614,SK_A,0))),B614)+Q614),B614+Q614))</f>
        <v/>
      </c>
      <c r="J614" s="14" t="n"/>
      <c r="K614" s="13" t="n"/>
      <c r="L614" s="12" t="n"/>
      <c r="M614" s="48">
        <f>IF(E614="","",IF(J614="Bỏ qua","—",IF(J614="Xong",IF(AND(ISNUMBER(K614),ISNUMBER(I614),K614&gt;I614),"Xong trễ","Xong"),MID(IF(G614=""," · CHƯA GIAO","")&amp;IF(NOT(ISNUMBER(I614)),"",IF(TODAY()&gt;I614," · QUÁ HẠN "&amp;(TODAY()-I614)&amp;" ngày",IF(I614-TODAY()&lt;=3," · Đến hạn "&amp;IF(I614=TODAY(),"hôm nay","trong "&amp;(I614-TODAY())&amp;" ngày"),"")))&amp;IF(J614="Chờ đối tác"," · Chờ đối tác"&amp;IF(ISNUMBER(N614)," "&amp;(TODAY()-INT(N614))&amp;" ngày",""),""),4,200))))</f>
        <v/>
      </c>
      <c r="N614" s="49" t="n"/>
      <c r="S614">
        <f>IF(AND(E614&lt;&gt;"",T614="Có",J614&lt;&gt;"Xong",J614&lt;&gt;"Bỏ qua",ISNUMBER(I614)),I614+ROW()/100000,"")</f>
        <v/>
      </c>
      <c r="T614">
        <f>IF(O614="","",IFERROR(INDEX(SK_TD,MATCH(O614,SK_A,0)),""))</f>
        <v/>
      </c>
      <c r="V614">
        <f>IF(AND(O614&lt;&gt;"",O614=SEL_K,J614&lt;&gt;"Xong",J614&lt;&gt;"Bỏ qua"),IF(ISNUMBER(I614),I614,99999)+ROW()/100000,"")</f>
        <v/>
      </c>
    </row>
    <row r="615">
      <c r="A615" s="12">
        <f>IF(O615="","",IFERROR(INDEX(SK_B,MATCH(O615,SK_A,0))&amp;"",""))</f>
        <v/>
      </c>
      <c r="B615" s="45">
        <f>IF(O615="","",IFERROR(INDEX(SK_C,MATCH(O615,SK_A,0)),""))</f>
        <v/>
      </c>
      <c r="C615" s="46">
        <f>IF(Q615="","",IF(Q615=0,"D",IF(Q615&lt;0,"D"&amp;Q615,"D+"&amp;Q615)))</f>
        <v/>
      </c>
      <c r="D615" s="14" t="n"/>
      <c r="E615" s="12" t="n"/>
      <c r="F615" s="46" t="n"/>
      <c r="G615" s="47" t="n"/>
      <c r="H615" s="14" t="n"/>
      <c r="I615" s="13">
        <f>IF(OR(B615="",Q615=""),"",IF(Q615&gt;0,IF(R615="Làm việc",WORKDAY(IFERROR(IF(INDEX(SK_D,MATCH(O615,SK_A,0))="",B615,INDEX(SK_D,MATCH(O615,SK_A,0))),B615),Q615,HOLI),IFERROR(IF(INDEX(SK_D,MATCH(O615,SK_A,0))="",B615,INDEX(SK_D,MATCH(O615,SK_A,0))),B615)+Q615),B615+Q615))</f>
        <v/>
      </c>
      <c r="J615" s="14" t="n"/>
      <c r="K615" s="13" t="n"/>
      <c r="L615" s="12" t="n"/>
      <c r="M615" s="48">
        <f>IF(E615="","",IF(J615="Bỏ qua","—",IF(J615="Xong",IF(AND(ISNUMBER(K615),ISNUMBER(I615),K615&gt;I615),"Xong trễ","Xong"),MID(IF(G615=""," · CHƯA GIAO","")&amp;IF(NOT(ISNUMBER(I615)),"",IF(TODAY()&gt;I615," · QUÁ HẠN "&amp;(TODAY()-I615)&amp;" ngày",IF(I615-TODAY()&lt;=3," · Đến hạn "&amp;IF(I615=TODAY(),"hôm nay","trong "&amp;(I615-TODAY())&amp;" ngày"),"")))&amp;IF(J615="Chờ đối tác"," · Chờ đối tác"&amp;IF(ISNUMBER(N615)," "&amp;(TODAY()-INT(N615))&amp;" ngày",""),""),4,200))))</f>
        <v/>
      </c>
      <c r="N615" s="49" t="n"/>
      <c r="S615">
        <f>IF(AND(E615&lt;&gt;"",T615="Có",J615&lt;&gt;"Xong",J615&lt;&gt;"Bỏ qua",ISNUMBER(I615)),I615+ROW()/100000,"")</f>
        <v/>
      </c>
      <c r="T615">
        <f>IF(O615="","",IFERROR(INDEX(SK_TD,MATCH(O615,SK_A,0)),""))</f>
        <v/>
      </c>
      <c r="V615">
        <f>IF(AND(O615&lt;&gt;"",O615=SEL_K,J615&lt;&gt;"Xong",J615&lt;&gt;"Bỏ qua"),IF(ISNUMBER(I615),I615,99999)+ROW()/100000,"")</f>
        <v/>
      </c>
    </row>
    <row r="616">
      <c r="A616" s="12">
        <f>IF(O616="","",IFERROR(INDEX(SK_B,MATCH(O616,SK_A,0))&amp;"",""))</f>
        <v/>
      </c>
      <c r="B616" s="45">
        <f>IF(O616="","",IFERROR(INDEX(SK_C,MATCH(O616,SK_A,0)),""))</f>
        <v/>
      </c>
      <c r="C616" s="46">
        <f>IF(Q616="","",IF(Q616=0,"D",IF(Q616&lt;0,"D"&amp;Q616,"D+"&amp;Q616)))</f>
        <v/>
      </c>
      <c r="D616" s="14" t="n"/>
      <c r="E616" s="12" t="n"/>
      <c r="F616" s="46" t="n"/>
      <c r="G616" s="47" t="n"/>
      <c r="H616" s="14" t="n"/>
      <c r="I616" s="13">
        <f>IF(OR(B616="",Q616=""),"",IF(Q616&gt;0,IF(R616="Làm việc",WORKDAY(IFERROR(IF(INDEX(SK_D,MATCH(O616,SK_A,0))="",B616,INDEX(SK_D,MATCH(O616,SK_A,0))),B616),Q616,HOLI),IFERROR(IF(INDEX(SK_D,MATCH(O616,SK_A,0))="",B616,INDEX(SK_D,MATCH(O616,SK_A,0))),B616)+Q616),B616+Q616))</f>
        <v/>
      </c>
      <c r="J616" s="14" t="n"/>
      <c r="K616" s="13" t="n"/>
      <c r="L616" s="12" t="n"/>
      <c r="M616" s="48">
        <f>IF(E616="","",IF(J616="Bỏ qua","—",IF(J616="Xong",IF(AND(ISNUMBER(K616),ISNUMBER(I616),K616&gt;I616),"Xong trễ","Xong"),MID(IF(G616=""," · CHƯA GIAO","")&amp;IF(NOT(ISNUMBER(I616)),"",IF(TODAY()&gt;I616," · QUÁ HẠN "&amp;(TODAY()-I616)&amp;" ngày",IF(I616-TODAY()&lt;=3," · Đến hạn "&amp;IF(I616=TODAY(),"hôm nay","trong "&amp;(I616-TODAY())&amp;" ngày"),"")))&amp;IF(J616="Chờ đối tác"," · Chờ đối tác"&amp;IF(ISNUMBER(N616)," "&amp;(TODAY()-INT(N616))&amp;" ngày",""),""),4,200))))</f>
        <v/>
      </c>
      <c r="N616" s="49" t="n"/>
      <c r="S616">
        <f>IF(AND(E616&lt;&gt;"",T616="Có",J616&lt;&gt;"Xong",J616&lt;&gt;"Bỏ qua",ISNUMBER(I616)),I616+ROW()/100000,"")</f>
        <v/>
      </c>
      <c r="T616">
        <f>IF(O616="","",IFERROR(INDEX(SK_TD,MATCH(O616,SK_A,0)),""))</f>
        <v/>
      </c>
      <c r="V616">
        <f>IF(AND(O616&lt;&gt;"",O616=SEL_K,J616&lt;&gt;"Xong",J616&lt;&gt;"Bỏ qua"),IF(ISNUMBER(I616),I616,99999)+ROW()/100000,"")</f>
        <v/>
      </c>
    </row>
    <row r="617">
      <c r="A617" s="12">
        <f>IF(O617="","",IFERROR(INDEX(SK_B,MATCH(O617,SK_A,0))&amp;"",""))</f>
        <v/>
      </c>
      <c r="B617" s="45">
        <f>IF(O617="","",IFERROR(INDEX(SK_C,MATCH(O617,SK_A,0)),""))</f>
        <v/>
      </c>
      <c r="C617" s="46">
        <f>IF(Q617="","",IF(Q617=0,"D",IF(Q617&lt;0,"D"&amp;Q617,"D+"&amp;Q617)))</f>
        <v/>
      </c>
      <c r="D617" s="14" t="n"/>
      <c r="E617" s="12" t="n"/>
      <c r="F617" s="46" t="n"/>
      <c r="G617" s="47" t="n"/>
      <c r="H617" s="14" t="n"/>
      <c r="I617" s="13">
        <f>IF(OR(B617="",Q617=""),"",IF(Q617&gt;0,IF(R617="Làm việc",WORKDAY(IFERROR(IF(INDEX(SK_D,MATCH(O617,SK_A,0))="",B617,INDEX(SK_D,MATCH(O617,SK_A,0))),B617),Q617,HOLI),IFERROR(IF(INDEX(SK_D,MATCH(O617,SK_A,0))="",B617,INDEX(SK_D,MATCH(O617,SK_A,0))),B617)+Q617),B617+Q617))</f>
        <v/>
      </c>
      <c r="J617" s="14" t="n"/>
      <c r="K617" s="13" t="n"/>
      <c r="L617" s="12" t="n"/>
      <c r="M617" s="48">
        <f>IF(E617="","",IF(J617="Bỏ qua","—",IF(J617="Xong",IF(AND(ISNUMBER(K617),ISNUMBER(I617),K617&gt;I617),"Xong trễ","Xong"),MID(IF(G617=""," · CHƯA GIAO","")&amp;IF(NOT(ISNUMBER(I617)),"",IF(TODAY()&gt;I617," · QUÁ HẠN "&amp;(TODAY()-I617)&amp;" ngày",IF(I617-TODAY()&lt;=3," · Đến hạn "&amp;IF(I617=TODAY(),"hôm nay","trong "&amp;(I617-TODAY())&amp;" ngày"),"")))&amp;IF(J617="Chờ đối tác"," · Chờ đối tác"&amp;IF(ISNUMBER(N617)," "&amp;(TODAY()-INT(N617))&amp;" ngày",""),""),4,200))))</f>
        <v/>
      </c>
      <c r="N617" s="49" t="n"/>
      <c r="S617">
        <f>IF(AND(E617&lt;&gt;"",T617="Có",J617&lt;&gt;"Xong",J617&lt;&gt;"Bỏ qua",ISNUMBER(I617)),I617+ROW()/100000,"")</f>
        <v/>
      </c>
      <c r="T617">
        <f>IF(O617="","",IFERROR(INDEX(SK_TD,MATCH(O617,SK_A,0)),""))</f>
        <v/>
      </c>
      <c r="V617">
        <f>IF(AND(O617&lt;&gt;"",O617=SEL_K,J617&lt;&gt;"Xong",J617&lt;&gt;"Bỏ qua"),IF(ISNUMBER(I617),I617,99999)+ROW()/100000,"")</f>
        <v/>
      </c>
    </row>
    <row r="618">
      <c r="A618" s="12">
        <f>IF(O618="","",IFERROR(INDEX(SK_B,MATCH(O618,SK_A,0))&amp;"",""))</f>
        <v/>
      </c>
      <c r="B618" s="45">
        <f>IF(O618="","",IFERROR(INDEX(SK_C,MATCH(O618,SK_A,0)),""))</f>
        <v/>
      </c>
      <c r="C618" s="46">
        <f>IF(Q618="","",IF(Q618=0,"D",IF(Q618&lt;0,"D"&amp;Q618,"D+"&amp;Q618)))</f>
        <v/>
      </c>
      <c r="D618" s="14" t="n"/>
      <c r="E618" s="12" t="n"/>
      <c r="F618" s="46" t="n"/>
      <c r="G618" s="47" t="n"/>
      <c r="H618" s="14" t="n"/>
      <c r="I618" s="13">
        <f>IF(OR(B618="",Q618=""),"",IF(Q618&gt;0,IF(R618="Làm việc",WORKDAY(IFERROR(IF(INDEX(SK_D,MATCH(O618,SK_A,0))="",B618,INDEX(SK_D,MATCH(O618,SK_A,0))),B618),Q618,HOLI),IFERROR(IF(INDEX(SK_D,MATCH(O618,SK_A,0))="",B618,INDEX(SK_D,MATCH(O618,SK_A,0))),B618)+Q618),B618+Q618))</f>
        <v/>
      </c>
      <c r="J618" s="14" t="n"/>
      <c r="K618" s="13" t="n"/>
      <c r="L618" s="12" t="n"/>
      <c r="M618" s="48">
        <f>IF(E618="","",IF(J618="Bỏ qua","—",IF(J618="Xong",IF(AND(ISNUMBER(K618),ISNUMBER(I618),K618&gt;I618),"Xong trễ","Xong"),MID(IF(G618=""," · CHƯA GIAO","")&amp;IF(NOT(ISNUMBER(I618)),"",IF(TODAY()&gt;I618," · QUÁ HẠN "&amp;(TODAY()-I618)&amp;" ngày",IF(I618-TODAY()&lt;=3," · Đến hạn "&amp;IF(I618=TODAY(),"hôm nay","trong "&amp;(I618-TODAY())&amp;" ngày"),"")))&amp;IF(J618="Chờ đối tác"," · Chờ đối tác"&amp;IF(ISNUMBER(N618)," "&amp;(TODAY()-INT(N618))&amp;" ngày",""),""),4,200))))</f>
        <v/>
      </c>
      <c r="N618" s="49" t="n"/>
      <c r="S618">
        <f>IF(AND(E618&lt;&gt;"",T618="Có",J618&lt;&gt;"Xong",J618&lt;&gt;"Bỏ qua",ISNUMBER(I618)),I618+ROW()/100000,"")</f>
        <v/>
      </c>
      <c r="T618">
        <f>IF(O618="","",IFERROR(INDEX(SK_TD,MATCH(O618,SK_A,0)),""))</f>
        <v/>
      </c>
      <c r="V618">
        <f>IF(AND(O618&lt;&gt;"",O618=SEL_K,J618&lt;&gt;"Xong",J618&lt;&gt;"Bỏ qua"),IF(ISNUMBER(I618),I618,99999)+ROW()/100000,"")</f>
        <v/>
      </c>
    </row>
    <row r="619">
      <c r="A619" s="12">
        <f>IF(O619="","",IFERROR(INDEX(SK_B,MATCH(O619,SK_A,0))&amp;"",""))</f>
        <v/>
      </c>
      <c r="B619" s="45">
        <f>IF(O619="","",IFERROR(INDEX(SK_C,MATCH(O619,SK_A,0)),""))</f>
        <v/>
      </c>
      <c r="C619" s="46">
        <f>IF(Q619="","",IF(Q619=0,"D",IF(Q619&lt;0,"D"&amp;Q619,"D+"&amp;Q619)))</f>
        <v/>
      </c>
      <c r="D619" s="14" t="n"/>
      <c r="E619" s="12" t="n"/>
      <c r="F619" s="46" t="n"/>
      <c r="G619" s="47" t="n"/>
      <c r="H619" s="14" t="n"/>
      <c r="I619" s="13">
        <f>IF(OR(B619="",Q619=""),"",IF(Q619&gt;0,IF(R619="Làm việc",WORKDAY(IFERROR(IF(INDEX(SK_D,MATCH(O619,SK_A,0))="",B619,INDEX(SK_D,MATCH(O619,SK_A,0))),B619),Q619,HOLI),IFERROR(IF(INDEX(SK_D,MATCH(O619,SK_A,0))="",B619,INDEX(SK_D,MATCH(O619,SK_A,0))),B619)+Q619),B619+Q619))</f>
        <v/>
      </c>
      <c r="J619" s="14" t="n"/>
      <c r="K619" s="13" t="n"/>
      <c r="L619" s="12" t="n"/>
      <c r="M619" s="48">
        <f>IF(E619="","",IF(J619="Bỏ qua","—",IF(J619="Xong",IF(AND(ISNUMBER(K619),ISNUMBER(I619),K619&gt;I619),"Xong trễ","Xong"),MID(IF(G619=""," · CHƯA GIAO","")&amp;IF(NOT(ISNUMBER(I619)),"",IF(TODAY()&gt;I619," · QUÁ HẠN "&amp;(TODAY()-I619)&amp;" ngày",IF(I619-TODAY()&lt;=3," · Đến hạn "&amp;IF(I619=TODAY(),"hôm nay","trong "&amp;(I619-TODAY())&amp;" ngày"),"")))&amp;IF(J619="Chờ đối tác"," · Chờ đối tác"&amp;IF(ISNUMBER(N619)," "&amp;(TODAY()-INT(N619))&amp;" ngày",""),""),4,200))))</f>
        <v/>
      </c>
      <c r="N619" s="49" t="n"/>
      <c r="S619">
        <f>IF(AND(E619&lt;&gt;"",T619="Có",J619&lt;&gt;"Xong",J619&lt;&gt;"Bỏ qua",ISNUMBER(I619)),I619+ROW()/100000,"")</f>
        <v/>
      </c>
      <c r="T619">
        <f>IF(O619="","",IFERROR(INDEX(SK_TD,MATCH(O619,SK_A,0)),""))</f>
        <v/>
      </c>
      <c r="V619">
        <f>IF(AND(O619&lt;&gt;"",O619=SEL_K,J619&lt;&gt;"Xong",J619&lt;&gt;"Bỏ qua"),IF(ISNUMBER(I619),I619,99999)+ROW()/100000,"")</f>
        <v/>
      </c>
    </row>
    <row r="620">
      <c r="A620" s="12">
        <f>IF(O620="","",IFERROR(INDEX(SK_B,MATCH(O620,SK_A,0))&amp;"",""))</f>
        <v/>
      </c>
      <c r="B620" s="45">
        <f>IF(O620="","",IFERROR(INDEX(SK_C,MATCH(O620,SK_A,0)),""))</f>
        <v/>
      </c>
      <c r="C620" s="46">
        <f>IF(Q620="","",IF(Q620=0,"D",IF(Q620&lt;0,"D"&amp;Q620,"D+"&amp;Q620)))</f>
        <v/>
      </c>
      <c r="D620" s="14" t="n"/>
      <c r="E620" s="12" t="n"/>
      <c r="F620" s="46" t="n"/>
      <c r="G620" s="47" t="n"/>
      <c r="H620" s="14" t="n"/>
      <c r="I620" s="13">
        <f>IF(OR(B620="",Q620=""),"",IF(Q620&gt;0,IF(R620="Làm việc",WORKDAY(IFERROR(IF(INDEX(SK_D,MATCH(O620,SK_A,0))="",B620,INDEX(SK_D,MATCH(O620,SK_A,0))),B620),Q620,HOLI),IFERROR(IF(INDEX(SK_D,MATCH(O620,SK_A,0))="",B620,INDEX(SK_D,MATCH(O620,SK_A,0))),B620)+Q620),B620+Q620))</f>
        <v/>
      </c>
      <c r="J620" s="14" t="n"/>
      <c r="K620" s="13" t="n"/>
      <c r="L620" s="12" t="n"/>
      <c r="M620" s="48">
        <f>IF(E620="","",IF(J620="Bỏ qua","—",IF(J620="Xong",IF(AND(ISNUMBER(K620),ISNUMBER(I620),K620&gt;I620),"Xong trễ","Xong"),MID(IF(G620=""," · CHƯA GIAO","")&amp;IF(NOT(ISNUMBER(I620)),"",IF(TODAY()&gt;I620," · QUÁ HẠN "&amp;(TODAY()-I620)&amp;" ngày",IF(I620-TODAY()&lt;=3," · Đến hạn "&amp;IF(I620=TODAY(),"hôm nay","trong "&amp;(I620-TODAY())&amp;" ngày"),"")))&amp;IF(J620="Chờ đối tác"," · Chờ đối tác"&amp;IF(ISNUMBER(N620)," "&amp;(TODAY()-INT(N620))&amp;" ngày",""),""),4,200))))</f>
        <v/>
      </c>
      <c r="N620" s="49" t="n"/>
      <c r="S620">
        <f>IF(AND(E620&lt;&gt;"",T620="Có",J620&lt;&gt;"Xong",J620&lt;&gt;"Bỏ qua",ISNUMBER(I620)),I620+ROW()/100000,"")</f>
        <v/>
      </c>
      <c r="T620">
        <f>IF(O620="","",IFERROR(INDEX(SK_TD,MATCH(O620,SK_A,0)),""))</f>
        <v/>
      </c>
      <c r="V620">
        <f>IF(AND(O620&lt;&gt;"",O620=SEL_K,J620&lt;&gt;"Xong",J620&lt;&gt;"Bỏ qua"),IF(ISNUMBER(I620),I620,99999)+ROW()/100000,"")</f>
        <v/>
      </c>
    </row>
    <row r="621">
      <c r="A621" s="12">
        <f>IF(O621="","",IFERROR(INDEX(SK_B,MATCH(O621,SK_A,0))&amp;"",""))</f>
        <v/>
      </c>
      <c r="B621" s="45">
        <f>IF(O621="","",IFERROR(INDEX(SK_C,MATCH(O621,SK_A,0)),""))</f>
        <v/>
      </c>
      <c r="C621" s="46">
        <f>IF(Q621="","",IF(Q621=0,"D",IF(Q621&lt;0,"D"&amp;Q621,"D+"&amp;Q621)))</f>
        <v/>
      </c>
      <c r="D621" s="14" t="n"/>
      <c r="E621" s="12" t="n"/>
      <c r="F621" s="46" t="n"/>
      <c r="G621" s="47" t="n"/>
      <c r="H621" s="14" t="n"/>
      <c r="I621" s="13">
        <f>IF(OR(B621="",Q621=""),"",IF(Q621&gt;0,IF(R621="Làm việc",WORKDAY(IFERROR(IF(INDEX(SK_D,MATCH(O621,SK_A,0))="",B621,INDEX(SK_D,MATCH(O621,SK_A,0))),B621),Q621,HOLI),IFERROR(IF(INDEX(SK_D,MATCH(O621,SK_A,0))="",B621,INDEX(SK_D,MATCH(O621,SK_A,0))),B621)+Q621),B621+Q621))</f>
        <v/>
      </c>
      <c r="J621" s="14" t="n"/>
      <c r="K621" s="13" t="n"/>
      <c r="L621" s="12" t="n"/>
      <c r="M621" s="48">
        <f>IF(E621="","",IF(J621="Bỏ qua","—",IF(J621="Xong",IF(AND(ISNUMBER(K621),ISNUMBER(I621),K621&gt;I621),"Xong trễ","Xong"),MID(IF(G621=""," · CHƯA GIAO","")&amp;IF(NOT(ISNUMBER(I621)),"",IF(TODAY()&gt;I621," · QUÁ HẠN "&amp;(TODAY()-I621)&amp;" ngày",IF(I621-TODAY()&lt;=3," · Đến hạn "&amp;IF(I621=TODAY(),"hôm nay","trong "&amp;(I621-TODAY())&amp;" ngày"),"")))&amp;IF(J621="Chờ đối tác"," · Chờ đối tác"&amp;IF(ISNUMBER(N621)," "&amp;(TODAY()-INT(N621))&amp;" ngày",""),""),4,200))))</f>
        <v/>
      </c>
      <c r="N621" s="49" t="n"/>
      <c r="S621">
        <f>IF(AND(E621&lt;&gt;"",T621="Có",J621&lt;&gt;"Xong",J621&lt;&gt;"Bỏ qua",ISNUMBER(I621)),I621+ROW()/100000,"")</f>
        <v/>
      </c>
      <c r="T621">
        <f>IF(O621="","",IFERROR(INDEX(SK_TD,MATCH(O621,SK_A,0)),""))</f>
        <v/>
      </c>
      <c r="V621">
        <f>IF(AND(O621&lt;&gt;"",O621=SEL_K,J621&lt;&gt;"Xong",J621&lt;&gt;"Bỏ qua"),IF(ISNUMBER(I621),I621,99999)+ROW()/100000,"")</f>
        <v/>
      </c>
    </row>
    <row r="622">
      <c r="A622" s="12">
        <f>IF(O622="","",IFERROR(INDEX(SK_B,MATCH(O622,SK_A,0))&amp;"",""))</f>
        <v/>
      </c>
      <c r="B622" s="45">
        <f>IF(O622="","",IFERROR(INDEX(SK_C,MATCH(O622,SK_A,0)),""))</f>
        <v/>
      </c>
      <c r="C622" s="46">
        <f>IF(Q622="","",IF(Q622=0,"D",IF(Q622&lt;0,"D"&amp;Q622,"D+"&amp;Q622)))</f>
        <v/>
      </c>
      <c r="D622" s="14" t="n"/>
      <c r="E622" s="12" t="n"/>
      <c r="F622" s="46" t="n"/>
      <c r="G622" s="47" t="n"/>
      <c r="H622" s="14" t="n"/>
      <c r="I622" s="13">
        <f>IF(OR(B622="",Q622=""),"",IF(Q622&gt;0,IF(R622="Làm việc",WORKDAY(IFERROR(IF(INDEX(SK_D,MATCH(O622,SK_A,0))="",B622,INDEX(SK_D,MATCH(O622,SK_A,0))),B622),Q622,HOLI),IFERROR(IF(INDEX(SK_D,MATCH(O622,SK_A,0))="",B622,INDEX(SK_D,MATCH(O622,SK_A,0))),B622)+Q622),B622+Q622))</f>
        <v/>
      </c>
      <c r="J622" s="14" t="n"/>
      <c r="K622" s="13" t="n"/>
      <c r="L622" s="12" t="n"/>
      <c r="M622" s="48">
        <f>IF(E622="","",IF(J622="Bỏ qua","—",IF(J622="Xong",IF(AND(ISNUMBER(K622),ISNUMBER(I622),K622&gt;I622),"Xong trễ","Xong"),MID(IF(G622=""," · CHƯA GIAO","")&amp;IF(NOT(ISNUMBER(I622)),"",IF(TODAY()&gt;I622," · QUÁ HẠN "&amp;(TODAY()-I622)&amp;" ngày",IF(I622-TODAY()&lt;=3," · Đến hạn "&amp;IF(I622=TODAY(),"hôm nay","trong "&amp;(I622-TODAY())&amp;" ngày"),"")))&amp;IF(J622="Chờ đối tác"," · Chờ đối tác"&amp;IF(ISNUMBER(N622)," "&amp;(TODAY()-INT(N622))&amp;" ngày",""),""),4,200))))</f>
        <v/>
      </c>
      <c r="N622" s="49" t="n"/>
      <c r="S622">
        <f>IF(AND(E622&lt;&gt;"",T622="Có",J622&lt;&gt;"Xong",J622&lt;&gt;"Bỏ qua",ISNUMBER(I622)),I622+ROW()/100000,"")</f>
        <v/>
      </c>
      <c r="T622">
        <f>IF(O622="","",IFERROR(INDEX(SK_TD,MATCH(O622,SK_A,0)),""))</f>
        <v/>
      </c>
      <c r="V622">
        <f>IF(AND(O622&lt;&gt;"",O622=SEL_K,J622&lt;&gt;"Xong",J622&lt;&gt;"Bỏ qua"),IF(ISNUMBER(I622),I622,99999)+ROW()/100000,"")</f>
        <v/>
      </c>
    </row>
    <row r="623">
      <c r="A623" s="12">
        <f>IF(O623="","",IFERROR(INDEX(SK_B,MATCH(O623,SK_A,0))&amp;"",""))</f>
        <v/>
      </c>
      <c r="B623" s="45">
        <f>IF(O623="","",IFERROR(INDEX(SK_C,MATCH(O623,SK_A,0)),""))</f>
        <v/>
      </c>
      <c r="C623" s="46">
        <f>IF(Q623="","",IF(Q623=0,"D",IF(Q623&lt;0,"D"&amp;Q623,"D+"&amp;Q623)))</f>
        <v/>
      </c>
      <c r="D623" s="14" t="n"/>
      <c r="E623" s="12" t="n"/>
      <c r="F623" s="46" t="n"/>
      <c r="G623" s="47" t="n"/>
      <c r="H623" s="14" t="n"/>
      <c r="I623" s="13">
        <f>IF(OR(B623="",Q623=""),"",IF(Q623&gt;0,IF(R623="Làm việc",WORKDAY(IFERROR(IF(INDEX(SK_D,MATCH(O623,SK_A,0))="",B623,INDEX(SK_D,MATCH(O623,SK_A,0))),B623),Q623,HOLI),IFERROR(IF(INDEX(SK_D,MATCH(O623,SK_A,0))="",B623,INDEX(SK_D,MATCH(O623,SK_A,0))),B623)+Q623),B623+Q623))</f>
        <v/>
      </c>
      <c r="J623" s="14" t="n"/>
      <c r="K623" s="13" t="n"/>
      <c r="L623" s="12" t="n"/>
      <c r="M623" s="48">
        <f>IF(E623="","",IF(J623="Bỏ qua","—",IF(J623="Xong",IF(AND(ISNUMBER(K623),ISNUMBER(I623),K623&gt;I623),"Xong trễ","Xong"),MID(IF(G623=""," · CHƯA GIAO","")&amp;IF(NOT(ISNUMBER(I623)),"",IF(TODAY()&gt;I623," · QUÁ HẠN "&amp;(TODAY()-I623)&amp;" ngày",IF(I623-TODAY()&lt;=3," · Đến hạn "&amp;IF(I623=TODAY(),"hôm nay","trong "&amp;(I623-TODAY())&amp;" ngày"),"")))&amp;IF(J623="Chờ đối tác"," · Chờ đối tác"&amp;IF(ISNUMBER(N623)," "&amp;(TODAY()-INT(N623))&amp;" ngày",""),""),4,200))))</f>
        <v/>
      </c>
      <c r="N623" s="49" t="n"/>
      <c r="S623">
        <f>IF(AND(E623&lt;&gt;"",T623="Có",J623&lt;&gt;"Xong",J623&lt;&gt;"Bỏ qua",ISNUMBER(I623)),I623+ROW()/100000,"")</f>
        <v/>
      </c>
      <c r="T623">
        <f>IF(O623="","",IFERROR(INDEX(SK_TD,MATCH(O623,SK_A,0)),""))</f>
        <v/>
      </c>
      <c r="V623">
        <f>IF(AND(O623&lt;&gt;"",O623=SEL_K,J623&lt;&gt;"Xong",J623&lt;&gt;"Bỏ qua"),IF(ISNUMBER(I623),I623,99999)+ROW()/100000,"")</f>
        <v/>
      </c>
    </row>
    <row r="624">
      <c r="A624" s="12">
        <f>IF(O624="","",IFERROR(INDEX(SK_B,MATCH(O624,SK_A,0))&amp;"",""))</f>
        <v/>
      </c>
      <c r="B624" s="45">
        <f>IF(O624="","",IFERROR(INDEX(SK_C,MATCH(O624,SK_A,0)),""))</f>
        <v/>
      </c>
      <c r="C624" s="46">
        <f>IF(Q624="","",IF(Q624=0,"D",IF(Q624&lt;0,"D"&amp;Q624,"D+"&amp;Q624)))</f>
        <v/>
      </c>
      <c r="D624" s="14" t="n"/>
      <c r="E624" s="12" t="n"/>
      <c r="F624" s="46" t="n"/>
      <c r="G624" s="47" t="n"/>
      <c r="H624" s="14" t="n"/>
      <c r="I624" s="13">
        <f>IF(OR(B624="",Q624=""),"",IF(Q624&gt;0,IF(R624="Làm việc",WORKDAY(IFERROR(IF(INDEX(SK_D,MATCH(O624,SK_A,0))="",B624,INDEX(SK_D,MATCH(O624,SK_A,0))),B624),Q624,HOLI),IFERROR(IF(INDEX(SK_D,MATCH(O624,SK_A,0))="",B624,INDEX(SK_D,MATCH(O624,SK_A,0))),B624)+Q624),B624+Q624))</f>
        <v/>
      </c>
      <c r="J624" s="14" t="n"/>
      <c r="K624" s="13" t="n"/>
      <c r="L624" s="12" t="n"/>
      <c r="M624" s="48">
        <f>IF(E624="","",IF(J624="Bỏ qua","—",IF(J624="Xong",IF(AND(ISNUMBER(K624),ISNUMBER(I624),K624&gt;I624),"Xong trễ","Xong"),MID(IF(G624=""," · CHƯA GIAO","")&amp;IF(NOT(ISNUMBER(I624)),"",IF(TODAY()&gt;I624," · QUÁ HẠN "&amp;(TODAY()-I624)&amp;" ngày",IF(I624-TODAY()&lt;=3," · Đến hạn "&amp;IF(I624=TODAY(),"hôm nay","trong "&amp;(I624-TODAY())&amp;" ngày"),"")))&amp;IF(J624="Chờ đối tác"," · Chờ đối tác"&amp;IF(ISNUMBER(N624)," "&amp;(TODAY()-INT(N624))&amp;" ngày",""),""),4,200))))</f>
        <v/>
      </c>
      <c r="N624" s="49" t="n"/>
      <c r="S624">
        <f>IF(AND(E624&lt;&gt;"",T624="Có",J624&lt;&gt;"Xong",J624&lt;&gt;"Bỏ qua",ISNUMBER(I624)),I624+ROW()/100000,"")</f>
        <v/>
      </c>
      <c r="T624">
        <f>IF(O624="","",IFERROR(INDEX(SK_TD,MATCH(O624,SK_A,0)),""))</f>
        <v/>
      </c>
      <c r="V624">
        <f>IF(AND(O624&lt;&gt;"",O624=SEL_K,J624&lt;&gt;"Xong",J624&lt;&gt;"Bỏ qua"),IF(ISNUMBER(I624),I624,99999)+ROW()/100000,"")</f>
        <v/>
      </c>
    </row>
    <row r="625">
      <c r="A625" s="12">
        <f>IF(O625="","",IFERROR(INDEX(SK_B,MATCH(O625,SK_A,0))&amp;"",""))</f>
        <v/>
      </c>
      <c r="B625" s="45">
        <f>IF(O625="","",IFERROR(INDEX(SK_C,MATCH(O625,SK_A,0)),""))</f>
        <v/>
      </c>
      <c r="C625" s="46">
        <f>IF(Q625="","",IF(Q625=0,"D",IF(Q625&lt;0,"D"&amp;Q625,"D+"&amp;Q625)))</f>
        <v/>
      </c>
      <c r="D625" s="14" t="n"/>
      <c r="E625" s="12" t="n"/>
      <c r="F625" s="46" t="n"/>
      <c r="G625" s="47" t="n"/>
      <c r="H625" s="14" t="n"/>
      <c r="I625" s="13">
        <f>IF(OR(B625="",Q625=""),"",IF(Q625&gt;0,IF(R625="Làm việc",WORKDAY(IFERROR(IF(INDEX(SK_D,MATCH(O625,SK_A,0))="",B625,INDEX(SK_D,MATCH(O625,SK_A,0))),B625),Q625,HOLI),IFERROR(IF(INDEX(SK_D,MATCH(O625,SK_A,0))="",B625,INDEX(SK_D,MATCH(O625,SK_A,0))),B625)+Q625),B625+Q625))</f>
        <v/>
      </c>
      <c r="J625" s="14" t="n"/>
      <c r="K625" s="13" t="n"/>
      <c r="L625" s="12" t="n"/>
      <c r="M625" s="48">
        <f>IF(E625="","",IF(J625="Bỏ qua","—",IF(J625="Xong",IF(AND(ISNUMBER(K625),ISNUMBER(I625),K625&gt;I625),"Xong trễ","Xong"),MID(IF(G625=""," · CHƯA GIAO","")&amp;IF(NOT(ISNUMBER(I625)),"",IF(TODAY()&gt;I625," · QUÁ HẠN "&amp;(TODAY()-I625)&amp;" ngày",IF(I625-TODAY()&lt;=3," · Đến hạn "&amp;IF(I625=TODAY(),"hôm nay","trong "&amp;(I625-TODAY())&amp;" ngày"),"")))&amp;IF(J625="Chờ đối tác"," · Chờ đối tác"&amp;IF(ISNUMBER(N625)," "&amp;(TODAY()-INT(N625))&amp;" ngày",""),""),4,200))))</f>
        <v/>
      </c>
      <c r="N625" s="49" t="n"/>
      <c r="S625">
        <f>IF(AND(E625&lt;&gt;"",T625="Có",J625&lt;&gt;"Xong",J625&lt;&gt;"Bỏ qua",ISNUMBER(I625)),I625+ROW()/100000,"")</f>
        <v/>
      </c>
      <c r="T625">
        <f>IF(O625="","",IFERROR(INDEX(SK_TD,MATCH(O625,SK_A,0)),""))</f>
        <v/>
      </c>
      <c r="V625">
        <f>IF(AND(O625&lt;&gt;"",O625=SEL_K,J625&lt;&gt;"Xong",J625&lt;&gt;"Bỏ qua"),IF(ISNUMBER(I625),I625,99999)+ROW()/100000,"")</f>
        <v/>
      </c>
    </row>
    <row r="626">
      <c r="A626" s="12">
        <f>IF(O626="","",IFERROR(INDEX(SK_B,MATCH(O626,SK_A,0))&amp;"",""))</f>
        <v/>
      </c>
      <c r="B626" s="45">
        <f>IF(O626="","",IFERROR(INDEX(SK_C,MATCH(O626,SK_A,0)),""))</f>
        <v/>
      </c>
      <c r="C626" s="46">
        <f>IF(Q626="","",IF(Q626=0,"D",IF(Q626&lt;0,"D"&amp;Q626,"D+"&amp;Q626)))</f>
        <v/>
      </c>
      <c r="D626" s="14" t="n"/>
      <c r="E626" s="12" t="n"/>
      <c r="F626" s="46" t="n"/>
      <c r="G626" s="47" t="n"/>
      <c r="H626" s="14" t="n"/>
      <c r="I626" s="13">
        <f>IF(OR(B626="",Q626=""),"",IF(Q626&gt;0,IF(R626="Làm việc",WORKDAY(IFERROR(IF(INDEX(SK_D,MATCH(O626,SK_A,0))="",B626,INDEX(SK_D,MATCH(O626,SK_A,0))),B626),Q626,HOLI),IFERROR(IF(INDEX(SK_D,MATCH(O626,SK_A,0))="",B626,INDEX(SK_D,MATCH(O626,SK_A,0))),B626)+Q626),B626+Q626))</f>
        <v/>
      </c>
      <c r="J626" s="14" t="n"/>
      <c r="K626" s="13" t="n"/>
      <c r="L626" s="12" t="n"/>
      <c r="M626" s="48">
        <f>IF(E626="","",IF(J626="Bỏ qua","—",IF(J626="Xong",IF(AND(ISNUMBER(K626),ISNUMBER(I626),K626&gt;I626),"Xong trễ","Xong"),MID(IF(G626=""," · CHƯA GIAO","")&amp;IF(NOT(ISNUMBER(I626)),"",IF(TODAY()&gt;I626," · QUÁ HẠN "&amp;(TODAY()-I626)&amp;" ngày",IF(I626-TODAY()&lt;=3," · Đến hạn "&amp;IF(I626=TODAY(),"hôm nay","trong "&amp;(I626-TODAY())&amp;" ngày"),"")))&amp;IF(J626="Chờ đối tác"," · Chờ đối tác"&amp;IF(ISNUMBER(N626)," "&amp;(TODAY()-INT(N626))&amp;" ngày",""),""),4,200))))</f>
        <v/>
      </c>
      <c r="N626" s="49" t="n"/>
      <c r="S626">
        <f>IF(AND(E626&lt;&gt;"",T626="Có",J626&lt;&gt;"Xong",J626&lt;&gt;"Bỏ qua",ISNUMBER(I626)),I626+ROW()/100000,"")</f>
        <v/>
      </c>
      <c r="T626">
        <f>IF(O626="","",IFERROR(INDEX(SK_TD,MATCH(O626,SK_A,0)),""))</f>
        <v/>
      </c>
      <c r="V626">
        <f>IF(AND(O626&lt;&gt;"",O626=SEL_K,J626&lt;&gt;"Xong",J626&lt;&gt;"Bỏ qua"),IF(ISNUMBER(I626),I626,99999)+ROW()/100000,"")</f>
        <v/>
      </c>
    </row>
    <row r="627">
      <c r="A627" s="12">
        <f>IF(O627="","",IFERROR(INDEX(SK_B,MATCH(O627,SK_A,0))&amp;"",""))</f>
        <v/>
      </c>
      <c r="B627" s="45">
        <f>IF(O627="","",IFERROR(INDEX(SK_C,MATCH(O627,SK_A,0)),""))</f>
        <v/>
      </c>
      <c r="C627" s="46">
        <f>IF(Q627="","",IF(Q627=0,"D",IF(Q627&lt;0,"D"&amp;Q627,"D+"&amp;Q627)))</f>
        <v/>
      </c>
      <c r="D627" s="14" t="n"/>
      <c r="E627" s="12" t="n"/>
      <c r="F627" s="46" t="n"/>
      <c r="G627" s="47" t="n"/>
      <c r="H627" s="14" t="n"/>
      <c r="I627" s="13">
        <f>IF(OR(B627="",Q627=""),"",IF(Q627&gt;0,IF(R627="Làm việc",WORKDAY(IFERROR(IF(INDEX(SK_D,MATCH(O627,SK_A,0))="",B627,INDEX(SK_D,MATCH(O627,SK_A,0))),B627),Q627,HOLI),IFERROR(IF(INDEX(SK_D,MATCH(O627,SK_A,0))="",B627,INDEX(SK_D,MATCH(O627,SK_A,0))),B627)+Q627),B627+Q627))</f>
        <v/>
      </c>
      <c r="J627" s="14" t="n"/>
      <c r="K627" s="13" t="n"/>
      <c r="L627" s="12" t="n"/>
      <c r="M627" s="48">
        <f>IF(E627="","",IF(J627="Bỏ qua","—",IF(J627="Xong",IF(AND(ISNUMBER(K627),ISNUMBER(I627),K627&gt;I627),"Xong trễ","Xong"),MID(IF(G627=""," · CHƯA GIAO","")&amp;IF(NOT(ISNUMBER(I627)),"",IF(TODAY()&gt;I627," · QUÁ HẠN "&amp;(TODAY()-I627)&amp;" ngày",IF(I627-TODAY()&lt;=3," · Đến hạn "&amp;IF(I627=TODAY(),"hôm nay","trong "&amp;(I627-TODAY())&amp;" ngày"),"")))&amp;IF(J627="Chờ đối tác"," · Chờ đối tác"&amp;IF(ISNUMBER(N627)," "&amp;(TODAY()-INT(N627))&amp;" ngày",""),""),4,200))))</f>
        <v/>
      </c>
      <c r="N627" s="49" t="n"/>
      <c r="S627">
        <f>IF(AND(E627&lt;&gt;"",T627="Có",J627&lt;&gt;"Xong",J627&lt;&gt;"Bỏ qua",ISNUMBER(I627)),I627+ROW()/100000,"")</f>
        <v/>
      </c>
      <c r="T627">
        <f>IF(O627="","",IFERROR(INDEX(SK_TD,MATCH(O627,SK_A,0)),""))</f>
        <v/>
      </c>
      <c r="V627">
        <f>IF(AND(O627&lt;&gt;"",O627=SEL_K,J627&lt;&gt;"Xong",J627&lt;&gt;"Bỏ qua"),IF(ISNUMBER(I627),I627,99999)+ROW()/100000,"")</f>
        <v/>
      </c>
    </row>
    <row r="628">
      <c r="A628" s="12">
        <f>IF(O628="","",IFERROR(INDEX(SK_B,MATCH(O628,SK_A,0))&amp;"",""))</f>
        <v/>
      </c>
      <c r="B628" s="45">
        <f>IF(O628="","",IFERROR(INDEX(SK_C,MATCH(O628,SK_A,0)),""))</f>
        <v/>
      </c>
      <c r="C628" s="46">
        <f>IF(Q628="","",IF(Q628=0,"D",IF(Q628&lt;0,"D"&amp;Q628,"D+"&amp;Q628)))</f>
        <v/>
      </c>
      <c r="D628" s="14" t="n"/>
      <c r="E628" s="12" t="n"/>
      <c r="F628" s="46" t="n"/>
      <c r="G628" s="47" t="n"/>
      <c r="H628" s="14" t="n"/>
      <c r="I628" s="13">
        <f>IF(OR(B628="",Q628=""),"",IF(Q628&gt;0,IF(R628="Làm việc",WORKDAY(IFERROR(IF(INDEX(SK_D,MATCH(O628,SK_A,0))="",B628,INDEX(SK_D,MATCH(O628,SK_A,0))),B628),Q628,HOLI),IFERROR(IF(INDEX(SK_D,MATCH(O628,SK_A,0))="",B628,INDEX(SK_D,MATCH(O628,SK_A,0))),B628)+Q628),B628+Q628))</f>
        <v/>
      </c>
      <c r="J628" s="14" t="n"/>
      <c r="K628" s="13" t="n"/>
      <c r="L628" s="12" t="n"/>
      <c r="M628" s="48">
        <f>IF(E628="","",IF(J628="Bỏ qua","—",IF(J628="Xong",IF(AND(ISNUMBER(K628),ISNUMBER(I628),K628&gt;I628),"Xong trễ","Xong"),MID(IF(G628=""," · CHƯA GIAO","")&amp;IF(NOT(ISNUMBER(I628)),"",IF(TODAY()&gt;I628," · QUÁ HẠN "&amp;(TODAY()-I628)&amp;" ngày",IF(I628-TODAY()&lt;=3," · Đến hạn "&amp;IF(I628=TODAY(),"hôm nay","trong "&amp;(I628-TODAY())&amp;" ngày"),"")))&amp;IF(J628="Chờ đối tác"," · Chờ đối tác"&amp;IF(ISNUMBER(N628)," "&amp;(TODAY()-INT(N628))&amp;" ngày",""),""),4,200))))</f>
        <v/>
      </c>
      <c r="N628" s="49" t="n"/>
      <c r="S628">
        <f>IF(AND(E628&lt;&gt;"",T628="Có",J628&lt;&gt;"Xong",J628&lt;&gt;"Bỏ qua",ISNUMBER(I628)),I628+ROW()/100000,"")</f>
        <v/>
      </c>
      <c r="T628">
        <f>IF(O628="","",IFERROR(INDEX(SK_TD,MATCH(O628,SK_A,0)),""))</f>
        <v/>
      </c>
      <c r="V628">
        <f>IF(AND(O628&lt;&gt;"",O628=SEL_K,J628&lt;&gt;"Xong",J628&lt;&gt;"Bỏ qua"),IF(ISNUMBER(I628),I628,99999)+ROW()/100000,"")</f>
        <v/>
      </c>
    </row>
    <row r="629">
      <c r="A629" s="12">
        <f>IF(O629="","",IFERROR(INDEX(SK_B,MATCH(O629,SK_A,0))&amp;"",""))</f>
        <v/>
      </c>
      <c r="B629" s="45">
        <f>IF(O629="","",IFERROR(INDEX(SK_C,MATCH(O629,SK_A,0)),""))</f>
        <v/>
      </c>
      <c r="C629" s="46">
        <f>IF(Q629="","",IF(Q629=0,"D",IF(Q629&lt;0,"D"&amp;Q629,"D+"&amp;Q629)))</f>
        <v/>
      </c>
      <c r="D629" s="14" t="n"/>
      <c r="E629" s="12" t="n"/>
      <c r="F629" s="46" t="n"/>
      <c r="G629" s="47" t="n"/>
      <c r="H629" s="14" t="n"/>
      <c r="I629" s="13">
        <f>IF(OR(B629="",Q629=""),"",IF(Q629&gt;0,IF(R629="Làm việc",WORKDAY(IFERROR(IF(INDEX(SK_D,MATCH(O629,SK_A,0))="",B629,INDEX(SK_D,MATCH(O629,SK_A,0))),B629),Q629,HOLI),IFERROR(IF(INDEX(SK_D,MATCH(O629,SK_A,0))="",B629,INDEX(SK_D,MATCH(O629,SK_A,0))),B629)+Q629),B629+Q629))</f>
        <v/>
      </c>
      <c r="J629" s="14" t="n"/>
      <c r="K629" s="13" t="n"/>
      <c r="L629" s="12" t="n"/>
      <c r="M629" s="48">
        <f>IF(E629="","",IF(J629="Bỏ qua","—",IF(J629="Xong",IF(AND(ISNUMBER(K629),ISNUMBER(I629),K629&gt;I629),"Xong trễ","Xong"),MID(IF(G629=""," · CHƯA GIAO","")&amp;IF(NOT(ISNUMBER(I629)),"",IF(TODAY()&gt;I629," · QUÁ HẠN "&amp;(TODAY()-I629)&amp;" ngày",IF(I629-TODAY()&lt;=3," · Đến hạn "&amp;IF(I629=TODAY(),"hôm nay","trong "&amp;(I629-TODAY())&amp;" ngày"),"")))&amp;IF(J629="Chờ đối tác"," · Chờ đối tác"&amp;IF(ISNUMBER(N629)," "&amp;(TODAY()-INT(N629))&amp;" ngày",""),""),4,200))))</f>
        <v/>
      </c>
      <c r="N629" s="49" t="n"/>
      <c r="S629">
        <f>IF(AND(E629&lt;&gt;"",T629="Có",J629&lt;&gt;"Xong",J629&lt;&gt;"Bỏ qua",ISNUMBER(I629)),I629+ROW()/100000,"")</f>
        <v/>
      </c>
      <c r="T629">
        <f>IF(O629="","",IFERROR(INDEX(SK_TD,MATCH(O629,SK_A,0)),""))</f>
        <v/>
      </c>
      <c r="V629">
        <f>IF(AND(O629&lt;&gt;"",O629=SEL_K,J629&lt;&gt;"Xong",J629&lt;&gt;"Bỏ qua"),IF(ISNUMBER(I629),I629,99999)+ROW()/100000,"")</f>
        <v/>
      </c>
    </row>
    <row r="630">
      <c r="A630" s="12">
        <f>IF(O630="","",IFERROR(INDEX(SK_B,MATCH(O630,SK_A,0))&amp;"",""))</f>
        <v/>
      </c>
      <c r="B630" s="45">
        <f>IF(O630="","",IFERROR(INDEX(SK_C,MATCH(O630,SK_A,0)),""))</f>
        <v/>
      </c>
      <c r="C630" s="46">
        <f>IF(Q630="","",IF(Q630=0,"D",IF(Q630&lt;0,"D"&amp;Q630,"D+"&amp;Q630)))</f>
        <v/>
      </c>
      <c r="D630" s="14" t="n"/>
      <c r="E630" s="12" t="n"/>
      <c r="F630" s="46" t="n"/>
      <c r="G630" s="47" t="n"/>
      <c r="H630" s="14" t="n"/>
      <c r="I630" s="13">
        <f>IF(OR(B630="",Q630=""),"",IF(Q630&gt;0,IF(R630="Làm việc",WORKDAY(IFERROR(IF(INDEX(SK_D,MATCH(O630,SK_A,0))="",B630,INDEX(SK_D,MATCH(O630,SK_A,0))),B630),Q630,HOLI),IFERROR(IF(INDEX(SK_D,MATCH(O630,SK_A,0))="",B630,INDEX(SK_D,MATCH(O630,SK_A,0))),B630)+Q630),B630+Q630))</f>
        <v/>
      </c>
      <c r="J630" s="14" t="n"/>
      <c r="K630" s="13" t="n"/>
      <c r="L630" s="12" t="n"/>
      <c r="M630" s="48">
        <f>IF(E630="","",IF(J630="Bỏ qua","—",IF(J630="Xong",IF(AND(ISNUMBER(K630),ISNUMBER(I630),K630&gt;I630),"Xong trễ","Xong"),MID(IF(G630=""," · CHƯA GIAO","")&amp;IF(NOT(ISNUMBER(I630)),"",IF(TODAY()&gt;I630," · QUÁ HẠN "&amp;(TODAY()-I630)&amp;" ngày",IF(I630-TODAY()&lt;=3," · Đến hạn "&amp;IF(I630=TODAY(),"hôm nay","trong "&amp;(I630-TODAY())&amp;" ngày"),"")))&amp;IF(J630="Chờ đối tác"," · Chờ đối tác"&amp;IF(ISNUMBER(N630)," "&amp;(TODAY()-INT(N630))&amp;" ngày",""),""),4,200))))</f>
        <v/>
      </c>
      <c r="N630" s="49" t="n"/>
      <c r="S630">
        <f>IF(AND(E630&lt;&gt;"",T630="Có",J630&lt;&gt;"Xong",J630&lt;&gt;"Bỏ qua",ISNUMBER(I630)),I630+ROW()/100000,"")</f>
        <v/>
      </c>
      <c r="T630">
        <f>IF(O630="","",IFERROR(INDEX(SK_TD,MATCH(O630,SK_A,0)),""))</f>
        <v/>
      </c>
      <c r="V630">
        <f>IF(AND(O630&lt;&gt;"",O630=SEL_K,J630&lt;&gt;"Xong",J630&lt;&gt;"Bỏ qua"),IF(ISNUMBER(I630),I630,99999)+ROW()/100000,"")</f>
        <v/>
      </c>
    </row>
    <row r="631">
      <c r="A631" s="12">
        <f>IF(O631="","",IFERROR(INDEX(SK_B,MATCH(O631,SK_A,0))&amp;"",""))</f>
        <v/>
      </c>
      <c r="B631" s="45">
        <f>IF(O631="","",IFERROR(INDEX(SK_C,MATCH(O631,SK_A,0)),""))</f>
        <v/>
      </c>
      <c r="C631" s="46">
        <f>IF(Q631="","",IF(Q631=0,"D",IF(Q631&lt;0,"D"&amp;Q631,"D+"&amp;Q631)))</f>
        <v/>
      </c>
      <c r="D631" s="14" t="n"/>
      <c r="E631" s="12" t="n"/>
      <c r="F631" s="46" t="n"/>
      <c r="G631" s="47" t="n"/>
      <c r="H631" s="14" t="n"/>
      <c r="I631" s="13">
        <f>IF(OR(B631="",Q631=""),"",IF(Q631&gt;0,IF(R631="Làm việc",WORKDAY(IFERROR(IF(INDEX(SK_D,MATCH(O631,SK_A,0))="",B631,INDEX(SK_D,MATCH(O631,SK_A,0))),B631),Q631,HOLI),IFERROR(IF(INDEX(SK_D,MATCH(O631,SK_A,0))="",B631,INDEX(SK_D,MATCH(O631,SK_A,0))),B631)+Q631),B631+Q631))</f>
        <v/>
      </c>
      <c r="J631" s="14" t="n"/>
      <c r="K631" s="13" t="n"/>
      <c r="L631" s="12" t="n"/>
      <c r="M631" s="48">
        <f>IF(E631="","",IF(J631="Bỏ qua","—",IF(J631="Xong",IF(AND(ISNUMBER(K631),ISNUMBER(I631),K631&gt;I631),"Xong trễ","Xong"),MID(IF(G631=""," · CHƯA GIAO","")&amp;IF(NOT(ISNUMBER(I631)),"",IF(TODAY()&gt;I631," · QUÁ HẠN "&amp;(TODAY()-I631)&amp;" ngày",IF(I631-TODAY()&lt;=3," · Đến hạn "&amp;IF(I631=TODAY(),"hôm nay","trong "&amp;(I631-TODAY())&amp;" ngày"),"")))&amp;IF(J631="Chờ đối tác"," · Chờ đối tác"&amp;IF(ISNUMBER(N631)," "&amp;(TODAY()-INT(N631))&amp;" ngày",""),""),4,200))))</f>
        <v/>
      </c>
      <c r="N631" s="49" t="n"/>
      <c r="S631">
        <f>IF(AND(E631&lt;&gt;"",T631="Có",J631&lt;&gt;"Xong",J631&lt;&gt;"Bỏ qua",ISNUMBER(I631)),I631+ROW()/100000,"")</f>
        <v/>
      </c>
      <c r="T631">
        <f>IF(O631="","",IFERROR(INDEX(SK_TD,MATCH(O631,SK_A,0)),""))</f>
        <v/>
      </c>
      <c r="V631">
        <f>IF(AND(O631&lt;&gt;"",O631=SEL_K,J631&lt;&gt;"Xong",J631&lt;&gt;"Bỏ qua"),IF(ISNUMBER(I631),I631,99999)+ROW()/100000,"")</f>
        <v/>
      </c>
    </row>
    <row r="632">
      <c r="A632" s="12">
        <f>IF(O632="","",IFERROR(INDEX(SK_B,MATCH(O632,SK_A,0))&amp;"",""))</f>
        <v/>
      </c>
      <c r="B632" s="45">
        <f>IF(O632="","",IFERROR(INDEX(SK_C,MATCH(O632,SK_A,0)),""))</f>
        <v/>
      </c>
      <c r="C632" s="46">
        <f>IF(Q632="","",IF(Q632=0,"D",IF(Q632&lt;0,"D"&amp;Q632,"D+"&amp;Q632)))</f>
        <v/>
      </c>
      <c r="D632" s="14" t="n"/>
      <c r="E632" s="12" t="n"/>
      <c r="F632" s="46" t="n"/>
      <c r="G632" s="47" t="n"/>
      <c r="H632" s="14" t="n"/>
      <c r="I632" s="13">
        <f>IF(OR(B632="",Q632=""),"",IF(Q632&gt;0,IF(R632="Làm việc",WORKDAY(IFERROR(IF(INDEX(SK_D,MATCH(O632,SK_A,0))="",B632,INDEX(SK_D,MATCH(O632,SK_A,0))),B632),Q632,HOLI),IFERROR(IF(INDEX(SK_D,MATCH(O632,SK_A,0))="",B632,INDEX(SK_D,MATCH(O632,SK_A,0))),B632)+Q632),B632+Q632))</f>
        <v/>
      </c>
      <c r="J632" s="14" t="n"/>
      <c r="K632" s="13" t="n"/>
      <c r="L632" s="12" t="n"/>
      <c r="M632" s="48">
        <f>IF(E632="","",IF(J632="Bỏ qua","—",IF(J632="Xong",IF(AND(ISNUMBER(K632),ISNUMBER(I632),K632&gt;I632),"Xong trễ","Xong"),MID(IF(G632=""," · CHƯA GIAO","")&amp;IF(NOT(ISNUMBER(I632)),"",IF(TODAY()&gt;I632," · QUÁ HẠN "&amp;(TODAY()-I632)&amp;" ngày",IF(I632-TODAY()&lt;=3," · Đến hạn "&amp;IF(I632=TODAY(),"hôm nay","trong "&amp;(I632-TODAY())&amp;" ngày"),"")))&amp;IF(J632="Chờ đối tác"," · Chờ đối tác"&amp;IF(ISNUMBER(N632)," "&amp;(TODAY()-INT(N632))&amp;" ngày",""),""),4,200))))</f>
        <v/>
      </c>
      <c r="N632" s="49" t="n"/>
      <c r="S632">
        <f>IF(AND(E632&lt;&gt;"",T632="Có",J632&lt;&gt;"Xong",J632&lt;&gt;"Bỏ qua",ISNUMBER(I632)),I632+ROW()/100000,"")</f>
        <v/>
      </c>
      <c r="T632">
        <f>IF(O632="","",IFERROR(INDEX(SK_TD,MATCH(O632,SK_A,0)),""))</f>
        <v/>
      </c>
      <c r="V632">
        <f>IF(AND(O632&lt;&gt;"",O632=SEL_K,J632&lt;&gt;"Xong",J632&lt;&gt;"Bỏ qua"),IF(ISNUMBER(I632),I632,99999)+ROW()/100000,"")</f>
        <v/>
      </c>
    </row>
    <row r="633">
      <c r="A633" s="12">
        <f>IF(O633="","",IFERROR(INDEX(SK_B,MATCH(O633,SK_A,0))&amp;"",""))</f>
        <v/>
      </c>
      <c r="B633" s="45">
        <f>IF(O633="","",IFERROR(INDEX(SK_C,MATCH(O633,SK_A,0)),""))</f>
        <v/>
      </c>
      <c r="C633" s="46">
        <f>IF(Q633="","",IF(Q633=0,"D",IF(Q633&lt;0,"D"&amp;Q633,"D+"&amp;Q633)))</f>
        <v/>
      </c>
      <c r="D633" s="14" t="n"/>
      <c r="E633" s="12" t="n"/>
      <c r="F633" s="46" t="n"/>
      <c r="G633" s="47" t="n"/>
      <c r="H633" s="14" t="n"/>
      <c r="I633" s="13">
        <f>IF(OR(B633="",Q633=""),"",IF(Q633&gt;0,IF(R633="Làm việc",WORKDAY(IFERROR(IF(INDEX(SK_D,MATCH(O633,SK_A,0))="",B633,INDEX(SK_D,MATCH(O633,SK_A,0))),B633),Q633,HOLI),IFERROR(IF(INDEX(SK_D,MATCH(O633,SK_A,0))="",B633,INDEX(SK_D,MATCH(O633,SK_A,0))),B633)+Q633),B633+Q633))</f>
        <v/>
      </c>
      <c r="J633" s="14" t="n"/>
      <c r="K633" s="13" t="n"/>
      <c r="L633" s="12" t="n"/>
      <c r="M633" s="48">
        <f>IF(E633="","",IF(J633="Bỏ qua","—",IF(J633="Xong",IF(AND(ISNUMBER(K633),ISNUMBER(I633),K633&gt;I633),"Xong trễ","Xong"),MID(IF(G633=""," · CHƯA GIAO","")&amp;IF(NOT(ISNUMBER(I633)),"",IF(TODAY()&gt;I633," · QUÁ HẠN "&amp;(TODAY()-I633)&amp;" ngày",IF(I633-TODAY()&lt;=3," · Đến hạn "&amp;IF(I633=TODAY(),"hôm nay","trong "&amp;(I633-TODAY())&amp;" ngày"),"")))&amp;IF(J633="Chờ đối tác"," · Chờ đối tác"&amp;IF(ISNUMBER(N633)," "&amp;(TODAY()-INT(N633))&amp;" ngày",""),""),4,200))))</f>
        <v/>
      </c>
      <c r="N633" s="49" t="n"/>
      <c r="S633">
        <f>IF(AND(E633&lt;&gt;"",T633="Có",J633&lt;&gt;"Xong",J633&lt;&gt;"Bỏ qua",ISNUMBER(I633)),I633+ROW()/100000,"")</f>
        <v/>
      </c>
      <c r="T633">
        <f>IF(O633="","",IFERROR(INDEX(SK_TD,MATCH(O633,SK_A,0)),""))</f>
        <v/>
      </c>
      <c r="V633">
        <f>IF(AND(O633&lt;&gt;"",O633=SEL_K,J633&lt;&gt;"Xong",J633&lt;&gt;"Bỏ qua"),IF(ISNUMBER(I633),I633,99999)+ROW()/100000,"")</f>
        <v/>
      </c>
    </row>
    <row r="634">
      <c r="A634" s="12">
        <f>IF(O634="","",IFERROR(INDEX(SK_B,MATCH(O634,SK_A,0))&amp;"",""))</f>
        <v/>
      </c>
      <c r="B634" s="45">
        <f>IF(O634="","",IFERROR(INDEX(SK_C,MATCH(O634,SK_A,0)),""))</f>
        <v/>
      </c>
      <c r="C634" s="46">
        <f>IF(Q634="","",IF(Q634=0,"D",IF(Q634&lt;0,"D"&amp;Q634,"D+"&amp;Q634)))</f>
        <v/>
      </c>
      <c r="D634" s="14" t="n"/>
      <c r="E634" s="12" t="n"/>
      <c r="F634" s="46" t="n"/>
      <c r="G634" s="47" t="n"/>
      <c r="H634" s="14" t="n"/>
      <c r="I634" s="13">
        <f>IF(OR(B634="",Q634=""),"",IF(Q634&gt;0,IF(R634="Làm việc",WORKDAY(IFERROR(IF(INDEX(SK_D,MATCH(O634,SK_A,0))="",B634,INDEX(SK_D,MATCH(O634,SK_A,0))),B634),Q634,HOLI),IFERROR(IF(INDEX(SK_D,MATCH(O634,SK_A,0))="",B634,INDEX(SK_D,MATCH(O634,SK_A,0))),B634)+Q634),B634+Q634))</f>
        <v/>
      </c>
      <c r="J634" s="14" t="n"/>
      <c r="K634" s="13" t="n"/>
      <c r="L634" s="12" t="n"/>
      <c r="M634" s="48">
        <f>IF(E634="","",IF(J634="Bỏ qua","—",IF(J634="Xong",IF(AND(ISNUMBER(K634),ISNUMBER(I634),K634&gt;I634),"Xong trễ","Xong"),MID(IF(G634=""," · CHƯA GIAO","")&amp;IF(NOT(ISNUMBER(I634)),"",IF(TODAY()&gt;I634," · QUÁ HẠN "&amp;(TODAY()-I634)&amp;" ngày",IF(I634-TODAY()&lt;=3," · Đến hạn "&amp;IF(I634=TODAY(),"hôm nay","trong "&amp;(I634-TODAY())&amp;" ngày"),"")))&amp;IF(J634="Chờ đối tác"," · Chờ đối tác"&amp;IF(ISNUMBER(N634)," "&amp;(TODAY()-INT(N634))&amp;" ngày",""),""),4,200))))</f>
        <v/>
      </c>
      <c r="N634" s="49" t="n"/>
      <c r="S634">
        <f>IF(AND(E634&lt;&gt;"",T634="Có",J634&lt;&gt;"Xong",J634&lt;&gt;"Bỏ qua",ISNUMBER(I634)),I634+ROW()/100000,"")</f>
        <v/>
      </c>
      <c r="T634">
        <f>IF(O634="","",IFERROR(INDEX(SK_TD,MATCH(O634,SK_A,0)),""))</f>
        <v/>
      </c>
      <c r="V634">
        <f>IF(AND(O634&lt;&gt;"",O634=SEL_K,J634&lt;&gt;"Xong",J634&lt;&gt;"Bỏ qua"),IF(ISNUMBER(I634),I634,99999)+ROW()/100000,"")</f>
        <v/>
      </c>
    </row>
    <row r="635">
      <c r="A635" s="12">
        <f>IF(O635="","",IFERROR(INDEX(SK_B,MATCH(O635,SK_A,0))&amp;"",""))</f>
        <v/>
      </c>
      <c r="B635" s="45">
        <f>IF(O635="","",IFERROR(INDEX(SK_C,MATCH(O635,SK_A,0)),""))</f>
        <v/>
      </c>
      <c r="C635" s="46">
        <f>IF(Q635="","",IF(Q635=0,"D",IF(Q635&lt;0,"D"&amp;Q635,"D+"&amp;Q635)))</f>
        <v/>
      </c>
      <c r="D635" s="14" t="n"/>
      <c r="E635" s="12" t="n"/>
      <c r="F635" s="46" t="n"/>
      <c r="G635" s="47" t="n"/>
      <c r="H635" s="14" t="n"/>
      <c r="I635" s="13">
        <f>IF(OR(B635="",Q635=""),"",IF(Q635&gt;0,IF(R635="Làm việc",WORKDAY(IFERROR(IF(INDEX(SK_D,MATCH(O635,SK_A,0))="",B635,INDEX(SK_D,MATCH(O635,SK_A,0))),B635),Q635,HOLI),IFERROR(IF(INDEX(SK_D,MATCH(O635,SK_A,0))="",B635,INDEX(SK_D,MATCH(O635,SK_A,0))),B635)+Q635),B635+Q635))</f>
        <v/>
      </c>
      <c r="J635" s="14" t="n"/>
      <c r="K635" s="13" t="n"/>
      <c r="L635" s="12" t="n"/>
      <c r="M635" s="48">
        <f>IF(E635="","",IF(J635="Bỏ qua","—",IF(J635="Xong",IF(AND(ISNUMBER(K635),ISNUMBER(I635),K635&gt;I635),"Xong trễ","Xong"),MID(IF(G635=""," · CHƯA GIAO","")&amp;IF(NOT(ISNUMBER(I635)),"",IF(TODAY()&gt;I635," · QUÁ HẠN "&amp;(TODAY()-I635)&amp;" ngày",IF(I635-TODAY()&lt;=3," · Đến hạn "&amp;IF(I635=TODAY(),"hôm nay","trong "&amp;(I635-TODAY())&amp;" ngày"),"")))&amp;IF(J635="Chờ đối tác"," · Chờ đối tác"&amp;IF(ISNUMBER(N635)," "&amp;(TODAY()-INT(N635))&amp;" ngày",""),""),4,200))))</f>
        <v/>
      </c>
      <c r="N635" s="49" t="n"/>
      <c r="S635">
        <f>IF(AND(E635&lt;&gt;"",T635="Có",J635&lt;&gt;"Xong",J635&lt;&gt;"Bỏ qua",ISNUMBER(I635)),I635+ROW()/100000,"")</f>
        <v/>
      </c>
      <c r="T635">
        <f>IF(O635="","",IFERROR(INDEX(SK_TD,MATCH(O635,SK_A,0)),""))</f>
        <v/>
      </c>
      <c r="V635">
        <f>IF(AND(O635&lt;&gt;"",O635=SEL_K,J635&lt;&gt;"Xong",J635&lt;&gt;"Bỏ qua"),IF(ISNUMBER(I635),I635,99999)+ROW()/100000,"")</f>
        <v/>
      </c>
    </row>
    <row r="636">
      <c r="A636" s="12">
        <f>IF(O636="","",IFERROR(INDEX(SK_B,MATCH(O636,SK_A,0))&amp;"",""))</f>
        <v/>
      </c>
      <c r="B636" s="45">
        <f>IF(O636="","",IFERROR(INDEX(SK_C,MATCH(O636,SK_A,0)),""))</f>
        <v/>
      </c>
      <c r="C636" s="46">
        <f>IF(Q636="","",IF(Q636=0,"D",IF(Q636&lt;0,"D"&amp;Q636,"D+"&amp;Q636)))</f>
        <v/>
      </c>
      <c r="D636" s="14" t="n"/>
      <c r="E636" s="12" t="n"/>
      <c r="F636" s="46" t="n"/>
      <c r="G636" s="47" t="n"/>
      <c r="H636" s="14" t="n"/>
      <c r="I636" s="13">
        <f>IF(OR(B636="",Q636=""),"",IF(Q636&gt;0,IF(R636="Làm việc",WORKDAY(IFERROR(IF(INDEX(SK_D,MATCH(O636,SK_A,0))="",B636,INDEX(SK_D,MATCH(O636,SK_A,0))),B636),Q636,HOLI),IFERROR(IF(INDEX(SK_D,MATCH(O636,SK_A,0))="",B636,INDEX(SK_D,MATCH(O636,SK_A,0))),B636)+Q636),B636+Q636))</f>
        <v/>
      </c>
      <c r="J636" s="14" t="n"/>
      <c r="K636" s="13" t="n"/>
      <c r="L636" s="12" t="n"/>
      <c r="M636" s="48">
        <f>IF(E636="","",IF(J636="Bỏ qua","—",IF(J636="Xong",IF(AND(ISNUMBER(K636),ISNUMBER(I636),K636&gt;I636),"Xong trễ","Xong"),MID(IF(G636=""," · CHƯA GIAO","")&amp;IF(NOT(ISNUMBER(I636)),"",IF(TODAY()&gt;I636," · QUÁ HẠN "&amp;(TODAY()-I636)&amp;" ngày",IF(I636-TODAY()&lt;=3," · Đến hạn "&amp;IF(I636=TODAY(),"hôm nay","trong "&amp;(I636-TODAY())&amp;" ngày"),"")))&amp;IF(J636="Chờ đối tác"," · Chờ đối tác"&amp;IF(ISNUMBER(N636)," "&amp;(TODAY()-INT(N636))&amp;" ngày",""),""),4,200))))</f>
        <v/>
      </c>
      <c r="N636" s="49" t="n"/>
      <c r="S636">
        <f>IF(AND(E636&lt;&gt;"",T636="Có",J636&lt;&gt;"Xong",J636&lt;&gt;"Bỏ qua",ISNUMBER(I636)),I636+ROW()/100000,"")</f>
        <v/>
      </c>
      <c r="T636">
        <f>IF(O636="","",IFERROR(INDEX(SK_TD,MATCH(O636,SK_A,0)),""))</f>
        <v/>
      </c>
      <c r="V636">
        <f>IF(AND(O636&lt;&gt;"",O636=SEL_K,J636&lt;&gt;"Xong",J636&lt;&gt;"Bỏ qua"),IF(ISNUMBER(I636),I636,99999)+ROW()/100000,"")</f>
        <v/>
      </c>
    </row>
    <row r="637">
      <c r="A637" s="12">
        <f>IF(O637="","",IFERROR(INDEX(SK_B,MATCH(O637,SK_A,0))&amp;"",""))</f>
        <v/>
      </c>
      <c r="B637" s="45">
        <f>IF(O637="","",IFERROR(INDEX(SK_C,MATCH(O637,SK_A,0)),""))</f>
        <v/>
      </c>
      <c r="C637" s="46">
        <f>IF(Q637="","",IF(Q637=0,"D",IF(Q637&lt;0,"D"&amp;Q637,"D+"&amp;Q637)))</f>
        <v/>
      </c>
      <c r="D637" s="14" t="n"/>
      <c r="E637" s="12" t="n"/>
      <c r="F637" s="46" t="n"/>
      <c r="G637" s="47" t="n"/>
      <c r="H637" s="14" t="n"/>
      <c r="I637" s="13">
        <f>IF(OR(B637="",Q637=""),"",IF(Q637&gt;0,IF(R637="Làm việc",WORKDAY(IFERROR(IF(INDEX(SK_D,MATCH(O637,SK_A,0))="",B637,INDEX(SK_D,MATCH(O637,SK_A,0))),B637),Q637,HOLI),IFERROR(IF(INDEX(SK_D,MATCH(O637,SK_A,0))="",B637,INDEX(SK_D,MATCH(O637,SK_A,0))),B637)+Q637),B637+Q637))</f>
        <v/>
      </c>
      <c r="J637" s="14" t="n"/>
      <c r="K637" s="13" t="n"/>
      <c r="L637" s="12" t="n"/>
      <c r="M637" s="48">
        <f>IF(E637="","",IF(J637="Bỏ qua","—",IF(J637="Xong",IF(AND(ISNUMBER(K637),ISNUMBER(I637),K637&gt;I637),"Xong trễ","Xong"),MID(IF(G637=""," · CHƯA GIAO","")&amp;IF(NOT(ISNUMBER(I637)),"",IF(TODAY()&gt;I637," · QUÁ HẠN "&amp;(TODAY()-I637)&amp;" ngày",IF(I637-TODAY()&lt;=3," · Đến hạn "&amp;IF(I637=TODAY(),"hôm nay","trong "&amp;(I637-TODAY())&amp;" ngày"),"")))&amp;IF(J637="Chờ đối tác"," · Chờ đối tác"&amp;IF(ISNUMBER(N637)," "&amp;(TODAY()-INT(N637))&amp;" ngày",""),""),4,200))))</f>
        <v/>
      </c>
      <c r="N637" s="49" t="n"/>
      <c r="S637">
        <f>IF(AND(E637&lt;&gt;"",T637="Có",J637&lt;&gt;"Xong",J637&lt;&gt;"Bỏ qua",ISNUMBER(I637)),I637+ROW()/100000,"")</f>
        <v/>
      </c>
      <c r="T637">
        <f>IF(O637="","",IFERROR(INDEX(SK_TD,MATCH(O637,SK_A,0)),""))</f>
        <v/>
      </c>
      <c r="V637">
        <f>IF(AND(O637&lt;&gt;"",O637=SEL_K,J637&lt;&gt;"Xong",J637&lt;&gt;"Bỏ qua"),IF(ISNUMBER(I637),I637,99999)+ROW()/100000,"")</f>
        <v/>
      </c>
    </row>
    <row r="638">
      <c r="A638" s="12">
        <f>IF(O638="","",IFERROR(INDEX(SK_B,MATCH(O638,SK_A,0))&amp;"",""))</f>
        <v/>
      </c>
      <c r="B638" s="45">
        <f>IF(O638="","",IFERROR(INDEX(SK_C,MATCH(O638,SK_A,0)),""))</f>
        <v/>
      </c>
      <c r="C638" s="46">
        <f>IF(Q638="","",IF(Q638=0,"D",IF(Q638&lt;0,"D"&amp;Q638,"D+"&amp;Q638)))</f>
        <v/>
      </c>
      <c r="D638" s="14" t="n"/>
      <c r="E638" s="12" t="n"/>
      <c r="F638" s="46" t="n"/>
      <c r="G638" s="47" t="n"/>
      <c r="H638" s="14" t="n"/>
      <c r="I638" s="13">
        <f>IF(OR(B638="",Q638=""),"",IF(Q638&gt;0,IF(R638="Làm việc",WORKDAY(IFERROR(IF(INDEX(SK_D,MATCH(O638,SK_A,0))="",B638,INDEX(SK_D,MATCH(O638,SK_A,0))),B638),Q638,HOLI),IFERROR(IF(INDEX(SK_D,MATCH(O638,SK_A,0))="",B638,INDEX(SK_D,MATCH(O638,SK_A,0))),B638)+Q638),B638+Q638))</f>
        <v/>
      </c>
      <c r="J638" s="14" t="n"/>
      <c r="K638" s="13" t="n"/>
      <c r="L638" s="12" t="n"/>
      <c r="M638" s="48">
        <f>IF(E638="","",IF(J638="Bỏ qua","—",IF(J638="Xong",IF(AND(ISNUMBER(K638),ISNUMBER(I638),K638&gt;I638),"Xong trễ","Xong"),MID(IF(G638=""," · CHƯA GIAO","")&amp;IF(NOT(ISNUMBER(I638)),"",IF(TODAY()&gt;I638," · QUÁ HẠN "&amp;(TODAY()-I638)&amp;" ngày",IF(I638-TODAY()&lt;=3," · Đến hạn "&amp;IF(I638=TODAY(),"hôm nay","trong "&amp;(I638-TODAY())&amp;" ngày"),"")))&amp;IF(J638="Chờ đối tác"," · Chờ đối tác"&amp;IF(ISNUMBER(N638)," "&amp;(TODAY()-INT(N638))&amp;" ngày",""),""),4,200))))</f>
        <v/>
      </c>
      <c r="N638" s="49" t="n"/>
      <c r="S638">
        <f>IF(AND(E638&lt;&gt;"",T638="Có",J638&lt;&gt;"Xong",J638&lt;&gt;"Bỏ qua",ISNUMBER(I638)),I638+ROW()/100000,"")</f>
        <v/>
      </c>
      <c r="T638">
        <f>IF(O638="","",IFERROR(INDEX(SK_TD,MATCH(O638,SK_A,0)),""))</f>
        <v/>
      </c>
      <c r="V638">
        <f>IF(AND(O638&lt;&gt;"",O638=SEL_K,J638&lt;&gt;"Xong",J638&lt;&gt;"Bỏ qua"),IF(ISNUMBER(I638),I638,99999)+ROW()/100000,"")</f>
        <v/>
      </c>
    </row>
    <row r="639">
      <c r="A639" s="12">
        <f>IF(O639="","",IFERROR(INDEX(SK_B,MATCH(O639,SK_A,0))&amp;"",""))</f>
        <v/>
      </c>
      <c r="B639" s="45">
        <f>IF(O639="","",IFERROR(INDEX(SK_C,MATCH(O639,SK_A,0)),""))</f>
        <v/>
      </c>
      <c r="C639" s="46">
        <f>IF(Q639="","",IF(Q639=0,"D",IF(Q639&lt;0,"D"&amp;Q639,"D+"&amp;Q639)))</f>
        <v/>
      </c>
      <c r="D639" s="14" t="n"/>
      <c r="E639" s="12" t="n"/>
      <c r="F639" s="46" t="n"/>
      <c r="G639" s="47" t="n"/>
      <c r="H639" s="14" t="n"/>
      <c r="I639" s="13">
        <f>IF(OR(B639="",Q639=""),"",IF(Q639&gt;0,IF(R639="Làm việc",WORKDAY(IFERROR(IF(INDEX(SK_D,MATCH(O639,SK_A,0))="",B639,INDEX(SK_D,MATCH(O639,SK_A,0))),B639),Q639,HOLI),IFERROR(IF(INDEX(SK_D,MATCH(O639,SK_A,0))="",B639,INDEX(SK_D,MATCH(O639,SK_A,0))),B639)+Q639),B639+Q639))</f>
        <v/>
      </c>
      <c r="J639" s="14" t="n"/>
      <c r="K639" s="13" t="n"/>
      <c r="L639" s="12" t="n"/>
      <c r="M639" s="48">
        <f>IF(E639="","",IF(J639="Bỏ qua","—",IF(J639="Xong",IF(AND(ISNUMBER(K639),ISNUMBER(I639),K639&gt;I639),"Xong trễ","Xong"),MID(IF(G639=""," · CHƯA GIAO","")&amp;IF(NOT(ISNUMBER(I639)),"",IF(TODAY()&gt;I639," · QUÁ HẠN "&amp;(TODAY()-I639)&amp;" ngày",IF(I639-TODAY()&lt;=3," · Đến hạn "&amp;IF(I639=TODAY(),"hôm nay","trong "&amp;(I639-TODAY())&amp;" ngày"),"")))&amp;IF(J639="Chờ đối tác"," · Chờ đối tác"&amp;IF(ISNUMBER(N639)," "&amp;(TODAY()-INT(N639))&amp;" ngày",""),""),4,200))))</f>
        <v/>
      </c>
      <c r="N639" s="49" t="n"/>
      <c r="S639">
        <f>IF(AND(E639&lt;&gt;"",T639="Có",J639&lt;&gt;"Xong",J639&lt;&gt;"Bỏ qua",ISNUMBER(I639)),I639+ROW()/100000,"")</f>
        <v/>
      </c>
      <c r="T639">
        <f>IF(O639="","",IFERROR(INDEX(SK_TD,MATCH(O639,SK_A,0)),""))</f>
        <v/>
      </c>
      <c r="V639">
        <f>IF(AND(O639&lt;&gt;"",O639=SEL_K,J639&lt;&gt;"Xong",J639&lt;&gt;"Bỏ qua"),IF(ISNUMBER(I639),I639,99999)+ROW()/100000,"")</f>
        <v/>
      </c>
    </row>
    <row r="640">
      <c r="A640" s="12">
        <f>IF(O640="","",IFERROR(INDEX(SK_B,MATCH(O640,SK_A,0))&amp;"",""))</f>
        <v/>
      </c>
      <c r="B640" s="45">
        <f>IF(O640="","",IFERROR(INDEX(SK_C,MATCH(O640,SK_A,0)),""))</f>
        <v/>
      </c>
      <c r="C640" s="46">
        <f>IF(Q640="","",IF(Q640=0,"D",IF(Q640&lt;0,"D"&amp;Q640,"D+"&amp;Q640)))</f>
        <v/>
      </c>
      <c r="D640" s="14" t="n"/>
      <c r="E640" s="12" t="n"/>
      <c r="F640" s="46" t="n"/>
      <c r="G640" s="47" t="n"/>
      <c r="H640" s="14" t="n"/>
      <c r="I640" s="13">
        <f>IF(OR(B640="",Q640=""),"",IF(Q640&gt;0,IF(R640="Làm việc",WORKDAY(IFERROR(IF(INDEX(SK_D,MATCH(O640,SK_A,0))="",B640,INDEX(SK_D,MATCH(O640,SK_A,0))),B640),Q640,HOLI),IFERROR(IF(INDEX(SK_D,MATCH(O640,SK_A,0))="",B640,INDEX(SK_D,MATCH(O640,SK_A,0))),B640)+Q640),B640+Q640))</f>
        <v/>
      </c>
      <c r="J640" s="14" t="n"/>
      <c r="K640" s="13" t="n"/>
      <c r="L640" s="12" t="n"/>
      <c r="M640" s="48">
        <f>IF(E640="","",IF(J640="Bỏ qua","—",IF(J640="Xong",IF(AND(ISNUMBER(K640),ISNUMBER(I640),K640&gt;I640),"Xong trễ","Xong"),MID(IF(G640=""," · CHƯA GIAO","")&amp;IF(NOT(ISNUMBER(I640)),"",IF(TODAY()&gt;I640," · QUÁ HẠN "&amp;(TODAY()-I640)&amp;" ngày",IF(I640-TODAY()&lt;=3," · Đến hạn "&amp;IF(I640=TODAY(),"hôm nay","trong "&amp;(I640-TODAY())&amp;" ngày"),"")))&amp;IF(J640="Chờ đối tác"," · Chờ đối tác"&amp;IF(ISNUMBER(N640)," "&amp;(TODAY()-INT(N640))&amp;" ngày",""),""),4,200))))</f>
        <v/>
      </c>
      <c r="N640" s="49" t="n"/>
      <c r="S640">
        <f>IF(AND(E640&lt;&gt;"",T640="Có",J640&lt;&gt;"Xong",J640&lt;&gt;"Bỏ qua",ISNUMBER(I640)),I640+ROW()/100000,"")</f>
        <v/>
      </c>
      <c r="T640">
        <f>IF(O640="","",IFERROR(INDEX(SK_TD,MATCH(O640,SK_A,0)),""))</f>
        <v/>
      </c>
      <c r="V640">
        <f>IF(AND(O640&lt;&gt;"",O640=SEL_K,J640&lt;&gt;"Xong",J640&lt;&gt;"Bỏ qua"),IF(ISNUMBER(I640),I640,99999)+ROW()/100000,"")</f>
        <v/>
      </c>
    </row>
    <row r="641">
      <c r="A641" s="12">
        <f>IF(O641="","",IFERROR(INDEX(SK_B,MATCH(O641,SK_A,0))&amp;"",""))</f>
        <v/>
      </c>
      <c r="B641" s="45">
        <f>IF(O641="","",IFERROR(INDEX(SK_C,MATCH(O641,SK_A,0)),""))</f>
        <v/>
      </c>
      <c r="C641" s="46">
        <f>IF(Q641="","",IF(Q641=0,"D",IF(Q641&lt;0,"D"&amp;Q641,"D+"&amp;Q641)))</f>
        <v/>
      </c>
      <c r="D641" s="14" t="n"/>
      <c r="E641" s="12" t="n"/>
      <c r="F641" s="46" t="n"/>
      <c r="G641" s="47" t="n"/>
      <c r="H641" s="14" t="n"/>
      <c r="I641" s="13">
        <f>IF(OR(B641="",Q641=""),"",IF(Q641&gt;0,IF(R641="Làm việc",WORKDAY(IFERROR(IF(INDEX(SK_D,MATCH(O641,SK_A,0))="",B641,INDEX(SK_D,MATCH(O641,SK_A,0))),B641),Q641,HOLI),IFERROR(IF(INDEX(SK_D,MATCH(O641,SK_A,0))="",B641,INDEX(SK_D,MATCH(O641,SK_A,0))),B641)+Q641),B641+Q641))</f>
        <v/>
      </c>
      <c r="J641" s="14" t="n"/>
      <c r="K641" s="13" t="n"/>
      <c r="L641" s="12" t="n"/>
      <c r="M641" s="48">
        <f>IF(E641="","",IF(J641="Bỏ qua","—",IF(J641="Xong",IF(AND(ISNUMBER(K641),ISNUMBER(I641),K641&gt;I641),"Xong trễ","Xong"),MID(IF(G641=""," · CHƯA GIAO","")&amp;IF(NOT(ISNUMBER(I641)),"",IF(TODAY()&gt;I641," · QUÁ HẠN "&amp;(TODAY()-I641)&amp;" ngày",IF(I641-TODAY()&lt;=3," · Đến hạn "&amp;IF(I641=TODAY(),"hôm nay","trong "&amp;(I641-TODAY())&amp;" ngày"),"")))&amp;IF(J641="Chờ đối tác"," · Chờ đối tác"&amp;IF(ISNUMBER(N641)," "&amp;(TODAY()-INT(N641))&amp;" ngày",""),""),4,200))))</f>
        <v/>
      </c>
      <c r="N641" s="49" t="n"/>
      <c r="S641">
        <f>IF(AND(E641&lt;&gt;"",T641="Có",J641&lt;&gt;"Xong",J641&lt;&gt;"Bỏ qua",ISNUMBER(I641)),I641+ROW()/100000,"")</f>
        <v/>
      </c>
      <c r="T641">
        <f>IF(O641="","",IFERROR(INDEX(SK_TD,MATCH(O641,SK_A,0)),""))</f>
        <v/>
      </c>
      <c r="V641">
        <f>IF(AND(O641&lt;&gt;"",O641=SEL_K,J641&lt;&gt;"Xong",J641&lt;&gt;"Bỏ qua"),IF(ISNUMBER(I641),I641,99999)+ROW()/100000,"")</f>
        <v/>
      </c>
    </row>
    <row r="642">
      <c r="A642" s="12">
        <f>IF(O642="","",IFERROR(INDEX(SK_B,MATCH(O642,SK_A,0))&amp;"",""))</f>
        <v/>
      </c>
      <c r="B642" s="45">
        <f>IF(O642="","",IFERROR(INDEX(SK_C,MATCH(O642,SK_A,0)),""))</f>
        <v/>
      </c>
      <c r="C642" s="46">
        <f>IF(Q642="","",IF(Q642=0,"D",IF(Q642&lt;0,"D"&amp;Q642,"D+"&amp;Q642)))</f>
        <v/>
      </c>
      <c r="D642" s="14" t="n"/>
      <c r="E642" s="12" t="n"/>
      <c r="F642" s="46" t="n"/>
      <c r="G642" s="47" t="n"/>
      <c r="H642" s="14" t="n"/>
      <c r="I642" s="13">
        <f>IF(OR(B642="",Q642=""),"",IF(Q642&gt;0,IF(R642="Làm việc",WORKDAY(IFERROR(IF(INDEX(SK_D,MATCH(O642,SK_A,0))="",B642,INDEX(SK_D,MATCH(O642,SK_A,0))),B642),Q642,HOLI),IFERROR(IF(INDEX(SK_D,MATCH(O642,SK_A,0))="",B642,INDEX(SK_D,MATCH(O642,SK_A,0))),B642)+Q642),B642+Q642))</f>
        <v/>
      </c>
      <c r="J642" s="14" t="n"/>
      <c r="K642" s="13" t="n"/>
      <c r="L642" s="12" t="n"/>
      <c r="M642" s="48">
        <f>IF(E642="","",IF(J642="Bỏ qua","—",IF(J642="Xong",IF(AND(ISNUMBER(K642),ISNUMBER(I642),K642&gt;I642),"Xong trễ","Xong"),MID(IF(G642=""," · CHƯA GIAO","")&amp;IF(NOT(ISNUMBER(I642)),"",IF(TODAY()&gt;I642," · QUÁ HẠN "&amp;(TODAY()-I642)&amp;" ngày",IF(I642-TODAY()&lt;=3," · Đến hạn "&amp;IF(I642=TODAY(),"hôm nay","trong "&amp;(I642-TODAY())&amp;" ngày"),"")))&amp;IF(J642="Chờ đối tác"," · Chờ đối tác"&amp;IF(ISNUMBER(N642)," "&amp;(TODAY()-INT(N642))&amp;" ngày",""),""),4,200))))</f>
        <v/>
      </c>
      <c r="N642" s="49" t="n"/>
      <c r="S642">
        <f>IF(AND(E642&lt;&gt;"",T642="Có",J642&lt;&gt;"Xong",J642&lt;&gt;"Bỏ qua",ISNUMBER(I642)),I642+ROW()/100000,"")</f>
        <v/>
      </c>
      <c r="T642">
        <f>IF(O642="","",IFERROR(INDEX(SK_TD,MATCH(O642,SK_A,0)),""))</f>
        <v/>
      </c>
      <c r="V642">
        <f>IF(AND(O642&lt;&gt;"",O642=SEL_K,J642&lt;&gt;"Xong",J642&lt;&gt;"Bỏ qua"),IF(ISNUMBER(I642),I642,99999)+ROW()/100000,"")</f>
        <v/>
      </c>
    </row>
    <row r="643">
      <c r="A643" s="12">
        <f>IF(O643="","",IFERROR(INDEX(SK_B,MATCH(O643,SK_A,0))&amp;"",""))</f>
        <v/>
      </c>
      <c r="B643" s="45">
        <f>IF(O643="","",IFERROR(INDEX(SK_C,MATCH(O643,SK_A,0)),""))</f>
        <v/>
      </c>
      <c r="C643" s="46">
        <f>IF(Q643="","",IF(Q643=0,"D",IF(Q643&lt;0,"D"&amp;Q643,"D+"&amp;Q643)))</f>
        <v/>
      </c>
      <c r="D643" s="14" t="n"/>
      <c r="E643" s="12" t="n"/>
      <c r="F643" s="46" t="n"/>
      <c r="G643" s="47" t="n"/>
      <c r="H643" s="14" t="n"/>
      <c r="I643" s="13">
        <f>IF(OR(B643="",Q643=""),"",IF(Q643&gt;0,IF(R643="Làm việc",WORKDAY(IFERROR(IF(INDEX(SK_D,MATCH(O643,SK_A,0))="",B643,INDEX(SK_D,MATCH(O643,SK_A,0))),B643),Q643,HOLI),IFERROR(IF(INDEX(SK_D,MATCH(O643,SK_A,0))="",B643,INDEX(SK_D,MATCH(O643,SK_A,0))),B643)+Q643),B643+Q643))</f>
        <v/>
      </c>
      <c r="J643" s="14" t="n"/>
      <c r="K643" s="13" t="n"/>
      <c r="L643" s="12" t="n"/>
      <c r="M643" s="48">
        <f>IF(E643="","",IF(J643="Bỏ qua","—",IF(J643="Xong",IF(AND(ISNUMBER(K643),ISNUMBER(I643),K643&gt;I643),"Xong trễ","Xong"),MID(IF(G643=""," · CHƯA GIAO","")&amp;IF(NOT(ISNUMBER(I643)),"",IF(TODAY()&gt;I643," · QUÁ HẠN "&amp;(TODAY()-I643)&amp;" ngày",IF(I643-TODAY()&lt;=3," · Đến hạn "&amp;IF(I643=TODAY(),"hôm nay","trong "&amp;(I643-TODAY())&amp;" ngày"),"")))&amp;IF(J643="Chờ đối tác"," · Chờ đối tác"&amp;IF(ISNUMBER(N643)," "&amp;(TODAY()-INT(N643))&amp;" ngày",""),""),4,200))))</f>
        <v/>
      </c>
      <c r="N643" s="49" t="n"/>
      <c r="S643">
        <f>IF(AND(E643&lt;&gt;"",T643="Có",J643&lt;&gt;"Xong",J643&lt;&gt;"Bỏ qua",ISNUMBER(I643)),I643+ROW()/100000,"")</f>
        <v/>
      </c>
      <c r="T643">
        <f>IF(O643="","",IFERROR(INDEX(SK_TD,MATCH(O643,SK_A,0)),""))</f>
        <v/>
      </c>
      <c r="V643">
        <f>IF(AND(O643&lt;&gt;"",O643=SEL_K,J643&lt;&gt;"Xong",J643&lt;&gt;"Bỏ qua"),IF(ISNUMBER(I643),I643,99999)+ROW()/100000,"")</f>
        <v/>
      </c>
    </row>
    <row r="644">
      <c r="A644" s="12">
        <f>IF(O644="","",IFERROR(INDEX(SK_B,MATCH(O644,SK_A,0))&amp;"",""))</f>
        <v/>
      </c>
      <c r="B644" s="45">
        <f>IF(O644="","",IFERROR(INDEX(SK_C,MATCH(O644,SK_A,0)),""))</f>
        <v/>
      </c>
      <c r="C644" s="46">
        <f>IF(Q644="","",IF(Q644=0,"D",IF(Q644&lt;0,"D"&amp;Q644,"D+"&amp;Q644)))</f>
        <v/>
      </c>
      <c r="D644" s="14" t="n"/>
      <c r="E644" s="12" t="n"/>
      <c r="F644" s="46" t="n"/>
      <c r="G644" s="47" t="n"/>
      <c r="H644" s="14" t="n"/>
      <c r="I644" s="13">
        <f>IF(OR(B644="",Q644=""),"",IF(Q644&gt;0,IF(R644="Làm việc",WORKDAY(IFERROR(IF(INDEX(SK_D,MATCH(O644,SK_A,0))="",B644,INDEX(SK_D,MATCH(O644,SK_A,0))),B644),Q644,HOLI),IFERROR(IF(INDEX(SK_D,MATCH(O644,SK_A,0))="",B644,INDEX(SK_D,MATCH(O644,SK_A,0))),B644)+Q644),B644+Q644))</f>
        <v/>
      </c>
      <c r="J644" s="14" t="n"/>
      <c r="K644" s="13" t="n"/>
      <c r="L644" s="12" t="n"/>
      <c r="M644" s="48">
        <f>IF(E644="","",IF(J644="Bỏ qua","—",IF(J644="Xong",IF(AND(ISNUMBER(K644),ISNUMBER(I644),K644&gt;I644),"Xong trễ","Xong"),MID(IF(G644=""," · CHƯA GIAO","")&amp;IF(NOT(ISNUMBER(I644)),"",IF(TODAY()&gt;I644," · QUÁ HẠN "&amp;(TODAY()-I644)&amp;" ngày",IF(I644-TODAY()&lt;=3," · Đến hạn "&amp;IF(I644=TODAY(),"hôm nay","trong "&amp;(I644-TODAY())&amp;" ngày"),"")))&amp;IF(J644="Chờ đối tác"," · Chờ đối tác"&amp;IF(ISNUMBER(N644)," "&amp;(TODAY()-INT(N644))&amp;" ngày",""),""),4,200))))</f>
        <v/>
      </c>
      <c r="N644" s="49" t="n"/>
      <c r="S644">
        <f>IF(AND(E644&lt;&gt;"",T644="Có",J644&lt;&gt;"Xong",J644&lt;&gt;"Bỏ qua",ISNUMBER(I644)),I644+ROW()/100000,"")</f>
        <v/>
      </c>
      <c r="T644">
        <f>IF(O644="","",IFERROR(INDEX(SK_TD,MATCH(O644,SK_A,0)),""))</f>
        <v/>
      </c>
      <c r="V644">
        <f>IF(AND(O644&lt;&gt;"",O644=SEL_K,J644&lt;&gt;"Xong",J644&lt;&gt;"Bỏ qua"),IF(ISNUMBER(I644),I644,99999)+ROW()/100000,"")</f>
        <v/>
      </c>
    </row>
    <row r="645">
      <c r="A645" s="12">
        <f>IF(O645="","",IFERROR(INDEX(SK_B,MATCH(O645,SK_A,0))&amp;"",""))</f>
        <v/>
      </c>
      <c r="B645" s="45">
        <f>IF(O645="","",IFERROR(INDEX(SK_C,MATCH(O645,SK_A,0)),""))</f>
        <v/>
      </c>
      <c r="C645" s="46">
        <f>IF(Q645="","",IF(Q645=0,"D",IF(Q645&lt;0,"D"&amp;Q645,"D+"&amp;Q645)))</f>
        <v/>
      </c>
      <c r="D645" s="14" t="n"/>
      <c r="E645" s="12" t="n"/>
      <c r="F645" s="46" t="n"/>
      <c r="G645" s="47" t="n"/>
      <c r="H645" s="14" t="n"/>
      <c r="I645" s="13">
        <f>IF(OR(B645="",Q645=""),"",IF(Q645&gt;0,IF(R645="Làm việc",WORKDAY(IFERROR(IF(INDEX(SK_D,MATCH(O645,SK_A,0))="",B645,INDEX(SK_D,MATCH(O645,SK_A,0))),B645),Q645,HOLI),IFERROR(IF(INDEX(SK_D,MATCH(O645,SK_A,0))="",B645,INDEX(SK_D,MATCH(O645,SK_A,0))),B645)+Q645),B645+Q645))</f>
        <v/>
      </c>
      <c r="J645" s="14" t="n"/>
      <c r="K645" s="13" t="n"/>
      <c r="L645" s="12" t="n"/>
      <c r="M645" s="48">
        <f>IF(E645="","",IF(J645="Bỏ qua","—",IF(J645="Xong",IF(AND(ISNUMBER(K645),ISNUMBER(I645),K645&gt;I645),"Xong trễ","Xong"),MID(IF(G645=""," · CHƯA GIAO","")&amp;IF(NOT(ISNUMBER(I645)),"",IF(TODAY()&gt;I645," · QUÁ HẠN "&amp;(TODAY()-I645)&amp;" ngày",IF(I645-TODAY()&lt;=3," · Đến hạn "&amp;IF(I645=TODAY(),"hôm nay","trong "&amp;(I645-TODAY())&amp;" ngày"),"")))&amp;IF(J645="Chờ đối tác"," · Chờ đối tác"&amp;IF(ISNUMBER(N645)," "&amp;(TODAY()-INT(N645))&amp;" ngày",""),""),4,200))))</f>
        <v/>
      </c>
      <c r="N645" s="49" t="n"/>
      <c r="S645">
        <f>IF(AND(E645&lt;&gt;"",T645="Có",J645&lt;&gt;"Xong",J645&lt;&gt;"Bỏ qua",ISNUMBER(I645)),I645+ROW()/100000,"")</f>
        <v/>
      </c>
      <c r="T645">
        <f>IF(O645="","",IFERROR(INDEX(SK_TD,MATCH(O645,SK_A,0)),""))</f>
        <v/>
      </c>
      <c r="V645">
        <f>IF(AND(O645&lt;&gt;"",O645=SEL_K,J645&lt;&gt;"Xong",J645&lt;&gt;"Bỏ qua"),IF(ISNUMBER(I645),I645,99999)+ROW()/100000,"")</f>
        <v/>
      </c>
    </row>
    <row r="646">
      <c r="A646" s="12">
        <f>IF(O646="","",IFERROR(INDEX(SK_B,MATCH(O646,SK_A,0))&amp;"",""))</f>
        <v/>
      </c>
      <c r="B646" s="45">
        <f>IF(O646="","",IFERROR(INDEX(SK_C,MATCH(O646,SK_A,0)),""))</f>
        <v/>
      </c>
      <c r="C646" s="46">
        <f>IF(Q646="","",IF(Q646=0,"D",IF(Q646&lt;0,"D"&amp;Q646,"D+"&amp;Q646)))</f>
        <v/>
      </c>
      <c r="D646" s="14" t="n"/>
      <c r="E646" s="12" t="n"/>
      <c r="F646" s="46" t="n"/>
      <c r="G646" s="47" t="n"/>
      <c r="H646" s="14" t="n"/>
      <c r="I646" s="13">
        <f>IF(OR(B646="",Q646=""),"",IF(Q646&gt;0,IF(R646="Làm việc",WORKDAY(IFERROR(IF(INDEX(SK_D,MATCH(O646,SK_A,0))="",B646,INDEX(SK_D,MATCH(O646,SK_A,0))),B646),Q646,HOLI),IFERROR(IF(INDEX(SK_D,MATCH(O646,SK_A,0))="",B646,INDEX(SK_D,MATCH(O646,SK_A,0))),B646)+Q646),B646+Q646))</f>
        <v/>
      </c>
      <c r="J646" s="14" t="n"/>
      <c r="K646" s="13" t="n"/>
      <c r="L646" s="12" t="n"/>
      <c r="M646" s="48">
        <f>IF(E646="","",IF(J646="Bỏ qua","—",IF(J646="Xong",IF(AND(ISNUMBER(K646),ISNUMBER(I646),K646&gt;I646),"Xong trễ","Xong"),MID(IF(G646=""," · CHƯA GIAO","")&amp;IF(NOT(ISNUMBER(I646)),"",IF(TODAY()&gt;I646," · QUÁ HẠN "&amp;(TODAY()-I646)&amp;" ngày",IF(I646-TODAY()&lt;=3," · Đến hạn "&amp;IF(I646=TODAY(),"hôm nay","trong "&amp;(I646-TODAY())&amp;" ngày"),"")))&amp;IF(J646="Chờ đối tác"," · Chờ đối tác"&amp;IF(ISNUMBER(N646)," "&amp;(TODAY()-INT(N646))&amp;" ngày",""),""),4,200))))</f>
        <v/>
      </c>
      <c r="N646" s="49" t="n"/>
      <c r="S646">
        <f>IF(AND(E646&lt;&gt;"",T646="Có",J646&lt;&gt;"Xong",J646&lt;&gt;"Bỏ qua",ISNUMBER(I646)),I646+ROW()/100000,"")</f>
        <v/>
      </c>
      <c r="T646">
        <f>IF(O646="","",IFERROR(INDEX(SK_TD,MATCH(O646,SK_A,0)),""))</f>
        <v/>
      </c>
      <c r="V646">
        <f>IF(AND(O646&lt;&gt;"",O646=SEL_K,J646&lt;&gt;"Xong",J646&lt;&gt;"Bỏ qua"),IF(ISNUMBER(I646),I646,99999)+ROW()/100000,"")</f>
        <v/>
      </c>
    </row>
    <row r="647">
      <c r="A647" s="12">
        <f>IF(O647="","",IFERROR(INDEX(SK_B,MATCH(O647,SK_A,0))&amp;"",""))</f>
        <v/>
      </c>
      <c r="B647" s="45">
        <f>IF(O647="","",IFERROR(INDEX(SK_C,MATCH(O647,SK_A,0)),""))</f>
        <v/>
      </c>
      <c r="C647" s="46">
        <f>IF(Q647="","",IF(Q647=0,"D",IF(Q647&lt;0,"D"&amp;Q647,"D+"&amp;Q647)))</f>
        <v/>
      </c>
      <c r="D647" s="14" t="n"/>
      <c r="E647" s="12" t="n"/>
      <c r="F647" s="46" t="n"/>
      <c r="G647" s="47" t="n"/>
      <c r="H647" s="14" t="n"/>
      <c r="I647" s="13">
        <f>IF(OR(B647="",Q647=""),"",IF(Q647&gt;0,IF(R647="Làm việc",WORKDAY(IFERROR(IF(INDEX(SK_D,MATCH(O647,SK_A,0))="",B647,INDEX(SK_D,MATCH(O647,SK_A,0))),B647),Q647,HOLI),IFERROR(IF(INDEX(SK_D,MATCH(O647,SK_A,0))="",B647,INDEX(SK_D,MATCH(O647,SK_A,0))),B647)+Q647),B647+Q647))</f>
        <v/>
      </c>
      <c r="J647" s="14" t="n"/>
      <c r="K647" s="13" t="n"/>
      <c r="L647" s="12" t="n"/>
      <c r="M647" s="48">
        <f>IF(E647="","",IF(J647="Bỏ qua","—",IF(J647="Xong",IF(AND(ISNUMBER(K647),ISNUMBER(I647),K647&gt;I647),"Xong trễ","Xong"),MID(IF(G647=""," · CHƯA GIAO","")&amp;IF(NOT(ISNUMBER(I647)),"",IF(TODAY()&gt;I647," · QUÁ HẠN "&amp;(TODAY()-I647)&amp;" ngày",IF(I647-TODAY()&lt;=3," · Đến hạn "&amp;IF(I647=TODAY(),"hôm nay","trong "&amp;(I647-TODAY())&amp;" ngày"),"")))&amp;IF(J647="Chờ đối tác"," · Chờ đối tác"&amp;IF(ISNUMBER(N647)," "&amp;(TODAY()-INT(N647))&amp;" ngày",""),""),4,200))))</f>
        <v/>
      </c>
      <c r="N647" s="49" t="n"/>
      <c r="S647">
        <f>IF(AND(E647&lt;&gt;"",T647="Có",J647&lt;&gt;"Xong",J647&lt;&gt;"Bỏ qua",ISNUMBER(I647)),I647+ROW()/100000,"")</f>
        <v/>
      </c>
      <c r="T647">
        <f>IF(O647="","",IFERROR(INDEX(SK_TD,MATCH(O647,SK_A,0)),""))</f>
        <v/>
      </c>
      <c r="V647">
        <f>IF(AND(O647&lt;&gt;"",O647=SEL_K,J647&lt;&gt;"Xong",J647&lt;&gt;"Bỏ qua"),IF(ISNUMBER(I647),I647,99999)+ROW()/100000,"")</f>
        <v/>
      </c>
    </row>
    <row r="648">
      <c r="A648" s="12">
        <f>IF(O648="","",IFERROR(INDEX(SK_B,MATCH(O648,SK_A,0))&amp;"",""))</f>
        <v/>
      </c>
      <c r="B648" s="45">
        <f>IF(O648="","",IFERROR(INDEX(SK_C,MATCH(O648,SK_A,0)),""))</f>
        <v/>
      </c>
      <c r="C648" s="46">
        <f>IF(Q648="","",IF(Q648=0,"D",IF(Q648&lt;0,"D"&amp;Q648,"D+"&amp;Q648)))</f>
        <v/>
      </c>
      <c r="D648" s="14" t="n"/>
      <c r="E648" s="12" t="n"/>
      <c r="F648" s="46" t="n"/>
      <c r="G648" s="47" t="n"/>
      <c r="H648" s="14" t="n"/>
      <c r="I648" s="13">
        <f>IF(OR(B648="",Q648=""),"",IF(Q648&gt;0,IF(R648="Làm việc",WORKDAY(IFERROR(IF(INDEX(SK_D,MATCH(O648,SK_A,0))="",B648,INDEX(SK_D,MATCH(O648,SK_A,0))),B648),Q648,HOLI),IFERROR(IF(INDEX(SK_D,MATCH(O648,SK_A,0))="",B648,INDEX(SK_D,MATCH(O648,SK_A,0))),B648)+Q648),B648+Q648))</f>
        <v/>
      </c>
      <c r="J648" s="14" t="n"/>
      <c r="K648" s="13" t="n"/>
      <c r="L648" s="12" t="n"/>
      <c r="M648" s="48">
        <f>IF(E648="","",IF(J648="Bỏ qua","—",IF(J648="Xong",IF(AND(ISNUMBER(K648),ISNUMBER(I648),K648&gt;I648),"Xong trễ","Xong"),MID(IF(G648=""," · CHƯA GIAO","")&amp;IF(NOT(ISNUMBER(I648)),"",IF(TODAY()&gt;I648," · QUÁ HẠN "&amp;(TODAY()-I648)&amp;" ngày",IF(I648-TODAY()&lt;=3," · Đến hạn "&amp;IF(I648=TODAY(),"hôm nay","trong "&amp;(I648-TODAY())&amp;" ngày"),"")))&amp;IF(J648="Chờ đối tác"," · Chờ đối tác"&amp;IF(ISNUMBER(N648)," "&amp;(TODAY()-INT(N648))&amp;" ngày",""),""),4,200))))</f>
        <v/>
      </c>
      <c r="N648" s="49" t="n"/>
      <c r="S648">
        <f>IF(AND(E648&lt;&gt;"",T648="Có",J648&lt;&gt;"Xong",J648&lt;&gt;"Bỏ qua",ISNUMBER(I648)),I648+ROW()/100000,"")</f>
        <v/>
      </c>
      <c r="T648">
        <f>IF(O648="","",IFERROR(INDEX(SK_TD,MATCH(O648,SK_A,0)),""))</f>
        <v/>
      </c>
      <c r="V648">
        <f>IF(AND(O648&lt;&gt;"",O648=SEL_K,J648&lt;&gt;"Xong",J648&lt;&gt;"Bỏ qua"),IF(ISNUMBER(I648),I648,99999)+ROW()/100000,"")</f>
        <v/>
      </c>
    </row>
    <row r="649">
      <c r="A649" s="12">
        <f>IF(O649="","",IFERROR(INDEX(SK_B,MATCH(O649,SK_A,0))&amp;"",""))</f>
        <v/>
      </c>
      <c r="B649" s="45">
        <f>IF(O649="","",IFERROR(INDEX(SK_C,MATCH(O649,SK_A,0)),""))</f>
        <v/>
      </c>
      <c r="C649" s="46">
        <f>IF(Q649="","",IF(Q649=0,"D",IF(Q649&lt;0,"D"&amp;Q649,"D+"&amp;Q649)))</f>
        <v/>
      </c>
      <c r="D649" s="14" t="n"/>
      <c r="E649" s="12" t="n"/>
      <c r="F649" s="46" t="n"/>
      <c r="G649" s="47" t="n"/>
      <c r="H649" s="14" t="n"/>
      <c r="I649" s="13">
        <f>IF(OR(B649="",Q649=""),"",IF(Q649&gt;0,IF(R649="Làm việc",WORKDAY(IFERROR(IF(INDEX(SK_D,MATCH(O649,SK_A,0))="",B649,INDEX(SK_D,MATCH(O649,SK_A,0))),B649),Q649,HOLI),IFERROR(IF(INDEX(SK_D,MATCH(O649,SK_A,0))="",B649,INDEX(SK_D,MATCH(O649,SK_A,0))),B649)+Q649),B649+Q649))</f>
        <v/>
      </c>
      <c r="J649" s="14" t="n"/>
      <c r="K649" s="13" t="n"/>
      <c r="L649" s="12" t="n"/>
      <c r="M649" s="48">
        <f>IF(E649="","",IF(J649="Bỏ qua","—",IF(J649="Xong",IF(AND(ISNUMBER(K649),ISNUMBER(I649),K649&gt;I649),"Xong trễ","Xong"),MID(IF(G649=""," · CHƯA GIAO","")&amp;IF(NOT(ISNUMBER(I649)),"",IF(TODAY()&gt;I649," · QUÁ HẠN "&amp;(TODAY()-I649)&amp;" ngày",IF(I649-TODAY()&lt;=3," · Đến hạn "&amp;IF(I649=TODAY(),"hôm nay","trong "&amp;(I649-TODAY())&amp;" ngày"),"")))&amp;IF(J649="Chờ đối tác"," · Chờ đối tác"&amp;IF(ISNUMBER(N649)," "&amp;(TODAY()-INT(N649))&amp;" ngày",""),""),4,200))))</f>
        <v/>
      </c>
      <c r="N649" s="49" t="n"/>
      <c r="S649">
        <f>IF(AND(E649&lt;&gt;"",T649="Có",J649&lt;&gt;"Xong",J649&lt;&gt;"Bỏ qua",ISNUMBER(I649)),I649+ROW()/100000,"")</f>
        <v/>
      </c>
      <c r="T649">
        <f>IF(O649="","",IFERROR(INDEX(SK_TD,MATCH(O649,SK_A,0)),""))</f>
        <v/>
      </c>
      <c r="V649">
        <f>IF(AND(O649&lt;&gt;"",O649=SEL_K,J649&lt;&gt;"Xong",J649&lt;&gt;"Bỏ qua"),IF(ISNUMBER(I649),I649,99999)+ROW()/100000,"")</f>
        <v/>
      </c>
    </row>
    <row r="650">
      <c r="A650" s="12">
        <f>IF(O650="","",IFERROR(INDEX(SK_B,MATCH(O650,SK_A,0))&amp;"",""))</f>
        <v/>
      </c>
      <c r="B650" s="45">
        <f>IF(O650="","",IFERROR(INDEX(SK_C,MATCH(O650,SK_A,0)),""))</f>
        <v/>
      </c>
      <c r="C650" s="46">
        <f>IF(Q650="","",IF(Q650=0,"D",IF(Q650&lt;0,"D"&amp;Q650,"D+"&amp;Q650)))</f>
        <v/>
      </c>
      <c r="D650" s="14" t="n"/>
      <c r="E650" s="12" t="n"/>
      <c r="F650" s="46" t="n"/>
      <c r="G650" s="47" t="n"/>
      <c r="H650" s="14" t="n"/>
      <c r="I650" s="13">
        <f>IF(OR(B650="",Q650=""),"",IF(Q650&gt;0,IF(R650="Làm việc",WORKDAY(IFERROR(IF(INDEX(SK_D,MATCH(O650,SK_A,0))="",B650,INDEX(SK_D,MATCH(O650,SK_A,0))),B650),Q650,HOLI),IFERROR(IF(INDEX(SK_D,MATCH(O650,SK_A,0))="",B650,INDEX(SK_D,MATCH(O650,SK_A,0))),B650)+Q650),B650+Q650))</f>
        <v/>
      </c>
      <c r="J650" s="14" t="n"/>
      <c r="K650" s="13" t="n"/>
      <c r="L650" s="12" t="n"/>
      <c r="M650" s="48">
        <f>IF(E650="","",IF(J650="Bỏ qua","—",IF(J650="Xong",IF(AND(ISNUMBER(K650),ISNUMBER(I650),K650&gt;I650),"Xong trễ","Xong"),MID(IF(G650=""," · CHƯA GIAO","")&amp;IF(NOT(ISNUMBER(I650)),"",IF(TODAY()&gt;I650," · QUÁ HẠN "&amp;(TODAY()-I650)&amp;" ngày",IF(I650-TODAY()&lt;=3," · Đến hạn "&amp;IF(I650=TODAY(),"hôm nay","trong "&amp;(I650-TODAY())&amp;" ngày"),"")))&amp;IF(J650="Chờ đối tác"," · Chờ đối tác"&amp;IF(ISNUMBER(N650)," "&amp;(TODAY()-INT(N650))&amp;" ngày",""),""),4,200))))</f>
        <v/>
      </c>
      <c r="N650" s="49" t="n"/>
      <c r="S650">
        <f>IF(AND(E650&lt;&gt;"",T650="Có",J650&lt;&gt;"Xong",J650&lt;&gt;"Bỏ qua",ISNUMBER(I650)),I650+ROW()/100000,"")</f>
        <v/>
      </c>
      <c r="T650">
        <f>IF(O650="","",IFERROR(INDEX(SK_TD,MATCH(O650,SK_A,0)),""))</f>
        <v/>
      </c>
      <c r="V650">
        <f>IF(AND(O650&lt;&gt;"",O650=SEL_K,J650&lt;&gt;"Xong",J650&lt;&gt;"Bỏ qua"),IF(ISNUMBER(I650),I650,99999)+ROW()/100000,"")</f>
        <v/>
      </c>
    </row>
    <row r="651">
      <c r="A651" s="12">
        <f>IF(O651="","",IFERROR(INDEX(SK_B,MATCH(O651,SK_A,0))&amp;"",""))</f>
        <v/>
      </c>
      <c r="B651" s="45">
        <f>IF(O651="","",IFERROR(INDEX(SK_C,MATCH(O651,SK_A,0)),""))</f>
        <v/>
      </c>
      <c r="C651" s="46">
        <f>IF(Q651="","",IF(Q651=0,"D",IF(Q651&lt;0,"D"&amp;Q651,"D+"&amp;Q651)))</f>
        <v/>
      </c>
      <c r="D651" s="14" t="n"/>
      <c r="E651" s="12" t="n"/>
      <c r="F651" s="46" t="n"/>
      <c r="G651" s="47" t="n"/>
      <c r="H651" s="14" t="n"/>
      <c r="I651" s="13">
        <f>IF(OR(B651="",Q651=""),"",IF(Q651&gt;0,IF(R651="Làm việc",WORKDAY(IFERROR(IF(INDEX(SK_D,MATCH(O651,SK_A,0))="",B651,INDEX(SK_D,MATCH(O651,SK_A,0))),B651),Q651,HOLI),IFERROR(IF(INDEX(SK_D,MATCH(O651,SK_A,0))="",B651,INDEX(SK_D,MATCH(O651,SK_A,0))),B651)+Q651),B651+Q651))</f>
        <v/>
      </c>
      <c r="J651" s="14" t="n"/>
      <c r="K651" s="13" t="n"/>
      <c r="L651" s="12" t="n"/>
      <c r="M651" s="48">
        <f>IF(E651="","",IF(J651="Bỏ qua","—",IF(J651="Xong",IF(AND(ISNUMBER(K651),ISNUMBER(I651),K651&gt;I651),"Xong trễ","Xong"),MID(IF(G651=""," · CHƯA GIAO","")&amp;IF(NOT(ISNUMBER(I651)),"",IF(TODAY()&gt;I651," · QUÁ HẠN "&amp;(TODAY()-I651)&amp;" ngày",IF(I651-TODAY()&lt;=3," · Đến hạn "&amp;IF(I651=TODAY(),"hôm nay","trong "&amp;(I651-TODAY())&amp;" ngày"),"")))&amp;IF(J651="Chờ đối tác"," · Chờ đối tác"&amp;IF(ISNUMBER(N651)," "&amp;(TODAY()-INT(N651))&amp;" ngày",""),""),4,200))))</f>
        <v/>
      </c>
      <c r="N651" s="49" t="n"/>
      <c r="S651">
        <f>IF(AND(E651&lt;&gt;"",T651="Có",J651&lt;&gt;"Xong",J651&lt;&gt;"Bỏ qua",ISNUMBER(I651)),I651+ROW()/100000,"")</f>
        <v/>
      </c>
      <c r="T651">
        <f>IF(O651="","",IFERROR(INDEX(SK_TD,MATCH(O651,SK_A,0)),""))</f>
        <v/>
      </c>
      <c r="V651">
        <f>IF(AND(O651&lt;&gt;"",O651=SEL_K,J651&lt;&gt;"Xong",J651&lt;&gt;"Bỏ qua"),IF(ISNUMBER(I651),I651,99999)+ROW()/100000,"")</f>
        <v/>
      </c>
    </row>
    <row r="652">
      <c r="A652" s="12">
        <f>IF(O652="","",IFERROR(INDEX(SK_B,MATCH(O652,SK_A,0))&amp;"",""))</f>
        <v/>
      </c>
      <c r="B652" s="45">
        <f>IF(O652="","",IFERROR(INDEX(SK_C,MATCH(O652,SK_A,0)),""))</f>
        <v/>
      </c>
      <c r="C652" s="46">
        <f>IF(Q652="","",IF(Q652=0,"D",IF(Q652&lt;0,"D"&amp;Q652,"D+"&amp;Q652)))</f>
        <v/>
      </c>
      <c r="D652" s="14" t="n"/>
      <c r="E652" s="12" t="n"/>
      <c r="F652" s="46" t="n"/>
      <c r="G652" s="47" t="n"/>
      <c r="H652" s="14" t="n"/>
      <c r="I652" s="13">
        <f>IF(OR(B652="",Q652=""),"",IF(Q652&gt;0,IF(R652="Làm việc",WORKDAY(IFERROR(IF(INDEX(SK_D,MATCH(O652,SK_A,0))="",B652,INDEX(SK_D,MATCH(O652,SK_A,0))),B652),Q652,HOLI),IFERROR(IF(INDEX(SK_D,MATCH(O652,SK_A,0))="",B652,INDEX(SK_D,MATCH(O652,SK_A,0))),B652)+Q652),B652+Q652))</f>
        <v/>
      </c>
      <c r="J652" s="14" t="n"/>
      <c r="K652" s="13" t="n"/>
      <c r="L652" s="12" t="n"/>
      <c r="M652" s="48">
        <f>IF(E652="","",IF(J652="Bỏ qua","—",IF(J652="Xong",IF(AND(ISNUMBER(K652),ISNUMBER(I652),K652&gt;I652),"Xong trễ","Xong"),MID(IF(G652=""," · CHƯA GIAO","")&amp;IF(NOT(ISNUMBER(I652)),"",IF(TODAY()&gt;I652," · QUÁ HẠN "&amp;(TODAY()-I652)&amp;" ngày",IF(I652-TODAY()&lt;=3," · Đến hạn "&amp;IF(I652=TODAY(),"hôm nay","trong "&amp;(I652-TODAY())&amp;" ngày"),"")))&amp;IF(J652="Chờ đối tác"," · Chờ đối tác"&amp;IF(ISNUMBER(N652)," "&amp;(TODAY()-INT(N652))&amp;" ngày",""),""),4,200))))</f>
        <v/>
      </c>
      <c r="N652" s="49" t="n"/>
      <c r="S652">
        <f>IF(AND(E652&lt;&gt;"",T652="Có",J652&lt;&gt;"Xong",J652&lt;&gt;"Bỏ qua",ISNUMBER(I652)),I652+ROW()/100000,"")</f>
        <v/>
      </c>
      <c r="T652">
        <f>IF(O652="","",IFERROR(INDEX(SK_TD,MATCH(O652,SK_A,0)),""))</f>
        <v/>
      </c>
      <c r="V652">
        <f>IF(AND(O652&lt;&gt;"",O652=SEL_K,J652&lt;&gt;"Xong",J652&lt;&gt;"Bỏ qua"),IF(ISNUMBER(I652),I652,99999)+ROW()/100000,"")</f>
        <v/>
      </c>
    </row>
    <row r="653">
      <c r="A653" s="12">
        <f>IF(O653="","",IFERROR(INDEX(SK_B,MATCH(O653,SK_A,0))&amp;"",""))</f>
        <v/>
      </c>
      <c r="B653" s="45">
        <f>IF(O653="","",IFERROR(INDEX(SK_C,MATCH(O653,SK_A,0)),""))</f>
        <v/>
      </c>
      <c r="C653" s="46">
        <f>IF(Q653="","",IF(Q653=0,"D",IF(Q653&lt;0,"D"&amp;Q653,"D+"&amp;Q653)))</f>
        <v/>
      </c>
      <c r="D653" s="14" t="n"/>
      <c r="E653" s="12" t="n"/>
      <c r="F653" s="46" t="n"/>
      <c r="G653" s="47" t="n"/>
      <c r="H653" s="14" t="n"/>
      <c r="I653" s="13">
        <f>IF(OR(B653="",Q653=""),"",IF(Q653&gt;0,IF(R653="Làm việc",WORKDAY(IFERROR(IF(INDEX(SK_D,MATCH(O653,SK_A,0))="",B653,INDEX(SK_D,MATCH(O653,SK_A,0))),B653),Q653,HOLI),IFERROR(IF(INDEX(SK_D,MATCH(O653,SK_A,0))="",B653,INDEX(SK_D,MATCH(O653,SK_A,0))),B653)+Q653),B653+Q653))</f>
        <v/>
      </c>
      <c r="J653" s="14" t="n"/>
      <c r="K653" s="13" t="n"/>
      <c r="L653" s="12" t="n"/>
      <c r="M653" s="48">
        <f>IF(E653="","",IF(J653="Bỏ qua","—",IF(J653="Xong",IF(AND(ISNUMBER(K653),ISNUMBER(I653),K653&gt;I653),"Xong trễ","Xong"),MID(IF(G653=""," · CHƯA GIAO","")&amp;IF(NOT(ISNUMBER(I653)),"",IF(TODAY()&gt;I653," · QUÁ HẠN "&amp;(TODAY()-I653)&amp;" ngày",IF(I653-TODAY()&lt;=3," · Đến hạn "&amp;IF(I653=TODAY(),"hôm nay","trong "&amp;(I653-TODAY())&amp;" ngày"),"")))&amp;IF(J653="Chờ đối tác"," · Chờ đối tác"&amp;IF(ISNUMBER(N653)," "&amp;(TODAY()-INT(N653))&amp;" ngày",""),""),4,200))))</f>
        <v/>
      </c>
      <c r="N653" s="49" t="n"/>
      <c r="S653">
        <f>IF(AND(E653&lt;&gt;"",T653="Có",J653&lt;&gt;"Xong",J653&lt;&gt;"Bỏ qua",ISNUMBER(I653)),I653+ROW()/100000,"")</f>
        <v/>
      </c>
      <c r="T653">
        <f>IF(O653="","",IFERROR(INDEX(SK_TD,MATCH(O653,SK_A,0)),""))</f>
        <v/>
      </c>
      <c r="V653">
        <f>IF(AND(O653&lt;&gt;"",O653=SEL_K,J653&lt;&gt;"Xong",J653&lt;&gt;"Bỏ qua"),IF(ISNUMBER(I653),I653,99999)+ROW()/100000,"")</f>
        <v/>
      </c>
    </row>
    <row r="654">
      <c r="A654" s="12">
        <f>IF(O654="","",IFERROR(INDEX(SK_B,MATCH(O654,SK_A,0))&amp;"",""))</f>
        <v/>
      </c>
      <c r="B654" s="45">
        <f>IF(O654="","",IFERROR(INDEX(SK_C,MATCH(O654,SK_A,0)),""))</f>
        <v/>
      </c>
      <c r="C654" s="46">
        <f>IF(Q654="","",IF(Q654=0,"D",IF(Q654&lt;0,"D"&amp;Q654,"D+"&amp;Q654)))</f>
        <v/>
      </c>
      <c r="D654" s="14" t="n"/>
      <c r="E654" s="12" t="n"/>
      <c r="F654" s="46" t="n"/>
      <c r="G654" s="47" t="n"/>
      <c r="H654" s="14" t="n"/>
      <c r="I654" s="13">
        <f>IF(OR(B654="",Q654=""),"",IF(Q654&gt;0,IF(R654="Làm việc",WORKDAY(IFERROR(IF(INDEX(SK_D,MATCH(O654,SK_A,0))="",B654,INDEX(SK_D,MATCH(O654,SK_A,0))),B654),Q654,HOLI),IFERROR(IF(INDEX(SK_D,MATCH(O654,SK_A,0))="",B654,INDEX(SK_D,MATCH(O654,SK_A,0))),B654)+Q654),B654+Q654))</f>
        <v/>
      </c>
      <c r="J654" s="14" t="n"/>
      <c r="K654" s="13" t="n"/>
      <c r="L654" s="12" t="n"/>
      <c r="M654" s="48">
        <f>IF(E654="","",IF(J654="Bỏ qua","—",IF(J654="Xong",IF(AND(ISNUMBER(K654),ISNUMBER(I654),K654&gt;I654),"Xong trễ","Xong"),MID(IF(G654=""," · CHƯA GIAO","")&amp;IF(NOT(ISNUMBER(I654)),"",IF(TODAY()&gt;I654," · QUÁ HẠN "&amp;(TODAY()-I654)&amp;" ngày",IF(I654-TODAY()&lt;=3," · Đến hạn "&amp;IF(I654=TODAY(),"hôm nay","trong "&amp;(I654-TODAY())&amp;" ngày"),"")))&amp;IF(J654="Chờ đối tác"," · Chờ đối tác"&amp;IF(ISNUMBER(N654)," "&amp;(TODAY()-INT(N654))&amp;" ngày",""),""),4,200))))</f>
        <v/>
      </c>
      <c r="N654" s="49" t="n"/>
      <c r="S654">
        <f>IF(AND(E654&lt;&gt;"",T654="Có",J654&lt;&gt;"Xong",J654&lt;&gt;"Bỏ qua",ISNUMBER(I654)),I654+ROW()/100000,"")</f>
        <v/>
      </c>
      <c r="T654">
        <f>IF(O654="","",IFERROR(INDEX(SK_TD,MATCH(O654,SK_A,0)),""))</f>
        <v/>
      </c>
      <c r="V654">
        <f>IF(AND(O654&lt;&gt;"",O654=SEL_K,J654&lt;&gt;"Xong",J654&lt;&gt;"Bỏ qua"),IF(ISNUMBER(I654),I654,99999)+ROW()/100000,"")</f>
        <v/>
      </c>
    </row>
    <row r="655">
      <c r="A655" s="12">
        <f>IF(O655="","",IFERROR(INDEX(SK_B,MATCH(O655,SK_A,0))&amp;"",""))</f>
        <v/>
      </c>
      <c r="B655" s="45">
        <f>IF(O655="","",IFERROR(INDEX(SK_C,MATCH(O655,SK_A,0)),""))</f>
        <v/>
      </c>
      <c r="C655" s="46">
        <f>IF(Q655="","",IF(Q655=0,"D",IF(Q655&lt;0,"D"&amp;Q655,"D+"&amp;Q655)))</f>
        <v/>
      </c>
      <c r="D655" s="14" t="n"/>
      <c r="E655" s="12" t="n"/>
      <c r="F655" s="46" t="n"/>
      <c r="G655" s="47" t="n"/>
      <c r="H655" s="14" t="n"/>
      <c r="I655" s="13">
        <f>IF(OR(B655="",Q655=""),"",IF(Q655&gt;0,IF(R655="Làm việc",WORKDAY(IFERROR(IF(INDEX(SK_D,MATCH(O655,SK_A,0))="",B655,INDEX(SK_D,MATCH(O655,SK_A,0))),B655),Q655,HOLI),IFERROR(IF(INDEX(SK_D,MATCH(O655,SK_A,0))="",B655,INDEX(SK_D,MATCH(O655,SK_A,0))),B655)+Q655),B655+Q655))</f>
        <v/>
      </c>
      <c r="J655" s="14" t="n"/>
      <c r="K655" s="13" t="n"/>
      <c r="L655" s="12" t="n"/>
      <c r="M655" s="48">
        <f>IF(E655="","",IF(J655="Bỏ qua","—",IF(J655="Xong",IF(AND(ISNUMBER(K655),ISNUMBER(I655),K655&gt;I655),"Xong trễ","Xong"),MID(IF(G655=""," · CHƯA GIAO","")&amp;IF(NOT(ISNUMBER(I655)),"",IF(TODAY()&gt;I655," · QUÁ HẠN "&amp;(TODAY()-I655)&amp;" ngày",IF(I655-TODAY()&lt;=3," · Đến hạn "&amp;IF(I655=TODAY(),"hôm nay","trong "&amp;(I655-TODAY())&amp;" ngày"),"")))&amp;IF(J655="Chờ đối tác"," · Chờ đối tác"&amp;IF(ISNUMBER(N655)," "&amp;(TODAY()-INT(N655))&amp;" ngày",""),""),4,200))))</f>
        <v/>
      </c>
      <c r="N655" s="49" t="n"/>
      <c r="S655">
        <f>IF(AND(E655&lt;&gt;"",T655="Có",J655&lt;&gt;"Xong",J655&lt;&gt;"Bỏ qua",ISNUMBER(I655)),I655+ROW()/100000,"")</f>
        <v/>
      </c>
      <c r="T655">
        <f>IF(O655="","",IFERROR(INDEX(SK_TD,MATCH(O655,SK_A,0)),""))</f>
        <v/>
      </c>
      <c r="V655">
        <f>IF(AND(O655&lt;&gt;"",O655=SEL_K,J655&lt;&gt;"Xong",J655&lt;&gt;"Bỏ qua"),IF(ISNUMBER(I655),I655,99999)+ROW()/100000,"")</f>
        <v/>
      </c>
    </row>
    <row r="656">
      <c r="A656" s="12">
        <f>IF(O656="","",IFERROR(INDEX(SK_B,MATCH(O656,SK_A,0))&amp;"",""))</f>
        <v/>
      </c>
      <c r="B656" s="45">
        <f>IF(O656="","",IFERROR(INDEX(SK_C,MATCH(O656,SK_A,0)),""))</f>
        <v/>
      </c>
      <c r="C656" s="46">
        <f>IF(Q656="","",IF(Q656=0,"D",IF(Q656&lt;0,"D"&amp;Q656,"D+"&amp;Q656)))</f>
        <v/>
      </c>
      <c r="D656" s="14" t="n"/>
      <c r="E656" s="12" t="n"/>
      <c r="F656" s="46" t="n"/>
      <c r="G656" s="47" t="n"/>
      <c r="H656" s="14" t="n"/>
      <c r="I656" s="13">
        <f>IF(OR(B656="",Q656=""),"",IF(Q656&gt;0,IF(R656="Làm việc",WORKDAY(IFERROR(IF(INDEX(SK_D,MATCH(O656,SK_A,0))="",B656,INDEX(SK_D,MATCH(O656,SK_A,0))),B656),Q656,HOLI),IFERROR(IF(INDEX(SK_D,MATCH(O656,SK_A,0))="",B656,INDEX(SK_D,MATCH(O656,SK_A,0))),B656)+Q656),B656+Q656))</f>
        <v/>
      </c>
      <c r="J656" s="14" t="n"/>
      <c r="K656" s="13" t="n"/>
      <c r="L656" s="12" t="n"/>
      <c r="M656" s="48">
        <f>IF(E656="","",IF(J656="Bỏ qua","—",IF(J656="Xong",IF(AND(ISNUMBER(K656),ISNUMBER(I656),K656&gt;I656),"Xong trễ","Xong"),MID(IF(G656=""," · CHƯA GIAO","")&amp;IF(NOT(ISNUMBER(I656)),"",IF(TODAY()&gt;I656," · QUÁ HẠN "&amp;(TODAY()-I656)&amp;" ngày",IF(I656-TODAY()&lt;=3," · Đến hạn "&amp;IF(I656=TODAY(),"hôm nay","trong "&amp;(I656-TODAY())&amp;" ngày"),"")))&amp;IF(J656="Chờ đối tác"," · Chờ đối tác"&amp;IF(ISNUMBER(N656)," "&amp;(TODAY()-INT(N656))&amp;" ngày",""),""),4,200))))</f>
        <v/>
      </c>
      <c r="N656" s="49" t="n"/>
      <c r="S656">
        <f>IF(AND(E656&lt;&gt;"",T656="Có",J656&lt;&gt;"Xong",J656&lt;&gt;"Bỏ qua",ISNUMBER(I656)),I656+ROW()/100000,"")</f>
        <v/>
      </c>
      <c r="T656">
        <f>IF(O656="","",IFERROR(INDEX(SK_TD,MATCH(O656,SK_A,0)),""))</f>
        <v/>
      </c>
      <c r="V656">
        <f>IF(AND(O656&lt;&gt;"",O656=SEL_K,J656&lt;&gt;"Xong",J656&lt;&gt;"Bỏ qua"),IF(ISNUMBER(I656),I656,99999)+ROW()/100000,"")</f>
        <v/>
      </c>
    </row>
    <row r="657">
      <c r="A657" s="12">
        <f>IF(O657="","",IFERROR(INDEX(SK_B,MATCH(O657,SK_A,0))&amp;"",""))</f>
        <v/>
      </c>
      <c r="B657" s="45">
        <f>IF(O657="","",IFERROR(INDEX(SK_C,MATCH(O657,SK_A,0)),""))</f>
        <v/>
      </c>
      <c r="C657" s="46">
        <f>IF(Q657="","",IF(Q657=0,"D",IF(Q657&lt;0,"D"&amp;Q657,"D+"&amp;Q657)))</f>
        <v/>
      </c>
      <c r="D657" s="14" t="n"/>
      <c r="E657" s="12" t="n"/>
      <c r="F657" s="46" t="n"/>
      <c r="G657" s="47" t="n"/>
      <c r="H657" s="14" t="n"/>
      <c r="I657" s="13">
        <f>IF(OR(B657="",Q657=""),"",IF(Q657&gt;0,IF(R657="Làm việc",WORKDAY(IFERROR(IF(INDEX(SK_D,MATCH(O657,SK_A,0))="",B657,INDEX(SK_D,MATCH(O657,SK_A,0))),B657),Q657,HOLI),IFERROR(IF(INDEX(SK_D,MATCH(O657,SK_A,0))="",B657,INDEX(SK_D,MATCH(O657,SK_A,0))),B657)+Q657),B657+Q657))</f>
        <v/>
      </c>
      <c r="J657" s="14" t="n"/>
      <c r="K657" s="13" t="n"/>
      <c r="L657" s="12" t="n"/>
      <c r="M657" s="48">
        <f>IF(E657="","",IF(J657="Bỏ qua","—",IF(J657="Xong",IF(AND(ISNUMBER(K657),ISNUMBER(I657),K657&gt;I657),"Xong trễ","Xong"),MID(IF(G657=""," · CHƯA GIAO","")&amp;IF(NOT(ISNUMBER(I657)),"",IF(TODAY()&gt;I657," · QUÁ HẠN "&amp;(TODAY()-I657)&amp;" ngày",IF(I657-TODAY()&lt;=3," · Đến hạn "&amp;IF(I657=TODAY(),"hôm nay","trong "&amp;(I657-TODAY())&amp;" ngày"),"")))&amp;IF(J657="Chờ đối tác"," · Chờ đối tác"&amp;IF(ISNUMBER(N657)," "&amp;(TODAY()-INT(N657))&amp;" ngày",""),""),4,200))))</f>
        <v/>
      </c>
      <c r="N657" s="49" t="n"/>
      <c r="S657">
        <f>IF(AND(E657&lt;&gt;"",T657="Có",J657&lt;&gt;"Xong",J657&lt;&gt;"Bỏ qua",ISNUMBER(I657)),I657+ROW()/100000,"")</f>
        <v/>
      </c>
      <c r="T657">
        <f>IF(O657="","",IFERROR(INDEX(SK_TD,MATCH(O657,SK_A,0)),""))</f>
        <v/>
      </c>
      <c r="V657">
        <f>IF(AND(O657&lt;&gt;"",O657=SEL_K,J657&lt;&gt;"Xong",J657&lt;&gt;"Bỏ qua"),IF(ISNUMBER(I657),I657,99999)+ROW()/100000,"")</f>
        <v/>
      </c>
    </row>
    <row r="658">
      <c r="A658" s="12">
        <f>IF(O658="","",IFERROR(INDEX(SK_B,MATCH(O658,SK_A,0))&amp;"",""))</f>
        <v/>
      </c>
      <c r="B658" s="45">
        <f>IF(O658="","",IFERROR(INDEX(SK_C,MATCH(O658,SK_A,0)),""))</f>
        <v/>
      </c>
      <c r="C658" s="46">
        <f>IF(Q658="","",IF(Q658=0,"D",IF(Q658&lt;0,"D"&amp;Q658,"D+"&amp;Q658)))</f>
        <v/>
      </c>
      <c r="D658" s="14" t="n"/>
      <c r="E658" s="12" t="n"/>
      <c r="F658" s="46" t="n"/>
      <c r="G658" s="47" t="n"/>
      <c r="H658" s="14" t="n"/>
      <c r="I658" s="13">
        <f>IF(OR(B658="",Q658=""),"",IF(Q658&gt;0,IF(R658="Làm việc",WORKDAY(IFERROR(IF(INDEX(SK_D,MATCH(O658,SK_A,0))="",B658,INDEX(SK_D,MATCH(O658,SK_A,0))),B658),Q658,HOLI),IFERROR(IF(INDEX(SK_D,MATCH(O658,SK_A,0))="",B658,INDEX(SK_D,MATCH(O658,SK_A,0))),B658)+Q658),B658+Q658))</f>
        <v/>
      </c>
      <c r="J658" s="14" t="n"/>
      <c r="K658" s="13" t="n"/>
      <c r="L658" s="12" t="n"/>
      <c r="M658" s="48">
        <f>IF(E658="","",IF(J658="Bỏ qua","—",IF(J658="Xong",IF(AND(ISNUMBER(K658),ISNUMBER(I658),K658&gt;I658),"Xong trễ","Xong"),MID(IF(G658=""," · CHƯA GIAO","")&amp;IF(NOT(ISNUMBER(I658)),"",IF(TODAY()&gt;I658," · QUÁ HẠN "&amp;(TODAY()-I658)&amp;" ngày",IF(I658-TODAY()&lt;=3," · Đến hạn "&amp;IF(I658=TODAY(),"hôm nay","trong "&amp;(I658-TODAY())&amp;" ngày"),"")))&amp;IF(J658="Chờ đối tác"," · Chờ đối tác"&amp;IF(ISNUMBER(N658)," "&amp;(TODAY()-INT(N658))&amp;" ngày",""),""),4,200))))</f>
        <v/>
      </c>
      <c r="N658" s="49" t="n"/>
      <c r="S658">
        <f>IF(AND(E658&lt;&gt;"",T658="Có",J658&lt;&gt;"Xong",J658&lt;&gt;"Bỏ qua",ISNUMBER(I658)),I658+ROW()/100000,"")</f>
        <v/>
      </c>
      <c r="T658">
        <f>IF(O658="","",IFERROR(INDEX(SK_TD,MATCH(O658,SK_A,0)),""))</f>
        <v/>
      </c>
      <c r="V658">
        <f>IF(AND(O658&lt;&gt;"",O658=SEL_K,J658&lt;&gt;"Xong",J658&lt;&gt;"Bỏ qua"),IF(ISNUMBER(I658),I658,99999)+ROW()/100000,"")</f>
        <v/>
      </c>
    </row>
    <row r="659">
      <c r="A659" s="12">
        <f>IF(O659="","",IFERROR(INDEX(SK_B,MATCH(O659,SK_A,0))&amp;"",""))</f>
        <v/>
      </c>
      <c r="B659" s="45">
        <f>IF(O659="","",IFERROR(INDEX(SK_C,MATCH(O659,SK_A,0)),""))</f>
        <v/>
      </c>
      <c r="C659" s="46">
        <f>IF(Q659="","",IF(Q659=0,"D",IF(Q659&lt;0,"D"&amp;Q659,"D+"&amp;Q659)))</f>
        <v/>
      </c>
      <c r="D659" s="14" t="n"/>
      <c r="E659" s="12" t="n"/>
      <c r="F659" s="46" t="n"/>
      <c r="G659" s="47" t="n"/>
      <c r="H659" s="14" t="n"/>
      <c r="I659" s="13">
        <f>IF(OR(B659="",Q659=""),"",IF(Q659&gt;0,IF(R659="Làm việc",WORKDAY(IFERROR(IF(INDEX(SK_D,MATCH(O659,SK_A,0))="",B659,INDEX(SK_D,MATCH(O659,SK_A,0))),B659),Q659,HOLI),IFERROR(IF(INDEX(SK_D,MATCH(O659,SK_A,0))="",B659,INDEX(SK_D,MATCH(O659,SK_A,0))),B659)+Q659),B659+Q659))</f>
        <v/>
      </c>
      <c r="J659" s="14" t="n"/>
      <c r="K659" s="13" t="n"/>
      <c r="L659" s="12" t="n"/>
      <c r="M659" s="48">
        <f>IF(E659="","",IF(J659="Bỏ qua","—",IF(J659="Xong",IF(AND(ISNUMBER(K659),ISNUMBER(I659),K659&gt;I659),"Xong trễ","Xong"),MID(IF(G659=""," · CHƯA GIAO","")&amp;IF(NOT(ISNUMBER(I659)),"",IF(TODAY()&gt;I659," · QUÁ HẠN "&amp;(TODAY()-I659)&amp;" ngày",IF(I659-TODAY()&lt;=3," · Đến hạn "&amp;IF(I659=TODAY(),"hôm nay","trong "&amp;(I659-TODAY())&amp;" ngày"),"")))&amp;IF(J659="Chờ đối tác"," · Chờ đối tác"&amp;IF(ISNUMBER(N659)," "&amp;(TODAY()-INT(N659))&amp;" ngày",""),""),4,200))))</f>
        <v/>
      </c>
      <c r="N659" s="49" t="n"/>
      <c r="S659">
        <f>IF(AND(E659&lt;&gt;"",T659="Có",J659&lt;&gt;"Xong",J659&lt;&gt;"Bỏ qua",ISNUMBER(I659)),I659+ROW()/100000,"")</f>
        <v/>
      </c>
      <c r="T659">
        <f>IF(O659="","",IFERROR(INDEX(SK_TD,MATCH(O659,SK_A,0)),""))</f>
        <v/>
      </c>
      <c r="V659">
        <f>IF(AND(O659&lt;&gt;"",O659=SEL_K,J659&lt;&gt;"Xong",J659&lt;&gt;"Bỏ qua"),IF(ISNUMBER(I659),I659,99999)+ROW()/100000,"")</f>
        <v/>
      </c>
    </row>
    <row r="660">
      <c r="A660" s="12">
        <f>IF(O660="","",IFERROR(INDEX(SK_B,MATCH(O660,SK_A,0))&amp;"",""))</f>
        <v/>
      </c>
      <c r="B660" s="45">
        <f>IF(O660="","",IFERROR(INDEX(SK_C,MATCH(O660,SK_A,0)),""))</f>
        <v/>
      </c>
      <c r="C660" s="46">
        <f>IF(Q660="","",IF(Q660=0,"D",IF(Q660&lt;0,"D"&amp;Q660,"D+"&amp;Q660)))</f>
        <v/>
      </c>
      <c r="D660" s="14" t="n"/>
      <c r="E660" s="12" t="n"/>
      <c r="F660" s="46" t="n"/>
      <c r="G660" s="47" t="n"/>
      <c r="H660" s="14" t="n"/>
      <c r="I660" s="13">
        <f>IF(OR(B660="",Q660=""),"",IF(Q660&gt;0,IF(R660="Làm việc",WORKDAY(IFERROR(IF(INDEX(SK_D,MATCH(O660,SK_A,0))="",B660,INDEX(SK_D,MATCH(O660,SK_A,0))),B660),Q660,HOLI),IFERROR(IF(INDEX(SK_D,MATCH(O660,SK_A,0))="",B660,INDEX(SK_D,MATCH(O660,SK_A,0))),B660)+Q660),B660+Q660))</f>
        <v/>
      </c>
      <c r="J660" s="14" t="n"/>
      <c r="K660" s="13" t="n"/>
      <c r="L660" s="12" t="n"/>
      <c r="M660" s="48">
        <f>IF(E660="","",IF(J660="Bỏ qua","—",IF(J660="Xong",IF(AND(ISNUMBER(K660),ISNUMBER(I660),K660&gt;I660),"Xong trễ","Xong"),MID(IF(G660=""," · CHƯA GIAO","")&amp;IF(NOT(ISNUMBER(I660)),"",IF(TODAY()&gt;I660," · QUÁ HẠN "&amp;(TODAY()-I660)&amp;" ngày",IF(I660-TODAY()&lt;=3," · Đến hạn "&amp;IF(I660=TODAY(),"hôm nay","trong "&amp;(I660-TODAY())&amp;" ngày"),"")))&amp;IF(J660="Chờ đối tác"," · Chờ đối tác"&amp;IF(ISNUMBER(N660)," "&amp;(TODAY()-INT(N660))&amp;" ngày",""),""),4,200))))</f>
        <v/>
      </c>
      <c r="N660" s="49" t="n"/>
      <c r="S660">
        <f>IF(AND(E660&lt;&gt;"",T660="Có",J660&lt;&gt;"Xong",J660&lt;&gt;"Bỏ qua",ISNUMBER(I660)),I660+ROW()/100000,"")</f>
        <v/>
      </c>
      <c r="T660">
        <f>IF(O660="","",IFERROR(INDEX(SK_TD,MATCH(O660,SK_A,0)),""))</f>
        <v/>
      </c>
      <c r="V660">
        <f>IF(AND(O660&lt;&gt;"",O660=SEL_K,J660&lt;&gt;"Xong",J660&lt;&gt;"Bỏ qua"),IF(ISNUMBER(I660),I660,99999)+ROW()/100000,"")</f>
        <v/>
      </c>
    </row>
    <row r="661">
      <c r="A661" s="12">
        <f>IF(O661="","",IFERROR(INDEX(SK_B,MATCH(O661,SK_A,0))&amp;"",""))</f>
        <v/>
      </c>
      <c r="B661" s="45">
        <f>IF(O661="","",IFERROR(INDEX(SK_C,MATCH(O661,SK_A,0)),""))</f>
        <v/>
      </c>
      <c r="C661" s="46">
        <f>IF(Q661="","",IF(Q661=0,"D",IF(Q661&lt;0,"D"&amp;Q661,"D+"&amp;Q661)))</f>
        <v/>
      </c>
      <c r="D661" s="14" t="n"/>
      <c r="E661" s="12" t="n"/>
      <c r="F661" s="46" t="n"/>
      <c r="G661" s="47" t="n"/>
      <c r="H661" s="14" t="n"/>
      <c r="I661" s="13">
        <f>IF(OR(B661="",Q661=""),"",IF(Q661&gt;0,IF(R661="Làm việc",WORKDAY(IFERROR(IF(INDEX(SK_D,MATCH(O661,SK_A,0))="",B661,INDEX(SK_D,MATCH(O661,SK_A,0))),B661),Q661,HOLI),IFERROR(IF(INDEX(SK_D,MATCH(O661,SK_A,0))="",B661,INDEX(SK_D,MATCH(O661,SK_A,0))),B661)+Q661),B661+Q661))</f>
        <v/>
      </c>
      <c r="J661" s="14" t="n"/>
      <c r="K661" s="13" t="n"/>
      <c r="L661" s="12" t="n"/>
      <c r="M661" s="48">
        <f>IF(E661="","",IF(J661="Bỏ qua","—",IF(J661="Xong",IF(AND(ISNUMBER(K661),ISNUMBER(I661),K661&gt;I661),"Xong trễ","Xong"),MID(IF(G661=""," · CHƯA GIAO","")&amp;IF(NOT(ISNUMBER(I661)),"",IF(TODAY()&gt;I661," · QUÁ HẠN "&amp;(TODAY()-I661)&amp;" ngày",IF(I661-TODAY()&lt;=3," · Đến hạn "&amp;IF(I661=TODAY(),"hôm nay","trong "&amp;(I661-TODAY())&amp;" ngày"),"")))&amp;IF(J661="Chờ đối tác"," · Chờ đối tác"&amp;IF(ISNUMBER(N661)," "&amp;(TODAY()-INT(N661))&amp;" ngày",""),""),4,200))))</f>
        <v/>
      </c>
      <c r="N661" s="49" t="n"/>
      <c r="S661">
        <f>IF(AND(E661&lt;&gt;"",T661="Có",J661&lt;&gt;"Xong",J661&lt;&gt;"Bỏ qua",ISNUMBER(I661)),I661+ROW()/100000,"")</f>
        <v/>
      </c>
      <c r="T661">
        <f>IF(O661="","",IFERROR(INDEX(SK_TD,MATCH(O661,SK_A,0)),""))</f>
        <v/>
      </c>
      <c r="V661">
        <f>IF(AND(O661&lt;&gt;"",O661=SEL_K,J661&lt;&gt;"Xong",J661&lt;&gt;"Bỏ qua"),IF(ISNUMBER(I661),I661,99999)+ROW()/100000,"")</f>
        <v/>
      </c>
    </row>
    <row r="662">
      <c r="A662" s="12">
        <f>IF(O662="","",IFERROR(INDEX(SK_B,MATCH(O662,SK_A,0))&amp;"",""))</f>
        <v/>
      </c>
      <c r="B662" s="45">
        <f>IF(O662="","",IFERROR(INDEX(SK_C,MATCH(O662,SK_A,0)),""))</f>
        <v/>
      </c>
      <c r="C662" s="46">
        <f>IF(Q662="","",IF(Q662=0,"D",IF(Q662&lt;0,"D"&amp;Q662,"D+"&amp;Q662)))</f>
        <v/>
      </c>
      <c r="D662" s="14" t="n"/>
      <c r="E662" s="12" t="n"/>
      <c r="F662" s="46" t="n"/>
      <c r="G662" s="47" t="n"/>
      <c r="H662" s="14" t="n"/>
      <c r="I662" s="13">
        <f>IF(OR(B662="",Q662=""),"",IF(Q662&gt;0,IF(R662="Làm việc",WORKDAY(IFERROR(IF(INDEX(SK_D,MATCH(O662,SK_A,0))="",B662,INDEX(SK_D,MATCH(O662,SK_A,0))),B662),Q662,HOLI),IFERROR(IF(INDEX(SK_D,MATCH(O662,SK_A,0))="",B662,INDEX(SK_D,MATCH(O662,SK_A,0))),B662)+Q662),B662+Q662))</f>
        <v/>
      </c>
      <c r="J662" s="14" t="n"/>
      <c r="K662" s="13" t="n"/>
      <c r="L662" s="12" t="n"/>
      <c r="M662" s="48">
        <f>IF(E662="","",IF(J662="Bỏ qua","—",IF(J662="Xong",IF(AND(ISNUMBER(K662),ISNUMBER(I662),K662&gt;I662),"Xong trễ","Xong"),MID(IF(G662=""," · CHƯA GIAO","")&amp;IF(NOT(ISNUMBER(I662)),"",IF(TODAY()&gt;I662," · QUÁ HẠN "&amp;(TODAY()-I662)&amp;" ngày",IF(I662-TODAY()&lt;=3," · Đến hạn "&amp;IF(I662=TODAY(),"hôm nay","trong "&amp;(I662-TODAY())&amp;" ngày"),"")))&amp;IF(J662="Chờ đối tác"," · Chờ đối tác"&amp;IF(ISNUMBER(N662)," "&amp;(TODAY()-INT(N662))&amp;" ngày",""),""),4,200))))</f>
        <v/>
      </c>
      <c r="N662" s="49" t="n"/>
      <c r="S662">
        <f>IF(AND(E662&lt;&gt;"",T662="Có",J662&lt;&gt;"Xong",J662&lt;&gt;"Bỏ qua",ISNUMBER(I662)),I662+ROW()/100000,"")</f>
        <v/>
      </c>
      <c r="T662">
        <f>IF(O662="","",IFERROR(INDEX(SK_TD,MATCH(O662,SK_A,0)),""))</f>
        <v/>
      </c>
      <c r="V662">
        <f>IF(AND(O662&lt;&gt;"",O662=SEL_K,J662&lt;&gt;"Xong",J662&lt;&gt;"Bỏ qua"),IF(ISNUMBER(I662),I662,99999)+ROW()/100000,"")</f>
        <v/>
      </c>
    </row>
    <row r="663">
      <c r="A663" s="12">
        <f>IF(O663="","",IFERROR(INDEX(SK_B,MATCH(O663,SK_A,0))&amp;"",""))</f>
        <v/>
      </c>
      <c r="B663" s="45">
        <f>IF(O663="","",IFERROR(INDEX(SK_C,MATCH(O663,SK_A,0)),""))</f>
        <v/>
      </c>
      <c r="C663" s="46">
        <f>IF(Q663="","",IF(Q663=0,"D",IF(Q663&lt;0,"D"&amp;Q663,"D+"&amp;Q663)))</f>
        <v/>
      </c>
      <c r="D663" s="14" t="n"/>
      <c r="E663" s="12" t="n"/>
      <c r="F663" s="46" t="n"/>
      <c r="G663" s="47" t="n"/>
      <c r="H663" s="14" t="n"/>
      <c r="I663" s="13">
        <f>IF(OR(B663="",Q663=""),"",IF(Q663&gt;0,IF(R663="Làm việc",WORKDAY(IFERROR(IF(INDEX(SK_D,MATCH(O663,SK_A,0))="",B663,INDEX(SK_D,MATCH(O663,SK_A,0))),B663),Q663,HOLI),IFERROR(IF(INDEX(SK_D,MATCH(O663,SK_A,0))="",B663,INDEX(SK_D,MATCH(O663,SK_A,0))),B663)+Q663),B663+Q663))</f>
        <v/>
      </c>
      <c r="J663" s="14" t="n"/>
      <c r="K663" s="13" t="n"/>
      <c r="L663" s="12" t="n"/>
      <c r="M663" s="48">
        <f>IF(E663="","",IF(J663="Bỏ qua","—",IF(J663="Xong",IF(AND(ISNUMBER(K663),ISNUMBER(I663),K663&gt;I663),"Xong trễ","Xong"),MID(IF(G663=""," · CHƯA GIAO","")&amp;IF(NOT(ISNUMBER(I663)),"",IF(TODAY()&gt;I663," · QUÁ HẠN "&amp;(TODAY()-I663)&amp;" ngày",IF(I663-TODAY()&lt;=3," · Đến hạn "&amp;IF(I663=TODAY(),"hôm nay","trong "&amp;(I663-TODAY())&amp;" ngày"),"")))&amp;IF(J663="Chờ đối tác"," · Chờ đối tác"&amp;IF(ISNUMBER(N663)," "&amp;(TODAY()-INT(N663))&amp;" ngày",""),""),4,200))))</f>
        <v/>
      </c>
      <c r="N663" s="49" t="n"/>
      <c r="S663">
        <f>IF(AND(E663&lt;&gt;"",T663="Có",J663&lt;&gt;"Xong",J663&lt;&gt;"Bỏ qua",ISNUMBER(I663)),I663+ROW()/100000,"")</f>
        <v/>
      </c>
      <c r="T663">
        <f>IF(O663="","",IFERROR(INDEX(SK_TD,MATCH(O663,SK_A,0)),""))</f>
        <v/>
      </c>
      <c r="V663">
        <f>IF(AND(O663&lt;&gt;"",O663=SEL_K,J663&lt;&gt;"Xong",J663&lt;&gt;"Bỏ qua"),IF(ISNUMBER(I663),I663,99999)+ROW()/100000,"")</f>
        <v/>
      </c>
    </row>
    <row r="664">
      <c r="A664" s="12">
        <f>IF(O664="","",IFERROR(INDEX(SK_B,MATCH(O664,SK_A,0))&amp;"",""))</f>
        <v/>
      </c>
      <c r="B664" s="45">
        <f>IF(O664="","",IFERROR(INDEX(SK_C,MATCH(O664,SK_A,0)),""))</f>
        <v/>
      </c>
      <c r="C664" s="46">
        <f>IF(Q664="","",IF(Q664=0,"D",IF(Q664&lt;0,"D"&amp;Q664,"D+"&amp;Q664)))</f>
        <v/>
      </c>
      <c r="D664" s="14" t="n"/>
      <c r="E664" s="12" t="n"/>
      <c r="F664" s="46" t="n"/>
      <c r="G664" s="47" t="n"/>
      <c r="H664" s="14" t="n"/>
      <c r="I664" s="13">
        <f>IF(OR(B664="",Q664=""),"",IF(Q664&gt;0,IF(R664="Làm việc",WORKDAY(IFERROR(IF(INDEX(SK_D,MATCH(O664,SK_A,0))="",B664,INDEX(SK_D,MATCH(O664,SK_A,0))),B664),Q664,HOLI),IFERROR(IF(INDEX(SK_D,MATCH(O664,SK_A,0))="",B664,INDEX(SK_D,MATCH(O664,SK_A,0))),B664)+Q664),B664+Q664))</f>
        <v/>
      </c>
      <c r="J664" s="14" t="n"/>
      <c r="K664" s="13" t="n"/>
      <c r="L664" s="12" t="n"/>
      <c r="M664" s="48">
        <f>IF(E664="","",IF(J664="Bỏ qua","—",IF(J664="Xong",IF(AND(ISNUMBER(K664),ISNUMBER(I664),K664&gt;I664),"Xong trễ","Xong"),MID(IF(G664=""," · CHƯA GIAO","")&amp;IF(NOT(ISNUMBER(I664)),"",IF(TODAY()&gt;I664," · QUÁ HẠN "&amp;(TODAY()-I664)&amp;" ngày",IF(I664-TODAY()&lt;=3," · Đến hạn "&amp;IF(I664=TODAY(),"hôm nay","trong "&amp;(I664-TODAY())&amp;" ngày"),"")))&amp;IF(J664="Chờ đối tác"," · Chờ đối tác"&amp;IF(ISNUMBER(N664)," "&amp;(TODAY()-INT(N664))&amp;" ngày",""),""),4,200))))</f>
        <v/>
      </c>
      <c r="N664" s="49" t="n"/>
      <c r="S664">
        <f>IF(AND(E664&lt;&gt;"",T664="Có",J664&lt;&gt;"Xong",J664&lt;&gt;"Bỏ qua",ISNUMBER(I664)),I664+ROW()/100000,"")</f>
        <v/>
      </c>
      <c r="T664">
        <f>IF(O664="","",IFERROR(INDEX(SK_TD,MATCH(O664,SK_A,0)),""))</f>
        <v/>
      </c>
      <c r="V664">
        <f>IF(AND(O664&lt;&gt;"",O664=SEL_K,J664&lt;&gt;"Xong",J664&lt;&gt;"Bỏ qua"),IF(ISNUMBER(I664),I664,99999)+ROW()/100000,"")</f>
        <v/>
      </c>
    </row>
    <row r="665">
      <c r="A665" s="12">
        <f>IF(O665="","",IFERROR(INDEX(SK_B,MATCH(O665,SK_A,0))&amp;"",""))</f>
        <v/>
      </c>
      <c r="B665" s="45">
        <f>IF(O665="","",IFERROR(INDEX(SK_C,MATCH(O665,SK_A,0)),""))</f>
        <v/>
      </c>
      <c r="C665" s="46">
        <f>IF(Q665="","",IF(Q665=0,"D",IF(Q665&lt;0,"D"&amp;Q665,"D+"&amp;Q665)))</f>
        <v/>
      </c>
      <c r="D665" s="14" t="n"/>
      <c r="E665" s="12" t="n"/>
      <c r="F665" s="46" t="n"/>
      <c r="G665" s="47" t="n"/>
      <c r="H665" s="14" t="n"/>
      <c r="I665" s="13">
        <f>IF(OR(B665="",Q665=""),"",IF(Q665&gt;0,IF(R665="Làm việc",WORKDAY(IFERROR(IF(INDEX(SK_D,MATCH(O665,SK_A,0))="",B665,INDEX(SK_D,MATCH(O665,SK_A,0))),B665),Q665,HOLI),IFERROR(IF(INDEX(SK_D,MATCH(O665,SK_A,0))="",B665,INDEX(SK_D,MATCH(O665,SK_A,0))),B665)+Q665),B665+Q665))</f>
        <v/>
      </c>
      <c r="J665" s="14" t="n"/>
      <c r="K665" s="13" t="n"/>
      <c r="L665" s="12" t="n"/>
      <c r="M665" s="48">
        <f>IF(E665="","",IF(J665="Bỏ qua","—",IF(J665="Xong",IF(AND(ISNUMBER(K665),ISNUMBER(I665),K665&gt;I665),"Xong trễ","Xong"),MID(IF(G665=""," · CHƯA GIAO","")&amp;IF(NOT(ISNUMBER(I665)),"",IF(TODAY()&gt;I665," · QUÁ HẠN "&amp;(TODAY()-I665)&amp;" ngày",IF(I665-TODAY()&lt;=3," · Đến hạn "&amp;IF(I665=TODAY(),"hôm nay","trong "&amp;(I665-TODAY())&amp;" ngày"),"")))&amp;IF(J665="Chờ đối tác"," · Chờ đối tác"&amp;IF(ISNUMBER(N665)," "&amp;(TODAY()-INT(N665))&amp;" ngày",""),""),4,200))))</f>
        <v/>
      </c>
      <c r="N665" s="49" t="n"/>
      <c r="S665">
        <f>IF(AND(E665&lt;&gt;"",T665="Có",J665&lt;&gt;"Xong",J665&lt;&gt;"Bỏ qua",ISNUMBER(I665)),I665+ROW()/100000,"")</f>
        <v/>
      </c>
      <c r="T665">
        <f>IF(O665="","",IFERROR(INDEX(SK_TD,MATCH(O665,SK_A,0)),""))</f>
        <v/>
      </c>
      <c r="V665">
        <f>IF(AND(O665&lt;&gt;"",O665=SEL_K,J665&lt;&gt;"Xong",J665&lt;&gt;"Bỏ qua"),IF(ISNUMBER(I665),I665,99999)+ROW()/100000,"")</f>
        <v/>
      </c>
    </row>
    <row r="666">
      <c r="A666" s="12">
        <f>IF(O666="","",IFERROR(INDEX(SK_B,MATCH(O666,SK_A,0))&amp;"",""))</f>
        <v/>
      </c>
      <c r="B666" s="45">
        <f>IF(O666="","",IFERROR(INDEX(SK_C,MATCH(O666,SK_A,0)),""))</f>
        <v/>
      </c>
      <c r="C666" s="46">
        <f>IF(Q666="","",IF(Q666=0,"D",IF(Q666&lt;0,"D"&amp;Q666,"D+"&amp;Q666)))</f>
        <v/>
      </c>
      <c r="D666" s="14" t="n"/>
      <c r="E666" s="12" t="n"/>
      <c r="F666" s="46" t="n"/>
      <c r="G666" s="47" t="n"/>
      <c r="H666" s="14" t="n"/>
      <c r="I666" s="13">
        <f>IF(OR(B666="",Q666=""),"",IF(Q666&gt;0,IF(R666="Làm việc",WORKDAY(IFERROR(IF(INDEX(SK_D,MATCH(O666,SK_A,0))="",B666,INDEX(SK_D,MATCH(O666,SK_A,0))),B666),Q666,HOLI),IFERROR(IF(INDEX(SK_D,MATCH(O666,SK_A,0))="",B666,INDEX(SK_D,MATCH(O666,SK_A,0))),B666)+Q666),B666+Q666))</f>
        <v/>
      </c>
      <c r="J666" s="14" t="n"/>
      <c r="K666" s="13" t="n"/>
      <c r="L666" s="12" t="n"/>
      <c r="M666" s="48">
        <f>IF(E666="","",IF(J666="Bỏ qua","—",IF(J666="Xong",IF(AND(ISNUMBER(K666),ISNUMBER(I666),K666&gt;I666),"Xong trễ","Xong"),MID(IF(G666=""," · CHƯA GIAO","")&amp;IF(NOT(ISNUMBER(I666)),"",IF(TODAY()&gt;I666," · QUÁ HẠN "&amp;(TODAY()-I666)&amp;" ngày",IF(I666-TODAY()&lt;=3," · Đến hạn "&amp;IF(I666=TODAY(),"hôm nay","trong "&amp;(I666-TODAY())&amp;" ngày"),"")))&amp;IF(J666="Chờ đối tác"," · Chờ đối tác"&amp;IF(ISNUMBER(N666)," "&amp;(TODAY()-INT(N666))&amp;" ngày",""),""),4,200))))</f>
        <v/>
      </c>
      <c r="N666" s="49" t="n"/>
      <c r="S666">
        <f>IF(AND(E666&lt;&gt;"",T666="Có",J666&lt;&gt;"Xong",J666&lt;&gt;"Bỏ qua",ISNUMBER(I666)),I666+ROW()/100000,"")</f>
        <v/>
      </c>
      <c r="T666">
        <f>IF(O666="","",IFERROR(INDEX(SK_TD,MATCH(O666,SK_A,0)),""))</f>
        <v/>
      </c>
      <c r="V666">
        <f>IF(AND(O666&lt;&gt;"",O666=SEL_K,J666&lt;&gt;"Xong",J666&lt;&gt;"Bỏ qua"),IF(ISNUMBER(I666),I666,99999)+ROW()/100000,"")</f>
        <v/>
      </c>
    </row>
    <row r="667">
      <c r="A667" s="12">
        <f>IF(O667="","",IFERROR(INDEX(SK_B,MATCH(O667,SK_A,0))&amp;"",""))</f>
        <v/>
      </c>
      <c r="B667" s="45">
        <f>IF(O667="","",IFERROR(INDEX(SK_C,MATCH(O667,SK_A,0)),""))</f>
        <v/>
      </c>
      <c r="C667" s="46">
        <f>IF(Q667="","",IF(Q667=0,"D",IF(Q667&lt;0,"D"&amp;Q667,"D+"&amp;Q667)))</f>
        <v/>
      </c>
      <c r="D667" s="14" t="n"/>
      <c r="E667" s="12" t="n"/>
      <c r="F667" s="46" t="n"/>
      <c r="G667" s="47" t="n"/>
      <c r="H667" s="14" t="n"/>
      <c r="I667" s="13">
        <f>IF(OR(B667="",Q667=""),"",IF(Q667&gt;0,IF(R667="Làm việc",WORKDAY(IFERROR(IF(INDEX(SK_D,MATCH(O667,SK_A,0))="",B667,INDEX(SK_D,MATCH(O667,SK_A,0))),B667),Q667,HOLI),IFERROR(IF(INDEX(SK_D,MATCH(O667,SK_A,0))="",B667,INDEX(SK_D,MATCH(O667,SK_A,0))),B667)+Q667),B667+Q667))</f>
        <v/>
      </c>
      <c r="J667" s="14" t="n"/>
      <c r="K667" s="13" t="n"/>
      <c r="L667" s="12" t="n"/>
      <c r="M667" s="48">
        <f>IF(E667="","",IF(J667="Bỏ qua","—",IF(J667="Xong",IF(AND(ISNUMBER(K667),ISNUMBER(I667),K667&gt;I667),"Xong trễ","Xong"),MID(IF(G667=""," · CHƯA GIAO","")&amp;IF(NOT(ISNUMBER(I667)),"",IF(TODAY()&gt;I667," · QUÁ HẠN "&amp;(TODAY()-I667)&amp;" ngày",IF(I667-TODAY()&lt;=3," · Đến hạn "&amp;IF(I667=TODAY(),"hôm nay","trong "&amp;(I667-TODAY())&amp;" ngày"),"")))&amp;IF(J667="Chờ đối tác"," · Chờ đối tác"&amp;IF(ISNUMBER(N667)," "&amp;(TODAY()-INT(N667))&amp;" ngày",""),""),4,200))))</f>
        <v/>
      </c>
      <c r="N667" s="49" t="n"/>
      <c r="S667">
        <f>IF(AND(E667&lt;&gt;"",T667="Có",J667&lt;&gt;"Xong",J667&lt;&gt;"Bỏ qua",ISNUMBER(I667)),I667+ROW()/100000,"")</f>
        <v/>
      </c>
      <c r="T667">
        <f>IF(O667="","",IFERROR(INDEX(SK_TD,MATCH(O667,SK_A,0)),""))</f>
        <v/>
      </c>
      <c r="V667">
        <f>IF(AND(O667&lt;&gt;"",O667=SEL_K,J667&lt;&gt;"Xong",J667&lt;&gt;"Bỏ qua"),IF(ISNUMBER(I667),I667,99999)+ROW()/100000,"")</f>
        <v/>
      </c>
    </row>
    <row r="668">
      <c r="A668" s="12">
        <f>IF(O668="","",IFERROR(INDEX(SK_B,MATCH(O668,SK_A,0))&amp;"",""))</f>
        <v/>
      </c>
      <c r="B668" s="45">
        <f>IF(O668="","",IFERROR(INDEX(SK_C,MATCH(O668,SK_A,0)),""))</f>
        <v/>
      </c>
      <c r="C668" s="46">
        <f>IF(Q668="","",IF(Q668=0,"D",IF(Q668&lt;0,"D"&amp;Q668,"D+"&amp;Q668)))</f>
        <v/>
      </c>
      <c r="D668" s="14" t="n"/>
      <c r="E668" s="12" t="n"/>
      <c r="F668" s="46" t="n"/>
      <c r="G668" s="47" t="n"/>
      <c r="H668" s="14" t="n"/>
      <c r="I668" s="13">
        <f>IF(OR(B668="",Q668=""),"",IF(Q668&gt;0,IF(R668="Làm việc",WORKDAY(IFERROR(IF(INDEX(SK_D,MATCH(O668,SK_A,0))="",B668,INDEX(SK_D,MATCH(O668,SK_A,0))),B668),Q668,HOLI),IFERROR(IF(INDEX(SK_D,MATCH(O668,SK_A,0))="",B668,INDEX(SK_D,MATCH(O668,SK_A,0))),B668)+Q668),B668+Q668))</f>
        <v/>
      </c>
      <c r="J668" s="14" t="n"/>
      <c r="K668" s="13" t="n"/>
      <c r="L668" s="12" t="n"/>
      <c r="M668" s="48">
        <f>IF(E668="","",IF(J668="Bỏ qua","—",IF(J668="Xong",IF(AND(ISNUMBER(K668),ISNUMBER(I668),K668&gt;I668),"Xong trễ","Xong"),MID(IF(G668=""," · CHƯA GIAO","")&amp;IF(NOT(ISNUMBER(I668)),"",IF(TODAY()&gt;I668," · QUÁ HẠN "&amp;(TODAY()-I668)&amp;" ngày",IF(I668-TODAY()&lt;=3," · Đến hạn "&amp;IF(I668=TODAY(),"hôm nay","trong "&amp;(I668-TODAY())&amp;" ngày"),"")))&amp;IF(J668="Chờ đối tác"," · Chờ đối tác"&amp;IF(ISNUMBER(N668)," "&amp;(TODAY()-INT(N668))&amp;" ngày",""),""),4,200))))</f>
        <v/>
      </c>
      <c r="N668" s="49" t="n"/>
      <c r="S668">
        <f>IF(AND(E668&lt;&gt;"",T668="Có",J668&lt;&gt;"Xong",J668&lt;&gt;"Bỏ qua",ISNUMBER(I668)),I668+ROW()/100000,"")</f>
        <v/>
      </c>
      <c r="T668">
        <f>IF(O668="","",IFERROR(INDEX(SK_TD,MATCH(O668,SK_A,0)),""))</f>
        <v/>
      </c>
      <c r="V668">
        <f>IF(AND(O668&lt;&gt;"",O668=SEL_K,J668&lt;&gt;"Xong",J668&lt;&gt;"Bỏ qua"),IF(ISNUMBER(I668),I668,99999)+ROW()/100000,"")</f>
        <v/>
      </c>
    </row>
    <row r="669">
      <c r="A669" s="12">
        <f>IF(O669="","",IFERROR(INDEX(SK_B,MATCH(O669,SK_A,0))&amp;"",""))</f>
        <v/>
      </c>
      <c r="B669" s="45">
        <f>IF(O669="","",IFERROR(INDEX(SK_C,MATCH(O669,SK_A,0)),""))</f>
        <v/>
      </c>
      <c r="C669" s="46">
        <f>IF(Q669="","",IF(Q669=0,"D",IF(Q669&lt;0,"D"&amp;Q669,"D+"&amp;Q669)))</f>
        <v/>
      </c>
      <c r="D669" s="14" t="n"/>
      <c r="E669" s="12" t="n"/>
      <c r="F669" s="46" t="n"/>
      <c r="G669" s="47" t="n"/>
      <c r="H669" s="14" t="n"/>
      <c r="I669" s="13">
        <f>IF(OR(B669="",Q669=""),"",IF(Q669&gt;0,IF(R669="Làm việc",WORKDAY(IFERROR(IF(INDEX(SK_D,MATCH(O669,SK_A,0))="",B669,INDEX(SK_D,MATCH(O669,SK_A,0))),B669),Q669,HOLI),IFERROR(IF(INDEX(SK_D,MATCH(O669,SK_A,0))="",B669,INDEX(SK_D,MATCH(O669,SK_A,0))),B669)+Q669),B669+Q669))</f>
        <v/>
      </c>
      <c r="J669" s="14" t="n"/>
      <c r="K669" s="13" t="n"/>
      <c r="L669" s="12" t="n"/>
      <c r="M669" s="48">
        <f>IF(E669="","",IF(J669="Bỏ qua","—",IF(J669="Xong",IF(AND(ISNUMBER(K669),ISNUMBER(I669),K669&gt;I669),"Xong trễ","Xong"),MID(IF(G669=""," · CHƯA GIAO","")&amp;IF(NOT(ISNUMBER(I669)),"",IF(TODAY()&gt;I669," · QUÁ HẠN "&amp;(TODAY()-I669)&amp;" ngày",IF(I669-TODAY()&lt;=3," · Đến hạn "&amp;IF(I669=TODAY(),"hôm nay","trong "&amp;(I669-TODAY())&amp;" ngày"),"")))&amp;IF(J669="Chờ đối tác"," · Chờ đối tác"&amp;IF(ISNUMBER(N669)," "&amp;(TODAY()-INT(N669))&amp;" ngày",""),""),4,200))))</f>
        <v/>
      </c>
      <c r="N669" s="49" t="n"/>
      <c r="S669">
        <f>IF(AND(E669&lt;&gt;"",T669="Có",J669&lt;&gt;"Xong",J669&lt;&gt;"Bỏ qua",ISNUMBER(I669)),I669+ROW()/100000,"")</f>
        <v/>
      </c>
      <c r="T669">
        <f>IF(O669="","",IFERROR(INDEX(SK_TD,MATCH(O669,SK_A,0)),""))</f>
        <v/>
      </c>
      <c r="V669">
        <f>IF(AND(O669&lt;&gt;"",O669=SEL_K,J669&lt;&gt;"Xong",J669&lt;&gt;"Bỏ qua"),IF(ISNUMBER(I669),I669,99999)+ROW()/100000,"")</f>
        <v/>
      </c>
    </row>
    <row r="670">
      <c r="A670" s="12">
        <f>IF(O670="","",IFERROR(INDEX(SK_B,MATCH(O670,SK_A,0))&amp;"",""))</f>
        <v/>
      </c>
      <c r="B670" s="45">
        <f>IF(O670="","",IFERROR(INDEX(SK_C,MATCH(O670,SK_A,0)),""))</f>
        <v/>
      </c>
      <c r="C670" s="46">
        <f>IF(Q670="","",IF(Q670=0,"D",IF(Q670&lt;0,"D"&amp;Q670,"D+"&amp;Q670)))</f>
        <v/>
      </c>
      <c r="D670" s="14" t="n"/>
      <c r="E670" s="12" t="n"/>
      <c r="F670" s="46" t="n"/>
      <c r="G670" s="47" t="n"/>
      <c r="H670" s="14" t="n"/>
      <c r="I670" s="13">
        <f>IF(OR(B670="",Q670=""),"",IF(Q670&gt;0,IF(R670="Làm việc",WORKDAY(IFERROR(IF(INDEX(SK_D,MATCH(O670,SK_A,0))="",B670,INDEX(SK_D,MATCH(O670,SK_A,0))),B670),Q670,HOLI),IFERROR(IF(INDEX(SK_D,MATCH(O670,SK_A,0))="",B670,INDEX(SK_D,MATCH(O670,SK_A,0))),B670)+Q670),B670+Q670))</f>
        <v/>
      </c>
      <c r="J670" s="14" t="n"/>
      <c r="K670" s="13" t="n"/>
      <c r="L670" s="12" t="n"/>
      <c r="M670" s="48">
        <f>IF(E670="","",IF(J670="Bỏ qua","—",IF(J670="Xong",IF(AND(ISNUMBER(K670),ISNUMBER(I670),K670&gt;I670),"Xong trễ","Xong"),MID(IF(G670=""," · CHƯA GIAO","")&amp;IF(NOT(ISNUMBER(I670)),"",IF(TODAY()&gt;I670," · QUÁ HẠN "&amp;(TODAY()-I670)&amp;" ngày",IF(I670-TODAY()&lt;=3," · Đến hạn "&amp;IF(I670=TODAY(),"hôm nay","trong "&amp;(I670-TODAY())&amp;" ngày"),"")))&amp;IF(J670="Chờ đối tác"," · Chờ đối tác"&amp;IF(ISNUMBER(N670)," "&amp;(TODAY()-INT(N670))&amp;" ngày",""),""),4,200))))</f>
        <v/>
      </c>
      <c r="N670" s="49" t="n"/>
      <c r="S670">
        <f>IF(AND(E670&lt;&gt;"",T670="Có",J670&lt;&gt;"Xong",J670&lt;&gt;"Bỏ qua",ISNUMBER(I670)),I670+ROW()/100000,"")</f>
        <v/>
      </c>
      <c r="T670">
        <f>IF(O670="","",IFERROR(INDEX(SK_TD,MATCH(O670,SK_A,0)),""))</f>
        <v/>
      </c>
      <c r="V670">
        <f>IF(AND(O670&lt;&gt;"",O670=SEL_K,J670&lt;&gt;"Xong",J670&lt;&gt;"Bỏ qua"),IF(ISNUMBER(I670),I670,99999)+ROW()/100000,"")</f>
        <v/>
      </c>
    </row>
    <row r="671">
      <c r="A671" s="12">
        <f>IF(O671="","",IFERROR(INDEX(SK_B,MATCH(O671,SK_A,0))&amp;"",""))</f>
        <v/>
      </c>
      <c r="B671" s="45">
        <f>IF(O671="","",IFERROR(INDEX(SK_C,MATCH(O671,SK_A,0)),""))</f>
        <v/>
      </c>
      <c r="C671" s="46">
        <f>IF(Q671="","",IF(Q671=0,"D",IF(Q671&lt;0,"D"&amp;Q671,"D+"&amp;Q671)))</f>
        <v/>
      </c>
      <c r="D671" s="14" t="n"/>
      <c r="E671" s="12" t="n"/>
      <c r="F671" s="46" t="n"/>
      <c r="G671" s="47" t="n"/>
      <c r="H671" s="14" t="n"/>
      <c r="I671" s="13">
        <f>IF(OR(B671="",Q671=""),"",IF(Q671&gt;0,IF(R671="Làm việc",WORKDAY(IFERROR(IF(INDEX(SK_D,MATCH(O671,SK_A,0))="",B671,INDEX(SK_D,MATCH(O671,SK_A,0))),B671),Q671,HOLI),IFERROR(IF(INDEX(SK_D,MATCH(O671,SK_A,0))="",B671,INDEX(SK_D,MATCH(O671,SK_A,0))),B671)+Q671),B671+Q671))</f>
        <v/>
      </c>
      <c r="J671" s="14" t="n"/>
      <c r="K671" s="13" t="n"/>
      <c r="L671" s="12" t="n"/>
      <c r="M671" s="48">
        <f>IF(E671="","",IF(J671="Bỏ qua","—",IF(J671="Xong",IF(AND(ISNUMBER(K671),ISNUMBER(I671),K671&gt;I671),"Xong trễ","Xong"),MID(IF(G671=""," · CHƯA GIAO","")&amp;IF(NOT(ISNUMBER(I671)),"",IF(TODAY()&gt;I671," · QUÁ HẠN "&amp;(TODAY()-I671)&amp;" ngày",IF(I671-TODAY()&lt;=3," · Đến hạn "&amp;IF(I671=TODAY(),"hôm nay","trong "&amp;(I671-TODAY())&amp;" ngày"),"")))&amp;IF(J671="Chờ đối tác"," · Chờ đối tác"&amp;IF(ISNUMBER(N671)," "&amp;(TODAY()-INT(N671))&amp;" ngày",""),""),4,200))))</f>
        <v/>
      </c>
      <c r="N671" s="49" t="n"/>
      <c r="S671">
        <f>IF(AND(E671&lt;&gt;"",T671="Có",J671&lt;&gt;"Xong",J671&lt;&gt;"Bỏ qua",ISNUMBER(I671)),I671+ROW()/100000,"")</f>
        <v/>
      </c>
      <c r="T671">
        <f>IF(O671="","",IFERROR(INDEX(SK_TD,MATCH(O671,SK_A,0)),""))</f>
        <v/>
      </c>
      <c r="V671">
        <f>IF(AND(O671&lt;&gt;"",O671=SEL_K,J671&lt;&gt;"Xong",J671&lt;&gt;"Bỏ qua"),IF(ISNUMBER(I671),I671,99999)+ROW()/100000,"")</f>
        <v/>
      </c>
    </row>
    <row r="672">
      <c r="A672" s="12">
        <f>IF(O672="","",IFERROR(INDEX(SK_B,MATCH(O672,SK_A,0))&amp;"",""))</f>
        <v/>
      </c>
      <c r="B672" s="45">
        <f>IF(O672="","",IFERROR(INDEX(SK_C,MATCH(O672,SK_A,0)),""))</f>
        <v/>
      </c>
      <c r="C672" s="46">
        <f>IF(Q672="","",IF(Q672=0,"D",IF(Q672&lt;0,"D"&amp;Q672,"D+"&amp;Q672)))</f>
        <v/>
      </c>
      <c r="D672" s="14" t="n"/>
      <c r="E672" s="12" t="n"/>
      <c r="F672" s="46" t="n"/>
      <c r="G672" s="47" t="n"/>
      <c r="H672" s="14" t="n"/>
      <c r="I672" s="13">
        <f>IF(OR(B672="",Q672=""),"",IF(Q672&gt;0,IF(R672="Làm việc",WORKDAY(IFERROR(IF(INDEX(SK_D,MATCH(O672,SK_A,0))="",B672,INDEX(SK_D,MATCH(O672,SK_A,0))),B672),Q672,HOLI),IFERROR(IF(INDEX(SK_D,MATCH(O672,SK_A,0))="",B672,INDEX(SK_D,MATCH(O672,SK_A,0))),B672)+Q672),B672+Q672))</f>
        <v/>
      </c>
      <c r="J672" s="14" t="n"/>
      <c r="K672" s="13" t="n"/>
      <c r="L672" s="12" t="n"/>
      <c r="M672" s="48">
        <f>IF(E672="","",IF(J672="Bỏ qua","—",IF(J672="Xong",IF(AND(ISNUMBER(K672),ISNUMBER(I672),K672&gt;I672),"Xong trễ","Xong"),MID(IF(G672=""," · CHƯA GIAO","")&amp;IF(NOT(ISNUMBER(I672)),"",IF(TODAY()&gt;I672," · QUÁ HẠN "&amp;(TODAY()-I672)&amp;" ngày",IF(I672-TODAY()&lt;=3," · Đến hạn "&amp;IF(I672=TODAY(),"hôm nay","trong "&amp;(I672-TODAY())&amp;" ngày"),"")))&amp;IF(J672="Chờ đối tác"," · Chờ đối tác"&amp;IF(ISNUMBER(N672)," "&amp;(TODAY()-INT(N672))&amp;" ngày",""),""),4,200))))</f>
        <v/>
      </c>
      <c r="N672" s="49" t="n"/>
      <c r="S672">
        <f>IF(AND(E672&lt;&gt;"",T672="Có",J672&lt;&gt;"Xong",J672&lt;&gt;"Bỏ qua",ISNUMBER(I672)),I672+ROW()/100000,"")</f>
        <v/>
      </c>
      <c r="T672">
        <f>IF(O672="","",IFERROR(INDEX(SK_TD,MATCH(O672,SK_A,0)),""))</f>
        <v/>
      </c>
      <c r="V672">
        <f>IF(AND(O672&lt;&gt;"",O672=SEL_K,J672&lt;&gt;"Xong",J672&lt;&gt;"Bỏ qua"),IF(ISNUMBER(I672),I672,99999)+ROW()/100000,"")</f>
        <v/>
      </c>
    </row>
    <row r="673">
      <c r="A673" s="12">
        <f>IF(O673="","",IFERROR(INDEX(SK_B,MATCH(O673,SK_A,0))&amp;"",""))</f>
        <v/>
      </c>
      <c r="B673" s="45">
        <f>IF(O673="","",IFERROR(INDEX(SK_C,MATCH(O673,SK_A,0)),""))</f>
        <v/>
      </c>
      <c r="C673" s="46">
        <f>IF(Q673="","",IF(Q673=0,"D",IF(Q673&lt;0,"D"&amp;Q673,"D+"&amp;Q673)))</f>
        <v/>
      </c>
      <c r="D673" s="14" t="n"/>
      <c r="E673" s="12" t="n"/>
      <c r="F673" s="46" t="n"/>
      <c r="G673" s="47" t="n"/>
      <c r="H673" s="14" t="n"/>
      <c r="I673" s="13">
        <f>IF(OR(B673="",Q673=""),"",IF(Q673&gt;0,IF(R673="Làm việc",WORKDAY(IFERROR(IF(INDEX(SK_D,MATCH(O673,SK_A,0))="",B673,INDEX(SK_D,MATCH(O673,SK_A,0))),B673),Q673,HOLI),IFERROR(IF(INDEX(SK_D,MATCH(O673,SK_A,0))="",B673,INDEX(SK_D,MATCH(O673,SK_A,0))),B673)+Q673),B673+Q673))</f>
        <v/>
      </c>
      <c r="J673" s="14" t="n"/>
      <c r="K673" s="13" t="n"/>
      <c r="L673" s="12" t="n"/>
      <c r="M673" s="48">
        <f>IF(E673="","",IF(J673="Bỏ qua","—",IF(J673="Xong",IF(AND(ISNUMBER(K673),ISNUMBER(I673),K673&gt;I673),"Xong trễ","Xong"),MID(IF(G673=""," · CHƯA GIAO","")&amp;IF(NOT(ISNUMBER(I673)),"",IF(TODAY()&gt;I673," · QUÁ HẠN "&amp;(TODAY()-I673)&amp;" ngày",IF(I673-TODAY()&lt;=3," · Đến hạn "&amp;IF(I673=TODAY(),"hôm nay","trong "&amp;(I673-TODAY())&amp;" ngày"),"")))&amp;IF(J673="Chờ đối tác"," · Chờ đối tác"&amp;IF(ISNUMBER(N673)," "&amp;(TODAY()-INT(N673))&amp;" ngày",""),""),4,200))))</f>
        <v/>
      </c>
      <c r="N673" s="49" t="n"/>
      <c r="S673">
        <f>IF(AND(E673&lt;&gt;"",T673="Có",J673&lt;&gt;"Xong",J673&lt;&gt;"Bỏ qua",ISNUMBER(I673)),I673+ROW()/100000,"")</f>
        <v/>
      </c>
      <c r="T673">
        <f>IF(O673="","",IFERROR(INDEX(SK_TD,MATCH(O673,SK_A,0)),""))</f>
        <v/>
      </c>
      <c r="V673">
        <f>IF(AND(O673&lt;&gt;"",O673=SEL_K,J673&lt;&gt;"Xong",J673&lt;&gt;"Bỏ qua"),IF(ISNUMBER(I673),I673,99999)+ROW()/100000,"")</f>
        <v/>
      </c>
    </row>
    <row r="674">
      <c r="A674" s="12">
        <f>IF(O674="","",IFERROR(INDEX(SK_B,MATCH(O674,SK_A,0))&amp;"",""))</f>
        <v/>
      </c>
      <c r="B674" s="45">
        <f>IF(O674="","",IFERROR(INDEX(SK_C,MATCH(O674,SK_A,0)),""))</f>
        <v/>
      </c>
      <c r="C674" s="46">
        <f>IF(Q674="","",IF(Q674=0,"D",IF(Q674&lt;0,"D"&amp;Q674,"D+"&amp;Q674)))</f>
        <v/>
      </c>
      <c r="D674" s="14" t="n"/>
      <c r="E674" s="12" t="n"/>
      <c r="F674" s="46" t="n"/>
      <c r="G674" s="47" t="n"/>
      <c r="H674" s="14" t="n"/>
      <c r="I674" s="13">
        <f>IF(OR(B674="",Q674=""),"",IF(Q674&gt;0,IF(R674="Làm việc",WORKDAY(IFERROR(IF(INDEX(SK_D,MATCH(O674,SK_A,0))="",B674,INDEX(SK_D,MATCH(O674,SK_A,0))),B674),Q674,HOLI),IFERROR(IF(INDEX(SK_D,MATCH(O674,SK_A,0))="",B674,INDEX(SK_D,MATCH(O674,SK_A,0))),B674)+Q674),B674+Q674))</f>
        <v/>
      </c>
      <c r="J674" s="14" t="n"/>
      <c r="K674" s="13" t="n"/>
      <c r="L674" s="12" t="n"/>
      <c r="M674" s="48">
        <f>IF(E674="","",IF(J674="Bỏ qua","—",IF(J674="Xong",IF(AND(ISNUMBER(K674),ISNUMBER(I674),K674&gt;I674),"Xong trễ","Xong"),MID(IF(G674=""," · CHƯA GIAO","")&amp;IF(NOT(ISNUMBER(I674)),"",IF(TODAY()&gt;I674," · QUÁ HẠN "&amp;(TODAY()-I674)&amp;" ngày",IF(I674-TODAY()&lt;=3," · Đến hạn "&amp;IF(I674=TODAY(),"hôm nay","trong "&amp;(I674-TODAY())&amp;" ngày"),"")))&amp;IF(J674="Chờ đối tác"," · Chờ đối tác"&amp;IF(ISNUMBER(N674)," "&amp;(TODAY()-INT(N674))&amp;" ngày",""),""),4,200))))</f>
        <v/>
      </c>
      <c r="N674" s="49" t="n"/>
      <c r="S674">
        <f>IF(AND(E674&lt;&gt;"",T674="Có",J674&lt;&gt;"Xong",J674&lt;&gt;"Bỏ qua",ISNUMBER(I674)),I674+ROW()/100000,"")</f>
        <v/>
      </c>
      <c r="T674">
        <f>IF(O674="","",IFERROR(INDEX(SK_TD,MATCH(O674,SK_A,0)),""))</f>
        <v/>
      </c>
      <c r="V674">
        <f>IF(AND(O674&lt;&gt;"",O674=SEL_K,J674&lt;&gt;"Xong",J674&lt;&gt;"Bỏ qua"),IF(ISNUMBER(I674),I674,99999)+ROW()/100000,"")</f>
        <v/>
      </c>
    </row>
    <row r="675">
      <c r="A675" s="12">
        <f>IF(O675="","",IFERROR(INDEX(SK_B,MATCH(O675,SK_A,0))&amp;"",""))</f>
        <v/>
      </c>
      <c r="B675" s="45">
        <f>IF(O675="","",IFERROR(INDEX(SK_C,MATCH(O675,SK_A,0)),""))</f>
        <v/>
      </c>
      <c r="C675" s="46">
        <f>IF(Q675="","",IF(Q675=0,"D",IF(Q675&lt;0,"D"&amp;Q675,"D+"&amp;Q675)))</f>
        <v/>
      </c>
      <c r="D675" s="14" t="n"/>
      <c r="E675" s="12" t="n"/>
      <c r="F675" s="46" t="n"/>
      <c r="G675" s="47" t="n"/>
      <c r="H675" s="14" t="n"/>
      <c r="I675" s="13">
        <f>IF(OR(B675="",Q675=""),"",IF(Q675&gt;0,IF(R675="Làm việc",WORKDAY(IFERROR(IF(INDEX(SK_D,MATCH(O675,SK_A,0))="",B675,INDEX(SK_D,MATCH(O675,SK_A,0))),B675),Q675,HOLI),IFERROR(IF(INDEX(SK_D,MATCH(O675,SK_A,0))="",B675,INDEX(SK_D,MATCH(O675,SK_A,0))),B675)+Q675),B675+Q675))</f>
        <v/>
      </c>
      <c r="J675" s="14" t="n"/>
      <c r="K675" s="13" t="n"/>
      <c r="L675" s="12" t="n"/>
      <c r="M675" s="48">
        <f>IF(E675="","",IF(J675="Bỏ qua","—",IF(J675="Xong",IF(AND(ISNUMBER(K675),ISNUMBER(I675),K675&gt;I675),"Xong trễ","Xong"),MID(IF(G675=""," · CHƯA GIAO","")&amp;IF(NOT(ISNUMBER(I675)),"",IF(TODAY()&gt;I675," · QUÁ HẠN "&amp;(TODAY()-I675)&amp;" ngày",IF(I675-TODAY()&lt;=3," · Đến hạn "&amp;IF(I675=TODAY(),"hôm nay","trong "&amp;(I675-TODAY())&amp;" ngày"),"")))&amp;IF(J675="Chờ đối tác"," · Chờ đối tác"&amp;IF(ISNUMBER(N675)," "&amp;(TODAY()-INT(N675))&amp;" ngày",""),""),4,200))))</f>
        <v/>
      </c>
      <c r="N675" s="49" t="n"/>
      <c r="S675">
        <f>IF(AND(E675&lt;&gt;"",T675="Có",J675&lt;&gt;"Xong",J675&lt;&gt;"Bỏ qua",ISNUMBER(I675)),I675+ROW()/100000,"")</f>
        <v/>
      </c>
      <c r="T675">
        <f>IF(O675="","",IFERROR(INDEX(SK_TD,MATCH(O675,SK_A,0)),""))</f>
        <v/>
      </c>
      <c r="V675">
        <f>IF(AND(O675&lt;&gt;"",O675=SEL_K,J675&lt;&gt;"Xong",J675&lt;&gt;"Bỏ qua"),IF(ISNUMBER(I675),I675,99999)+ROW()/100000,"")</f>
        <v/>
      </c>
    </row>
    <row r="676">
      <c r="A676" s="12">
        <f>IF(O676="","",IFERROR(INDEX(SK_B,MATCH(O676,SK_A,0))&amp;"",""))</f>
        <v/>
      </c>
      <c r="B676" s="45">
        <f>IF(O676="","",IFERROR(INDEX(SK_C,MATCH(O676,SK_A,0)),""))</f>
        <v/>
      </c>
      <c r="C676" s="46">
        <f>IF(Q676="","",IF(Q676=0,"D",IF(Q676&lt;0,"D"&amp;Q676,"D+"&amp;Q676)))</f>
        <v/>
      </c>
      <c r="D676" s="14" t="n"/>
      <c r="E676" s="12" t="n"/>
      <c r="F676" s="46" t="n"/>
      <c r="G676" s="47" t="n"/>
      <c r="H676" s="14" t="n"/>
      <c r="I676" s="13">
        <f>IF(OR(B676="",Q676=""),"",IF(Q676&gt;0,IF(R676="Làm việc",WORKDAY(IFERROR(IF(INDEX(SK_D,MATCH(O676,SK_A,0))="",B676,INDEX(SK_D,MATCH(O676,SK_A,0))),B676),Q676,HOLI),IFERROR(IF(INDEX(SK_D,MATCH(O676,SK_A,0))="",B676,INDEX(SK_D,MATCH(O676,SK_A,0))),B676)+Q676),B676+Q676))</f>
        <v/>
      </c>
      <c r="J676" s="14" t="n"/>
      <c r="K676" s="13" t="n"/>
      <c r="L676" s="12" t="n"/>
      <c r="M676" s="48">
        <f>IF(E676="","",IF(J676="Bỏ qua","—",IF(J676="Xong",IF(AND(ISNUMBER(K676),ISNUMBER(I676),K676&gt;I676),"Xong trễ","Xong"),MID(IF(G676=""," · CHƯA GIAO","")&amp;IF(NOT(ISNUMBER(I676)),"",IF(TODAY()&gt;I676," · QUÁ HẠN "&amp;(TODAY()-I676)&amp;" ngày",IF(I676-TODAY()&lt;=3," · Đến hạn "&amp;IF(I676=TODAY(),"hôm nay","trong "&amp;(I676-TODAY())&amp;" ngày"),"")))&amp;IF(J676="Chờ đối tác"," · Chờ đối tác"&amp;IF(ISNUMBER(N676)," "&amp;(TODAY()-INT(N676))&amp;" ngày",""),""),4,200))))</f>
        <v/>
      </c>
      <c r="N676" s="49" t="n"/>
      <c r="S676">
        <f>IF(AND(E676&lt;&gt;"",T676="Có",J676&lt;&gt;"Xong",J676&lt;&gt;"Bỏ qua",ISNUMBER(I676)),I676+ROW()/100000,"")</f>
        <v/>
      </c>
      <c r="T676">
        <f>IF(O676="","",IFERROR(INDEX(SK_TD,MATCH(O676,SK_A,0)),""))</f>
        <v/>
      </c>
      <c r="V676">
        <f>IF(AND(O676&lt;&gt;"",O676=SEL_K,J676&lt;&gt;"Xong",J676&lt;&gt;"Bỏ qua"),IF(ISNUMBER(I676),I676,99999)+ROW()/100000,"")</f>
        <v/>
      </c>
    </row>
    <row r="677">
      <c r="A677" s="12">
        <f>IF(O677="","",IFERROR(INDEX(SK_B,MATCH(O677,SK_A,0))&amp;"",""))</f>
        <v/>
      </c>
      <c r="B677" s="45">
        <f>IF(O677="","",IFERROR(INDEX(SK_C,MATCH(O677,SK_A,0)),""))</f>
        <v/>
      </c>
      <c r="C677" s="46">
        <f>IF(Q677="","",IF(Q677=0,"D",IF(Q677&lt;0,"D"&amp;Q677,"D+"&amp;Q677)))</f>
        <v/>
      </c>
      <c r="D677" s="14" t="n"/>
      <c r="E677" s="12" t="n"/>
      <c r="F677" s="46" t="n"/>
      <c r="G677" s="47" t="n"/>
      <c r="H677" s="14" t="n"/>
      <c r="I677" s="13">
        <f>IF(OR(B677="",Q677=""),"",IF(Q677&gt;0,IF(R677="Làm việc",WORKDAY(IFERROR(IF(INDEX(SK_D,MATCH(O677,SK_A,0))="",B677,INDEX(SK_D,MATCH(O677,SK_A,0))),B677),Q677,HOLI),IFERROR(IF(INDEX(SK_D,MATCH(O677,SK_A,0))="",B677,INDEX(SK_D,MATCH(O677,SK_A,0))),B677)+Q677),B677+Q677))</f>
        <v/>
      </c>
      <c r="J677" s="14" t="n"/>
      <c r="K677" s="13" t="n"/>
      <c r="L677" s="12" t="n"/>
      <c r="M677" s="48">
        <f>IF(E677="","",IF(J677="Bỏ qua","—",IF(J677="Xong",IF(AND(ISNUMBER(K677),ISNUMBER(I677),K677&gt;I677),"Xong trễ","Xong"),MID(IF(G677=""," · CHƯA GIAO","")&amp;IF(NOT(ISNUMBER(I677)),"",IF(TODAY()&gt;I677," · QUÁ HẠN "&amp;(TODAY()-I677)&amp;" ngày",IF(I677-TODAY()&lt;=3," · Đến hạn "&amp;IF(I677=TODAY(),"hôm nay","trong "&amp;(I677-TODAY())&amp;" ngày"),"")))&amp;IF(J677="Chờ đối tác"," · Chờ đối tác"&amp;IF(ISNUMBER(N677)," "&amp;(TODAY()-INT(N677))&amp;" ngày",""),""),4,200))))</f>
        <v/>
      </c>
      <c r="N677" s="49" t="n"/>
      <c r="S677">
        <f>IF(AND(E677&lt;&gt;"",T677="Có",J677&lt;&gt;"Xong",J677&lt;&gt;"Bỏ qua",ISNUMBER(I677)),I677+ROW()/100000,"")</f>
        <v/>
      </c>
      <c r="T677">
        <f>IF(O677="","",IFERROR(INDEX(SK_TD,MATCH(O677,SK_A,0)),""))</f>
        <v/>
      </c>
      <c r="V677">
        <f>IF(AND(O677&lt;&gt;"",O677=SEL_K,J677&lt;&gt;"Xong",J677&lt;&gt;"Bỏ qua"),IF(ISNUMBER(I677),I677,99999)+ROW()/100000,"")</f>
        <v/>
      </c>
    </row>
    <row r="678">
      <c r="A678" s="12">
        <f>IF(O678="","",IFERROR(INDEX(SK_B,MATCH(O678,SK_A,0))&amp;"",""))</f>
        <v/>
      </c>
      <c r="B678" s="45">
        <f>IF(O678="","",IFERROR(INDEX(SK_C,MATCH(O678,SK_A,0)),""))</f>
        <v/>
      </c>
      <c r="C678" s="46">
        <f>IF(Q678="","",IF(Q678=0,"D",IF(Q678&lt;0,"D"&amp;Q678,"D+"&amp;Q678)))</f>
        <v/>
      </c>
      <c r="D678" s="14" t="n"/>
      <c r="E678" s="12" t="n"/>
      <c r="F678" s="46" t="n"/>
      <c r="G678" s="47" t="n"/>
      <c r="H678" s="14" t="n"/>
      <c r="I678" s="13">
        <f>IF(OR(B678="",Q678=""),"",IF(Q678&gt;0,IF(R678="Làm việc",WORKDAY(IFERROR(IF(INDEX(SK_D,MATCH(O678,SK_A,0))="",B678,INDEX(SK_D,MATCH(O678,SK_A,0))),B678),Q678,HOLI),IFERROR(IF(INDEX(SK_D,MATCH(O678,SK_A,0))="",B678,INDEX(SK_D,MATCH(O678,SK_A,0))),B678)+Q678),B678+Q678))</f>
        <v/>
      </c>
      <c r="J678" s="14" t="n"/>
      <c r="K678" s="13" t="n"/>
      <c r="L678" s="12" t="n"/>
      <c r="M678" s="48">
        <f>IF(E678="","",IF(J678="Bỏ qua","—",IF(J678="Xong",IF(AND(ISNUMBER(K678),ISNUMBER(I678),K678&gt;I678),"Xong trễ","Xong"),MID(IF(G678=""," · CHƯA GIAO","")&amp;IF(NOT(ISNUMBER(I678)),"",IF(TODAY()&gt;I678," · QUÁ HẠN "&amp;(TODAY()-I678)&amp;" ngày",IF(I678-TODAY()&lt;=3," · Đến hạn "&amp;IF(I678=TODAY(),"hôm nay","trong "&amp;(I678-TODAY())&amp;" ngày"),"")))&amp;IF(J678="Chờ đối tác"," · Chờ đối tác"&amp;IF(ISNUMBER(N678)," "&amp;(TODAY()-INT(N678))&amp;" ngày",""),""),4,200))))</f>
        <v/>
      </c>
      <c r="N678" s="49" t="n"/>
      <c r="S678">
        <f>IF(AND(E678&lt;&gt;"",T678="Có",J678&lt;&gt;"Xong",J678&lt;&gt;"Bỏ qua",ISNUMBER(I678)),I678+ROW()/100000,"")</f>
        <v/>
      </c>
      <c r="T678">
        <f>IF(O678="","",IFERROR(INDEX(SK_TD,MATCH(O678,SK_A,0)),""))</f>
        <v/>
      </c>
      <c r="V678">
        <f>IF(AND(O678&lt;&gt;"",O678=SEL_K,J678&lt;&gt;"Xong",J678&lt;&gt;"Bỏ qua"),IF(ISNUMBER(I678),I678,99999)+ROW()/100000,"")</f>
        <v/>
      </c>
    </row>
    <row r="679">
      <c r="A679" s="12">
        <f>IF(O679="","",IFERROR(INDEX(SK_B,MATCH(O679,SK_A,0))&amp;"",""))</f>
        <v/>
      </c>
      <c r="B679" s="45">
        <f>IF(O679="","",IFERROR(INDEX(SK_C,MATCH(O679,SK_A,0)),""))</f>
        <v/>
      </c>
      <c r="C679" s="46">
        <f>IF(Q679="","",IF(Q679=0,"D",IF(Q679&lt;0,"D"&amp;Q679,"D+"&amp;Q679)))</f>
        <v/>
      </c>
      <c r="D679" s="14" t="n"/>
      <c r="E679" s="12" t="n"/>
      <c r="F679" s="46" t="n"/>
      <c r="G679" s="47" t="n"/>
      <c r="H679" s="14" t="n"/>
      <c r="I679" s="13">
        <f>IF(OR(B679="",Q679=""),"",IF(Q679&gt;0,IF(R679="Làm việc",WORKDAY(IFERROR(IF(INDEX(SK_D,MATCH(O679,SK_A,0))="",B679,INDEX(SK_D,MATCH(O679,SK_A,0))),B679),Q679,HOLI),IFERROR(IF(INDEX(SK_D,MATCH(O679,SK_A,0))="",B679,INDEX(SK_D,MATCH(O679,SK_A,0))),B679)+Q679),B679+Q679))</f>
        <v/>
      </c>
      <c r="J679" s="14" t="n"/>
      <c r="K679" s="13" t="n"/>
      <c r="L679" s="12" t="n"/>
      <c r="M679" s="48">
        <f>IF(E679="","",IF(J679="Bỏ qua","—",IF(J679="Xong",IF(AND(ISNUMBER(K679),ISNUMBER(I679),K679&gt;I679),"Xong trễ","Xong"),MID(IF(G679=""," · CHƯA GIAO","")&amp;IF(NOT(ISNUMBER(I679)),"",IF(TODAY()&gt;I679," · QUÁ HẠN "&amp;(TODAY()-I679)&amp;" ngày",IF(I679-TODAY()&lt;=3," · Đến hạn "&amp;IF(I679=TODAY(),"hôm nay","trong "&amp;(I679-TODAY())&amp;" ngày"),"")))&amp;IF(J679="Chờ đối tác"," · Chờ đối tác"&amp;IF(ISNUMBER(N679)," "&amp;(TODAY()-INT(N679))&amp;" ngày",""),""),4,200))))</f>
        <v/>
      </c>
      <c r="N679" s="49" t="n"/>
      <c r="S679">
        <f>IF(AND(E679&lt;&gt;"",T679="Có",J679&lt;&gt;"Xong",J679&lt;&gt;"Bỏ qua",ISNUMBER(I679)),I679+ROW()/100000,"")</f>
        <v/>
      </c>
      <c r="T679">
        <f>IF(O679="","",IFERROR(INDEX(SK_TD,MATCH(O679,SK_A,0)),""))</f>
        <v/>
      </c>
      <c r="V679">
        <f>IF(AND(O679&lt;&gt;"",O679=SEL_K,J679&lt;&gt;"Xong",J679&lt;&gt;"Bỏ qua"),IF(ISNUMBER(I679),I679,99999)+ROW()/100000,"")</f>
        <v/>
      </c>
    </row>
    <row r="680">
      <c r="A680" s="12">
        <f>IF(O680="","",IFERROR(INDEX(SK_B,MATCH(O680,SK_A,0))&amp;"",""))</f>
        <v/>
      </c>
      <c r="B680" s="45">
        <f>IF(O680="","",IFERROR(INDEX(SK_C,MATCH(O680,SK_A,0)),""))</f>
        <v/>
      </c>
      <c r="C680" s="46">
        <f>IF(Q680="","",IF(Q680=0,"D",IF(Q680&lt;0,"D"&amp;Q680,"D+"&amp;Q680)))</f>
        <v/>
      </c>
      <c r="D680" s="14" t="n"/>
      <c r="E680" s="12" t="n"/>
      <c r="F680" s="46" t="n"/>
      <c r="G680" s="47" t="n"/>
      <c r="H680" s="14" t="n"/>
      <c r="I680" s="13">
        <f>IF(OR(B680="",Q680=""),"",IF(Q680&gt;0,IF(R680="Làm việc",WORKDAY(IFERROR(IF(INDEX(SK_D,MATCH(O680,SK_A,0))="",B680,INDEX(SK_D,MATCH(O680,SK_A,0))),B680),Q680,HOLI),IFERROR(IF(INDEX(SK_D,MATCH(O680,SK_A,0))="",B680,INDEX(SK_D,MATCH(O680,SK_A,0))),B680)+Q680),B680+Q680))</f>
        <v/>
      </c>
      <c r="J680" s="14" t="n"/>
      <c r="K680" s="13" t="n"/>
      <c r="L680" s="12" t="n"/>
      <c r="M680" s="48">
        <f>IF(E680="","",IF(J680="Bỏ qua","—",IF(J680="Xong",IF(AND(ISNUMBER(K680),ISNUMBER(I680),K680&gt;I680),"Xong trễ","Xong"),MID(IF(G680=""," · CHƯA GIAO","")&amp;IF(NOT(ISNUMBER(I680)),"",IF(TODAY()&gt;I680," · QUÁ HẠN "&amp;(TODAY()-I680)&amp;" ngày",IF(I680-TODAY()&lt;=3," · Đến hạn "&amp;IF(I680=TODAY(),"hôm nay","trong "&amp;(I680-TODAY())&amp;" ngày"),"")))&amp;IF(J680="Chờ đối tác"," · Chờ đối tác"&amp;IF(ISNUMBER(N680)," "&amp;(TODAY()-INT(N680))&amp;" ngày",""),""),4,200))))</f>
        <v/>
      </c>
      <c r="N680" s="49" t="n"/>
      <c r="S680">
        <f>IF(AND(E680&lt;&gt;"",T680="Có",J680&lt;&gt;"Xong",J680&lt;&gt;"Bỏ qua",ISNUMBER(I680)),I680+ROW()/100000,"")</f>
        <v/>
      </c>
      <c r="T680">
        <f>IF(O680="","",IFERROR(INDEX(SK_TD,MATCH(O680,SK_A,0)),""))</f>
        <v/>
      </c>
      <c r="V680">
        <f>IF(AND(O680&lt;&gt;"",O680=SEL_K,J680&lt;&gt;"Xong",J680&lt;&gt;"Bỏ qua"),IF(ISNUMBER(I680),I680,99999)+ROW()/100000,"")</f>
        <v/>
      </c>
    </row>
    <row r="681">
      <c r="A681" s="12">
        <f>IF(O681="","",IFERROR(INDEX(SK_B,MATCH(O681,SK_A,0))&amp;"",""))</f>
        <v/>
      </c>
      <c r="B681" s="45">
        <f>IF(O681="","",IFERROR(INDEX(SK_C,MATCH(O681,SK_A,0)),""))</f>
        <v/>
      </c>
      <c r="C681" s="46">
        <f>IF(Q681="","",IF(Q681=0,"D",IF(Q681&lt;0,"D"&amp;Q681,"D+"&amp;Q681)))</f>
        <v/>
      </c>
      <c r="D681" s="14" t="n"/>
      <c r="E681" s="12" t="n"/>
      <c r="F681" s="46" t="n"/>
      <c r="G681" s="47" t="n"/>
      <c r="H681" s="14" t="n"/>
      <c r="I681" s="13">
        <f>IF(OR(B681="",Q681=""),"",IF(Q681&gt;0,IF(R681="Làm việc",WORKDAY(IFERROR(IF(INDEX(SK_D,MATCH(O681,SK_A,0))="",B681,INDEX(SK_D,MATCH(O681,SK_A,0))),B681),Q681,HOLI),IFERROR(IF(INDEX(SK_D,MATCH(O681,SK_A,0))="",B681,INDEX(SK_D,MATCH(O681,SK_A,0))),B681)+Q681),B681+Q681))</f>
        <v/>
      </c>
      <c r="J681" s="14" t="n"/>
      <c r="K681" s="13" t="n"/>
      <c r="L681" s="12" t="n"/>
      <c r="M681" s="48">
        <f>IF(E681="","",IF(J681="Bỏ qua","—",IF(J681="Xong",IF(AND(ISNUMBER(K681),ISNUMBER(I681),K681&gt;I681),"Xong trễ","Xong"),MID(IF(G681=""," · CHƯA GIAO","")&amp;IF(NOT(ISNUMBER(I681)),"",IF(TODAY()&gt;I681," · QUÁ HẠN "&amp;(TODAY()-I681)&amp;" ngày",IF(I681-TODAY()&lt;=3," · Đến hạn "&amp;IF(I681=TODAY(),"hôm nay","trong "&amp;(I681-TODAY())&amp;" ngày"),"")))&amp;IF(J681="Chờ đối tác"," · Chờ đối tác"&amp;IF(ISNUMBER(N681)," "&amp;(TODAY()-INT(N681))&amp;" ngày",""),""),4,200))))</f>
        <v/>
      </c>
      <c r="N681" s="49" t="n"/>
      <c r="S681">
        <f>IF(AND(E681&lt;&gt;"",T681="Có",J681&lt;&gt;"Xong",J681&lt;&gt;"Bỏ qua",ISNUMBER(I681)),I681+ROW()/100000,"")</f>
        <v/>
      </c>
      <c r="T681">
        <f>IF(O681="","",IFERROR(INDEX(SK_TD,MATCH(O681,SK_A,0)),""))</f>
        <v/>
      </c>
      <c r="V681">
        <f>IF(AND(O681&lt;&gt;"",O681=SEL_K,J681&lt;&gt;"Xong",J681&lt;&gt;"Bỏ qua"),IF(ISNUMBER(I681),I681,99999)+ROW()/100000,"")</f>
        <v/>
      </c>
    </row>
    <row r="682">
      <c r="A682" s="12">
        <f>IF(O682="","",IFERROR(INDEX(SK_B,MATCH(O682,SK_A,0))&amp;"",""))</f>
        <v/>
      </c>
      <c r="B682" s="45">
        <f>IF(O682="","",IFERROR(INDEX(SK_C,MATCH(O682,SK_A,0)),""))</f>
        <v/>
      </c>
      <c r="C682" s="46">
        <f>IF(Q682="","",IF(Q682=0,"D",IF(Q682&lt;0,"D"&amp;Q682,"D+"&amp;Q682)))</f>
        <v/>
      </c>
      <c r="D682" s="14" t="n"/>
      <c r="E682" s="12" t="n"/>
      <c r="F682" s="46" t="n"/>
      <c r="G682" s="47" t="n"/>
      <c r="H682" s="14" t="n"/>
      <c r="I682" s="13">
        <f>IF(OR(B682="",Q682=""),"",IF(Q682&gt;0,IF(R682="Làm việc",WORKDAY(IFERROR(IF(INDEX(SK_D,MATCH(O682,SK_A,0))="",B682,INDEX(SK_D,MATCH(O682,SK_A,0))),B682),Q682,HOLI),IFERROR(IF(INDEX(SK_D,MATCH(O682,SK_A,0))="",B682,INDEX(SK_D,MATCH(O682,SK_A,0))),B682)+Q682),B682+Q682))</f>
        <v/>
      </c>
      <c r="J682" s="14" t="n"/>
      <c r="K682" s="13" t="n"/>
      <c r="L682" s="12" t="n"/>
      <c r="M682" s="48">
        <f>IF(E682="","",IF(J682="Bỏ qua","—",IF(J682="Xong",IF(AND(ISNUMBER(K682),ISNUMBER(I682),K682&gt;I682),"Xong trễ","Xong"),MID(IF(G682=""," · CHƯA GIAO","")&amp;IF(NOT(ISNUMBER(I682)),"",IF(TODAY()&gt;I682," · QUÁ HẠN "&amp;(TODAY()-I682)&amp;" ngày",IF(I682-TODAY()&lt;=3," · Đến hạn "&amp;IF(I682=TODAY(),"hôm nay","trong "&amp;(I682-TODAY())&amp;" ngày"),"")))&amp;IF(J682="Chờ đối tác"," · Chờ đối tác"&amp;IF(ISNUMBER(N682)," "&amp;(TODAY()-INT(N682))&amp;" ngày",""),""),4,200))))</f>
        <v/>
      </c>
      <c r="N682" s="49" t="n"/>
      <c r="S682">
        <f>IF(AND(E682&lt;&gt;"",T682="Có",J682&lt;&gt;"Xong",J682&lt;&gt;"Bỏ qua",ISNUMBER(I682)),I682+ROW()/100000,"")</f>
        <v/>
      </c>
      <c r="T682">
        <f>IF(O682="","",IFERROR(INDEX(SK_TD,MATCH(O682,SK_A,0)),""))</f>
        <v/>
      </c>
      <c r="V682">
        <f>IF(AND(O682&lt;&gt;"",O682=SEL_K,J682&lt;&gt;"Xong",J682&lt;&gt;"Bỏ qua"),IF(ISNUMBER(I682),I682,99999)+ROW()/100000,"")</f>
        <v/>
      </c>
    </row>
    <row r="683">
      <c r="A683" s="12">
        <f>IF(O683="","",IFERROR(INDEX(SK_B,MATCH(O683,SK_A,0))&amp;"",""))</f>
        <v/>
      </c>
      <c r="B683" s="45">
        <f>IF(O683="","",IFERROR(INDEX(SK_C,MATCH(O683,SK_A,0)),""))</f>
        <v/>
      </c>
      <c r="C683" s="46">
        <f>IF(Q683="","",IF(Q683=0,"D",IF(Q683&lt;0,"D"&amp;Q683,"D+"&amp;Q683)))</f>
        <v/>
      </c>
      <c r="D683" s="14" t="n"/>
      <c r="E683" s="12" t="n"/>
      <c r="F683" s="46" t="n"/>
      <c r="G683" s="47" t="n"/>
      <c r="H683" s="14" t="n"/>
      <c r="I683" s="13">
        <f>IF(OR(B683="",Q683=""),"",IF(Q683&gt;0,IF(R683="Làm việc",WORKDAY(IFERROR(IF(INDEX(SK_D,MATCH(O683,SK_A,0))="",B683,INDEX(SK_D,MATCH(O683,SK_A,0))),B683),Q683,HOLI),IFERROR(IF(INDEX(SK_D,MATCH(O683,SK_A,0))="",B683,INDEX(SK_D,MATCH(O683,SK_A,0))),B683)+Q683),B683+Q683))</f>
        <v/>
      </c>
      <c r="J683" s="14" t="n"/>
      <c r="K683" s="13" t="n"/>
      <c r="L683" s="12" t="n"/>
      <c r="M683" s="48">
        <f>IF(E683="","",IF(J683="Bỏ qua","—",IF(J683="Xong",IF(AND(ISNUMBER(K683),ISNUMBER(I683),K683&gt;I683),"Xong trễ","Xong"),MID(IF(G683=""," · CHƯA GIAO","")&amp;IF(NOT(ISNUMBER(I683)),"",IF(TODAY()&gt;I683," · QUÁ HẠN "&amp;(TODAY()-I683)&amp;" ngày",IF(I683-TODAY()&lt;=3," · Đến hạn "&amp;IF(I683=TODAY(),"hôm nay","trong "&amp;(I683-TODAY())&amp;" ngày"),"")))&amp;IF(J683="Chờ đối tác"," · Chờ đối tác"&amp;IF(ISNUMBER(N683)," "&amp;(TODAY()-INT(N683))&amp;" ngày",""),""),4,200))))</f>
        <v/>
      </c>
      <c r="N683" s="49" t="n"/>
      <c r="S683">
        <f>IF(AND(E683&lt;&gt;"",T683="Có",J683&lt;&gt;"Xong",J683&lt;&gt;"Bỏ qua",ISNUMBER(I683)),I683+ROW()/100000,"")</f>
        <v/>
      </c>
      <c r="T683">
        <f>IF(O683="","",IFERROR(INDEX(SK_TD,MATCH(O683,SK_A,0)),""))</f>
        <v/>
      </c>
      <c r="V683">
        <f>IF(AND(O683&lt;&gt;"",O683=SEL_K,J683&lt;&gt;"Xong",J683&lt;&gt;"Bỏ qua"),IF(ISNUMBER(I683),I683,99999)+ROW()/100000,"")</f>
        <v/>
      </c>
    </row>
    <row r="684">
      <c r="A684" s="12">
        <f>IF(O684="","",IFERROR(INDEX(SK_B,MATCH(O684,SK_A,0))&amp;"",""))</f>
        <v/>
      </c>
      <c r="B684" s="45">
        <f>IF(O684="","",IFERROR(INDEX(SK_C,MATCH(O684,SK_A,0)),""))</f>
        <v/>
      </c>
      <c r="C684" s="46">
        <f>IF(Q684="","",IF(Q684=0,"D",IF(Q684&lt;0,"D"&amp;Q684,"D+"&amp;Q684)))</f>
        <v/>
      </c>
      <c r="D684" s="14" t="n"/>
      <c r="E684" s="12" t="n"/>
      <c r="F684" s="46" t="n"/>
      <c r="G684" s="47" t="n"/>
      <c r="H684" s="14" t="n"/>
      <c r="I684" s="13">
        <f>IF(OR(B684="",Q684=""),"",IF(Q684&gt;0,IF(R684="Làm việc",WORKDAY(IFERROR(IF(INDEX(SK_D,MATCH(O684,SK_A,0))="",B684,INDEX(SK_D,MATCH(O684,SK_A,0))),B684),Q684,HOLI),IFERROR(IF(INDEX(SK_D,MATCH(O684,SK_A,0))="",B684,INDEX(SK_D,MATCH(O684,SK_A,0))),B684)+Q684),B684+Q684))</f>
        <v/>
      </c>
      <c r="J684" s="14" t="n"/>
      <c r="K684" s="13" t="n"/>
      <c r="L684" s="12" t="n"/>
      <c r="M684" s="48">
        <f>IF(E684="","",IF(J684="Bỏ qua","—",IF(J684="Xong",IF(AND(ISNUMBER(K684),ISNUMBER(I684),K684&gt;I684),"Xong trễ","Xong"),MID(IF(G684=""," · CHƯA GIAO","")&amp;IF(NOT(ISNUMBER(I684)),"",IF(TODAY()&gt;I684," · QUÁ HẠN "&amp;(TODAY()-I684)&amp;" ngày",IF(I684-TODAY()&lt;=3," · Đến hạn "&amp;IF(I684=TODAY(),"hôm nay","trong "&amp;(I684-TODAY())&amp;" ngày"),"")))&amp;IF(J684="Chờ đối tác"," · Chờ đối tác"&amp;IF(ISNUMBER(N684)," "&amp;(TODAY()-INT(N684))&amp;" ngày",""),""),4,200))))</f>
        <v/>
      </c>
      <c r="N684" s="49" t="n"/>
      <c r="S684">
        <f>IF(AND(E684&lt;&gt;"",T684="Có",J684&lt;&gt;"Xong",J684&lt;&gt;"Bỏ qua",ISNUMBER(I684)),I684+ROW()/100000,"")</f>
        <v/>
      </c>
      <c r="T684">
        <f>IF(O684="","",IFERROR(INDEX(SK_TD,MATCH(O684,SK_A,0)),""))</f>
        <v/>
      </c>
      <c r="V684">
        <f>IF(AND(O684&lt;&gt;"",O684=SEL_K,J684&lt;&gt;"Xong",J684&lt;&gt;"Bỏ qua"),IF(ISNUMBER(I684),I684,99999)+ROW()/100000,"")</f>
        <v/>
      </c>
    </row>
    <row r="685">
      <c r="A685" s="12">
        <f>IF(O685="","",IFERROR(INDEX(SK_B,MATCH(O685,SK_A,0))&amp;"",""))</f>
        <v/>
      </c>
      <c r="B685" s="45">
        <f>IF(O685="","",IFERROR(INDEX(SK_C,MATCH(O685,SK_A,0)),""))</f>
        <v/>
      </c>
      <c r="C685" s="46">
        <f>IF(Q685="","",IF(Q685=0,"D",IF(Q685&lt;0,"D"&amp;Q685,"D+"&amp;Q685)))</f>
        <v/>
      </c>
      <c r="D685" s="14" t="n"/>
      <c r="E685" s="12" t="n"/>
      <c r="F685" s="46" t="n"/>
      <c r="G685" s="47" t="n"/>
      <c r="H685" s="14" t="n"/>
      <c r="I685" s="13">
        <f>IF(OR(B685="",Q685=""),"",IF(Q685&gt;0,IF(R685="Làm việc",WORKDAY(IFERROR(IF(INDEX(SK_D,MATCH(O685,SK_A,0))="",B685,INDEX(SK_D,MATCH(O685,SK_A,0))),B685),Q685,HOLI),IFERROR(IF(INDEX(SK_D,MATCH(O685,SK_A,0))="",B685,INDEX(SK_D,MATCH(O685,SK_A,0))),B685)+Q685),B685+Q685))</f>
        <v/>
      </c>
      <c r="J685" s="14" t="n"/>
      <c r="K685" s="13" t="n"/>
      <c r="L685" s="12" t="n"/>
      <c r="M685" s="48">
        <f>IF(E685="","",IF(J685="Bỏ qua","—",IF(J685="Xong",IF(AND(ISNUMBER(K685),ISNUMBER(I685),K685&gt;I685),"Xong trễ","Xong"),MID(IF(G685=""," · CHƯA GIAO","")&amp;IF(NOT(ISNUMBER(I685)),"",IF(TODAY()&gt;I685," · QUÁ HẠN "&amp;(TODAY()-I685)&amp;" ngày",IF(I685-TODAY()&lt;=3," · Đến hạn "&amp;IF(I685=TODAY(),"hôm nay","trong "&amp;(I685-TODAY())&amp;" ngày"),"")))&amp;IF(J685="Chờ đối tác"," · Chờ đối tác"&amp;IF(ISNUMBER(N685)," "&amp;(TODAY()-INT(N685))&amp;" ngày",""),""),4,200))))</f>
        <v/>
      </c>
      <c r="N685" s="49" t="n"/>
      <c r="S685">
        <f>IF(AND(E685&lt;&gt;"",T685="Có",J685&lt;&gt;"Xong",J685&lt;&gt;"Bỏ qua",ISNUMBER(I685)),I685+ROW()/100000,"")</f>
        <v/>
      </c>
      <c r="T685">
        <f>IF(O685="","",IFERROR(INDEX(SK_TD,MATCH(O685,SK_A,0)),""))</f>
        <v/>
      </c>
      <c r="V685">
        <f>IF(AND(O685&lt;&gt;"",O685=SEL_K,J685&lt;&gt;"Xong",J685&lt;&gt;"Bỏ qua"),IF(ISNUMBER(I685),I685,99999)+ROW()/100000,"")</f>
        <v/>
      </c>
    </row>
    <row r="686">
      <c r="A686" s="12">
        <f>IF(O686="","",IFERROR(INDEX(SK_B,MATCH(O686,SK_A,0))&amp;"",""))</f>
        <v/>
      </c>
      <c r="B686" s="45">
        <f>IF(O686="","",IFERROR(INDEX(SK_C,MATCH(O686,SK_A,0)),""))</f>
        <v/>
      </c>
      <c r="C686" s="46">
        <f>IF(Q686="","",IF(Q686=0,"D",IF(Q686&lt;0,"D"&amp;Q686,"D+"&amp;Q686)))</f>
        <v/>
      </c>
      <c r="D686" s="14" t="n"/>
      <c r="E686" s="12" t="n"/>
      <c r="F686" s="46" t="n"/>
      <c r="G686" s="47" t="n"/>
      <c r="H686" s="14" t="n"/>
      <c r="I686" s="13">
        <f>IF(OR(B686="",Q686=""),"",IF(Q686&gt;0,IF(R686="Làm việc",WORKDAY(IFERROR(IF(INDEX(SK_D,MATCH(O686,SK_A,0))="",B686,INDEX(SK_D,MATCH(O686,SK_A,0))),B686),Q686,HOLI),IFERROR(IF(INDEX(SK_D,MATCH(O686,SK_A,0))="",B686,INDEX(SK_D,MATCH(O686,SK_A,0))),B686)+Q686),B686+Q686))</f>
        <v/>
      </c>
      <c r="J686" s="14" t="n"/>
      <c r="K686" s="13" t="n"/>
      <c r="L686" s="12" t="n"/>
      <c r="M686" s="48">
        <f>IF(E686="","",IF(J686="Bỏ qua","—",IF(J686="Xong",IF(AND(ISNUMBER(K686),ISNUMBER(I686),K686&gt;I686),"Xong trễ","Xong"),MID(IF(G686=""," · CHƯA GIAO","")&amp;IF(NOT(ISNUMBER(I686)),"",IF(TODAY()&gt;I686," · QUÁ HẠN "&amp;(TODAY()-I686)&amp;" ngày",IF(I686-TODAY()&lt;=3," · Đến hạn "&amp;IF(I686=TODAY(),"hôm nay","trong "&amp;(I686-TODAY())&amp;" ngày"),"")))&amp;IF(J686="Chờ đối tác"," · Chờ đối tác"&amp;IF(ISNUMBER(N686)," "&amp;(TODAY()-INT(N686))&amp;" ngày",""),""),4,200))))</f>
        <v/>
      </c>
      <c r="N686" s="49" t="n"/>
      <c r="S686">
        <f>IF(AND(E686&lt;&gt;"",T686="Có",J686&lt;&gt;"Xong",J686&lt;&gt;"Bỏ qua",ISNUMBER(I686)),I686+ROW()/100000,"")</f>
        <v/>
      </c>
      <c r="T686">
        <f>IF(O686="","",IFERROR(INDEX(SK_TD,MATCH(O686,SK_A,0)),""))</f>
        <v/>
      </c>
      <c r="V686">
        <f>IF(AND(O686&lt;&gt;"",O686=SEL_K,J686&lt;&gt;"Xong",J686&lt;&gt;"Bỏ qua"),IF(ISNUMBER(I686),I686,99999)+ROW()/100000,"")</f>
        <v/>
      </c>
    </row>
    <row r="687">
      <c r="A687" s="12">
        <f>IF(O687="","",IFERROR(INDEX(SK_B,MATCH(O687,SK_A,0))&amp;"",""))</f>
        <v/>
      </c>
      <c r="B687" s="45">
        <f>IF(O687="","",IFERROR(INDEX(SK_C,MATCH(O687,SK_A,0)),""))</f>
        <v/>
      </c>
      <c r="C687" s="46">
        <f>IF(Q687="","",IF(Q687=0,"D",IF(Q687&lt;0,"D"&amp;Q687,"D+"&amp;Q687)))</f>
        <v/>
      </c>
      <c r="D687" s="14" t="n"/>
      <c r="E687" s="12" t="n"/>
      <c r="F687" s="46" t="n"/>
      <c r="G687" s="47" t="n"/>
      <c r="H687" s="14" t="n"/>
      <c r="I687" s="13">
        <f>IF(OR(B687="",Q687=""),"",IF(Q687&gt;0,IF(R687="Làm việc",WORKDAY(IFERROR(IF(INDEX(SK_D,MATCH(O687,SK_A,0))="",B687,INDEX(SK_D,MATCH(O687,SK_A,0))),B687),Q687,HOLI),IFERROR(IF(INDEX(SK_D,MATCH(O687,SK_A,0))="",B687,INDEX(SK_D,MATCH(O687,SK_A,0))),B687)+Q687),B687+Q687))</f>
        <v/>
      </c>
      <c r="J687" s="14" t="n"/>
      <c r="K687" s="13" t="n"/>
      <c r="L687" s="12" t="n"/>
      <c r="M687" s="48">
        <f>IF(E687="","",IF(J687="Bỏ qua","—",IF(J687="Xong",IF(AND(ISNUMBER(K687),ISNUMBER(I687),K687&gt;I687),"Xong trễ","Xong"),MID(IF(G687=""," · CHƯA GIAO","")&amp;IF(NOT(ISNUMBER(I687)),"",IF(TODAY()&gt;I687," · QUÁ HẠN "&amp;(TODAY()-I687)&amp;" ngày",IF(I687-TODAY()&lt;=3," · Đến hạn "&amp;IF(I687=TODAY(),"hôm nay","trong "&amp;(I687-TODAY())&amp;" ngày"),"")))&amp;IF(J687="Chờ đối tác"," · Chờ đối tác"&amp;IF(ISNUMBER(N687)," "&amp;(TODAY()-INT(N687))&amp;" ngày",""),""),4,200))))</f>
        <v/>
      </c>
      <c r="N687" s="49" t="n"/>
      <c r="S687">
        <f>IF(AND(E687&lt;&gt;"",T687="Có",J687&lt;&gt;"Xong",J687&lt;&gt;"Bỏ qua",ISNUMBER(I687)),I687+ROW()/100000,"")</f>
        <v/>
      </c>
      <c r="T687">
        <f>IF(O687="","",IFERROR(INDEX(SK_TD,MATCH(O687,SK_A,0)),""))</f>
        <v/>
      </c>
      <c r="V687">
        <f>IF(AND(O687&lt;&gt;"",O687=SEL_K,J687&lt;&gt;"Xong",J687&lt;&gt;"Bỏ qua"),IF(ISNUMBER(I687),I687,99999)+ROW()/100000,"")</f>
        <v/>
      </c>
    </row>
    <row r="688">
      <c r="A688" s="12">
        <f>IF(O688="","",IFERROR(INDEX(SK_B,MATCH(O688,SK_A,0))&amp;"",""))</f>
        <v/>
      </c>
      <c r="B688" s="45">
        <f>IF(O688="","",IFERROR(INDEX(SK_C,MATCH(O688,SK_A,0)),""))</f>
        <v/>
      </c>
      <c r="C688" s="46">
        <f>IF(Q688="","",IF(Q688=0,"D",IF(Q688&lt;0,"D"&amp;Q688,"D+"&amp;Q688)))</f>
        <v/>
      </c>
      <c r="D688" s="14" t="n"/>
      <c r="E688" s="12" t="n"/>
      <c r="F688" s="46" t="n"/>
      <c r="G688" s="47" t="n"/>
      <c r="H688" s="14" t="n"/>
      <c r="I688" s="13">
        <f>IF(OR(B688="",Q688=""),"",IF(Q688&gt;0,IF(R688="Làm việc",WORKDAY(IFERROR(IF(INDEX(SK_D,MATCH(O688,SK_A,0))="",B688,INDEX(SK_D,MATCH(O688,SK_A,0))),B688),Q688,HOLI),IFERROR(IF(INDEX(SK_D,MATCH(O688,SK_A,0))="",B688,INDEX(SK_D,MATCH(O688,SK_A,0))),B688)+Q688),B688+Q688))</f>
        <v/>
      </c>
      <c r="J688" s="14" t="n"/>
      <c r="K688" s="13" t="n"/>
      <c r="L688" s="12" t="n"/>
      <c r="M688" s="48">
        <f>IF(E688="","",IF(J688="Bỏ qua","—",IF(J688="Xong",IF(AND(ISNUMBER(K688),ISNUMBER(I688),K688&gt;I688),"Xong trễ","Xong"),MID(IF(G688=""," · CHƯA GIAO","")&amp;IF(NOT(ISNUMBER(I688)),"",IF(TODAY()&gt;I688," · QUÁ HẠN "&amp;(TODAY()-I688)&amp;" ngày",IF(I688-TODAY()&lt;=3," · Đến hạn "&amp;IF(I688=TODAY(),"hôm nay","trong "&amp;(I688-TODAY())&amp;" ngày"),"")))&amp;IF(J688="Chờ đối tác"," · Chờ đối tác"&amp;IF(ISNUMBER(N688)," "&amp;(TODAY()-INT(N688))&amp;" ngày",""),""),4,200))))</f>
        <v/>
      </c>
      <c r="N688" s="49" t="n"/>
      <c r="S688">
        <f>IF(AND(E688&lt;&gt;"",T688="Có",J688&lt;&gt;"Xong",J688&lt;&gt;"Bỏ qua",ISNUMBER(I688)),I688+ROW()/100000,"")</f>
        <v/>
      </c>
      <c r="T688">
        <f>IF(O688="","",IFERROR(INDEX(SK_TD,MATCH(O688,SK_A,0)),""))</f>
        <v/>
      </c>
      <c r="V688">
        <f>IF(AND(O688&lt;&gt;"",O688=SEL_K,J688&lt;&gt;"Xong",J688&lt;&gt;"Bỏ qua"),IF(ISNUMBER(I688),I688,99999)+ROW()/100000,"")</f>
        <v/>
      </c>
    </row>
    <row r="689">
      <c r="A689" s="12">
        <f>IF(O689="","",IFERROR(INDEX(SK_B,MATCH(O689,SK_A,0))&amp;"",""))</f>
        <v/>
      </c>
      <c r="B689" s="45">
        <f>IF(O689="","",IFERROR(INDEX(SK_C,MATCH(O689,SK_A,0)),""))</f>
        <v/>
      </c>
      <c r="C689" s="46">
        <f>IF(Q689="","",IF(Q689=0,"D",IF(Q689&lt;0,"D"&amp;Q689,"D+"&amp;Q689)))</f>
        <v/>
      </c>
      <c r="D689" s="14" t="n"/>
      <c r="E689" s="12" t="n"/>
      <c r="F689" s="46" t="n"/>
      <c r="G689" s="47" t="n"/>
      <c r="H689" s="14" t="n"/>
      <c r="I689" s="13">
        <f>IF(OR(B689="",Q689=""),"",IF(Q689&gt;0,IF(R689="Làm việc",WORKDAY(IFERROR(IF(INDEX(SK_D,MATCH(O689,SK_A,0))="",B689,INDEX(SK_D,MATCH(O689,SK_A,0))),B689),Q689,HOLI),IFERROR(IF(INDEX(SK_D,MATCH(O689,SK_A,0))="",B689,INDEX(SK_D,MATCH(O689,SK_A,0))),B689)+Q689),B689+Q689))</f>
        <v/>
      </c>
      <c r="J689" s="14" t="n"/>
      <c r="K689" s="13" t="n"/>
      <c r="L689" s="12" t="n"/>
      <c r="M689" s="48">
        <f>IF(E689="","",IF(J689="Bỏ qua","—",IF(J689="Xong",IF(AND(ISNUMBER(K689),ISNUMBER(I689),K689&gt;I689),"Xong trễ","Xong"),MID(IF(G689=""," · CHƯA GIAO","")&amp;IF(NOT(ISNUMBER(I689)),"",IF(TODAY()&gt;I689," · QUÁ HẠN "&amp;(TODAY()-I689)&amp;" ngày",IF(I689-TODAY()&lt;=3," · Đến hạn "&amp;IF(I689=TODAY(),"hôm nay","trong "&amp;(I689-TODAY())&amp;" ngày"),"")))&amp;IF(J689="Chờ đối tác"," · Chờ đối tác"&amp;IF(ISNUMBER(N689)," "&amp;(TODAY()-INT(N689))&amp;" ngày",""),""),4,200))))</f>
        <v/>
      </c>
      <c r="N689" s="49" t="n"/>
      <c r="S689">
        <f>IF(AND(E689&lt;&gt;"",T689="Có",J689&lt;&gt;"Xong",J689&lt;&gt;"Bỏ qua",ISNUMBER(I689)),I689+ROW()/100000,"")</f>
        <v/>
      </c>
      <c r="T689">
        <f>IF(O689="","",IFERROR(INDEX(SK_TD,MATCH(O689,SK_A,0)),""))</f>
        <v/>
      </c>
      <c r="V689">
        <f>IF(AND(O689&lt;&gt;"",O689=SEL_K,J689&lt;&gt;"Xong",J689&lt;&gt;"Bỏ qua"),IF(ISNUMBER(I689),I689,99999)+ROW()/100000,"")</f>
        <v/>
      </c>
    </row>
    <row r="690">
      <c r="A690" s="12">
        <f>IF(O690="","",IFERROR(INDEX(SK_B,MATCH(O690,SK_A,0))&amp;"",""))</f>
        <v/>
      </c>
      <c r="B690" s="45">
        <f>IF(O690="","",IFERROR(INDEX(SK_C,MATCH(O690,SK_A,0)),""))</f>
        <v/>
      </c>
      <c r="C690" s="46">
        <f>IF(Q690="","",IF(Q690=0,"D",IF(Q690&lt;0,"D"&amp;Q690,"D+"&amp;Q690)))</f>
        <v/>
      </c>
      <c r="D690" s="14" t="n"/>
      <c r="E690" s="12" t="n"/>
      <c r="F690" s="46" t="n"/>
      <c r="G690" s="47" t="n"/>
      <c r="H690" s="14" t="n"/>
      <c r="I690" s="13">
        <f>IF(OR(B690="",Q690=""),"",IF(Q690&gt;0,IF(R690="Làm việc",WORKDAY(IFERROR(IF(INDEX(SK_D,MATCH(O690,SK_A,0))="",B690,INDEX(SK_D,MATCH(O690,SK_A,0))),B690),Q690,HOLI),IFERROR(IF(INDEX(SK_D,MATCH(O690,SK_A,0))="",B690,INDEX(SK_D,MATCH(O690,SK_A,0))),B690)+Q690),B690+Q690))</f>
        <v/>
      </c>
      <c r="J690" s="14" t="n"/>
      <c r="K690" s="13" t="n"/>
      <c r="L690" s="12" t="n"/>
      <c r="M690" s="48">
        <f>IF(E690="","",IF(J690="Bỏ qua","—",IF(J690="Xong",IF(AND(ISNUMBER(K690),ISNUMBER(I690),K690&gt;I690),"Xong trễ","Xong"),MID(IF(G690=""," · CHƯA GIAO","")&amp;IF(NOT(ISNUMBER(I690)),"",IF(TODAY()&gt;I690," · QUÁ HẠN "&amp;(TODAY()-I690)&amp;" ngày",IF(I690-TODAY()&lt;=3," · Đến hạn "&amp;IF(I690=TODAY(),"hôm nay","trong "&amp;(I690-TODAY())&amp;" ngày"),"")))&amp;IF(J690="Chờ đối tác"," · Chờ đối tác"&amp;IF(ISNUMBER(N690)," "&amp;(TODAY()-INT(N690))&amp;" ngày",""),""),4,200))))</f>
        <v/>
      </c>
      <c r="N690" s="49" t="n"/>
      <c r="S690">
        <f>IF(AND(E690&lt;&gt;"",T690="Có",J690&lt;&gt;"Xong",J690&lt;&gt;"Bỏ qua",ISNUMBER(I690)),I690+ROW()/100000,"")</f>
        <v/>
      </c>
      <c r="T690">
        <f>IF(O690="","",IFERROR(INDEX(SK_TD,MATCH(O690,SK_A,0)),""))</f>
        <v/>
      </c>
      <c r="V690">
        <f>IF(AND(O690&lt;&gt;"",O690=SEL_K,J690&lt;&gt;"Xong",J690&lt;&gt;"Bỏ qua"),IF(ISNUMBER(I690),I690,99999)+ROW()/100000,"")</f>
        <v/>
      </c>
    </row>
    <row r="691">
      <c r="A691" s="12">
        <f>IF(O691="","",IFERROR(INDEX(SK_B,MATCH(O691,SK_A,0))&amp;"",""))</f>
        <v/>
      </c>
      <c r="B691" s="45">
        <f>IF(O691="","",IFERROR(INDEX(SK_C,MATCH(O691,SK_A,0)),""))</f>
        <v/>
      </c>
      <c r="C691" s="46">
        <f>IF(Q691="","",IF(Q691=0,"D",IF(Q691&lt;0,"D"&amp;Q691,"D+"&amp;Q691)))</f>
        <v/>
      </c>
      <c r="D691" s="14" t="n"/>
      <c r="E691" s="12" t="n"/>
      <c r="F691" s="46" t="n"/>
      <c r="G691" s="47" t="n"/>
      <c r="H691" s="14" t="n"/>
      <c r="I691" s="13">
        <f>IF(OR(B691="",Q691=""),"",IF(Q691&gt;0,IF(R691="Làm việc",WORKDAY(IFERROR(IF(INDEX(SK_D,MATCH(O691,SK_A,0))="",B691,INDEX(SK_D,MATCH(O691,SK_A,0))),B691),Q691,HOLI),IFERROR(IF(INDEX(SK_D,MATCH(O691,SK_A,0))="",B691,INDEX(SK_D,MATCH(O691,SK_A,0))),B691)+Q691),B691+Q691))</f>
        <v/>
      </c>
      <c r="J691" s="14" t="n"/>
      <c r="K691" s="13" t="n"/>
      <c r="L691" s="12" t="n"/>
      <c r="M691" s="48">
        <f>IF(E691="","",IF(J691="Bỏ qua","—",IF(J691="Xong",IF(AND(ISNUMBER(K691),ISNUMBER(I691),K691&gt;I691),"Xong trễ","Xong"),MID(IF(G691=""," · CHƯA GIAO","")&amp;IF(NOT(ISNUMBER(I691)),"",IF(TODAY()&gt;I691," · QUÁ HẠN "&amp;(TODAY()-I691)&amp;" ngày",IF(I691-TODAY()&lt;=3," · Đến hạn "&amp;IF(I691=TODAY(),"hôm nay","trong "&amp;(I691-TODAY())&amp;" ngày"),"")))&amp;IF(J691="Chờ đối tác"," · Chờ đối tác"&amp;IF(ISNUMBER(N691)," "&amp;(TODAY()-INT(N691))&amp;" ngày",""),""),4,200))))</f>
        <v/>
      </c>
      <c r="N691" s="49" t="n"/>
      <c r="S691">
        <f>IF(AND(E691&lt;&gt;"",T691="Có",J691&lt;&gt;"Xong",J691&lt;&gt;"Bỏ qua",ISNUMBER(I691)),I691+ROW()/100000,"")</f>
        <v/>
      </c>
      <c r="T691">
        <f>IF(O691="","",IFERROR(INDEX(SK_TD,MATCH(O691,SK_A,0)),""))</f>
        <v/>
      </c>
      <c r="V691">
        <f>IF(AND(O691&lt;&gt;"",O691=SEL_K,J691&lt;&gt;"Xong",J691&lt;&gt;"Bỏ qua"),IF(ISNUMBER(I691),I691,99999)+ROW()/100000,"")</f>
        <v/>
      </c>
    </row>
    <row r="692">
      <c r="A692" s="12">
        <f>IF(O692="","",IFERROR(INDEX(SK_B,MATCH(O692,SK_A,0))&amp;"",""))</f>
        <v/>
      </c>
      <c r="B692" s="45">
        <f>IF(O692="","",IFERROR(INDEX(SK_C,MATCH(O692,SK_A,0)),""))</f>
        <v/>
      </c>
      <c r="C692" s="46">
        <f>IF(Q692="","",IF(Q692=0,"D",IF(Q692&lt;0,"D"&amp;Q692,"D+"&amp;Q692)))</f>
        <v/>
      </c>
      <c r="D692" s="14" t="n"/>
      <c r="E692" s="12" t="n"/>
      <c r="F692" s="46" t="n"/>
      <c r="G692" s="47" t="n"/>
      <c r="H692" s="14" t="n"/>
      <c r="I692" s="13">
        <f>IF(OR(B692="",Q692=""),"",IF(Q692&gt;0,IF(R692="Làm việc",WORKDAY(IFERROR(IF(INDEX(SK_D,MATCH(O692,SK_A,0))="",B692,INDEX(SK_D,MATCH(O692,SK_A,0))),B692),Q692,HOLI),IFERROR(IF(INDEX(SK_D,MATCH(O692,SK_A,0))="",B692,INDEX(SK_D,MATCH(O692,SK_A,0))),B692)+Q692),B692+Q692))</f>
        <v/>
      </c>
      <c r="J692" s="14" t="n"/>
      <c r="K692" s="13" t="n"/>
      <c r="L692" s="12" t="n"/>
      <c r="M692" s="48">
        <f>IF(E692="","",IF(J692="Bỏ qua","—",IF(J692="Xong",IF(AND(ISNUMBER(K692),ISNUMBER(I692),K692&gt;I692),"Xong trễ","Xong"),MID(IF(G692=""," · CHƯA GIAO","")&amp;IF(NOT(ISNUMBER(I692)),"",IF(TODAY()&gt;I692," · QUÁ HẠN "&amp;(TODAY()-I692)&amp;" ngày",IF(I692-TODAY()&lt;=3," · Đến hạn "&amp;IF(I692=TODAY(),"hôm nay","trong "&amp;(I692-TODAY())&amp;" ngày"),"")))&amp;IF(J692="Chờ đối tác"," · Chờ đối tác"&amp;IF(ISNUMBER(N692)," "&amp;(TODAY()-INT(N692))&amp;" ngày",""),""),4,200))))</f>
        <v/>
      </c>
      <c r="N692" s="49" t="n"/>
      <c r="S692">
        <f>IF(AND(E692&lt;&gt;"",T692="Có",J692&lt;&gt;"Xong",J692&lt;&gt;"Bỏ qua",ISNUMBER(I692)),I692+ROW()/100000,"")</f>
        <v/>
      </c>
      <c r="T692">
        <f>IF(O692="","",IFERROR(INDEX(SK_TD,MATCH(O692,SK_A,0)),""))</f>
        <v/>
      </c>
      <c r="V692">
        <f>IF(AND(O692&lt;&gt;"",O692=SEL_K,J692&lt;&gt;"Xong",J692&lt;&gt;"Bỏ qua"),IF(ISNUMBER(I692),I692,99999)+ROW()/100000,"")</f>
        <v/>
      </c>
    </row>
    <row r="693">
      <c r="A693" s="12">
        <f>IF(O693="","",IFERROR(INDEX(SK_B,MATCH(O693,SK_A,0))&amp;"",""))</f>
        <v/>
      </c>
      <c r="B693" s="45">
        <f>IF(O693="","",IFERROR(INDEX(SK_C,MATCH(O693,SK_A,0)),""))</f>
        <v/>
      </c>
      <c r="C693" s="46">
        <f>IF(Q693="","",IF(Q693=0,"D",IF(Q693&lt;0,"D"&amp;Q693,"D+"&amp;Q693)))</f>
        <v/>
      </c>
      <c r="D693" s="14" t="n"/>
      <c r="E693" s="12" t="n"/>
      <c r="F693" s="46" t="n"/>
      <c r="G693" s="47" t="n"/>
      <c r="H693" s="14" t="n"/>
      <c r="I693" s="13">
        <f>IF(OR(B693="",Q693=""),"",IF(Q693&gt;0,IF(R693="Làm việc",WORKDAY(IFERROR(IF(INDEX(SK_D,MATCH(O693,SK_A,0))="",B693,INDEX(SK_D,MATCH(O693,SK_A,0))),B693),Q693,HOLI),IFERROR(IF(INDEX(SK_D,MATCH(O693,SK_A,0))="",B693,INDEX(SK_D,MATCH(O693,SK_A,0))),B693)+Q693),B693+Q693))</f>
        <v/>
      </c>
      <c r="J693" s="14" t="n"/>
      <c r="K693" s="13" t="n"/>
      <c r="L693" s="12" t="n"/>
      <c r="M693" s="48">
        <f>IF(E693="","",IF(J693="Bỏ qua","—",IF(J693="Xong",IF(AND(ISNUMBER(K693),ISNUMBER(I693),K693&gt;I693),"Xong trễ","Xong"),MID(IF(G693=""," · CHƯA GIAO","")&amp;IF(NOT(ISNUMBER(I693)),"",IF(TODAY()&gt;I693," · QUÁ HẠN "&amp;(TODAY()-I693)&amp;" ngày",IF(I693-TODAY()&lt;=3," · Đến hạn "&amp;IF(I693=TODAY(),"hôm nay","trong "&amp;(I693-TODAY())&amp;" ngày"),"")))&amp;IF(J693="Chờ đối tác"," · Chờ đối tác"&amp;IF(ISNUMBER(N693)," "&amp;(TODAY()-INT(N693))&amp;" ngày",""),""),4,200))))</f>
        <v/>
      </c>
      <c r="N693" s="49" t="n"/>
      <c r="S693">
        <f>IF(AND(E693&lt;&gt;"",T693="Có",J693&lt;&gt;"Xong",J693&lt;&gt;"Bỏ qua",ISNUMBER(I693)),I693+ROW()/100000,"")</f>
        <v/>
      </c>
      <c r="T693">
        <f>IF(O693="","",IFERROR(INDEX(SK_TD,MATCH(O693,SK_A,0)),""))</f>
        <v/>
      </c>
      <c r="V693">
        <f>IF(AND(O693&lt;&gt;"",O693=SEL_K,J693&lt;&gt;"Xong",J693&lt;&gt;"Bỏ qua"),IF(ISNUMBER(I693),I693,99999)+ROW()/100000,"")</f>
        <v/>
      </c>
    </row>
    <row r="694">
      <c r="A694" s="12">
        <f>IF(O694="","",IFERROR(INDEX(SK_B,MATCH(O694,SK_A,0))&amp;"",""))</f>
        <v/>
      </c>
      <c r="B694" s="45">
        <f>IF(O694="","",IFERROR(INDEX(SK_C,MATCH(O694,SK_A,0)),""))</f>
        <v/>
      </c>
      <c r="C694" s="46">
        <f>IF(Q694="","",IF(Q694=0,"D",IF(Q694&lt;0,"D"&amp;Q694,"D+"&amp;Q694)))</f>
        <v/>
      </c>
      <c r="D694" s="14" t="n"/>
      <c r="E694" s="12" t="n"/>
      <c r="F694" s="46" t="n"/>
      <c r="G694" s="47" t="n"/>
      <c r="H694" s="14" t="n"/>
      <c r="I694" s="13">
        <f>IF(OR(B694="",Q694=""),"",IF(Q694&gt;0,IF(R694="Làm việc",WORKDAY(IFERROR(IF(INDEX(SK_D,MATCH(O694,SK_A,0))="",B694,INDEX(SK_D,MATCH(O694,SK_A,0))),B694),Q694,HOLI),IFERROR(IF(INDEX(SK_D,MATCH(O694,SK_A,0))="",B694,INDEX(SK_D,MATCH(O694,SK_A,0))),B694)+Q694),B694+Q694))</f>
        <v/>
      </c>
      <c r="J694" s="14" t="n"/>
      <c r="K694" s="13" t="n"/>
      <c r="L694" s="12" t="n"/>
      <c r="M694" s="48">
        <f>IF(E694="","",IF(J694="Bỏ qua","—",IF(J694="Xong",IF(AND(ISNUMBER(K694),ISNUMBER(I694),K694&gt;I694),"Xong trễ","Xong"),MID(IF(G694=""," · CHƯA GIAO","")&amp;IF(NOT(ISNUMBER(I694)),"",IF(TODAY()&gt;I694," · QUÁ HẠN "&amp;(TODAY()-I694)&amp;" ngày",IF(I694-TODAY()&lt;=3," · Đến hạn "&amp;IF(I694=TODAY(),"hôm nay","trong "&amp;(I694-TODAY())&amp;" ngày"),"")))&amp;IF(J694="Chờ đối tác"," · Chờ đối tác"&amp;IF(ISNUMBER(N694)," "&amp;(TODAY()-INT(N694))&amp;" ngày",""),""),4,200))))</f>
        <v/>
      </c>
      <c r="N694" s="49" t="n"/>
      <c r="S694">
        <f>IF(AND(E694&lt;&gt;"",T694="Có",J694&lt;&gt;"Xong",J694&lt;&gt;"Bỏ qua",ISNUMBER(I694)),I694+ROW()/100000,"")</f>
        <v/>
      </c>
      <c r="T694">
        <f>IF(O694="","",IFERROR(INDEX(SK_TD,MATCH(O694,SK_A,0)),""))</f>
        <v/>
      </c>
      <c r="V694">
        <f>IF(AND(O694&lt;&gt;"",O694=SEL_K,J694&lt;&gt;"Xong",J694&lt;&gt;"Bỏ qua"),IF(ISNUMBER(I694),I694,99999)+ROW()/100000,"")</f>
        <v/>
      </c>
    </row>
    <row r="695">
      <c r="A695" s="12">
        <f>IF(O695="","",IFERROR(INDEX(SK_B,MATCH(O695,SK_A,0))&amp;"",""))</f>
        <v/>
      </c>
      <c r="B695" s="45">
        <f>IF(O695="","",IFERROR(INDEX(SK_C,MATCH(O695,SK_A,0)),""))</f>
        <v/>
      </c>
      <c r="C695" s="46">
        <f>IF(Q695="","",IF(Q695=0,"D",IF(Q695&lt;0,"D"&amp;Q695,"D+"&amp;Q695)))</f>
        <v/>
      </c>
      <c r="D695" s="14" t="n"/>
      <c r="E695" s="12" t="n"/>
      <c r="F695" s="46" t="n"/>
      <c r="G695" s="47" t="n"/>
      <c r="H695" s="14" t="n"/>
      <c r="I695" s="13">
        <f>IF(OR(B695="",Q695=""),"",IF(Q695&gt;0,IF(R695="Làm việc",WORKDAY(IFERROR(IF(INDEX(SK_D,MATCH(O695,SK_A,0))="",B695,INDEX(SK_D,MATCH(O695,SK_A,0))),B695),Q695,HOLI),IFERROR(IF(INDEX(SK_D,MATCH(O695,SK_A,0))="",B695,INDEX(SK_D,MATCH(O695,SK_A,0))),B695)+Q695),B695+Q695))</f>
        <v/>
      </c>
      <c r="J695" s="14" t="n"/>
      <c r="K695" s="13" t="n"/>
      <c r="L695" s="12" t="n"/>
      <c r="M695" s="48">
        <f>IF(E695="","",IF(J695="Bỏ qua","—",IF(J695="Xong",IF(AND(ISNUMBER(K695),ISNUMBER(I695),K695&gt;I695),"Xong trễ","Xong"),MID(IF(G695=""," · CHƯA GIAO","")&amp;IF(NOT(ISNUMBER(I695)),"",IF(TODAY()&gt;I695," · QUÁ HẠN "&amp;(TODAY()-I695)&amp;" ngày",IF(I695-TODAY()&lt;=3," · Đến hạn "&amp;IF(I695=TODAY(),"hôm nay","trong "&amp;(I695-TODAY())&amp;" ngày"),"")))&amp;IF(J695="Chờ đối tác"," · Chờ đối tác"&amp;IF(ISNUMBER(N695)," "&amp;(TODAY()-INT(N695))&amp;" ngày",""),""),4,200))))</f>
        <v/>
      </c>
      <c r="N695" s="49" t="n"/>
      <c r="S695">
        <f>IF(AND(E695&lt;&gt;"",T695="Có",J695&lt;&gt;"Xong",J695&lt;&gt;"Bỏ qua",ISNUMBER(I695)),I695+ROW()/100000,"")</f>
        <v/>
      </c>
      <c r="T695">
        <f>IF(O695="","",IFERROR(INDEX(SK_TD,MATCH(O695,SK_A,0)),""))</f>
        <v/>
      </c>
      <c r="V695">
        <f>IF(AND(O695&lt;&gt;"",O695=SEL_K,J695&lt;&gt;"Xong",J695&lt;&gt;"Bỏ qua"),IF(ISNUMBER(I695),I695,99999)+ROW()/100000,"")</f>
        <v/>
      </c>
    </row>
    <row r="696">
      <c r="A696" s="12">
        <f>IF(O696="","",IFERROR(INDEX(SK_B,MATCH(O696,SK_A,0))&amp;"",""))</f>
        <v/>
      </c>
      <c r="B696" s="45">
        <f>IF(O696="","",IFERROR(INDEX(SK_C,MATCH(O696,SK_A,0)),""))</f>
        <v/>
      </c>
      <c r="C696" s="46">
        <f>IF(Q696="","",IF(Q696=0,"D",IF(Q696&lt;0,"D"&amp;Q696,"D+"&amp;Q696)))</f>
        <v/>
      </c>
      <c r="D696" s="14" t="n"/>
      <c r="E696" s="12" t="n"/>
      <c r="F696" s="46" t="n"/>
      <c r="G696" s="47" t="n"/>
      <c r="H696" s="14" t="n"/>
      <c r="I696" s="13">
        <f>IF(OR(B696="",Q696=""),"",IF(Q696&gt;0,IF(R696="Làm việc",WORKDAY(IFERROR(IF(INDEX(SK_D,MATCH(O696,SK_A,0))="",B696,INDEX(SK_D,MATCH(O696,SK_A,0))),B696),Q696,HOLI),IFERROR(IF(INDEX(SK_D,MATCH(O696,SK_A,0))="",B696,INDEX(SK_D,MATCH(O696,SK_A,0))),B696)+Q696),B696+Q696))</f>
        <v/>
      </c>
      <c r="J696" s="14" t="n"/>
      <c r="K696" s="13" t="n"/>
      <c r="L696" s="12" t="n"/>
      <c r="M696" s="48">
        <f>IF(E696="","",IF(J696="Bỏ qua","—",IF(J696="Xong",IF(AND(ISNUMBER(K696),ISNUMBER(I696),K696&gt;I696),"Xong trễ","Xong"),MID(IF(G696=""," · CHƯA GIAO","")&amp;IF(NOT(ISNUMBER(I696)),"",IF(TODAY()&gt;I696," · QUÁ HẠN "&amp;(TODAY()-I696)&amp;" ngày",IF(I696-TODAY()&lt;=3," · Đến hạn "&amp;IF(I696=TODAY(),"hôm nay","trong "&amp;(I696-TODAY())&amp;" ngày"),"")))&amp;IF(J696="Chờ đối tác"," · Chờ đối tác"&amp;IF(ISNUMBER(N696)," "&amp;(TODAY()-INT(N696))&amp;" ngày",""),""),4,200))))</f>
        <v/>
      </c>
      <c r="N696" s="49" t="n"/>
      <c r="S696">
        <f>IF(AND(E696&lt;&gt;"",T696="Có",J696&lt;&gt;"Xong",J696&lt;&gt;"Bỏ qua",ISNUMBER(I696)),I696+ROW()/100000,"")</f>
        <v/>
      </c>
      <c r="T696">
        <f>IF(O696="","",IFERROR(INDEX(SK_TD,MATCH(O696,SK_A,0)),""))</f>
        <v/>
      </c>
      <c r="V696">
        <f>IF(AND(O696&lt;&gt;"",O696=SEL_K,J696&lt;&gt;"Xong",J696&lt;&gt;"Bỏ qua"),IF(ISNUMBER(I696),I696,99999)+ROW()/100000,"")</f>
        <v/>
      </c>
    </row>
    <row r="697">
      <c r="A697" s="12">
        <f>IF(O697="","",IFERROR(INDEX(SK_B,MATCH(O697,SK_A,0))&amp;"",""))</f>
        <v/>
      </c>
      <c r="B697" s="45">
        <f>IF(O697="","",IFERROR(INDEX(SK_C,MATCH(O697,SK_A,0)),""))</f>
        <v/>
      </c>
      <c r="C697" s="46">
        <f>IF(Q697="","",IF(Q697=0,"D",IF(Q697&lt;0,"D"&amp;Q697,"D+"&amp;Q697)))</f>
        <v/>
      </c>
      <c r="D697" s="14" t="n"/>
      <c r="E697" s="12" t="n"/>
      <c r="F697" s="46" t="n"/>
      <c r="G697" s="47" t="n"/>
      <c r="H697" s="14" t="n"/>
      <c r="I697" s="13">
        <f>IF(OR(B697="",Q697=""),"",IF(Q697&gt;0,IF(R697="Làm việc",WORKDAY(IFERROR(IF(INDEX(SK_D,MATCH(O697,SK_A,0))="",B697,INDEX(SK_D,MATCH(O697,SK_A,0))),B697),Q697,HOLI),IFERROR(IF(INDEX(SK_D,MATCH(O697,SK_A,0))="",B697,INDEX(SK_D,MATCH(O697,SK_A,0))),B697)+Q697),B697+Q697))</f>
        <v/>
      </c>
      <c r="J697" s="14" t="n"/>
      <c r="K697" s="13" t="n"/>
      <c r="L697" s="12" t="n"/>
      <c r="M697" s="48">
        <f>IF(E697="","",IF(J697="Bỏ qua","—",IF(J697="Xong",IF(AND(ISNUMBER(K697),ISNUMBER(I697),K697&gt;I697),"Xong trễ","Xong"),MID(IF(G697=""," · CHƯA GIAO","")&amp;IF(NOT(ISNUMBER(I697)),"",IF(TODAY()&gt;I697," · QUÁ HẠN "&amp;(TODAY()-I697)&amp;" ngày",IF(I697-TODAY()&lt;=3," · Đến hạn "&amp;IF(I697=TODAY(),"hôm nay","trong "&amp;(I697-TODAY())&amp;" ngày"),"")))&amp;IF(J697="Chờ đối tác"," · Chờ đối tác"&amp;IF(ISNUMBER(N697)," "&amp;(TODAY()-INT(N697))&amp;" ngày",""),""),4,200))))</f>
        <v/>
      </c>
      <c r="N697" s="49" t="n"/>
      <c r="S697">
        <f>IF(AND(E697&lt;&gt;"",T697="Có",J697&lt;&gt;"Xong",J697&lt;&gt;"Bỏ qua",ISNUMBER(I697)),I697+ROW()/100000,"")</f>
        <v/>
      </c>
      <c r="T697">
        <f>IF(O697="","",IFERROR(INDEX(SK_TD,MATCH(O697,SK_A,0)),""))</f>
        <v/>
      </c>
      <c r="V697">
        <f>IF(AND(O697&lt;&gt;"",O697=SEL_K,J697&lt;&gt;"Xong",J697&lt;&gt;"Bỏ qua"),IF(ISNUMBER(I697),I697,99999)+ROW()/100000,"")</f>
        <v/>
      </c>
    </row>
    <row r="698">
      <c r="A698" s="12">
        <f>IF(O698="","",IFERROR(INDEX(SK_B,MATCH(O698,SK_A,0))&amp;"",""))</f>
        <v/>
      </c>
      <c r="B698" s="45">
        <f>IF(O698="","",IFERROR(INDEX(SK_C,MATCH(O698,SK_A,0)),""))</f>
        <v/>
      </c>
      <c r="C698" s="46">
        <f>IF(Q698="","",IF(Q698=0,"D",IF(Q698&lt;0,"D"&amp;Q698,"D+"&amp;Q698)))</f>
        <v/>
      </c>
      <c r="D698" s="14" t="n"/>
      <c r="E698" s="12" t="n"/>
      <c r="F698" s="46" t="n"/>
      <c r="G698" s="47" t="n"/>
      <c r="H698" s="14" t="n"/>
      <c r="I698" s="13">
        <f>IF(OR(B698="",Q698=""),"",IF(Q698&gt;0,IF(R698="Làm việc",WORKDAY(IFERROR(IF(INDEX(SK_D,MATCH(O698,SK_A,0))="",B698,INDEX(SK_D,MATCH(O698,SK_A,0))),B698),Q698,HOLI),IFERROR(IF(INDEX(SK_D,MATCH(O698,SK_A,0))="",B698,INDEX(SK_D,MATCH(O698,SK_A,0))),B698)+Q698),B698+Q698))</f>
        <v/>
      </c>
      <c r="J698" s="14" t="n"/>
      <c r="K698" s="13" t="n"/>
      <c r="L698" s="12" t="n"/>
      <c r="M698" s="48">
        <f>IF(E698="","",IF(J698="Bỏ qua","—",IF(J698="Xong",IF(AND(ISNUMBER(K698),ISNUMBER(I698),K698&gt;I698),"Xong trễ","Xong"),MID(IF(G698=""," · CHƯA GIAO","")&amp;IF(NOT(ISNUMBER(I698)),"",IF(TODAY()&gt;I698," · QUÁ HẠN "&amp;(TODAY()-I698)&amp;" ngày",IF(I698-TODAY()&lt;=3," · Đến hạn "&amp;IF(I698=TODAY(),"hôm nay","trong "&amp;(I698-TODAY())&amp;" ngày"),"")))&amp;IF(J698="Chờ đối tác"," · Chờ đối tác"&amp;IF(ISNUMBER(N698)," "&amp;(TODAY()-INT(N698))&amp;" ngày",""),""),4,200))))</f>
        <v/>
      </c>
      <c r="N698" s="49" t="n"/>
      <c r="S698">
        <f>IF(AND(E698&lt;&gt;"",T698="Có",J698&lt;&gt;"Xong",J698&lt;&gt;"Bỏ qua",ISNUMBER(I698)),I698+ROW()/100000,"")</f>
        <v/>
      </c>
      <c r="T698">
        <f>IF(O698="","",IFERROR(INDEX(SK_TD,MATCH(O698,SK_A,0)),""))</f>
        <v/>
      </c>
      <c r="V698">
        <f>IF(AND(O698&lt;&gt;"",O698=SEL_K,J698&lt;&gt;"Xong",J698&lt;&gt;"Bỏ qua"),IF(ISNUMBER(I698),I698,99999)+ROW()/100000,"")</f>
        <v/>
      </c>
    </row>
    <row r="699">
      <c r="A699" s="12">
        <f>IF(O699="","",IFERROR(INDEX(SK_B,MATCH(O699,SK_A,0))&amp;"",""))</f>
        <v/>
      </c>
      <c r="B699" s="45">
        <f>IF(O699="","",IFERROR(INDEX(SK_C,MATCH(O699,SK_A,0)),""))</f>
        <v/>
      </c>
      <c r="C699" s="46">
        <f>IF(Q699="","",IF(Q699=0,"D",IF(Q699&lt;0,"D"&amp;Q699,"D+"&amp;Q699)))</f>
        <v/>
      </c>
      <c r="D699" s="14" t="n"/>
      <c r="E699" s="12" t="n"/>
      <c r="F699" s="46" t="n"/>
      <c r="G699" s="47" t="n"/>
      <c r="H699" s="14" t="n"/>
      <c r="I699" s="13">
        <f>IF(OR(B699="",Q699=""),"",IF(Q699&gt;0,IF(R699="Làm việc",WORKDAY(IFERROR(IF(INDEX(SK_D,MATCH(O699,SK_A,0))="",B699,INDEX(SK_D,MATCH(O699,SK_A,0))),B699),Q699,HOLI),IFERROR(IF(INDEX(SK_D,MATCH(O699,SK_A,0))="",B699,INDEX(SK_D,MATCH(O699,SK_A,0))),B699)+Q699),B699+Q699))</f>
        <v/>
      </c>
      <c r="J699" s="14" t="n"/>
      <c r="K699" s="13" t="n"/>
      <c r="L699" s="12" t="n"/>
      <c r="M699" s="48">
        <f>IF(E699="","",IF(J699="Bỏ qua","—",IF(J699="Xong",IF(AND(ISNUMBER(K699),ISNUMBER(I699),K699&gt;I699),"Xong trễ","Xong"),MID(IF(G699=""," · CHƯA GIAO","")&amp;IF(NOT(ISNUMBER(I699)),"",IF(TODAY()&gt;I699," · QUÁ HẠN "&amp;(TODAY()-I699)&amp;" ngày",IF(I699-TODAY()&lt;=3," · Đến hạn "&amp;IF(I699=TODAY(),"hôm nay","trong "&amp;(I699-TODAY())&amp;" ngày"),"")))&amp;IF(J699="Chờ đối tác"," · Chờ đối tác"&amp;IF(ISNUMBER(N699)," "&amp;(TODAY()-INT(N699))&amp;" ngày",""),""),4,200))))</f>
        <v/>
      </c>
      <c r="N699" s="49" t="n"/>
      <c r="S699">
        <f>IF(AND(E699&lt;&gt;"",T699="Có",J699&lt;&gt;"Xong",J699&lt;&gt;"Bỏ qua",ISNUMBER(I699)),I699+ROW()/100000,"")</f>
        <v/>
      </c>
      <c r="T699">
        <f>IF(O699="","",IFERROR(INDEX(SK_TD,MATCH(O699,SK_A,0)),""))</f>
        <v/>
      </c>
      <c r="V699">
        <f>IF(AND(O699&lt;&gt;"",O699=SEL_K,J699&lt;&gt;"Xong",J699&lt;&gt;"Bỏ qua"),IF(ISNUMBER(I699),I699,99999)+ROW()/100000,"")</f>
        <v/>
      </c>
    </row>
    <row r="700">
      <c r="A700" s="12">
        <f>IF(O700="","",IFERROR(INDEX(SK_B,MATCH(O700,SK_A,0))&amp;"",""))</f>
        <v/>
      </c>
      <c r="B700" s="45">
        <f>IF(O700="","",IFERROR(INDEX(SK_C,MATCH(O700,SK_A,0)),""))</f>
        <v/>
      </c>
      <c r="C700" s="46">
        <f>IF(Q700="","",IF(Q700=0,"D",IF(Q700&lt;0,"D"&amp;Q700,"D+"&amp;Q700)))</f>
        <v/>
      </c>
      <c r="D700" s="14" t="n"/>
      <c r="E700" s="12" t="n"/>
      <c r="F700" s="46" t="n"/>
      <c r="G700" s="47" t="n"/>
      <c r="H700" s="14" t="n"/>
      <c r="I700" s="13">
        <f>IF(OR(B700="",Q700=""),"",IF(Q700&gt;0,IF(R700="Làm việc",WORKDAY(IFERROR(IF(INDEX(SK_D,MATCH(O700,SK_A,0))="",B700,INDEX(SK_D,MATCH(O700,SK_A,0))),B700),Q700,HOLI),IFERROR(IF(INDEX(SK_D,MATCH(O700,SK_A,0))="",B700,INDEX(SK_D,MATCH(O700,SK_A,0))),B700)+Q700),B700+Q700))</f>
        <v/>
      </c>
      <c r="J700" s="14" t="n"/>
      <c r="K700" s="13" t="n"/>
      <c r="L700" s="12" t="n"/>
      <c r="M700" s="48">
        <f>IF(E700="","",IF(J700="Bỏ qua","—",IF(J700="Xong",IF(AND(ISNUMBER(K700),ISNUMBER(I700),K700&gt;I700),"Xong trễ","Xong"),MID(IF(G700=""," · CHƯA GIAO","")&amp;IF(NOT(ISNUMBER(I700)),"",IF(TODAY()&gt;I700," · QUÁ HẠN "&amp;(TODAY()-I700)&amp;" ngày",IF(I700-TODAY()&lt;=3," · Đến hạn "&amp;IF(I700=TODAY(),"hôm nay","trong "&amp;(I700-TODAY())&amp;" ngày"),"")))&amp;IF(J700="Chờ đối tác"," · Chờ đối tác"&amp;IF(ISNUMBER(N700)," "&amp;(TODAY()-INT(N700))&amp;" ngày",""),""),4,200))))</f>
        <v/>
      </c>
      <c r="N700" s="49" t="n"/>
      <c r="S700">
        <f>IF(AND(E700&lt;&gt;"",T700="Có",J700&lt;&gt;"Xong",J700&lt;&gt;"Bỏ qua",ISNUMBER(I700)),I700+ROW()/100000,"")</f>
        <v/>
      </c>
      <c r="T700">
        <f>IF(O700="","",IFERROR(INDEX(SK_TD,MATCH(O700,SK_A,0)),""))</f>
        <v/>
      </c>
      <c r="V700">
        <f>IF(AND(O700&lt;&gt;"",O700=SEL_K,J700&lt;&gt;"Xong",J700&lt;&gt;"Bỏ qua"),IF(ISNUMBER(I700),I700,99999)+ROW()/100000,"")</f>
        <v/>
      </c>
    </row>
    <row r="701">
      <c r="A701" s="12">
        <f>IF(O701="","",IFERROR(INDEX(SK_B,MATCH(O701,SK_A,0))&amp;"",""))</f>
        <v/>
      </c>
      <c r="B701" s="45">
        <f>IF(O701="","",IFERROR(INDEX(SK_C,MATCH(O701,SK_A,0)),""))</f>
        <v/>
      </c>
      <c r="C701" s="46">
        <f>IF(Q701="","",IF(Q701=0,"D",IF(Q701&lt;0,"D"&amp;Q701,"D+"&amp;Q701)))</f>
        <v/>
      </c>
      <c r="D701" s="14" t="n"/>
      <c r="E701" s="12" t="n"/>
      <c r="F701" s="46" t="n"/>
      <c r="G701" s="47" t="n"/>
      <c r="H701" s="14" t="n"/>
      <c r="I701" s="13">
        <f>IF(OR(B701="",Q701=""),"",IF(Q701&gt;0,IF(R701="Làm việc",WORKDAY(IFERROR(IF(INDEX(SK_D,MATCH(O701,SK_A,0))="",B701,INDEX(SK_D,MATCH(O701,SK_A,0))),B701),Q701,HOLI),IFERROR(IF(INDEX(SK_D,MATCH(O701,SK_A,0))="",B701,INDEX(SK_D,MATCH(O701,SK_A,0))),B701)+Q701),B701+Q701))</f>
        <v/>
      </c>
      <c r="J701" s="14" t="n"/>
      <c r="K701" s="13" t="n"/>
      <c r="L701" s="12" t="n"/>
      <c r="M701" s="48">
        <f>IF(E701="","",IF(J701="Bỏ qua","—",IF(J701="Xong",IF(AND(ISNUMBER(K701),ISNUMBER(I701),K701&gt;I701),"Xong trễ","Xong"),MID(IF(G701=""," · CHƯA GIAO","")&amp;IF(NOT(ISNUMBER(I701)),"",IF(TODAY()&gt;I701," · QUÁ HẠN "&amp;(TODAY()-I701)&amp;" ngày",IF(I701-TODAY()&lt;=3," · Đến hạn "&amp;IF(I701=TODAY(),"hôm nay","trong "&amp;(I701-TODAY())&amp;" ngày"),"")))&amp;IF(J701="Chờ đối tác"," · Chờ đối tác"&amp;IF(ISNUMBER(N701)," "&amp;(TODAY()-INT(N701))&amp;" ngày",""),""),4,200))))</f>
        <v/>
      </c>
      <c r="N701" s="49" t="n"/>
      <c r="S701">
        <f>IF(AND(E701&lt;&gt;"",T701="Có",J701&lt;&gt;"Xong",J701&lt;&gt;"Bỏ qua",ISNUMBER(I701)),I701+ROW()/100000,"")</f>
        <v/>
      </c>
      <c r="T701">
        <f>IF(O701="","",IFERROR(INDEX(SK_TD,MATCH(O701,SK_A,0)),""))</f>
        <v/>
      </c>
      <c r="V701">
        <f>IF(AND(O701&lt;&gt;"",O701=SEL_K,J701&lt;&gt;"Xong",J701&lt;&gt;"Bỏ qua"),IF(ISNUMBER(I701),I701,99999)+ROW()/100000,"")</f>
        <v/>
      </c>
    </row>
    <row r="702">
      <c r="A702" s="12">
        <f>IF(O702="","",IFERROR(INDEX(SK_B,MATCH(O702,SK_A,0))&amp;"",""))</f>
        <v/>
      </c>
      <c r="B702" s="45">
        <f>IF(O702="","",IFERROR(INDEX(SK_C,MATCH(O702,SK_A,0)),""))</f>
        <v/>
      </c>
      <c r="C702" s="46">
        <f>IF(Q702="","",IF(Q702=0,"D",IF(Q702&lt;0,"D"&amp;Q702,"D+"&amp;Q702)))</f>
        <v/>
      </c>
      <c r="D702" s="14" t="n"/>
      <c r="E702" s="12" t="n"/>
      <c r="F702" s="46" t="n"/>
      <c r="G702" s="47" t="n"/>
      <c r="H702" s="14" t="n"/>
      <c r="I702" s="13">
        <f>IF(OR(B702="",Q702=""),"",IF(Q702&gt;0,IF(R702="Làm việc",WORKDAY(IFERROR(IF(INDEX(SK_D,MATCH(O702,SK_A,0))="",B702,INDEX(SK_D,MATCH(O702,SK_A,0))),B702),Q702,HOLI),IFERROR(IF(INDEX(SK_D,MATCH(O702,SK_A,0))="",B702,INDEX(SK_D,MATCH(O702,SK_A,0))),B702)+Q702),B702+Q702))</f>
        <v/>
      </c>
      <c r="J702" s="14" t="n"/>
      <c r="K702" s="13" t="n"/>
      <c r="L702" s="12" t="n"/>
      <c r="M702" s="48">
        <f>IF(E702="","",IF(J702="Bỏ qua","—",IF(J702="Xong",IF(AND(ISNUMBER(K702),ISNUMBER(I702),K702&gt;I702),"Xong trễ","Xong"),MID(IF(G702=""," · CHƯA GIAO","")&amp;IF(NOT(ISNUMBER(I702)),"",IF(TODAY()&gt;I702," · QUÁ HẠN "&amp;(TODAY()-I702)&amp;" ngày",IF(I702-TODAY()&lt;=3," · Đến hạn "&amp;IF(I702=TODAY(),"hôm nay","trong "&amp;(I702-TODAY())&amp;" ngày"),"")))&amp;IF(J702="Chờ đối tác"," · Chờ đối tác"&amp;IF(ISNUMBER(N702)," "&amp;(TODAY()-INT(N702))&amp;" ngày",""),""),4,200))))</f>
        <v/>
      </c>
      <c r="N702" s="49" t="n"/>
      <c r="S702">
        <f>IF(AND(E702&lt;&gt;"",T702="Có",J702&lt;&gt;"Xong",J702&lt;&gt;"Bỏ qua",ISNUMBER(I702)),I702+ROW()/100000,"")</f>
        <v/>
      </c>
      <c r="T702">
        <f>IF(O702="","",IFERROR(INDEX(SK_TD,MATCH(O702,SK_A,0)),""))</f>
        <v/>
      </c>
      <c r="V702">
        <f>IF(AND(O702&lt;&gt;"",O702=SEL_K,J702&lt;&gt;"Xong",J702&lt;&gt;"Bỏ qua"),IF(ISNUMBER(I702),I702,99999)+ROW()/100000,"")</f>
        <v/>
      </c>
    </row>
    <row r="703">
      <c r="A703" s="12">
        <f>IF(O703="","",IFERROR(INDEX(SK_B,MATCH(O703,SK_A,0))&amp;"",""))</f>
        <v/>
      </c>
      <c r="B703" s="45">
        <f>IF(O703="","",IFERROR(INDEX(SK_C,MATCH(O703,SK_A,0)),""))</f>
        <v/>
      </c>
      <c r="C703" s="46">
        <f>IF(Q703="","",IF(Q703=0,"D",IF(Q703&lt;0,"D"&amp;Q703,"D+"&amp;Q703)))</f>
        <v/>
      </c>
      <c r="D703" s="14" t="n"/>
      <c r="E703" s="12" t="n"/>
      <c r="F703" s="46" t="n"/>
      <c r="G703" s="47" t="n"/>
      <c r="H703" s="14" t="n"/>
      <c r="I703" s="13">
        <f>IF(OR(B703="",Q703=""),"",IF(Q703&gt;0,IF(R703="Làm việc",WORKDAY(IFERROR(IF(INDEX(SK_D,MATCH(O703,SK_A,0))="",B703,INDEX(SK_D,MATCH(O703,SK_A,0))),B703),Q703,HOLI),IFERROR(IF(INDEX(SK_D,MATCH(O703,SK_A,0))="",B703,INDEX(SK_D,MATCH(O703,SK_A,0))),B703)+Q703),B703+Q703))</f>
        <v/>
      </c>
      <c r="J703" s="14" t="n"/>
      <c r="K703" s="13" t="n"/>
      <c r="L703" s="12" t="n"/>
      <c r="M703" s="48">
        <f>IF(E703="","",IF(J703="Bỏ qua","—",IF(J703="Xong",IF(AND(ISNUMBER(K703),ISNUMBER(I703),K703&gt;I703),"Xong trễ","Xong"),MID(IF(G703=""," · CHƯA GIAO","")&amp;IF(NOT(ISNUMBER(I703)),"",IF(TODAY()&gt;I703," · QUÁ HẠN "&amp;(TODAY()-I703)&amp;" ngày",IF(I703-TODAY()&lt;=3," · Đến hạn "&amp;IF(I703=TODAY(),"hôm nay","trong "&amp;(I703-TODAY())&amp;" ngày"),"")))&amp;IF(J703="Chờ đối tác"," · Chờ đối tác"&amp;IF(ISNUMBER(N703)," "&amp;(TODAY()-INT(N703))&amp;" ngày",""),""),4,200))))</f>
        <v/>
      </c>
      <c r="N703" s="49" t="n"/>
      <c r="S703">
        <f>IF(AND(E703&lt;&gt;"",T703="Có",J703&lt;&gt;"Xong",J703&lt;&gt;"Bỏ qua",ISNUMBER(I703)),I703+ROW()/100000,"")</f>
        <v/>
      </c>
      <c r="T703">
        <f>IF(O703="","",IFERROR(INDEX(SK_TD,MATCH(O703,SK_A,0)),""))</f>
        <v/>
      </c>
      <c r="V703">
        <f>IF(AND(O703&lt;&gt;"",O703=SEL_K,J703&lt;&gt;"Xong",J703&lt;&gt;"Bỏ qua"),IF(ISNUMBER(I703),I703,99999)+ROW()/100000,"")</f>
        <v/>
      </c>
    </row>
    <row r="704">
      <c r="A704" s="12">
        <f>IF(O704="","",IFERROR(INDEX(SK_B,MATCH(O704,SK_A,0))&amp;"",""))</f>
        <v/>
      </c>
      <c r="B704" s="45">
        <f>IF(O704="","",IFERROR(INDEX(SK_C,MATCH(O704,SK_A,0)),""))</f>
        <v/>
      </c>
      <c r="C704" s="46">
        <f>IF(Q704="","",IF(Q704=0,"D",IF(Q704&lt;0,"D"&amp;Q704,"D+"&amp;Q704)))</f>
        <v/>
      </c>
      <c r="D704" s="14" t="n"/>
      <c r="E704" s="12" t="n"/>
      <c r="F704" s="46" t="n"/>
      <c r="G704" s="47" t="n"/>
      <c r="H704" s="14" t="n"/>
      <c r="I704" s="13">
        <f>IF(OR(B704="",Q704=""),"",IF(Q704&gt;0,IF(R704="Làm việc",WORKDAY(IFERROR(IF(INDEX(SK_D,MATCH(O704,SK_A,0))="",B704,INDEX(SK_D,MATCH(O704,SK_A,0))),B704),Q704,HOLI),IFERROR(IF(INDEX(SK_D,MATCH(O704,SK_A,0))="",B704,INDEX(SK_D,MATCH(O704,SK_A,0))),B704)+Q704),B704+Q704))</f>
        <v/>
      </c>
      <c r="J704" s="14" t="n"/>
      <c r="K704" s="13" t="n"/>
      <c r="L704" s="12" t="n"/>
      <c r="M704" s="48">
        <f>IF(E704="","",IF(J704="Bỏ qua","—",IF(J704="Xong",IF(AND(ISNUMBER(K704),ISNUMBER(I704),K704&gt;I704),"Xong trễ","Xong"),MID(IF(G704=""," · CHƯA GIAO","")&amp;IF(NOT(ISNUMBER(I704)),"",IF(TODAY()&gt;I704," · QUÁ HẠN "&amp;(TODAY()-I704)&amp;" ngày",IF(I704-TODAY()&lt;=3," · Đến hạn "&amp;IF(I704=TODAY(),"hôm nay","trong "&amp;(I704-TODAY())&amp;" ngày"),"")))&amp;IF(J704="Chờ đối tác"," · Chờ đối tác"&amp;IF(ISNUMBER(N704)," "&amp;(TODAY()-INT(N704))&amp;" ngày",""),""),4,200))))</f>
        <v/>
      </c>
      <c r="N704" s="49" t="n"/>
      <c r="S704">
        <f>IF(AND(E704&lt;&gt;"",T704="Có",J704&lt;&gt;"Xong",J704&lt;&gt;"Bỏ qua",ISNUMBER(I704)),I704+ROW()/100000,"")</f>
        <v/>
      </c>
      <c r="T704">
        <f>IF(O704="","",IFERROR(INDEX(SK_TD,MATCH(O704,SK_A,0)),""))</f>
        <v/>
      </c>
      <c r="V704">
        <f>IF(AND(O704&lt;&gt;"",O704=SEL_K,J704&lt;&gt;"Xong",J704&lt;&gt;"Bỏ qua"),IF(ISNUMBER(I704),I704,99999)+ROW()/100000,"")</f>
        <v/>
      </c>
    </row>
  </sheetData>
  <autoFilter ref="A4:N3004"/>
  <conditionalFormatting sqref="A5:N3004">
    <cfRule type="expression" priority="1" dxfId="15">
      <formula>$J5="Bỏ qua"</formula>
    </cfRule>
    <cfRule type="expression" priority="2" dxfId="4">
      <formula>ISNUMBER(SEARCH("QUÁ HẠN",$M5))</formula>
    </cfRule>
    <cfRule type="expression" priority="3" dxfId="5">
      <formula>ISNUMBER(SEARCH("Đến hạn",$M5))</formula>
    </cfRule>
    <cfRule type="expression" priority="4" dxfId="6">
      <formula>$J5="Chờ đối tác"</formula>
    </cfRule>
    <cfRule type="expression" priority="5" dxfId="16">
      <formula>LEFT($M5,4)="Xong"</formula>
    </cfRule>
  </conditionalFormatting>
  <conditionalFormatting sqref="G5:G3004">
    <cfRule type="expression" priority="6" dxfId="13">
      <formula>AND($E5&lt;&gt;"",$G5="")</formula>
    </cfRule>
    <cfRule type="expression" priority="7" dxfId="2">
      <formula>AND($G5&lt;&gt;"",$U5&lt;&gt;"",$G5&lt;&gt;$U5)</formula>
    </cfRule>
  </conditionalFormatting>
  <conditionalFormatting sqref="A5:A3004">
    <cfRule type="expression" priority="8" dxfId="17">
      <formula>$A5&lt;&gt;$A4</formula>
    </cfRule>
  </conditionalFormatting>
  <conditionalFormatting sqref="M5:M3004">
    <cfRule type="expression" priority="9" dxfId="18">
      <formula>ISNUMBER(SEARCH("QUÁ HẠN",$M5))</formula>
    </cfRule>
  </conditionalFormatting>
  <dataValidations count="3">
    <dataValidation sqref="G5:G3004" showDropDown="0" showInputMessage="0" showErrorMessage="0" allowBlank="1" type="list" errorStyle="warning">
      <formula1>PEOPLE</formula1>
    </dataValidation>
    <dataValidation sqref="J5:J3004" showDropDown="0" showInputMessage="0" showErrorMessage="0" allowBlank="1" type="list">
      <formula1>"Chưa làm,Đang làm,Chờ đối tác,Xong,Bỏ qua"</formula1>
    </dataValidation>
    <dataValidation sqref="K5:K3004" showDropDown="0" showInputMessage="0" showErrorMessage="0" allowBlank="1" type="date" operator="greaterThan">
      <formula1>40000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E9B5F"/>
    <outlinePr summaryBelow="1" summaryRight="1"/>
    <pageSetUpPr/>
  </sheetPr>
  <dimension ref="A1:X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10" customWidth="1" min="3" max="3"/>
    <col width="10" customWidth="1" min="4" max="4"/>
    <col width="12" customWidth="1" min="5" max="5"/>
    <col width="9" customWidth="1" min="6" max="6"/>
    <col width="12" customWidth="1" min="7" max="7"/>
    <col width="14" customWidth="1" min="8" max="8"/>
    <col width="8" customWidth="1" min="9" max="9"/>
    <col width="12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  <col width="8" customWidth="1" min="16" max="16"/>
    <col width="6" customWidth="1" min="17" max="17"/>
    <col width="6" customWidth="1" min="18" max="18"/>
    <col width="7" customWidth="1" min="19" max="19"/>
    <col width="7" customWidth="1" min="20" max="20"/>
    <col width="6" customWidth="1" min="21" max="21"/>
    <col width="13" customWidth="1" min="22" max="22"/>
    <col width="13" customWidth="1" min="23" max="23"/>
    <col hidden="1" width="3" customWidth="1" min="24" max="24"/>
  </cols>
  <sheetData>
    <row r="1" ht="26" customHeight="1">
      <c r="A1" s="1" t="inlineStr">
        <is>
          <t>DANH SÁCH SỰ KIỆN</t>
        </is>
      </c>
    </row>
    <row r="2">
      <c r="A2" s="2" t="inlineStr">
        <is>
          <t>Cột xám TỰ ĐỒNG BỘ từ file "2. Vietnam - Marketing Offline FY68" (PLAN_EVENT + REPORT_EVENT, 10 phút / lần). Cột xanh: Owner chọn ĐỘI cho từng sự kiện ⇒ mọi việc tự giao theo vai trò (đổi người ở đây ⇒ việc chưa giao tay đổi theo).</t>
        </is>
      </c>
    </row>
    <row r="4" ht="32" customHeight="1">
      <c r="A4" s="11" t="inlineStr">
        <is>
          <t>Mã SK</t>
        </is>
      </c>
      <c r="B4" s="11" t="inlineStr">
        <is>
          <t>Tên sự kiện</t>
        </is>
      </c>
      <c r="C4" s="11" t="inlineStr">
        <is>
          <t>Ngày D</t>
        </is>
      </c>
      <c r="D4" s="11" t="inlineStr">
        <is>
          <t>Ngày kết thúc</t>
        </is>
      </c>
      <c r="E4" s="11" t="inlineStr">
        <is>
          <t>Loại sự kiện</t>
        </is>
      </c>
      <c r="F4" s="11" t="inlineStr">
        <is>
          <t>Hình thức</t>
        </is>
      </c>
      <c r="G4" s="11" t="inlineStr">
        <is>
          <t>Địa điểm</t>
        </is>
      </c>
      <c r="H4" s="11" t="inlineStr">
        <is>
          <t>KOL</t>
        </is>
      </c>
      <c r="I4" s="11" t="inlineStr">
        <is>
          <t>Nguồn</t>
        </is>
      </c>
      <c r="J4" s="11" t="inlineStr">
        <is>
          <t>Trạng thái (file Offline)</t>
        </is>
      </c>
      <c r="K4" s="44" t="inlineStr">
        <is>
          <t>Owner (MKT Leader)</t>
        </is>
      </c>
      <c r="L4" s="44" t="inlineStr">
        <is>
          <t>Digital</t>
        </is>
      </c>
      <c r="M4" s="44" t="inlineStr">
        <is>
          <t>Trade</t>
        </is>
      </c>
      <c r="N4" s="44" t="inlineStr">
        <is>
          <t>Sales</t>
        </is>
      </c>
      <c r="O4" s="44" t="inlineStr">
        <is>
          <t>Đầu mối NPP / đối tác</t>
        </is>
      </c>
      <c r="P4" s="44" t="inlineStr">
        <is>
          <t>Theo dõi</t>
        </is>
      </c>
      <c r="Q4" s="11" t="inlineStr">
        <is>
          <t>Việc</t>
        </is>
      </c>
      <c r="R4" s="11" t="inlineStr">
        <is>
          <t>Xong</t>
        </is>
      </c>
      <c r="S4" s="11" t="inlineStr">
        <is>
          <t>Quá hạn</t>
        </is>
      </c>
      <c r="T4" s="11" t="inlineStr">
        <is>
          <t>Chưa giao</t>
        </is>
      </c>
      <c r="U4" s="11" t="inlineStr">
        <is>
          <t>%</t>
        </is>
      </c>
      <c r="V4" s="11" t="inlineStr">
        <is>
          <t>Tiến độ</t>
        </is>
      </c>
      <c r="W4" s="11" t="inlineStr">
        <is>
          <t>Thời gian</t>
        </is>
      </c>
      <c r="X4" s="11" t="inlineStr">
        <is>
          <t>_k</t>
        </is>
      </c>
    </row>
    <row r="5">
      <c r="A5" s="46" t="inlineStr">
        <is>
          <t>VD-1</t>
        </is>
      </c>
      <c r="B5" s="12" t="inlineStr">
        <is>
          <t>Hội thảo nha khoa tháng 10 (ví dụ)</t>
        </is>
      </c>
      <c r="C5" s="13" t="n">
        <v>46312</v>
      </c>
      <c r="D5" s="13" t="n"/>
      <c r="E5" s="14" t="inlineStr">
        <is>
          <t>Hội thảo</t>
        </is>
      </c>
      <c r="F5" s="14" t="inlineStr">
        <is>
          <t>Trực tiếp</t>
        </is>
      </c>
      <c r="G5" s="14" t="inlineStr">
        <is>
          <t>Hà Nội</t>
        </is>
      </c>
      <c r="H5" s="14" t="inlineStr">
        <is>
          <t>KOL A</t>
        </is>
      </c>
      <c r="I5" s="46" t="inlineStr">
        <is>
          <t>REPORT</t>
        </is>
      </c>
      <c r="J5" s="46" t="inlineStr">
        <is>
          <t>Done</t>
        </is>
      </c>
      <c r="K5" s="47" t="inlineStr">
        <is>
          <t>Leader MKT (ví dụ)</t>
        </is>
      </c>
      <c r="L5" s="47" t="inlineStr">
        <is>
          <t>Digital (ví dụ)</t>
        </is>
      </c>
      <c r="M5" s="47" t="inlineStr">
        <is>
          <t>Trade (ví dụ)</t>
        </is>
      </c>
      <c r="N5" s="47" t="inlineStr">
        <is>
          <t>Sales Dental (ví dụ)</t>
        </is>
      </c>
      <c r="O5" s="47" t="inlineStr">
        <is>
          <t>NPP (ví dụ)</t>
        </is>
      </c>
      <c r="P5" s="47" t="inlineStr">
        <is>
          <t>Có</t>
        </is>
      </c>
      <c r="Q5" s="14">
        <f>IF(A5="","",COUNTIFS('Giao việc'!$O$5:$O$3004,A5,'Giao việc'!$J$5:$J$3004,"&lt;&gt;Bỏ qua"))</f>
        <v/>
      </c>
      <c r="R5" s="14">
        <f>IF(A5="","",COUNTIFS('Giao việc'!$O$5:$O$3004,A5,'Giao việc'!$J$5:$J$3004,"Xong"))</f>
        <v/>
      </c>
      <c r="S5" s="14">
        <f>IF(A5="","",COUNTIFS('Giao việc'!$O$5:$O$3004,A5,'Giao việc'!$M$5:$M$3004,"*QUÁ HẠN*"))</f>
        <v/>
      </c>
      <c r="T5" s="14">
        <f>IF(A5="","",COUNTIFS('Giao việc'!$O$5:$O$3004,A5,'Giao việc'!$M$5:$M$3004,"*CHƯA GIAO*"))</f>
        <v/>
      </c>
      <c r="U5" s="15">
        <f>IF(OR(A5="",N(Q5)=0),"",R5/Q5)</f>
        <v/>
      </c>
      <c r="V5" s="16">
        <f>IF(U5="","",REPT("█",ROUND(U5*10,0))&amp;REPT("░",10-ROUND(U5*10,0)))</f>
        <v/>
      </c>
      <c r="W5" s="14">
        <f>IF(C5="","Chưa có ngày",IF(C5&gt;TODAY(),"Còn "&amp;(C5-TODAY())&amp;" ngày",IF(IF(D5="",C5,D5)&gt;=TODAY(),"Đang diễn ra","Đã qua "&amp;(TODAY()-IF(D5="",C5,D5))&amp;" ngày")))</f>
        <v/>
      </c>
      <c r="X5" s="14">
        <f>IF(AND(A5&lt;&gt;"",P5="Có",ISNUMBER(C5)),IF(IF(D5="",C5,D5)&gt;=TODAY()-35,C5+ROW()/100000,""),"")</f>
        <v/>
      </c>
    </row>
    <row r="6">
      <c r="A6" s="46" t="inlineStr">
        <is>
          <t>VD-2</t>
        </is>
      </c>
      <c r="B6" s="12" t="inlineStr">
        <is>
          <t>Khoá học nội nha thực hành – Hà Nội (ví dụ)</t>
        </is>
      </c>
      <c r="C6" s="13" t="n">
        <v>46334</v>
      </c>
      <c r="D6" s="13" t="n"/>
      <c r="E6" s="14" t="inlineStr">
        <is>
          <t>Workshop</t>
        </is>
      </c>
      <c r="F6" s="14" t="inlineStr">
        <is>
          <t>Trực tiếp</t>
        </is>
      </c>
      <c r="G6" s="14" t="inlineStr">
        <is>
          <t>Hà Nội</t>
        </is>
      </c>
      <c r="H6" s="14" t="inlineStr">
        <is>
          <t>KOL B</t>
        </is>
      </c>
      <c r="I6" s="46" t="inlineStr">
        <is>
          <t>PLAN</t>
        </is>
      </c>
      <c r="J6" s="46" t="inlineStr">
        <is>
          <t>Confirmed</t>
        </is>
      </c>
      <c r="K6" s="47" t="inlineStr">
        <is>
          <t>Leader MKT (ví dụ)</t>
        </is>
      </c>
      <c r="L6" s="47" t="inlineStr">
        <is>
          <t>Digital (ví dụ)</t>
        </is>
      </c>
      <c r="M6" s="47" t="inlineStr">
        <is>
          <t>Trade (ví dụ)</t>
        </is>
      </c>
      <c r="N6" s="47" t="inlineStr">
        <is>
          <t>Sales Dental (ví dụ)</t>
        </is>
      </c>
      <c r="O6" s="47" t="inlineStr">
        <is>
          <t>NPP (ví dụ)</t>
        </is>
      </c>
      <c r="P6" s="47" t="inlineStr">
        <is>
          <t>Có</t>
        </is>
      </c>
      <c r="Q6" s="14">
        <f>IF(A6="","",COUNTIFS('Giao việc'!$O$5:$O$3004,A6,'Giao việc'!$J$5:$J$3004,"&lt;&gt;Bỏ qua"))</f>
        <v/>
      </c>
      <c r="R6" s="14">
        <f>IF(A6="","",COUNTIFS('Giao việc'!$O$5:$O$3004,A6,'Giao việc'!$J$5:$J$3004,"Xong"))</f>
        <v/>
      </c>
      <c r="S6" s="14">
        <f>IF(A6="","",COUNTIFS('Giao việc'!$O$5:$O$3004,A6,'Giao việc'!$M$5:$M$3004,"*QUÁ HẠN*"))</f>
        <v/>
      </c>
      <c r="T6" s="14">
        <f>IF(A6="","",COUNTIFS('Giao việc'!$O$5:$O$3004,A6,'Giao việc'!$M$5:$M$3004,"*CHƯA GIAO*"))</f>
        <v/>
      </c>
      <c r="U6" s="15">
        <f>IF(OR(A6="",N(Q6)=0),"",R6/Q6)</f>
        <v/>
      </c>
      <c r="V6" s="16">
        <f>IF(U6="","",REPT("█",ROUND(U6*10,0))&amp;REPT("░",10-ROUND(U6*10,0)))</f>
        <v/>
      </c>
      <c r="W6" s="14">
        <f>IF(C6="","Chưa có ngày",IF(C6&gt;TODAY(),"Còn "&amp;(C6-TODAY())&amp;" ngày",IF(IF(D6="",C6,D6)&gt;=TODAY(),"Đang diễn ra","Đã qua "&amp;(TODAY()-IF(D6="",C6,D6))&amp;" ngày")))</f>
        <v/>
      </c>
      <c r="X6" s="14">
        <f>IF(AND(A6&lt;&gt;"",P6="Có",ISNUMBER(C6)),IF(IF(D6="",C6,D6)&gt;=TODAY()-35,C6+ROW()/100000,""),"")</f>
        <v/>
      </c>
    </row>
    <row r="7">
      <c r="A7" s="46" t="inlineStr">
        <is>
          <t>VD-3</t>
        </is>
      </c>
      <c r="B7" s="12" t="inlineStr">
        <is>
          <t>Webinar phục hồi Composite (ví dụ)</t>
        </is>
      </c>
      <c r="C7" s="13" t="n">
        <v>46346</v>
      </c>
      <c r="D7" s="13" t="n"/>
      <c r="E7" s="14" t="inlineStr">
        <is>
          <t>Webinar</t>
        </is>
      </c>
      <c r="F7" s="14" t="inlineStr">
        <is>
          <t>Webinar</t>
        </is>
      </c>
      <c r="G7" s="14" t="inlineStr">
        <is>
          <t>Zoom</t>
        </is>
      </c>
      <c r="H7" s="14" t="inlineStr">
        <is>
          <t>KOL C</t>
        </is>
      </c>
      <c r="I7" s="46" t="inlineStr">
        <is>
          <t>PLAN</t>
        </is>
      </c>
      <c r="J7" s="46" t="inlineStr">
        <is>
          <t>Confirmed</t>
        </is>
      </c>
      <c r="K7" s="47" t="inlineStr">
        <is>
          <t>Leader MKT (ví dụ)</t>
        </is>
      </c>
      <c r="L7" s="47" t="inlineStr">
        <is>
          <t>Digital (ví dụ)</t>
        </is>
      </c>
      <c r="M7" s="47" t="inlineStr">
        <is>
          <t>Trade (ví dụ)</t>
        </is>
      </c>
      <c r="N7" s="47" t="inlineStr">
        <is>
          <t>Sales Dental (ví dụ)</t>
        </is>
      </c>
      <c r="O7" s="47" t="inlineStr">
        <is>
          <t>NPP (ví dụ)</t>
        </is>
      </c>
      <c r="P7" s="47" t="inlineStr">
        <is>
          <t>Có</t>
        </is>
      </c>
      <c r="Q7" s="14">
        <f>IF(A7="","",COUNTIFS('Giao việc'!$O$5:$O$3004,A7,'Giao việc'!$J$5:$J$3004,"&lt;&gt;Bỏ qua"))</f>
        <v/>
      </c>
      <c r="R7" s="14">
        <f>IF(A7="","",COUNTIFS('Giao việc'!$O$5:$O$3004,A7,'Giao việc'!$J$5:$J$3004,"Xong"))</f>
        <v/>
      </c>
      <c r="S7" s="14">
        <f>IF(A7="","",COUNTIFS('Giao việc'!$O$5:$O$3004,A7,'Giao việc'!$M$5:$M$3004,"*QUÁ HẠN*"))</f>
        <v/>
      </c>
      <c r="T7" s="14">
        <f>IF(A7="","",COUNTIFS('Giao việc'!$O$5:$O$3004,A7,'Giao việc'!$M$5:$M$3004,"*CHƯA GIAO*"))</f>
        <v/>
      </c>
      <c r="U7" s="15">
        <f>IF(OR(A7="",N(Q7)=0),"",R7/Q7)</f>
        <v/>
      </c>
      <c r="V7" s="16">
        <f>IF(U7="","",REPT("█",ROUND(U7*10,0))&amp;REPT("░",10-ROUND(U7*10,0)))</f>
        <v/>
      </c>
      <c r="W7" s="14">
        <f>IF(C7="","Chưa có ngày",IF(C7&gt;TODAY(),"Còn "&amp;(C7-TODAY())&amp;" ngày",IF(IF(D7="",C7,D7)&gt;=TODAY(),"Đang diễn ra","Đã qua "&amp;(TODAY()-IF(D7="",C7,D7))&amp;" ngày")))</f>
        <v/>
      </c>
      <c r="X7" s="14">
        <f>IF(AND(A7&lt;&gt;"",P7="Có",ISNUMBER(C7)),IF(IF(D7="",C7,D7)&gt;=TODAY()-35,C7+ROW()/100000,""),"")</f>
        <v/>
      </c>
    </row>
    <row r="8">
      <c r="A8" s="46" t="inlineStr">
        <is>
          <t>VD-4</t>
        </is>
      </c>
      <c r="B8" s="12" t="inlineStr">
        <is>
          <t>Hội thảo nhãn khoa – Đà Nẵng (ví dụ)</t>
        </is>
      </c>
      <c r="C8" s="13" t="n">
        <v>46368</v>
      </c>
      <c r="D8" s="13" t="n">
        <v>46369</v>
      </c>
      <c r="E8" s="14" t="inlineStr">
        <is>
          <t>Hội thảo</t>
        </is>
      </c>
      <c r="F8" s="14" t="inlineStr">
        <is>
          <t>Trực tiếp</t>
        </is>
      </c>
      <c r="G8" s="14" t="inlineStr">
        <is>
          <t>Đà Nẵng</t>
        </is>
      </c>
      <c r="H8" s="14" t="inlineStr">
        <is>
          <t>KOL D</t>
        </is>
      </c>
      <c r="I8" s="46" t="inlineStr">
        <is>
          <t>PLAN</t>
        </is>
      </c>
      <c r="J8" s="46" t="inlineStr">
        <is>
          <t>Planning</t>
        </is>
      </c>
      <c r="K8" s="47" t="inlineStr">
        <is>
          <t>Leader MKT (ví dụ)</t>
        </is>
      </c>
      <c r="L8" s="47" t="inlineStr">
        <is>
          <t>Digital (ví dụ)</t>
        </is>
      </c>
      <c r="M8" s="47" t="inlineStr">
        <is>
          <t>Trade (ví dụ)</t>
        </is>
      </c>
      <c r="N8" s="47" t="inlineStr">
        <is>
          <t>Sales Surgical (ví dụ)</t>
        </is>
      </c>
      <c r="O8" s="47" t="inlineStr">
        <is>
          <t>NPP (ví dụ)</t>
        </is>
      </c>
      <c r="P8" s="47" t="inlineStr">
        <is>
          <t>Có</t>
        </is>
      </c>
      <c r="Q8" s="14">
        <f>IF(A8="","",COUNTIFS('Giao việc'!$O$5:$O$3004,A8,'Giao việc'!$J$5:$J$3004,"&lt;&gt;Bỏ qua"))</f>
        <v/>
      </c>
      <c r="R8" s="14">
        <f>IF(A8="","",COUNTIFS('Giao việc'!$O$5:$O$3004,A8,'Giao việc'!$J$5:$J$3004,"Xong"))</f>
        <v/>
      </c>
      <c r="S8" s="14">
        <f>IF(A8="","",COUNTIFS('Giao việc'!$O$5:$O$3004,A8,'Giao việc'!$M$5:$M$3004,"*QUÁ HẠN*"))</f>
        <v/>
      </c>
      <c r="T8" s="14">
        <f>IF(A8="","",COUNTIFS('Giao việc'!$O$5:$O$3004,A8,'Giao việc'!$M$5:$M$3004,"*CHƯA GIAO*"))</f>
        <v/>
      </c>
      <c r="U8" s="15">
        <f>IF(OR(A8="",N(Q8)=0),"",R8/Q8)</f>
        <v/>
      </c>
      <c r="V8" s="16">
        <f>IF(U8="","",REPT("█",ROUND(U8*10,0))&amp;REPT("░",10-ROUND(U8*10,0)))</f>
        <v/>
      </c>
      <c r="W8" s="14">
        <f>IF(C8="","Chưa có ngày",IF(C8&gt;TODAY(),"Còn "&amp;(C8-TODAY())&amp;" ngày",IF(IF(D8="",C8,D8)&gt;=TODAY(),"Đang diễn ra","Đã qua "&amp;(TODAY()-IF(D8="",C8,D8))&amp;" ngày")))</f>
        <v/>
      </c>
      <c r="X8" s="14">
        <f>IF(AND(A8&lt;&gt;"",P8="Có",ISNUMBER(C8)),IF(IF(D8="",C8,D8)&gt;=TODAY()-35,C8+ROW()/100000,""),"")</f>
        <v/>
      </c>
    </row>
    <row r="9">
      <c r="A9" s="46" t="inlineStr">
        <is>
          <t>VD-5</t>
        </is>
      </c>
      <c r="B9" s="12" t="inlineStr">
        <is>
          <t>Workshop phẫu thuật – TP.HCM (ví dụ)</t>
        </is>
      </c>
      <c r="C9" s="13" t="n">
        <v>46403</v>
      </c>
      <c r="D9" s="13" t="n"/>
      <c r="E9" s="14" t="inlineStr">
        <is>
          <t>Workshop</t>
        </is>
      </c>
      <c r="F9" s="14" t="inlineStr">
        <is>
          <t>Trực tiếp</t>
        </is>
      </c>
      <c r="G9" s="14" t="inlineStr">
        <is>
          <t>TP.HCM</t>
        </is>
      </c>
      <c r="H9" s="14" t="inlineStr">
        <is>
          <t>KOL E</t>
        </is>
      </c>
      <c r="I9" s="46" t="inlineStr">
        <is>
          <t>PLAN</t>
        </is>
      </c>
      <c r="J9" s="46" t="inlineStr">
        <is>
          <t>Planning</t>
        </is>
      </c>
      <c r="K9" s="47" t="inlineStr">
        <is>
          <t>Leader MKT (ví dụ)</t>
        </is>
      </c>
      <c r="L9" s="47" t="inlineStr">
        <is>
          <t>Digital (ví dụ)</t>
        </is>
      </c>
      <c r="M9" s="47" t="inlineStr">
        <is>
          <t>Trade (ví dụ)</t>
        </is>
      </c>
      <c r="N9" s="47" t="inlineStr">
        <is>
          <t>Sales Dental (ví dụ)</t>
        </is>
      </c>
      <c r="O9" s="47" t="inlineStr"/>
      <c r="P9" s="47" t="inlineStr">
        <is>
          <t>Có</t>
        </is>
      </c>
      <c r="Q9" s="14">
        <f>IF(A9="","",COUNTIFS('Giao việc'!$O$5:$O$3004,A9,'Giao việc'!$J$5:$J$3004,"&lt;&gt;Bỏ qua"))</f>
        <v/>
      </c>
      <c r="R9" s="14">
        <f>IF(A9="","",COUNTIFS('Giao việc'!$O$5:$O$3004,A9,'Giao việc'!$J$5:$J$3004,"Xong"))</f>
        <v/>
      </c>
      <c r="S9" s="14">
        <f>IF(A9="","",COUNTIFS('Giao việc'!$O$5:$O$3004,A9,'Giao việc'!$M$5:$M$3004,"*QUÁ HẠN*"))</f>
        <v/>
      </c>
      <c r="T9" s="14">
        <f>IF(A9="","",COUNTIFS('Giao việc'!$O$5:$O$3004,A9,'Giao việc'!$M$5:$M$3004,"*CHƯA GIAO*"))</f>
        <v/>
      </c>
      <c r="U9" s="15">
        <f>IF(OR(A9="",N(Q9)=0),"",R9/Q9)</f>
        <v/>
      </c>
      <c r="V9" s="16">
        <f>IF(U9="","",REPT("█",ROUND(U9*10,0))&amp;REPT("░",10-ROUND(U9*10,0)))</f>
        <v/>
      </c>
      <c r="W9" s="14">
        <f>IF(C9="","Chưa có ngày",IF(C9&gt;TODAY(),"Còn "&amp;(C9-TODAY())&amp;" ngày",IF(IF(D9="",C9,D9)&gt;=TODAY(),"Đang diễn ra","Đã qua "&amp;(TODAY()-IF(D9="",C9,D9))&amp;" ngày")))</f>
        <v/>
      </c>
      <c r="X9" s="14">
        <f>IF(AND(A9&lt;&gt;"",P9="Có",ISNUMBER(C9)),IF(IF(D9="",C9,D9)&gt;=TODAY()-35,C9+ROW()/100000,""),"")</f>
        <v/>
      </c>
    </row>
    <row r="10">
      <c r="A10" s="46" t="n"/>
      <c r="B10" s="12" t="n"/>
      <c r="C10" s="13" t="n"/>
      <c r="D10" s="13" t="n"/>
      <c r="E10" s="14" t="n"/>
      <c r="F10" s="14" t="n"/>
      <c r="G10" s="14" t="n"/>
      <c r="H10" s="14" t="n"/>
      <c r="I10" s="46" t="n"/>
      <c r="J10" s="46" t="n"/>
      <c r="K10" s="47" t="n"/>
      <c r="L10" s="47" t="n"/>
      <c r="M10" s="47" t="n"/>
      <c r="N10" s="47" t="n"/>
      <c r="O10" s="47" t="n"/>
      <c r="P10" s="47" t="n"/>
      <c r="Q10" s="14">
        <f>IF(A10="","",COUNTIFS('Giao việc'!$O$5:$O$3004,A10,'Giao việc'!$J$5:$J$3004,"&lt;&gt;Bỏ qua"))</f>
        <v/>
      </c>
      <c r="R10" s="14">
        <f>IF(A10="","",COUNTIFS('Giao việc'!$O$5:$O$3004,A10,'Giao việc'!$J$5:$J$3004,"Xong"))</f>
        <v/>
      </c>
      <c r="S10" s="14">
        <f>IF(A10="","",COUNTIFS('Giao việc'!$O$5:$O$3004,A10,'Giao việc'!$M$5:$M$3004,"*QUÁ HẠN*"))</f>
        <v/>
      </c>
      <c r="T10" s="14">
        <f>IF(A10="","",COUNTIFS('Giao việc'!$O$5:$O$3004,A10,'Giao việc'!$M$5:$M$3004,"*CHƯA GIAO*"))</f>
        <v/>
      </c>
      <c r="U10" s="15">
        <f>IF(OR(A10="",N(Q10)=0),"",R10/Q10)</f>
        <v/>
      </c>
      <c r="V10" s="16">
        <f>IF(U10="","",REPT("█",ROUND(U10*10,0))&amp;REPT("░",10-ROUND(U10*10,0)))</f>
        <v/>
      </c>
      <c r="W10" s="14">
        <f>IF(C10="","Chưa có ngày",IF(C10&gt;TODAY(),"Còn "&amp;(C10-TODAY())&amp;" ngày",IF(IF(D10="",C10,D10)&gt;=TODAY(),"Đang diễn ra","Đã qua "&amp;(TODAY()-IF(D10="",C10,D10))&amp;" ngày")))</f>
        <v/>
      </c>
      <c r="X10" s="14">
        <f>IF(AND(A10&lt;&gt;"",P10="Có",ISNUMBER(C10)),IF(IF(D10="",C10,D10)&gt;=TODAY()-35,C10+ROW()/100000,""),"")</f>
        <v/>
      </c>
    </row>
    <row r="11">
      <c r="A11" s="46" t="n"/>
      <c r="B11" s="12" t="n"/>
      <c r="C11" s="13" t="n"/>
      <c r="D11" s="13" t="n"/>
      <c r="E11" s="14" t="n"/>
      <c r="F11" s="14" t="n"/>
      <c r="G11" s="14" t="n"/>
      <c r="H11" s="14" t="n"/>
      <c r="I11" s="46" t="n"/>
      <c r="J11" s="46" t="n"/>
      <c r="K11" s="47" t="n"/>
      <c r="L11" s="47" t="n"/>
      <c r="M11" s="47" t="n"/>
      <c r="N11" s="47" t="n"/>
      <c r="O11" s="47" t="n"/>
      <c r="P11" s="47" t="n"/>
      <c r="Q11" s="14">
        <f>IF(A11="","",COUNTIFS('Giao việc'!$O$5:$O$3004,A11,'Giao việc'!$J$5:$J$3004,"&lt;&gt;Bỏ qua"))</f>
        <v/>
      </c>
      <c r="R11" s="14">
        <f>IF(A11="","",COUNTIFS('Giao việc'!$O$5:$O$3004,A11,'Giao việc'!$J$5:$J$3004,"Xong"))</f>
        <v/>
      </c>
      <c r="S11" s="14">
        <f>IF(A11="","",COUNTIFS('Giao việc'!$O$5:$O$3004,A11,'Giao việc'!$M$5:$M$3004,"*QUÁ HẠN*"))</f>
        <v/>
      </c>
      <c r="T11" s="14">
        <f>IF(A11="","",COUNTIFS('Giao việc'!$O$5:$O$3004,A11,'Giao việc'!$M$5:$M$3004,"*CHƯA GIAO*"))</f>
        <v/>
      </c>
      <c r="U11" s="15">
        <f>IF(OR(A11="",N(Q11)=0),"",R11/Q11)</f>
        <v/>
      </c>
      <c r="V11" s="16">
        <f>IF(U11="","",REPT("█",ROUND(U11*10,0))&amp;REPT("░",10-ROUND(U11*10,0)))</f>
        <v/>
      </c>
      <c r="W11" s="14">
        <f>IF(C11="","Chưa có ngày",IF(C11&gt;TODAY(),"Còn "&amp;(C11-TODAY())&amp;" ngày",IF(IF(D11="",C11,D11)&gt;=TODAY(),"Đang diễn ra","Đã qua "&amp;(TODAY()-IF(D11="",C11,D11))&amp;" ngày")))</f>
        <v/>
      </c>
      <c r="X11" s="14">
        <f>IF(AND(A11&lt;&gt;"",P11="Có",ISNUMBER(C11)),IF(IF(D11="",C11,D11)&gt;=TODAY()-35,C11+ROW()/100000,""),"")</f>
        <v/>
      </c>
    </row>
    <row r="12">
      <c r="A12" s="46" t="n"/>
      <c r="B12" s="12" t="n"/>
      <c r="C12" s="13" t="n"/>
      <c r="D12" s="13" t="n"/>
      <c r="E12" s="14" t="n"/>
      <c r="F12" s="14" t="n"/>
      <c r="G12" s="14" t="n"/>
      <c r="H12" s="14" t="n"/>
      <c r="I12" s="46" t="n"/>
      <c r="J12" s="46" t="n"/>
      <c r="K12" s="47" t="n"/>
      <c r="L12" s="47" t="n"/>
      <c r="M12" s="47" t="n"/>
      <c r="N12" s="47" t="n"/>
      <c r="O12" s="47" t="n"/>
      <c r="P12" s="47" t="n"/>
      <c r="Q12" s="14">
        <f>IF(A12="","",COUNTIFS('Giao việc'!$O$5:$O$3004,A12,'Giao việc'!$J$5:$J$3004,"&lt;&gt;Bỏ qua"))</f>
        <v/>
      </c>
      <c r="R12" s="14">
        <f>IF(A12="","",COUNTIFS('Giao việc'!$O$5:$O$3004,A12,'Giao việc'!$J$5:$J$3004,"Xong"))</f>
        <v/>
      </c>
      <c r="S12" s="14">
        <f>IF(A12="","",COUNTIFS('Giao việc'!$O$5:$O$3004,A12,'Giao việc'!$M$5:$M$3004,"*QUÁ HẠN*"))</f>
        <v/>
      </c>
      <c r="T12" s="14">
        <f>IF(A12="","",COUNTIFS('Giao việc'!$O$5:$O$3004,A12,'Giao việc'!$M$5:$M$3004,"*CHƯA GIAO*"))</f>
        <v/>
      </c>
      <c r="U12" s="15">
        <f>IF(OR(A12="",N(Q12)=0),"",R12/Q12)</f>
        <v/>
      </c>
      <c r="V12" s="16">
        <f>IF(U12="","",REPT("█",ROUND(U12*10,0))&amp;REPT("░",10-ROUND(U12*10,0)))</f>
        <v/>
      </c>
      <c r="W12" s="14">
        <f>IF(C12="","Chưa có ngày",IF(C12&gt;TODAY(),"Còn "&amp;(C12-TODAY())&amp;" ngày",IF(IF(D12="",C12,D12)&gt;=TODAY(),"Đang diễn ra","Đã qua "&amp;(TODAY()-IF(D12="",C12,D12))&amp;" ngày")))</f>
        <v/>
      </c>
      <c r="X12" s="14">
        <f>IF(AND(A12&lt;&gt;"",P12="Có",ISNUMBER(C12)),IF(IF(D12="",C12,D12)&gt;=TODAY()-35,C12+ROW()/100000,""),"")</f>
        <v/>
      </c>
    </row>
    <row r="13">
      <c r="A13" s="46" t="n"/>
      <c r="B13" s="12" t="n"/>
      <c r="C13" s="13" t="n"/>
      <c r="D13" s="13" t="n"/>
      <c r="E13" s="14" t="n"/>
      <c r="F13" s="14" t="n"/>
      <c r="G13" s="14" t="n"/>
      <c r="H13" s="14" t="n"/>
      <c r="I13" s="46" t="n"/>
      <c r="J13" s="46" t="n"/>
      <c r="K13" s="47" t="n"/>
      <c r="L13" s="47" t="n"/>
      <c r="M13" s="47" t="n"/>
      <c r="N13" s="47" t="n"/>
      <c r="O13" s="47" t="n"/>
      <c r="P13" s="47" t="n"/>
      <c r="Q13" s="14">
        <f>IF(A13="","",COUNTIFS('Giao việc'!$O$5:$O$3004,A13,'Giao việc'!$J$5:$J$3004,"&lt;&gt;Bỏ qua"))</f>
        <v/>
      </c>
      <c r="R13" s="14">
        <f>IF(A13="","",COUNTIFS('Giao việc'!$O$5:$O$3004,A13,'Giao việc'!$J$5:$J$3004,"Xong"))</f>
        <v/>
      </c>
      <c r="S13" s="14">
        <f>IF(A13="","",COUNTIFS('Giao việc'!$O$5:$O$3004,A13,'Giao việc'!$M$5:$M$3004,"*QUÁ HẠN*"))</f>
        <v/>
      </c>
      <c r="T13" s="14">
        <f>IF(A13="","",COUNTIFS('Giao việc'!$O$5:$O$3004,A13,'Giao việc'!$M$5:$M$3004,"*CHƯA GIAO*"))</f>
        <v/>
      </c>
      <c r="U13" s="15">
        <f>IF(OR(A13="",N(Q13)=0),"",R13/Q13)</f>
        <v/>
      </c>
      <c r="V13" s="16">
        <f>IF(U13="","",REPT("█",ROUND(U13*10,0))&amp;REPT("░",10-ROUND(U13*10,0)))</f>
        <v/>
      </c>
      <c r="W13" s="14">
        <f>IF(C13="","Chưa có ngày",IF(C13&gt;TODAY(),"Còn "&amp;(C13-TODAY())&amp;" ngày",IF(IF(D13="",C13,D13)&gt;=TODAY(),"Đang diễn ra","Đã qua "&amp;(TODAY()-IF(D13="",C13,D13))&amp;" ngày")))</f>
        <v/>
      </c>
      <c r="X13" s="14">
        <f>IF(AND(A13&lt;&gt;"",P13="Có",ISNUMBER(C13)),IF(IF(D13="",C13,D13)&gt;=TODAY()-35,C13+ROW()/100000,""),"")</f>
        <v/>
      </c>
    </row>
    <row r="14">
      <c r="A14" s="46" t="n"/>
      <c r="B14" s="12" t="n"/>
      <c r="C14" s="13" t="n"/>
      <c r="D14" s="13" t="n"/>
      <c r="E14" s="14" t="n"/>
      <c r="F14" s="14" t="n"/>
      <c r="G14" s="14" t="n"/>
      <c r="H14" s="14" t="n"/>
      <c r="I14" s="46" t="n"/>
      <c r="J14" s="46" t="n"/>
      <c r="K14" s="47" t="n"/>
      <c r="L14" s="47" t="n"/>
      <c r="M14" s="47" t="n"/>
      <c r="N14" s="47" t="n"/>
      <c r="O14" s="47" t="n"/>
      <c r="P14" s="47" t="n"/>
      <c r="Q14" s="14">
        <f>IF(A14="","",COUNTIFS('Giao việc'!$O$5:$O$3004,A14,'Giao việc'!$J$5:$J$3004,"&lt;&gt;Bỏ qua"))</f>
        <v/>
      </c>
      <c r="R14" s="14">
        <f>IF(A14="","",COUNTIFS('Giao việc'!$O$5:$O$3004,A14,'Giao việc'!$J$5:$J$3004,"Xong"))</f>
        <v/>
      </c>
      <c r="S14" s="14">
        <f>IF(A14="","",COUNTIFS('Giao việc'!$O$5:$O$3004,A14,'Giao việc'!$M$5:$M$3004,"*QUÁ HẠN*"))</f>
        <v/>
      </c>
      <c r="T14" s="14">
        <f>IF(A14="","",COUNTIFS('Giao việc'!$O$5:$O$3004,A14,'Giao việc'!$M$5:$M$3004,"*CHƯA GIAO*"))</f>
        <v/>
      </c>
      <c r="U14" s="15">
        <f>IF(OR(A14="",N(Q14)=0),"",R14/Q14)</f>
        <v/>
      </c>
      <c r="V14" s="16">
        <f>IF(U14="","",REPT("█",ROUND(U14*10,0))&amp;REPT("░",10-ROUND(U14*10,0)))</f>
        <v/>
      </c>
      <c r="W14" s="14">
        <f>IF(C14="","Chưa có ngày",IF(C14&gt;TODAY(),"Còn "&amp;(C14-TODAY())&amp;" ngày",IF(IF(D14="",C14,D14)&gt;=TODAY(),"Đang diễn ra","Đã qua "&amp;(TODAY()-IF(D14="",C14,D14))&amp;" ngày")))</f>
        <v/>
      </c>
      <c r="X14" s="14">
        <f>IF(AND(A14&lt;&gt;"",P14="Có",ISNUMBER(C14)),IF(IF(D14="",C14,D14)&gt;=TODAY()-35,C14+ROW()/100000,""),"")</f>
        <v/>
      </c>
    </row>
    <row r="15">
      <c r="A15" s="46" t="n"/>
      <c r="B15" s="12" t="n"/>
      <c r="C15" s="13" t="n"/>
      <c r="D15" s="13" t="n"/>
      <c r="E15" s="14" t="n"/>
      <c r="F15" s="14" t="n"/>
      <c r="G15" s="14" t="n"/>
      <c r="H15" s="14" t="n"/>
      <c r="I15" s="46" t="n"/>
      <c r="J15" s="46" t="n"/>
      <c r="K15" s="47" t="n"/>
      <c r="L15" s="47" t="n"/>
      <c r="M15" s="47" t="n"/>
      <c r="N15" s="47" t="n"/>
      <c r="O15" s="47" t="n"/>
      <c r="P15" s="47" t="n"/>
      <c r="Q15" s="14">
        <f>IF(A15="","",COUNTIFS('Giao việc'!$O$5:$O$3004,A15,'Giao việc'!$J$5:$J$3004,"&lt;&gt;Bỏ qua"))</f>
        <v/>
      </c>
      <c r="R15" s="14">
        <f>IF(A15="","",COUNTIFS('Giao việc'!$O$5:$O$3004,A15,'Giao việc'!$J$5:$J$3004,"Xong"))</f>
        <v/>
      </c>
      <c r="S15" s="14">
        <f>IF(A15="","",COUNTIFS('Giao việc'!$O$5:$O$3004,A15,'Giao việc'!$M$5:$M$3004,"*QUÁ HẠN*"))</f>
        <v/>
      </c>
      <c r="T15" s="14">
        <f>IF(A15="","",COUNTIFS('Giao việc'!$O$5:$O$3004,A15,'Giao việc'!$M$5:$M$3004,"*CHƯA GIAO*"))</f>
        <v/>
      </c>
      <c r="U15" s="15">
        <f>IF(OR(A15="",N(Q15)=0),"",R15/Q15)</f>
        <v/>
      </c>
      <c r="V15" s="16">
        <f>IF(U15="","",REPT("█",ROUND(U15*10,0))&amp;REPT("░",10-ROUND(U15*10,0)))</f>
        <v/>
      </c>
      <c r="W15" s="14">
        <f>IF(C15="","Chưa có ngày",IF(C15&gt;TODAY(),"Còn "&amp;(C15-TODAY())&amp;" ngày",IF(IF(D15="",C15,D15)&gt;=TODAY(),"Đang diễn ra","Đã qua "&amp;(TODAY()-IF(D15="",C15,D15))&amp;" ngày")))</f>
        <v/>
      </c>
      <c r="X15" s="14">
        <f>IF(AND(A15&lt;&gt;"",P15="Có",ISNUMBER(C15)),IF(IF(D15="",C15,D15)&gt;=TODAY()-35,C15+ROW()/100000,""),"")</f>
        <v/>
      </c>
    </row>
    <row r="16">
      <c r="A16" s="46" t="n"/>
      <c r="B16" s="12" t="n"/>
      <c r="C16" s="13" t="n"/>
      <c r="D16" s="13" t="n"/>
      <c r="E16" s="14" t="n"/>
      <c r="F16" s="14" t="n"/>
      <c r="G16" s="14" t="n"/>
      <c r="H16" s="14" t="n"/>
      <c r="I16" s="46" t="n"/>
      <c r="J16" s="46" t="n"/>
      <c r="K16" s="47" t="n"/>
      <c r="L16" s="47" t="n"/>
      <c r="M16" s="47" t="n"/>
      <c r="N16" s="47" t="n"/>
      <c r="O16" s="47" t="n"/>
      <c r="P16" s="47" t="n"/>
      <c r="Q16" s="14">
        <f>IF(A16="","",COUNTIFS('Giao việc'!$O$5:$O$3004,A16,'Giao việc'!$J$5:$J$3004,"&lt;&gt;Bỏ qua"))</f>
        <v/>
      </c>
      <c r="R16" s="14">
        <f>IF(A16="","",COUNTIFS('Giao việc'!$O$5:$O$3004,A16,'Giao việc'!$J$5:$J$3004,"Xong"))</f>
        <v/>
      </c>
      <c r="S16" s="14">
        <f>IF(A16="","",COUNTIFS('Giao việc'!$O$5:$O$3004,A16,'Giao việc'!$M$5:$M$3004,"*QUÁ HẠN*"))</f>
        <v/>
      </c>
      <c r="T16" s="14">
        <f>IF(A16="","",COUNTIFS('Giao việc'!$O$5:$O$3004,A16,'Giao việc'!$M$5:$M$3004,"*CHƯA GIAO*"))</f>
        <v/>
      </c>
      <c r="U16" s="15">
        <f>IF(OR(A16="",N(Q16)=0),"",R16/Q16)</f>
        <v/>
      </c>
      <c r="V16" s="16">
        <f>IF(U16="","",REPT("█",ROUND(U16*10,0))&amp;REPT("░",10-ROUND(U16*10,0)))</f>
        <v/>
      </c>
      <c r="W16" s="14">
        <f>IF(C16="","Chưa có ngày",IF(C16&gt;TODAY(),"Còn "&amp;(C16-TODAY())&amp;" ngày",IF(IF(D16="",C16,D16)&gt;=TODAY(),"Đang diễn ra","Đã qua "&amp;(TODAY()-IF(D16="",C16,D16))&amp;" ngày")))</f>
        <v/>
      </c>
      <c r="X16" s="14">
        <f>IF(AND(A16&lt;&gt;"",P16="Có",ISNUMBER(C16)),IF(IF(D16="",C16,D16)&gt;=TODAY()-35,C16+ROW()/100000,""),"")</f>
        <v/>
      </c>
    </row>
    <row r="17">
      <c r="A17" s="46" t="n"/>
      <c r="B17" s="12" t="n"/>
      <c r="C17" s="13" t="n"/>
      <c r="D17" s="13" t="n"/>
      <c r="E17" s="14" t="n"/>
      <c r="F17" s="14" t="n"/>
      <c r="G17" s="14" t="n"/>
      <c r="H17" s="14" t="n"/>
      <c r="I17" s="46" t="n"/>
      <c r="J17" s="46" t="n"/>
      <c r="K17" s="47" t="n"/>
      <c r="L17" s="47" t="n"/>
      <c r="M17" s="47" t="n"/>
      <c r="N17" s="47" t="n"/>
      <c r="O17" s="47" t="n"/>
      <c r="P17" s="47" t="n"/>
      <c r="Q17" s="14">
        <f>IF(A17="","",COUNTIFS('Giao việc'!$O$5:$O$3004,A17,'Giao việc'!$J$5:$J$3004,"&lt;&gt;Bỏ qua"))</f>
        <v/>
      </c>
      <c r="R17" s="14">
        <f>IF(A17="","",COUNTIFS('Giao việc'!$O$5:$O$3004,A17,'Giao việc'!$J$5:$J$3004,"Xong"))</f>
        <v/>
      </c>
      <c r="S17" s="14">
        <f>IF(A17="","",COUNTIFS('Giao việc'!$O$5:$O$3004,A17,'Giao việc'!$M$5:$M$3004,"*QUÁ HẠN*"))</f>
        <v/>
      </c>
      <c r="T17" s="14">
        <f>IF(A17="","",COUNTIFS('Giao việc'!$O$5:$O$3004,A17,'Giao việc'!$M$5:$M$3004,"*CHƯA GIAO*"))</f>
        <v/>
      </c>
      <c r="U17" s="15">
        <f>IF(OR(A17="",N(Q17)=0),"",R17/Q17)</f>
        <v/>
      </c>
      <c r="V17" s="16">
        <f>IF(U17="","",REPT("█",ROUND(U17*10,0))&amp;REPT("░",10-ROUND(U17*10,0)))</f>
        <v/>
      </c>
      <c r="W17" s="14">
        <f>IF(C17="","Chưa có ngày",IF(C17&gt;TODAY(),"Còn "&amp;(C17-TODAY())&amp;" ngày",IF(IF(D17="",C17,D17)&gt;=TODAY(),"Đang diễn ra","Đã qua "&amp;(TODAY()-IF(D17="",C17,D17))&amp;" ngày")))</f>
        <v/>
      </c>
      <c r="X17" s="14">
        <f>IF(AND(A17&lt;&gt;"",P17="Có",ISNUMBER(C17)),IF(IF(D17="",C17,D17)&gt;=TODAY()-35,C17+ROW()/100000,""),"")</f>
        <v/>
      </c>
    </row>
    <row r="18">
      <c r="A18" s="46" t="n"/>
      <c r="B18" s="12" t="n"/>
      <c r="C18" s="13" t="n"/>
      <c r="D18" s="13" t="n"/>
      <c r="E18" s="14" t="n"/>
      <c r="F18" s="14" t="n"/>
      <c r="G18" s="14" t="n"/>
      <c r="H18" s="14" t="n"/>
      <c r="I18" s="46" t="n"/>
      <c r="J18" s="46" t="n"/>
      <c r="K18" s="47" t="n"/>
      <c r="L18" s="47" t="n"/>
      <c r="M18" s="47" t="n"/>
      <c r="N18" s="47" t="n"/>
      <c r="O18" s="47" t="n"/>
      <c r="P18" s="47" t="n"/>
      <c r="Q18" s="14">
        <f>IF(A18="","",COUNTIFS('Giao việc'!$O$5:$O$3004,A18,'Giao việc'!$J$5:$J$3004,"&lt;&gt;Bỏ qua"))</f>
        <v/>
      </c>
      <c r="R18" s="14">
        <f>IF(A18="","",COUNTIFS('Giao việc'!$O$5:$O$3004,A18,'Giao việc'!$J$5:$J$3004,"Xong"))</f>
        <v/>
      </c>
      <c r="S18" s="14">
        <f>IF(A18="","",COUNTIFS('Giao việc'!$O$5:$O$3004,A18,'Giao việc'!$M$5:$M$3004,"*QUÁ HẠN*"))</f>
        <v/>
      </c>
      <c r="T18" s="14">
        <f>IF(A18="","",COUNTIFS('Giao việc'!$O$5:$O$3004,A18,'Giao việc'!$M$5:$M$3004,"*CHƯA GIAO*"))</f>
        <v/>
      </c>
      <c r="U18" s="15">
        <f>IF(OR(A18="",N(Q18)=0),"",R18/Q18)</f>
        <v/>
      </c>
      <c r="V18" s="16">
        <f>IF(U18="","",REPT("█",ROUND(U18*10,0))&amp;REPT("░",10-ROUND(U18*10,0)))</f>
        <v/>
      </c>
      <c r="W18" s="14">
        <f>IF(C18="","Chưa có ngày",IF(C18&gt;TODAY(),"Còn "&amp;(C18-TODAY())&amp;" ngày",IF(IF(D18="",C18,D18)&gt;=TODAY(),"Đang diễn ra","Đã qua "&amp;(TODAY()-IF(D18="",C18,D18))&amp;" ngày")))</f>
        <v/>
      </c>
      <c r="X18" s="14">
        <f>IF(AND(A18&lt;&gt;"",P18="Có",ISNUMBER(C18)),IF(IF(D18="",C18,D18)&gt;=TODAY()-35,C18+ROW()/100000,""),"")</f>
        <v/>
      </c>
    </row>
    <row r="19">
      <c r="A19" s="46" t="n"/>
      <c r="B19" s="12" t="n"/>
      <c r="C19" s="13" t="n"/>
      <c r="D19" s="13" t="n"/>
      <c r="E19" s="14" t="n"/>
      <c r="F19" s="14" t="n"/>
      <c r="G19" s="14" t="n"/>
      <c r="H19" s="14" t="n"/>
      <c r="I19" s="46" t="n"/>
      <c r="J19" s="46" t="n"/>
      <c r="K19" s="47" t="n"/>
      <c r="L19" s="47" t="n"/>
      <c r="M19" s="47" t="n"/>
      <c r="N19" s="47" t="n"/>
      <c r="O19" s="47" t="n"/>
      <c r="P19" s="47" t="n"/>
      <c r="Q19" s="14">
        <f>IF(A19="","",COUNTIFS('Giao việc'!$O$5:$O$3004,A19,'Giao việc'!$J$5:$J$3004,"&lt;&gt;Bỏ qua"))</f>
        <v/>
      </c>
      <c r="R19" s="14">
        <f>IF(A19="","",COUNTIFS('Giao việc'!$O$5:$O$3004,A19,'Giao việc'!$J$5:$J$3004,"Xong"))</f>
        <v/>
      </c>
      <c r="S19" s="14">
        <f>IF(A19="","",COUNTIFS('Giao việc'!$O$5:$O$3004,A19,'Giao việc'!$M$5:$M$3004,"*QUÁ HẠN*"))</f>
        <v/>
      </c>
      <c r="T19" s="14">
        <f>IF(A19="","",COUNTIFS('Giao việc'!$O$5:$O$3004,A19,'Giao việc'!$M$5:$M$3004,"*CHƯA GIAO*"))</f>
        <v/>
      </c>
      <c r="U19" s="15">
        <f>IF(OR(A19="",N(Q19)=0),"",R19/Q19)</f>
        <v/>
      </c>
      <c r="V19" s="16">
        <f>IF(U19="","",REPT("█",ROUND(U19*10,0))&amp;REPT("░",10-ROUND(U19*10,0)))</f>
        <v/>
      </c>
      <c r="W19" s="14">
        <f>IF(C19="","Chưa có ngày",IF(C19&gt;TODAY(),"Còn "&amp;(C19-TODAY())&amp;" ngày",IF(IF(D19="",C19,D19)&gt;=TODAY(),"Đang diễn ra","Đã qua "&amp;(TODAY()-IF(D19="",C19,D19))&amp;" ngày")))</f>
        <v/>
      </c>
      <c r="X19" s="14">
        <f>IF(AND(A19&lt;&gt;"",P19="Có",ISNUMBER(C19)),IF(IF(D19="",C19,D19)&gt;=TODAY()-35,C19+ROW()/100000,""),"")</f>
        <v/>
      </c>
    </row>
    <row r="20">
      <c r="A20" s="46" t="n"/>
      <c r="B20" s="12" t="n"/>
      <c r="C20" s="13" t="n"/>
      <c r="D20" s="13" t="n"/>
      <c r="E20" s="14" t="n"/>
      <c r="F20" s="14" t="n"/>
      <c r="G20" s="14" t="n"/>
      <c r="H20" s="14" t="n"/>
      <c r="I20" s="46" t="n"/>
      <c r="J20" s="46" t="n"/>
      <c r="K20" s="47" t="n"/>
      <c r="L20" s="47" t="n"/>
      <c r="M20" s="47" t="n"/>
      <c r="N20" s="47" t="n"/>
      <c r="O20" s="47" t="n"/>
      <c r="P20" s="47" t="n"/>
      <c r="Q20" s="14">
        <f>IF(A20="","",COUNTIFS('Giao việc'!$O$5:$O$3004,A20,'Giao việc'!$J$5:$J$3004,"&lt;&gt;Bỏ qua"))</f>
        <v/>
      </c>
      <c r="R20" s="14">
        <f>IF(A20="","",COUNTIFS('Giao việc'!$O$5:$O$3004,A20,'Giao việc'!$J$5:$J$3004,"Xong"))</f>
        <v/>
      </c>
      <c r="S20" s="14">
        <f>IF(A20="","",COUNTIFS('Giao việc'!$O$5:$O$3004,A20,'Giao việc'!$M$5:$M$3004,"*QUÁ HẠN*"))</f>
        <v/>
      </c>
      <c r="T20" s="14">
        <f>IF(A20="","",COUNTIFS('Giao việc'!$O$5:$O$3004,A20,'Giao việc'!$M$5:$M$3004,"*CHƯA GIAO*"))</f>
        <v/>
      </c>
      <c r="U20" s="15">
        <f>IF(OR(A20="",N(Q20)=0),"",R20/Q20)</f>
        <v/>
      </c>
      <c r="V20" s="16">
        <f>IF(U20="","",REPT("█",ROUND(U20*10,0))&amp;REPT("░",10-ROUND(U20*10,0)))</f>
        <v/>
      </c>
      <c r="W20" s="14">
        <f>IF(C20="","Chưa có ngày",IF(C20&gt;TODAY(),"Còn "&amp;(C20-TODAY())&amp;" ngày",IF(IF(D20="",C20,D20)&gt;=TODAY(),"Đang diễn ra","Đã qua "&amp;(TODAY()-IF(D20="",C20,D20))&amp;" ngày")))</f>
        <v/>
      </c>
      <c r="X20" s="14">
        <f>IF(AND(A20&lt;&gt;"",P20="Có",ISNUMBER(C20)),IF(IF(D20="",C20,D20)&gt;=TODAY()-35,C20+ROW()/100000,""),"")</f>
        <v/>
      </c>
    </row>
    <row r="21">
      <c r="A21" s="46" t="n"/>
      <c r="B21" s="12" t="n"/>
      <c r="C21" s="13" t="n"/>
      <c r="D21" s="13" t="n"/>
      <c r="E21" s="14" t="n"/>
      <c r="F21" s="14" t="n"/>
      <c r="G21" s="14" t="n"/>
      <c r="H21" s="14" t="n"/>
      <c r="I21" s="46" t="n"/>
      <c r="J21" s="46" t="n"/>
      <c r="K21" s="47" t="n"/>
      <c r="L21" s="47" t="n"/>
      <c r="M21" s="47" t="n"/>
      <c r="N21" s="47" t="n"/>
      <c r="O21" s="47" t="n"/>
      <c r="P21" s="47" t="n"/>
      <c r="Q21" s="14">
        <f>IF(A21="","",COUNTIFS('Giao việc'!$O$5:$O$3004,A21,'Giao việc'!$J$5:$J$3004,"&lt;&gt;Bỏ qua"))</f>
        <v/>
      </c>
      <c r="R21" s="14">
        <f>IF(A21="","",COUNTIFS('Giao việc'!$O$5:$O$3004,A21,'Giao việc'!$J$5:$J$3004,"Xong"))</f>
        <v/>
      </c>
      <c r="S21" s="14">
        <f>IF(A21="","",COUNTIFS('Giao việc'!$O$5:$O$3004,A21,'Giao việc'!$M$5:$M$3004,"*QUÁ HẠN*"))</f>
        <v/>
      </c>
      <c r="T21" s="14">
        <f>IF(A21="","",COUNTIFS('Giao việc'!$O$5:$O$3004,A21,'Giao việc'!$M$5:$M$3004,"*CHƯA GIAO*"))</f>
        <v/>
      </c>
      <c r="U21" s="15">
        <f>IF(OR(A21="",N(Q21)=0),"",R21/Q21)</f>
        <v/>
      </c>
      <c r="V21" s="16">
        <f>IF(U21="","",REPT("█",ROUND(U21*10,0))&amp;REPT("░",10-ROUND(U21*10,0)))</f>
        <v/>
      </c>
      <c r="W21" s="14">
        <f>IF(C21="","Chưa có ngày",IF(C21&gt;TODAY(),"Còn "&amp;(C21-TODAY())&amp;" ngày",IF(IF(D21="",C21,D21)&gt;=TODAY(),"Đang diễn ra","Đã qua "&amp;(TODAY()-IF(D21="",C21,D21))&amp;" ngày")))</f>
        <v/>
      </c>
      <c r="X21" s="14">
        <f>IF(AND(A21&lt;&gt;"",P21="Có",ISNUMBER(C21)),IF(IF(D21="",C21,D21)&gt;=TODAY()-35,C21+ROW()/100000,""),"")</f>
        <v/>
      </c>
    </row>
    <row r="22">
      <c r="A22" s="46" t="n"/>
      <c r="B22" s="12" t="n"/>
      <c r="C22" s="13" t="n"/>
      <c r="D22" s="13" t="n"/>
      <c r="E22" s="14" t="n"/>
      <c r="F22" s="14" t="n"/>
      <c r="G22" s="14" t="n"/>
      <c r="H22" s="14" t="n"/>
      <c r="I22" s="46" t="n"/>
      <c r="J22" s="46" t="n"/>
      <c r="K22" s="47" t="n"/>
      <c r="L22" s="47" t="n"/>
      <c r="M22" s="47" t="n"/>
      <c r="N22" s="47" t="n"/>
      <c r="O22" s="47" t="n"/>
      <c r="P22" s="47" t="n"/>
      <c r="Q22" s="14">
        <f>IF(A22="","",COUNTIFS('Giao việc'!$O$5:$O$3004,A22,'Giao việc'!$J$5:$J$3004,"&lt;&gt;Bỏ qua"))</f>
        <v/>
      </c>
      <c r="R22" s="14">
        <f>IF(A22="","",COUNTIFS('Giao việc'!$O$5:$O$3004,A22,'Giao việc'!$J$5:$J$3004,"Xong"))</f>
        <v/>
      </c>
      <c r="S22" s="14">
        <f>IF(A22="","",COUNTIFS('Giao việc'!$O$5:$O$3004,A22,'Giao việc'!$M$5:$M$3004,"*QUÁ HẠN*"))</f>
        <v/>
      </c>
      <c r="T22" s="14">
        <f>IF(A22="","",COUNTIFS('Giao việc'!$O$5:$O$3004,A22,'Giao việc'!$M$5:$M$3004,"*CHƯA GIAO*"))</f>
        <v/>
      </c>
      <c r="U22" s="15">
        <f>IF(OR(A22="",N(Q22)=0),"",R22/Q22)</f>
        <v/>
      </c>
      <c r="V22" s="16">
        <f>IF(U22="","",REPT("█",ROUND(U22*10,0))&amp;REPT("░",10-ROUND(U22*10,0)))</f>
        <v/>
      </c>
      <c r="W22" s="14">
        <f>IF(C22="","Chưa có ngày",IF(C22&gt;TODAY(),"Còn "&amp;(C22-TODAY())&amp;" ngày",IF(IF(D22="",C22,D22)&gt;=TODAY(),"Đang diễn ra","Đã qua "&amp;(TODAY()-IF(D22="",C22,D22))&amp;" ngày")))</f>
        <v/>
      </c>
      <c r="X22" s="14">
        <f>IF(AND(A22&lt;&gt;"",P22="Có",ISNUMBER(C22)),IF(IF(D22="",C22,D22)&gt;=TODAY()-35,C22+ROW()/100000,""),"")</f>
        <v/>
      </c>
    </row>
    <row r="23">
      <c r="A23" s="46" t="n"/>
      <c r="B23" s="12" t="n"/>
      <c r="C23" s="13" t="n"/>
      <c r="D23" s="13" t="n"/>
      <c r="E23" s="14" t="n"/>
      <c r="F23" s="14" t="n"/>
      <c r="G23" s="14" t="n"/>
      <c r="H23" s="14" t="n"/>
      <c r="I23" s="46" t="n"/>
      <c r="J23" s="46" t="n"/>
      <c r="K23" s="47" t="n"/>
      <c r="L23" s="47" t="n"/>
      <c r="M23" s="47" t="n"/>
      <c r="N23" s="47" t="n"/>
      <c r="O23" s="47" t="n"/>
      <c r="P23" s="47" t="n"/>
      <c r="Q23" s="14">
        <f>IF(A23="","",COUNTIFS('Giao việc'!$O$5:$O$3004,A23,'Giao việc'!$J$5:$J$3004,"&lt;&gt;Bỏ qua"))</f>
        <v/>
      </c>
      <c r="R23" s="14">
        <f>IF(A23="","",COUNTIFS('Giao việc'!$O$5:$O$3004,A23,'Giao việc'!$J$5:$J$3004,"Xong"))</f>
        <v/>
      </c>
      <c r="S23" s="14">
        <f>IF(A23="","",COUNTIFS('Giao việc'!$O$5:$O$3004,A23,'Giao việc'!$M$5:$M$3004,"*QUÁ HẠN*"))</f>
        <v/>
      </c>
      <c r="T23" s="14">
        <f>IF(A23="","",COUNTIFS('Giao việc'!$O$5:$O$3004,A23,'Giao việc'!$M$5:$M$3004,"*CHƯA GIAO*"))</f>
        <v/>
      </c>
      <c r="U23" s="15">
        <f>IF(OR(A23="",N(Q23)=0),"",R23/Q23)</f>
        <v/>
      </c>
      <c r="V23" s="16">
        <f>IF(U23="","",REPT("█",ROUND(U23*10,0))&amp;REPT("░",10-ROUND(U23*10,0)))</f>
        <v/>
      </c>
      <c r="W23" s="14">
        <f>IF(C23="","Chưa có ngày",IF(C23&gt;TODAY(),"Còn "&amp;(C23-TODAY())&amp;" ngày",IF(IF(D23="",C23,D23)&gt;=TODAY(),"Đang diễn ra","Đã qua "&amp;(TODAY()-IF(D23="",C23,D23))&amp;" ngày")))</f>
        <v/>
      </c>
      <c r="X23" s="14">
        <f>IF(AND(A23&lt;&gt;"",P23="Có",ISNUMBER(C23)),IF(IF(D23="",C23,D23)&gt;=TODAY()-35,C23+ROW()/100000,""),"")</f>
        <v/>
      </c>
    </row>
    <row r="24">
      <c r="A24" s="46" t="n"/>
      <c r="B24" s="12" t="n"/>
      <c r="C24" s="13" t="n"/>
      <c r="D24" s="13" t="n"/>
      <c r="E24" s="14" t="n"/>
      <c r="F24" s="14" t="n"/>
      <c r="G24" s="14" t="n"/>
      <c r="H24" s="14" t="n"/>
      <c r="I24" s="46" t="n"/>
      <c r="J24" s="46" t="n"/>
      <c r="K24" s="47" t="n"/>
      <c r="L24" s="47" t="n"/>
      <c r="M24" s="47" t="n"/>
      <c r="N24" s="47" t="n"/>
      <c r="O24" s="47" t="n"/>
      <c r="P24" s="47" t="n"/>
      <c r="Q24" s="14">
        <f>IF(A24="","",COUNTIFS('Giao việc'!$O$5:$O$3004,A24,'Giao việc'!$J$5:$J$3004,"&lt;&gt;Bỏ qua"))</f>
        <v/>
      </c>
      <c r="R24" s="14">
        <f>IF(A24="","",COUNTIFS('Giao việc'!$O$5:$O$3004,A24,'Giao việc'!$J$5:$J$3004,"Xong"))</f>
        <v/>
      </c>
      <c r="S24" s="14">
        <f>IF(A24="","",COUNTIFS('Giao việc'!$O$5:$O$3004,A24,'Giao việc'!$M$5:$M$3004,"*QUÁ HẠN*"))</f>
        <v/>
      </c>
      <c r="T24" s="14">
        <f>IF(A24="","",COUNTIFS('Giao việc'!$O$5:$O$3004,A24,'Giao việc'!$M$5:$M$3004,"*CHƯA GIAO*"))</f>
        <v/>
      </c>
      <c r="U24" s="15">
        <f>IF(OR(A24="",N(Q24)=0),"",R24/Q24)</f>
        <v/>
      </c>
      <c r="V24" s="16">
        <f>IF(U24="","",REPT("█",ROUND(U24*10,0))&amp;REPT("░",10-ROUND(U24*10,0)))</f>
        <v/>
      </c>
      <c r="W24" s="14">
        <f>IF(C24="","Chưa có ngày",IF(C24&gt;TODAY(),"Còn "&amp;(C24-TODAY())&amp;" ngày",IF(IF(D24="",C24,D24)&gt;=TODAY(),"Đang diễn ra","Đã qua "&amp;(TODAY()-IF(D24="",C24,D24))&amp;" ngày")))</f>
        <v/>
      </c>
      <c r="X24" s="14">
        <f>IF(AND(A24&lt;&gt;"",P24="Có",ISNUMBER(C24)),IF(IF(D24="",C24,D24)&gt;=TODAY()-35,C24+ROW()/100000,""),"")</f>
        <v/>
      </c>
    </row>
    <row r="25">
      <c r="A25" s="46" t="n"/>
      <c r="B25" s="12" t="n"/>
      <c r="C25" s="13" t="n"/>
      <c r="D25" s="13" t="n"/>
      <c r="E25" s="14" t="n"/>
      <c r="F25" s="14" t="n"/>
      <c r="G25" s="14" t="n"/>
      <c r="H25" s="14" t="n"/>
      <c r="I25" s="46" t="n"/>
      <c r="J25" s="46" t="n"/>
      <c r="K25" s="47" t="n"/>
      <c r="L25" s="47" t="n"/>
      <c r="M25" s="47" t="n"/>
      <c r="N25" s="47" t="n"/>
      <c r="O25" s="47" t="n"/>
      <c r="P25" s="47" t="n"/>
      <c r="Q25" s="14">
        <f>IF(A25="","",COUNTIFS('Giao việc'!$O$5:$O$3004,A25,'Giao việc'!$J$5:$J$3004,"&lt;&gt;Bỏ qua"))</f>
        <v/>
      </c>
      <c r="R25" s="14">
        <f>IF(A25="","",COUNTIFS('Giao việc'!$O$5:$O$3004,A25,'Giao việc'!$J$5:$J$3004,"Xong"))</f>
        <v/>
      </c>
      <c r="S25" s="14">
        <f>IF(A25="","",COUNTIFS('Giao việc'!$O$5:$O$3004,A25,'Giao việc'!$M$5:$M$3004,"*QUÁ HẠN*"))</f>
        <v/>
      </c>
      <c r="T25" s="14">
        <f>IF(A25="","",COUNTIFS('Giao việc'!$O$5:$O$3004,A25,'Giao việc'!$M$5:$M$3004,"*CHƯA GIAO*"))</f>
        <v/>
      </c>
      <c r="U25" s="15">
        <f>IF(OR(A25="",N(Q25)=0),"",R25/Q25)</f>
        <v/>
      </c>
      <c r="V25" s="16">
        <f>IF(U25="","",REPT("█",ROUND(U25*10,0))&amp;REPT("░",10-ROUND(U25*10,0)))</f>
        <v/>
      </c>
      <c r="W25" s="14">
        <f>IF(C25="","Chưa có ngày",IF(C25&gt;TODAY(),"Còn "&amp;(C25-TODAY())&amp;" ngày",IF(IF(D25="",C25,D25)&gt;=TODAY(),"Đang diễn ra","Đã qua "&amp;(TODAY()-IF(D25="",C25,D25))&amp;" ngày")))</f>
        <v/>
      </c>
      <c r="X25" s="14">
        <f>IF(AND(A25&lt;&gt;"",P25="Có",ISNUMBER(C25)),IF(IF(D25="",C25,D25)&gt;=TODAY()-35,C25+ROW()/100000,""),"")</f>
        <v/>
      </c>
    </row>
    <row r="26">
      <c r="A26" s="46" t="n"/>
      <c r="B26" s="12" t="n"/>
      <c r="C26" s="13" t="n"/>
      <c r="D26" s="13" t="n"/>
      <c r="E26" s="14" t="n"/>
      <c r="F26" s="14" t="n"/>
      <c r="G26" s="14" t="n"/>
      <c r="H26" s="14" t="n"/>
      <c r="I26" s="46" t="n"/>
      <c r="J26" s="46" t="n"/>
      <c r="K26" s="47" t="n"/>
      <c r="L26" s="47" t="n"/>
      <c r="M26" s="47" t="n"/>
      <c r="N26" s="47" t="n"/>
      <c r="O26" s="47" t="n"/>
      <c r="P26" s="47" t="n"/>
      <c r="Q26" s="14">
        <f>IF(A26="","",COUNTIFS('Giao việc'!$O$5:$O$3004,A26,'Giao việc'!$J$5:$J$3004,"&lt;&gt;Bỏ qua"))</f>
        <v/>
      </c>
      <c r="R26" s="14">
        <f>IF(A26="","",COUNTIFS('Giao việc'!$O$5:$O$3004,A26,'Giao việc'!$J$5:$J$3004,"Xong"))</f>
        <v/>
      </c>
      <c r="S26" s="14">
        <f>IF(A26="","",COUNTIFS('Giao việc'!$O$5:$O$3004,A26,'Giao việc'!$M$5:$M$3004,"*QUÁ HẠN*"))</f>
        <v/>
      </c>
      <c r="T26" s="14">
        <f>IF(A26="","",COUNTIFS('Giao việc'!$O$5:$O$3004,A26,'Giao việc'!$M$5:$M$3004,"*CHƯA GIAO*"))</f>
        <v/>
      </c>
      <c r="U26" s="15">
        <f>IF(OR(A26="",N(Q26)=0),"",R26/Q26)</f>
        <v/>
      </c>
      <c r="V26" s="16">
        <f>IF(U26="","",REPT("█",ROUND(U26*10,0))&amp;REPT("░",10-ROUND(U26*10,0)))</f>
        <v/>
      </c>
      <c r="W26" s="14">
        <f>IF(C26="","Chưa có ngày",IF(C26&gt;TODAY(),"Còn "&amp;(C26-TODAY())&amp;" ngày",IF(IF(D26="",C26,D26)&gt;=TODAY(),"Đang diễn ra","Đã qua "&amp;(TODAY()-IF(D26="",C26,D26))&amp;" ngày")))</f>
        <v/>
      </c>
      <c r="X26" s="14">
        <f>IF(AND(A26&lt;&gt;"",P26="Có",ISNUMBER(C26)),IF(IF(D26="",C26,D26)&gt;=TODAY()-35,C26+ROW()/100000,""),"")</f>
        <v/>
      </c>
    </row>
    <row r="27">
      <c r="A27" s="46" t="n"/>
      <c r="B27" s="12" t="n"/>
      <c r="C27" s="13" t="n"/>
      <c r="D27" s="13" t="n"/>
      <c r="E27" s="14" t="n"/>
      <c r="F27" s="14" t="n"/>
      <c r="G27" s="14" t="n"/>
      <c r="H27" s="14" t="n"/>
      <c r="I27" s="46" t="n"/>
      <c r="J27" s="46" t="n"/>
      <c r="K27" s="47" t="n"/>
      <c r="L27" s="47" t="n"/>
      <c r="M27" s="47" t="n"/>
      <c r="N27" s="47" t="n"/>
      <c r="O27" s="47" t="n"/>
      <c r="P27" s="47" t="n"/>
      <c r="Q27" s="14">
        <f>IF(A27="","",COUNTIFS('Giao việc'!$O$5:$O$3004,A27,'Giao việc'!$J$5:$J$3004,"&lt;&gt;Bỏ qua"))</f>
        <v/>
      </c>
      <c r="R27" s="14">
        <f>IF(A27="","",COUNTIFS('Giao việc'!$O$5:$O$3004,A27,'Giao việc'!$J$5:$J$3004,"Xong"))</f>
        <v/>
      </c>
      <c r="S27" s="14">
        <f>IF(A27="","",COUNTIFS('Giao việc'!$O$5:$O$3004,A27,'Giao việc'!$M$5:$M$3004,"*QUÁ HẠN*"))</f>
        <v/>
      </c>
      <c r="T27" s="14">
        <f>IF(A27="","",COUNTIFS('Giao việc'!$O$5:$O$3004,A27,'Giao việc'!$M$5:$M$3004,"*CHƯA GIAO*"))</f>
        <v/>
      </c>
      <c r="U27" s="15">
        <f>IF(OR(A27="",N(Q27)=0),"",R27/Q27)</f>
        <v/>
      </c>
      <c r="V27" s="16">
        <f>IF(U27="","",REPT("█",ROUND(U27*10,0))&amp;REPT("░",10-ROUND(U27*10,0)))</f>
        <v/>
      </c>
      <c r="W27" s="14">
        <f>IF(C27="","Chưa có ngày",IF(C27&gt;TODAY(),"Còn "&amp;(C27-TODAY())&amp;" ngày",IF(IF(D27="",C27,D27)&gt;=TODAY(),"Đang diễn ra","Đã qua "&amp;(TODAY()-IF(D27="",C27,D27))&amp;" ngày")))</f>
        <v/>
      </c>
      <c r="X27" s="14">
        <f>IF(AND(A27&lt;&gt;"",P27="Có",ISNUMBER(C27)),IF(IF(D27="",C27,D27)&gt;=TODAY()-35,C27+ROW()/100000,""),"")</f>
        <v/>
      </c>
    </row>
    <row r="28">
      <c r="A28" s="46" t="n"/>
      <c r="B28" s="12" t="n"/>
      <c r="C28" s="13" t="n"/>
      <c r="D28" s="13" t="n"/>
      <c r="E28" s="14" t="n"/>
      <c r="F28" s="14" t="n"/>
      <c r="G28" s="14" t="n"/>
      <c r="H28" s="14" t="n"/>
      <c r="I28" s="46" t="n"/>
      <c r="J28" s="46" t="n"/>
      <c r="K28" s="47" t="n"/>
      <c r="L28" s="47" t="n"/>
      <c r="M28" s="47" t="n"/>
      <c r="N28" s="47" t="n"/>
      <c r="O28" s="47" t="n"/>
      <c r="P28" s="47" t="n"/>
      <c r="Q28" s="14">
        <f>IF(A28="","",COUNTIFS('Giao việc'!$O$5:$O$3004,A28,'Giao việc'!$J$5:$J$3004,"&lt;&gt;Bỏ qua"))</f>
        <v/>
      </c>
      <c r="R28" s="14">
        <f>IF(A28="","",COUNTIFS('Giao việc'!$O$5:$O$3004,A28,'Giao việc'!$J$5:$J$3004,"Xong"))</f>
        <v/>
      </c>
      <c r="S28" s="14">
        <f>IF(A28="","",COUNTIFS('Giao việc'!$O$5:$O$3004,A28,'Giao việc'!$M$5:$M$3004,"*QUÁ HẠN*"))</f>
        <v/>
      </c>
      <c r="T28" s="14">
        <f>IF(A28="","",COUNTIFS('Giao việc'!$O$5:$O$3004,A28,'Giao việc'!$M$5:$M$3004,"*CHƯA GIAO*"))</f>
        <v/>
      </c>
      <c r="U28" s="15">
        <f>IF(OR(A28="",N(Q28)=0),"",R28/Q28)</f>
        <v/>
      </c>
      <c r="V28" s="16">
        <f>IF(U28="","",REPT("█",ROUND(U28*10,0))&amp;REPT("░",10-ROUND(U28*10,0)))</f>
        <v/>
      </c>
      <c r="W28" s="14">
        <f>IF(C28="","Chưa có ngày",IF(C28&gt;TODAY(),"Còn "&amp;(C28-TODAY())&amp;" ngày",IF(IF(D28="",C28,D28)&gt;=TODAY(),"Đang diễn ra","Đã qua "&amp;(TODAY()-IF(D28="",C28,D28))&amp;" ngày")))</f>
        <v/>
      </c>
      <c r="X28" s="14">
        <f>IF(AND(A28&lt;&gt;"",P28="Có",ISNUMBER(C28)),IF(IF(D28="",C28,D28)&gt;=TODAY()-35,C28+ROW()/100000,""),"")</f>
        <v/>
      </c>
    </row>
    <row r="29">
      <c r="A29" s="46" t="n"/>
      <c r="B29" s="12" t="n"/>
      <c r="C29" s="13" t="n"/>
      <c r="D29" s="13" t="n"/>
      <c r="E29" s="14" t="n"/>
      <c r="F29" s="14" t="n"/>
      <c r="G29" s="14" t="n"/>
      <c r="H29" s="14" t="n"/>
      <c r="I29" s="46" t="n"/>
      <c r="J29" s="46" t="n"/>
      <c r="K29" s="47" t="n"/>
      <c r="L29" s="47" t="n"/>
      <c r="M29" s="47" t="n"/>
      <c r="N29" s="47" t="n"/>
      <c r="O29" s="47" t="n"/>
      <c r="P29" s="47" t="n"/>
      <c r="Q29" s="14">
        <f>IF(A29="","",COUNTIFS('Giao việc'!$O$5:$O$3004,A29,'Giao việc'!$J$5:$J$3004,"&lt;&gt;Bỏ qua"))</f>
        <v/>
      </c>
      <c r="R29" s="14">
        <f>IF(A29="","",COUNTIFS('Giao việc'!$O$5:$O$3004,A29,'Giao việc'!$J$5:$J$3004,"Xong"))</f>
        <v/>
      </c>
      <c r="S29" s="14">
        <f>IF(A29="","",COUNTIFS('Giao việc'!$O$5:$O$3004,A29,'Giao việc'!$M$5:$M$3004,"*QUÁ HẠN*"))</f>
        <v/>
      </c>
      <c r="T29" s="14">
        <f>IF(A29="","",COUNTIFS('Giao việc'!$O$5:$O$3004,A29,'Giao việc'!$M$5:$M$3004,"*CHƯA GIAO*"))</f>
        <v/>
      </c>
      <c r="U29" s="15">
        <f>IF(OR(A29="",N(Q29)=0),"",R29/Q29)</f>
        <v/>
      </c>
      <c r="V29" s="16">
        <f>IF(U29="","",REPT("█",ROUND(U29*10,0))&amp;REPT("░",10-ROUND(U29*10,0)))</f>
        <v/>
      </c>
      <c r="W29" s="14">
        <f>IF(C29="","Chưa có ngày",IF(C29&gt;TODAY(),"Còn "&amp;(C29-TODAY())&amp;" ngày",IF(IF(D29="",C29,D29)&gt;=TODAY(),"Đang diễn ra","Đã qua "&amp;(TODAY()-IF(D29="",C29,D29))&amp;" ngày")))</f>
        <v/>
      </c>
      <c r="X29" s="14">
        <f>IF(AND(A29&lt;&gt;"",P29="Có",ISNUMBER(C29)),IF(IF(D29="",C29,D29)&gt;=TODAY()-35,C29+ROW()/100000,""),"")</f>
        <v/>
      </c>
    </row>
    <row r="30">
      <c r="A30" s="46" t="n"/>
      <c r="B30" s="12" t="n"/>
      <c r="C30" s="13" t="n"/>
      <c r="D30" s="13" t="n"/>
      <c r="E30" s="14" t="n"/>
      <c r="F30" s="14" t="n"/>
      <c r="G30" s="14" t="n"/>
      <c r="H30" s="14" t="n"/>
      <c r="I30" s="46" t="n"/>
      <c r="J30" s="46" t="n"/>
      <c r="K30" s="47" t="n"/>
      <c r="L30" s="47" t="n"/>
      <c r="M30" s="47" t="n"/>
      <c r="N30" s="47" t="n"/>
      <c r="O30" s="47" t="n"/>
      <c r="P30" s="47" t="n"/>
      <c r="Q30" s="14">
        <f>IF(A30="","",COUNTIFS('Giao việc'!$O$5:$O$3004,A30,'Giao việc'!$J$5:$J$3004,"&lt;&gt;Bỏ qua"))</f>
        <v/>
      </c>
      <c r="R30" s="14">
        <f>IF(A30="","",COUNTIFS('Giao việc'!$O$5:$O$3004,A30,'Giao việc'!$J$5:$J$3004,"Xong"))</f>
        <v/>
      </c>
      <c r="S30" s="14">
        <f>IF(A30="","",COUNTIFS('Giao việc'!$O$5:$O$3004,A30,'Giao việc'!$M$5:$M$3004,"*QUÁ HẠN*"))</f>
        <v/>
      </c>
      <c r="T30" s="14">
        <f>IF(A30="","",COUNTIFS('Giao việc'!$O$5:$O$3004,A30,'Giao việc'!$M$5:$M$3004,"*CHƯA GIAO*"))</f>
        <v/>
      </c>
      <c r="U30" s="15">
        <f>IF(OR(A30="",N(Q30)=0),"",R30/Q30)</f>
        <v/>
      </c>
      <c r="V30" s="16">
        <f>IF(U30="","",REPT("█",ROUND(U30*10,0))&amp;REPT("░",10-ROUND(U30*10,0)))</f>
        <v/>
      </c>
      <c r="W30" s="14">
        <f>IF(C30="","Chưa có ngày",IF(C30&gt;TODAY(),"Còn "&amp;(C30-TODAY())&amp;" ngày",IF(IF(D30="",C30,D30)&gt;=TODAY(),"Đang diễn ra","Đã qua "&amp;(TODAY()-IF(D30="",C30,D30))&amp;" ngày")))</f>
        <v/>
      </c>
      <c r="X30" s="14">
        <f>IF(AND(A30&lt;&gt;"",P30="Có",ISNUMBER(C30)),IF(IF(D30="",C30,D30)&gt;=TODAY()-35,C30+ROW()/100000,""),"")</f>
        <v/>
      </c>
    </row>
    <row r="31">
      <c r="A31" s="46" t="n"/>
      <c r="B31" s="12" t="n"/>
      <c r="C31" s="13" t="n"/>
      <c r="D31" s="13" t="n"/>
      <c r="E31" s="14" t="n"/>
      <c r="F31" s="14" t="n"/>
      <c r="G31" s="14" t="n"/>
      <c r="H31" s="14" t="n"/>
      <c r="I31" s="46" t="n"/>
      <c r="J31" s="46" t="n"/>
      <c r="K31" s="47" t="n"/>
      <c r="L31" s="47" t="n"/>
      <c r="M31" s="47" t="n"/>
      <c r="N31" s="47" t="n"/>
      <c r="O31" s="47" t="n"/>
      <c r="P31" s="47" t="n"/>
      <c r="Q31" s="14">
        <f>IF(A31="","",COUNTIFS('Giao việc'!$O$5:$O$3004,A31,'Giao việc'!$J$5:$J$3004,"&lt;&gt;Bỏ qua"))</f>
        <v/>
      </c>
      <c r="R31" s="14">
        <f>IF(A31="","",COUNTIFS('Giao việc'!$O$5:$O$3004,A31,'Giao việc'!$J$5:$J$3004,"Xong"))</f>
        <v/>
      </c>
      <c r="S31" s="14">
        <f>IF(A31="","",COUNTIFS('Giao việc'!$O$5:$O$3004,A31,'Giao việc'!$M$5:$M$3004,"*QUÁ HẠN*"))</f>
        <v/>
      </c>
      <c r="T31" s="14">
        <f>IF(A31="","",COUNTIFS('Giao việc'!$O$5:$O$3004,A31,'Giao việc'!$M$5:$M$3004,"*CHƯA GIAO*"))</f>
        <v/>
      </c>
      <c r="U31" s="15">
        <f>IF(OR(A31="",N(Q31)=0),"",R31/Q31)</f>
        <v/>
      </c>
      <c r="V31" s="16">
        <f>IF(U31="","",REPT("█",ROUND(U31*10,0))&amp;REPT("░",10-ROUND(U31*10,0)))</f>
        <v/>
      </c>
      <c r="W31" s="14">
        <f>IF(C31="","Chưa có ngày",IF(C31&gt;TODAY(),"Còn "&amp;(C31-TODAY())&amp;" ngày",IF(IF(D31="",C31,D31)&gt;=TODAY(),"Đang diễn ra","Đã qua "&amp;(TODAY()-IF(D31="",C31,D31))&amp;" ngày")))</f>
        <v/>
      </c>
      <c r="X31" s="14">
        <f>IF(AND(A31&lt;&gt;"",P31="Có",ISNUMBER(C31)),IF(IF(D31="",C31,D31)&gt;=TODAY()-35,C31+ROW()/100000,""),"")</f>
        <v/>
      </c>
    </row>
    <row r="32">
      <c r="A32" s="46" t="n"/>
      <c r="B32" s="12" t="n"/>
      <c r="C32" s="13" t="n"/>
      <c r="D32" s="13" t="n"/>
      <c r="E32" s="14" t="n"/>
      <c r="F32" s="14" t="n"/>
      <c r="G32" s="14" t="n"/>
      <c r="H32" s="14" t="n"/>
      <c r="I32" s="46" t="n"/>
      <c r="J32" s="46" t="n"/>
      <c r="K32" s="47" t="n"/>
      <c r="L32" s="47" t="n"/>
      <c r="M32" s="47" t="n"/>
      <c r="N32" s="47" t="n"/>
      <c r="O32" s="47" t="n"/>
      <c r="P32" s="47" t="n"/>
      <c r="Q32" s="14">
        <f>IF(A32="","",COUNTIFS('Giao việc'!$O$5:$O$3004,A32,'Giao việc'!$J$5:$J$3004,"&lt;&gt;Bỏ qua"))</f>
        <v/>
      </c>
      <c r="R32" s="14">
        <f>IF(A32="","",COUNTIFS('Giao việc'!$O$5:$O$3004,A32,'Giao việc'!$J$5:$J$3004,"Xong"))</f>
        <v/>
      </c>
      <c r="S32" s="14">
        <f>IF(A32="","",COUNTIFS('Giao việc'!$O$5:$O$3004,A32,'Giao việc'!$M$5:$M$3004,"*QUÁ HẠN*"))</f>
        <v/>
      </c>
      <c r="T32" s="14">
        <f>IF(A32="","",COUNTIFS('Giao việc'!$O$5:$O$3004,A32,'Giao việc'!$M$5:$M$3004,"*CHƯA GIAO*"))</f>
        <v/>
      </c>
      <c r="U32" s="15">
        <f>IF(OR(A32="",N(Q32)=0),"",R32/Q32)</f>
        <v/>
      </c>
      <c r="V32" s="16">
        <f>IF(U32="","",REPT("█",ROUND(U32*10,0))&amp;REPT("░",10-ROUND(U32*10,0)))</f>
        <v/>
      </c>
      <c r="W32" s="14">
        <f>IF(C32="","Chưa có ngày",IF(C32&gt;TODAY(),"Còn "&amp;(C32-TODAY())&amp;" ngày",IF(IF(D32="",C32,D32)&gt;=TODAY(),"Đang diễn ra","Đã qua "&amp;(TODAY()-IF(D32="",C32,D32))&amp;" ngày")))</f>
        <v/>
      </c>
      <c r="X32" s="14">
        <f>IF(AND(A32&lt;&gt;"",P32="Có",ISNUMBER(C32)),IF(IF(D32="",C32,D32)&gt;=TODAY()-35,C32+ROW()/100000,""),"")</f>
        <v/>
      </c>
    </row>
    <row r="33">
      <c r="A33" s="46" t="n"/>
      <c r="B33" s="12" t="n"/>
      <c r="C33" s="13" t="n"/>
      <c r="D33" s="13" t="n"/>
      <c r="E33" s="14" t="n"/>
      <c r="F33" s="14" t="n"/>
      <c r="G33" s="14" t="n"/>
      <c r="H33" s="14" t="n"/>
      <c r="I33" s="46" t="n"/>
      <c r="J33" s="46" t="n"/>
      <c r="K33" s="47" t="n"/>
      <c r="L33" s="47" t="n"/>
      <c r="M33" s="47" t="n"/>
      <c r="N33" s="47" t="n"/>
      <c r="O33" s="47" t="n"/>
      <c r="P33" s="47" t="n"/>
      <c r="Q33" s="14">
        <f>IF(A33="","",COUNTIFS('Giao việc'!$O$5:$O$3004,A33,'Giao việc'!$J$5:$J$3004,"&lt;&gt;Bỏ qua"))</f>
        <v/>
      </c>
      <c r="R33" s="14">
        <f>IF(A33="","",COUNTIFS('Giao việc'!$O$5:$O$3004,A33,'Giao việc'!$J$5:$J$3004,"Xong"))</f>
        <v/>
      </c>
      <c r="S33" s="14">
        <f>IF(A33="","",COUNTIFS('Giao việc'!$O$5:$O$3004,A33,'Giao việc'!$M$5:$M$3004,"*QUÁ HẠN*"))</f>
        <v/>
      </c>
      <c r="T33" s="14">
        <f>IF(A33="","",COUNTIFS('Giao việc'!$O$5:$O$3004,A33,'Giao việc'!$M$5:$M$3004,"*CHƯA GIAO*"))</f>
        <v/>
      </c>
      <c r="U33" s="15">
        <f>IF(OR(A33="",N(Q33)=0),"",R33/Q33)</f>
        <v/>
      </c>
      <c r="V33" s="16">
        <f>IF(U33="","",REPT("█",ROUND(U33*10,0))&amp;REPT("░",10-ROUND(U33*10,0)))</f>
        <v/>
      </c>
      <c r="W33" s="14">
        <f>IF(C33="","Chưa có ngày",IF(C33&gt;TODAY(),"Còn "&amp;(C33-TODAY())&amp;" ngày",IF(IF(D33="",C33,D33)&gt;=TODAY(),"Đang diễn ra","Đã qua "&amp;(TODAY()-IF(D33="",C33,D33))&amp;" ngày")))</f>
        <v/>
      </c>
      <c r="X33" s="14">
        <f>IF(AND(A33&lt;&gt;"",P33="Có",ISNUMBER(C33)),IF(IF(D33="",C33,D33)&gt;=TODAY()-35,C33+ROW()/100000,""),"")</f>
        <v/>
      </c>
    </row>
    <row r="34">
      <c r="A34" s="46" t="n"/>
      <c r="B34" s="12" t="n"/>
      <c r="C34" s="13" t="n"/>
      <c r="D34" s="13" t="n"/>
      <c r="E34" s="14" t="n"/>
      <c r="F34" s="14" t="n"/>
      <c r="G34" s="14" t="n"/>
      <c r="H34" s="14" t="n"/>
      <c r="I34" s="46" t="n"/>
      <c r="J34" s="46" t="n"/>
      <c r="K34" s="47" t="n"/>
      <c r="L34" s="47" t="n"/>
      <c r="M34" s="47" t="n"/>
      <c r="N34" s="47" t="n"/>
      <c r="O34" s="47" t="n"/>
      <c r="P34" s="47" t="n"/>
      <c r="Q34" s="14">
        <f>IF(A34="","",COUNTIFS('Giao việc'!$O$5:$O$3004,A34,'Giao việc'!$J$5:$J$3004,"&lt;&gt;Bỏ qua"))</f>
        <v/>
      </c>
      <c r="R34" s="14">
        <f>IF(A34="","",COUNTIFS('Giao việc'!$O$5:$O$3004,A34,'Giao việc'!$J$5:$J$3004,"Xong"))</f>
        <v/>
      </c>
      <c r="S34" s="14">
        <f>IF(A34="","",COUNTIFS('Giao việc'!$O$5:$O$3004,A34,'Giao việc'!$M$5:$M$3004,"*QUÁ HẠN*"))</f>
        <v/>
      </c>
      <c r="T34" s="14">
        <f>IF(A34="","",COUNTIFS('Giao việc'!$O$5:$O$3004,A34,'Giao việc'!$M$5:$M$3004,"*CHƯA GIAO*"))</f>
        <v/>
      </c>
      <c r="U34" s="15">
        <f>IF(OR(A34="",N(Q34)=0),"",R34/Q34)</f>
        <v/>
      </c>
      <c r="V34" s="16">
        <f>IF(U34="","",REPT("█",ROUND(U34*10,0))&amp;REPT("░",10-ROUND(U34*10,0)))</f>
        <v/>
      </c>
      <c r="W34" s="14">
        <f>IF(C34="","Chưa có ngày",IF(C34&gt;TODAY(),"Còn "&amp;(C34-TODAY())&amp;" ngày",IF(IF(D34="",C34,D34)&gt;=TODAY(),"Đang diễn ra","Đã qua "&amp;(TODAY()-IF(D34="",C34,D34))&amp;" ngày")))</f>
        <v/>
      </c>
      <c r="X34" s="14">
        <f>IF(AND(A34&lt;&gt;"",P34="Có",ISNUMBER(C34)),IF(IF(D34="",C34,D34)&gt;=TODAY()-35,C34+ROW()/100000,""),"")</f>
        <v/>
      </c>
    </row>
    <row r="35">
      <c r="A35" s="46" t="n"/>
      <c r="B35" s="12" t="n"/>
      <c r="C35" s="13" t="n"/>
      <c r="D35" s="13" t="n"/>
      <c r="E35" s="14" t="n"/>
      <c r="F35" s="14" t="n"/>
      <c r="G35" s="14" t="n"/>
      <c r="H35" s="14" t="n"/>
      <c r="I35" s="46" t="n"/>
      <c r="J35" s="46" t="n"/>
      <c r="K35" s="47" t="n"/>
      <c r="L35" s="47" t="n"/>
      <c r="M35" s="47" t="n"/>
      <c r="N35" s="47" t="n"/>
      <c r="O35" s="47" t="n"/>
      <c r="P35" s="47" t="n"/>
      <c r="Q35" s="14">
        <f>IF(A35="","",COUNTIFS('Giao việc'!$O$5:$O$3004,A35,'Giao việc'!$J$5:$J$3004,"&lt;&gt;Bỏ qua"))</f>
        <v/>
      </c>
      <c r="R35" s="14">
        <f>IF(A35="","",COUNTIFS('Giao việc'!$O$5:$O$3004,A35,'Giao việc'!$J$5:$J$3004,"Xong"))</f>
        <v/>
      </c>
      <c r="S35" s="14">
        <f>IF(A35="","",COUNTIFS('Giao việc'!$O$5:$O$3004,A35,'Giao việc'!$M$5:$M$3004,"*QUÁ HẠN*"))</f>
        <v/>
      </c>
      <c r="T35" s="14">
        <f>IF(A35="","",COUNTIFS('Giao việc'!$O$5:$O$3004,A35,'Giao việc'!$M$5:$M$3004,"*CHƯA GIAO*"))</f>
        <v/>
      </c>
      <c r="U35" s="15">
        <f>IF(OR(A35="",N(Q35)=0),"",R35/Q35)</f>
        <v/>
      </c>
      <c r="V35" s="16">
        <f>IF(U35="","",REPT("█",ROUND(U35*10,0))&amp;REPT("░",10-ROUND(U35*10,0)))</f>
        <v/>
      </c>
      <c r="W35" s="14">
        <f>IF(C35="","Chưa có ngày",IF(C35&gt;TODAY(),"Còn "&amp;(C35-TODAY())&amp;" ngày",IF(IF(D35="",C35,D35)&gt;=TODAY(),"Đang diễn ra","Đã qua "&amp;(TODAY()-IF(D35="",C35,D35))&amp;" ngày")))</f>
        <v/>
      </c>
      <c r="X35" s="14">
        <f>IF(AND(A35&lt;&gt;"",P35="Có",ISNUMBER(C35)),IF(IF(D35="",C35,D35)&gt;=TODAY()-35,C35+ROW()/100000,""),"")</f>
        <v/>
      </c>
    </row>
    <row r="36">
      <c r="A36" s="46" t="n"/>
      <c r="B36" s="12" t="n"/>
      <c r="C36" s="13" t="n"/>
      <c r="D36" s="13" t="n"/>
      <c r="E36" s="14" t="n"/>
      <c r="F36" s="14" t="n"/>
      <c r="G36" s="14" t="n"/>
      <c r="H36" s="14" t="n"/>
      <c r="I36" s="46" t="n"/>
      <c r="J36" s="46" t="n"/>
      <c r="K36" s="47" t="n"/>
      <c r="L36" s="47" t="n"/>
      <c r="M36" s="47" t="n"/>
      <c r="N36" s="47" t="n"/>
      <c r="O36" s="47" t="n"/>
      <c r="P36" s="47" t="n"/>
      <c r="Q36" s="14">
        <f>IF(A36="","",COUNTIFS('Giao việc'!$O$5:$O$3004,A36,'Giao việc'!$J$5:$J$3004,"&lt;&gt;Bỏ qua"))</f>
        <v/>
      </c>
      <c r="R36" s="14">
        <f>IF(A36="","",COUNTIFS('Giao việc'!$O$5:$O$3004,A36,'Giao việc'!$J$5:$J$3004,"Xong"))</f>
        <v/>
      </c>
      <c r="S36" s="14">
        <f>IF(A36="","",COUNTIFS('Giao việc'!$O$5:$O$3004,A36,'Giao việc'!$M$5:$M$3004,"*QUÁ HẠN*"))</f>
        <v/>
      </c>
      <c r="T36" s="14">
        <f>IF(A36="","",COUNTIFS('Giao việc'!$O$5:$O$3004,A36,'Giao việc'!$M$5:$M$3004,"*CHƯA GIAO*"))</f>
        <v/>
      </c>
      <c r="U36" s="15">
        <f>IF(OR(A36="",N(Q36)=0),"",R36/Q36)</f>
        <v/>
      </c>
      <c r="V36" s="16">
        <f>IF(U36="","",REPT("█",ROUND(U36*10,0))&amp;REPT("░",10-ROUND(U36*10,0)))</f>
        <v/>
      </c>
      <c r="W36" s="14">
        <f>IF(C36="","Chưa có ngày",IF(C36&gt;TODAY(),"Còn "&amp;(C36-TODAY())&amp;" ngày",IF(IF(D36="",C36,D36)&gt;=TODAY(),"Đang diễn ra","Đã qua "&amp;(TODAY()-IF(D36="",C36,D36))&amp;" ngày")))</f>
        <v/>
      </c>
      <c r="X36" s="14">
        <f>IF(AND(A36&lt;&gt;"",P36="Có",ISNUMBER(C36)),IF(IF(D36="",C36,D36)&gt;=TODAY()-35,C36+ROW()/100000,""),"")</f>
        <v/>
      </c>
    </row>
    <row r="37">
      <c r="A37" s="46" t="n"/>
      <c r="B37" s="12" t="n"/>
      <c r="C37" s="13" t="n"/>
      <c r="D37" s="13" t="n"/>
      <c r="E37" s="14" t="n"/>
      <c r="F37" s="14" t="n"/>
      <c r="G37" s="14" t="n"/>
      <c r="H37" s="14" t="n"/>
      <c r="I37" s="46" t="n"/>
      <c r="J37" s="46" t="n"/>
      <c r="K37" s="47" t="n"/>
      <c r="L37" s="47" t="n"/>
      <c r="M37" s="47" t="n"/>
      <c r="N37" s="47" t="n"/>
      <c r="O37" s="47" t="n"/>
      <c r="P37" s="47" t="n"/>
      <c r="Q37" s="14">
        <f>IF(A37="","",COUNTIFS('Giao việc'!$O$5:$O$3004,A37,'Giao việc'!$J$5:$J$3004,"&lt;&gt;Bỏ qua"))</f>
        <v/>
      </c>
      <c r="R37" s="14">
        <f>IF(A37="","",COUNTIFS('Giao việc'!$O$5:$O$3004,A37,'Giao việc'!$J$5:$J$3004,"Xong"))</f>
        <v/>
      </c>
      <c r="S37" s="14">
        <f>IF(A37="","",COUNTIFS('Giao việc'!$O$5:$O$3004,A37,'Giao việc'!$M$5:$M$3004,"*QUÁ HẠN*"))</f>
        <v/>
      </c>
      <c r="T37" s="14">
        <f>IF(A37="","",COUNTIFS('Giao việc'!$O$5:$O$3004,A37,'Giao việc'!$M$5:$M$3004,"*CHƯA GIAO*"))</f>
        <v/>
      </c>
      <c r="U37" s="15">
        <f>IF(OR(A37="",N(Q37)=0),"",R37/Q37)</f>
        <v/>
      </c>
      <c r="V37" s="16">
        <f>IF(U37="","",REPT("█",ROUND(U37*10,0))&amp;REPT("░",10-ROUND(U37*10,0)))</f>
        <v/>
      </c>
      <c r="W37" s="14">
        <f>IF(C37="","Chưa có ngày",IF(C37&gt;TODAY(),"Còn "&amp;(C37-TODAY())&amp;" ngày",IF(IF(D37="",C37,D37)&gt;=TODAY(),"Đang diễn ra","Đã qua "&amp;(TODAY()-IF(D37="",C37,D37))&amp;" ngày")))</f>
        <v/>
      </c>
      <c r="X37" s="14">
        <f>IF(AND(A37&lt;&gt;"",P37="Có",ISNUMBER(C37)),IF(IF(D37="",C37,D37)&gt;=TODAY()-35,C37+ROW()/100000,""),"")</f>
        <v/>
      </c>
    </row>
    <row r="38">
      <c r="A38" s="46" t="n"/>
      <c r="B38" s="12" t="n"/>
      <c r="C38" s="13" t="n"/>
      <c r="D38" s="13" t="n"/>
      <c r="E38" s="14" t="n"/>
      <c r="F38" s="14" t="n"/>
      <c r="G38" s="14" t="n"/>
      <c r="H38" s="14" t="n"/>
      <c r="I38" s="46" t="n"/>
      <c r="J38" s="46" t="n"/>
      <c r="K38" s="47" t="n"/>
      <c r="L38" s="47" t="n"/>
      <c r="M38" s="47" t="n"/>
      <c r="N38" s="47" t="n"/>
      <c r="O38" s="47" t="n"/>
      <c r="P38" s="47" t="n"/>
      <c r="Q38" s="14">
        <f>IF(A38="","",COUNTIFS('Giao việc'!$O$5:$O$3004,A38,'Giao việc'!$J$5:$J$3004,"&lt;&gt;Bỏ qua"))</f>
        <v/>
      </c>
      <c r="R38" s="14">
        <f>IF(A38="","",COUNTIFS('Giao việc'!$O$5:$O$3004,A38,'Giao việc'!$J$5:$J$3004,"Xong"))</f>
        <v/>
      </c>
      <c r="S38" s="14">
        <f>IF(A38="","",COUNTIFS('Giao việc'!$O$5:$O$3004,A38,'Giao việc'!$M$5:$M$3004,"*QUÁ HẠN*"))</f>
        <v/>
      </c>
      <c r="T38" s="14">
        <f>IF(A38="","",COUNTIFS('Giao việc'!$O$5:$O$3004,A38,'Giao việc'!$M$5:$M$3004,"*CHƯA GIAO*"))</f>
        <v/>
      </c>
      <c r="U38" s="15">
        <f>IF(OR(A38="",N(Q38)=0),"",R38/Q38)</f>
        <v/>
      </c>
      <c r="V38" s="16">
        <f>IF(U38="","",REPT("█",ROUND(U38*10,0))&amp;REPT("░",10-ROUND(U38*10,0)))</f>
        <v/>
      </c>
      <c r="W38" s="14">
        <f>IF(C38="","Chưa có ngày",IF(C38&gt;TODAY(),"Còn "&amp;(C38-TODAY())&amp;" ngày",IF(IF(D38="",C38,D38)&gt;=TODAY(),"Đang diễn ra","Đã qua "&amp;(TODAY()-IF(D38="",C38,D38))&amp;" ngày")))</f>
        <v/>
      </c>
      <c r="X38" s="14">
        <f>IF(AND(A38&lt;&gt;"",P38="Có",ISNUMBER(C38)),IF(IF(D38="",C38,D38)&gt;=TODAY()-35,C38+ROW()/100000,""),"")</f>
        <v/>
      </c>
    </row>
    <row r="39">
      <c r="A39" s="46" t="n"/>
      <c r="B39" s="12" t="n"/>
      <c r="C39" s="13" t="n"/>
      <c r="D39" s="13" t="n"/>
      <c r="E39" s="14" t="n"/>
      <c r="F39" s="14" t="n"/>
      <c r="G39" s="14" t="n"/>
      <c r="H39" s="14" t="n"/>
      <c r="I39" s="46" t="n"/>
      <c r="J39" s="46" t="n"/>
      <c r="K39" s="47" t="n"/>
      <c r="L39" s="47" t="n"/>
      <c r="M39" s="47" t="n"/>
      <c r="N39" s="47" t="n"/>
      <c r="O39" s="47" t="n"/>
      <c r="P39" s="47" t="n"/>
      <c r="Q39" s="14">
        <f>IF(A39="","",COUNTIFS('Giao việc'!$O$5:$O$3004,A39,'Giao việc'!$J$5:$J$3004,"&lt;&gt;Bỏ qua"))</f>
        <v/>
      </c>
      <c r="R39" s="14">
        <f>IF(A39="","",COUNTIFS('Giao việc'!$O$5:$O$3004,A39,'Giao việc'!$J$5:$J$3004,"Xong"))</f>
        <v/>
      </c>
      <c r="S39" s="14">
        <f>IF(A39="","",COUNTIFS('Giao việc'!$O$5:$O$3004,A39,'Giao việc'!$M$5:$M$3004,"*QUÁ HẠN*"))</f>
        <v/>
      </c>
      <c r="T39" s="14">
        <f>IF(A39="","",COUNTIFS('Giao việc'!$O$5:$O$3004,A39,'Giao việc'!$M$5:$M$3004,"*CHƯA GIAO*"))</f>
        <v/>
      </c>
      <c r="U39" s="15">
        <f>IF(OR(A39="",N(Q39)=0),"",R39/Q39)</f>
        <v/>
      </c>
      <c r="V39" s="16">
        <f>IF(U39="","",REPT("█",ROUND(U39*10,0))&amp;REPT("░",10-ROUND(U39*10,0)))</f>
        <v/>
      </c>
      <c r="W39" s="14">
        <f>IF(C39="","Chưa có ngày",IF(C39&gt;TODAY(),"Còn "&amp;(C39-TODAY())&amp;" ngày",IF(IF(D39="",C39,D39)&gt;=TODAY(),"Đang diễn ra","Đã qua "&amp;(TODAY()-IF(D39="",C39,D39))&amp;" ngày")))</f>
        <v/>
      </c>
      <c r="X39" s="14">
        <f>IF(AND(A39&lt;&gt;"",P39="Có",ISNUMBER(C39)),IF(IF(D39="",C39,D39)&gt;=TODAY()-35,C39+ROW()/100000,""),"")</f>
        <v/>
      </c>
    </row>
    <row r="40">
      <c r="A40" s="46" t="n"/>
      <c r="B40" s="12" t="n"/>
      <c r="C40" s="13" t="n"/>
      <c r="D40" s="13" t="n"/>
      <c r="E40" s="14" t="n"/>
      <c r="F40" s="14" t="n"/>
      <c r="G40" s="14" t="n"/>
      <c r="H40" s="14" t="n"/>
      <c r="I40" s="46" t="n"/>
      <c r="J40" s="46" t="n"/>
      <c r="K40" s="47" t="n"/>
      <c r="L40" s="47" t="n"/>
      <c r="M40" s="47" t="n"/>
      <c r="N40" s="47" t="n"/>
      <c r="O40" s="47" t="n"/>
      <c r="P40" s="47" t="n"/>
      <c r="Q40" s="14">
        <f>IF(A40="","",COUNTIFS('Giao việc'!$O$5:$O$3004,A40,'Giao việc'!$J$5:$J$3004,"&lt;&gt;Bỏ qua"))</f>
        <v/>
      </c>
      <c r="R40" s="14">
        <f>IF(A40="","",COUNTIFS('Giao việc'!$O$5:$O$3004,A40,'Giao việc'!$J$5:$J$3004,"Xong"))</f>
        <v/>
      </c>
      <c r="S40" s="14">
        <f>IF(A40="","",COUNTIFS('Giao việc'!$O$5:$O$3004,A40,'Giao việc'!$M$5:$M$3004,"*QUÁ HẠN*"))</f>
        <v/>
      </c>
      <c r="T40" s="14">
        <f>IF(A40="","",COUNTIFS('Giao việc'!$O$5:$O$3004,A40,'Giao việc'!$M$5:$M$3004,"*CHƯA GIAO*"))</f>
        <v/>
      </c>
      <c r="U40" s="15">
        <f>IF(OR(A40="",N(Q40)=0),"",R40/Q40)</f>
        <v/>
      </c>
      <c r="V40" s="16">
        <f>IF(U40="","",REPT("█",ROUND(U40*10,0))&amp;REPT("░",10-ROUND(U40*10,0)))</f>
        <v/>
      </c>
      <c r="W40" s="14">
        <f>IF(C40="","Chưa có ngày",IF(C40&gt;TODAY(),"Còn "&amp;(C40-TODAY())&amp;" ngày",IF(IF(D40="",C40,D40)&gt;=TODAY(),"Đang diễn ra","Đã qua "&amp;(TODAY()-IF(D40="",C40,D40))&amp;" ngày")))</f>
        <v/>
      </c>
      <c r="X40" s="14">
        <f>IF(AND(A40&lt;&gt;"",P40="Có",ISNUMBER(C40)),IF(IF(D40="",C40,D40)&gt;=TODAY()-35,C40+ROW()/100000,""),"")</f>
        <v/>
      </c>
    </row>
    <row r="41">
      <c r="A41" s="46" t="n"/>
      <c r="B41" s="12" t="n"/>
      <c r="C41" s="13" t="n"/>
      <c r="D41" s="13" t="n"/>
      <c r="E41" s="14" t="n"/>
      <c r="F41" s="14" t="n"/>
      <c r="G41" s="14" t="n"/>
      <c r="H41" s="14" t="n"/>
      <c r="I41" s="46" t="n"/>
      <c r="J41" s="46" t="n"/>
      <c r="K41" s="47" t="n"/>
      <c r="L41" s="47" t="n"/>
      <c r="M41" s="47" t="n"/>
      <c r="N41" s="47" t="n"/>
      <c r="O41" s="47" t="n"/>
      <c r="P41" s="47" t="n"/>
      <c r="Q41" s="14">
        <f>IF(A41="","",COUNTIFS('Giao việc'!$O$5:$O$3004,A41,'Giao việc'!$J$5:$J$3004,"&lt;&gt;Bỏ qua"))</f>
        <v/>
      </c>
      <c r="R41" s="14">
        <f>IF(A41="","",COUNTIFS('Giao việc'!$O$5:$O$3004,A41,'Giao việc'!$J$5:$J$3004,"Xong"))</f>
        <v/>
      </c>
      <c r="S41" s="14">
        <f>IF(A41="","",COUNTIFS('Giao việc'!$O$5:$O$3004,A41,'Giao việc'!$M$5:$M$3004,"*QUÁ HẠN*"))</f>
        <v/>
      </c>
      <c r="T41" s="14">
        <f>IF(A41="","",COUNTIFS('Giao việc'!$O$5:$O$3004,A41,'Giao việc'!$M$5:$M$3004,"*CHƯA GIAO*"))</f>
        <v/>
      </c>
      <c r="U41" s="15">
        <f>IF(OR(A41="",N(Q41)=0),"",R41/Q41)</f>
        <v/>
      </c>
      <c r="V41" s="16">
        <f>IF(U41="","",REPT("█",ROUND(U41*10,0))&amp;REPT("░",10-ROUND(U41*10,0)))</f>
        <v/>
      </c>
      <c r="W41" s="14">
        <f>IF(C41="","Chưa có ngày",IF(C41&gt;TODAY(),"Còn "&amp;(C41-TODAY())&amp;" ngày",IF(IF(D41="",C41,D41)&gt;=TODAY(),"Đang diễn ra","Đã qua "&amp;(TODAY()-IF(D41="",C41,D41))&amp;" ngày")))</f>
        <v/>
      </c>
      <c r="X41" s="14">
        <f>IF(AND(A41&lt;&gt;"",P41="Có",ISNUMBER(C41)),IF(IF(D41="",C41,D41)&gt;=TODAY()-35,C41+ROW()/100000,""),"")</f>
        <v/>
      </c>
    </row>
    <row r="42">
      <c r="A42" s="46" t="n"/>
      <c r="B42" s="12" t="n"/>
      <c r="C42" s="13" t="n"/>
      <c r="D42" s="13" t="n"/>
      <c r="E42" s="14" t="n"/>
      <c r="F42" s="14" t="n"/>
      <c r="G42" s="14" t="n"/>
      <c r="H42" s="14" t="n"/>
      <c r="I42" s="46" t="n"/>
      <c r="J42" s="46" t="n"/>
      <c r="K42" s="47" t="n"/>
      <c r="L42" s="47" t="n"/>
      <c r="M42" s="47" t="n"/>
      <c r="N42" s="47" t="n"/>
      <c r="O42" s="47" t="n"/>
      <c r="P42" s="47" t="n"/>
      <c r="Q42" s="14">
        <f>IF(A42="","",COUNTIFS('Giao việc'!$O$5:$O$3004,A42,'Giao việc'!$J$5:$J$3004,"&lt;&gt;Bỏ qua"))</f>
        <v/>
      </c>
      <c r="R42" s="14">
        <f>IF(A42="","",COUNTIFS('Giao việc'!$O$5:$O$3004,A42,'Giao việc'!$J$5:$J$3004,"Xong"))</f>
        <v/>
      </c>
      <c r="S42" s="14">
        <f>IF(A42="","",COUNTIFS('Giao việc'!$O$5:$O$3004,A42,'Giao việc'!$M$5:$M$3004,"*QUÁ HẠN*"))</f>
        <v/>
      </c>
      <c r="T42" s="14">
        <f>IF(A42="","",COUNTIFS('Giao việc'!$O$5:$O$3004,A42,'Giao việc'!$M$5:$M$3004,"*CHƯA GIAO*"))</f>
        <v/>
      </c>
      <c r="U42" s="15">
        <f>IF(OR(A42="",N(Q42)=0),"",R42/Q42)</f>
        <v/>
      </c>
      <c r="V42" s="16">
        <f>IF(U42="","",REPT("█",ROUND(U42*10,0))&amp;REPT("░",10-ROUND(U42*10,0)))</f>
        <v/>
      </c>
      <c r="W42" s="14">
        <f>IF(C42="","Chưa có ngày",IF(C42&gt;TODAY(),"Còn "&amp;(C42-TODAY())&amp;" ngày",IF(IF(D42="",C42,D42)&gt;=TODAY(),"Đang diễn ra","Đã qua "&amp;(TODAY()-IF(D42="",C42,D42))&amp;" ngày")))</f>
        <v/>
      </c>
      <c r="X42" s="14">
        <f>IF(AND(A42&lt;&gt;"",P42="Có",ISNUMBER(C42)),IF(IF(D42="",C42,D42)&gt;=TODAY()-35,C42+ROW()/100000,""),"")</f>
        <v/>
      </c>
    </row>
    <row r="43">
      <c r="A43" s="46" t="n"/>
      <c r="B43" s="12" t="n"/>
      <c r="C43" s="13" t="n"/>
      <c r="D43" s="13" t="n"/>
      <c r="E43" s="14" t="n"/>
      <c r="F43" s="14" t="n"/>
      <c r="G43" s="14" t="n"/>
      <c r="H43" s="14" t="n"/>
      <c r="I43" s="46" t="n"/>
      <c r="J43" s="46" t="n"/>
      <c r="K43" s="47" t="n"/>
      <c r="L43" s="47" t="n"/>
      <c r="M43" s="47" t="n"/>
      <c r="N43" s="47" t="n"/>
      <c r="O43" s="47" t="n"/>
      <c r="P43" s="47" t="n"/>
      <c r="Q43" s="14">
        <f>IF(A43="","",COUNTIFS('Giao việc'!$O$5:$O$3004,A43,'Giao việc'!$J$5:$J$3004,"&lt;&gt;Bỏ qua"))</f>
        <v/>
      </c>
      <c r="R43" s="14">
        <f>IF(A43="","",COUNTIFS('Giao việc'!$O$5:$O$3004,A43,'Giao việc'!$J$5:$J$3004,"Xong"))</f>
        <v/>
      </c>
      <c r="S43" s="14">
        <f>IF(A43="","",COUNTIFS('Giao việc'!$O$5:$O$3004,A43,'Giao việc'!$M$5:$M$3004,"*QUÁ HẠN*"))</f>
        <v/>
      </c>
      <c r="T43" s="14">
        <f>IF(A43="","",COUNTIFS('Giao việc'!$O$5:$O$3004,A43,'Giao việc'!$M$5:$M$3004,"*CHƯA GIAO*"))</f>
        <v/>
      </c>
      <c r="U43" s="15">
        <f>IF(OR(A43="",N(Q43)=0),"",R43/Q43)</f>
        <v/>
      </c>
      <c r="V43" s="16">
        <f>IF(U43="","",REPT("█",ROUND(U43*10,0))&amp;REPT("░",10-ROUND(U43*10,0)))</f>
        <v/>
      </c>
      <c r="W43" s="14">
        <f>IF(C43="","Chưa có ngày",IF(C43&gt;TODAY(),"Còn "&amp;(C43-TODAY())&amp;" ngày",IF(IF(D43="",C43,D43)&gt;=TODAY(),"Đang diễn ra","Đã qua "&amp;(TODAY()-IF(D43="",C43,D43))&amp;" ngày")))</f>
        <v/>
      </c>
      <c r="X43" s="14">
        <f>IF(AND(A43&lt;&gt;"",P43="Có",ISNUMBER(C43)),IF(IF(D43="",C43,D43)&gt;=TODAY()-35,C43+ROW()/100000,""),"")</f>
        <v/>
      </c>
    </row>
    <row r="44">
      <c r="A44" s="46" t="n"/>
      <c r="B44" s="12" t="n"/>
      <c r="C44" s="13" t="n"/>
      <c r="D44" s="13" t="n"/>
      <c r="E44" s="14" t="n"/>
      <c r="F44" s="14" t="n"/>
      <c r="G44" s="14" t="n"/>
      <c r="H44" s="14" t="n"/>
      <c r="I44" s="46" t="n"/>
      <c r="J44" s="46" t="n"/>
      <c r="K44" s="47" t="n"/>
      <c r="L44" s="47" t="n"/>
      <c r="M44" s="47" t="n"/>
      <c r="N44" s="47" t="n"/>
      <c r="O44" s="47" t="n"/>
      <c r="P44" s="47" t="n"/>
      <c r="Q44" s="14">
        <f>IF(A44="","",COUNTIFS('Giao việc'!$O$5:$O$3004,A44,'Giao việc'!$J$5:$J$3004,"&lt;&gt;Bỏ qua"))</f>
        <v/>
      </c>
      <c r="R44" s="14">
        <f>IF(A44="","",COUNTIFS('Giao việc'!$O$5:$O$3004,A44,'Giao việc'!$J$5:$J$3004,"Xong"))</f>
        <v/>
      </c>
      <c r="S44" s="14">
        <f>IF(A44="","",COUNTIFS('Giao việc'!$O$5:$O$3004,A44,'Giao việc'!$M$5:$M$3004,"*QUÁ HẠN*"))</f>
        <v/>
      </c>
      <c r="T44" s="14">
        <f>IF(A44="","",COUNTIFS('Giao việc'!$O$5:$O$3004,A44,'Giao việc'!$M$5:$M$3004,"*CHƯA GIAO*"))</f>
        <v/>
      </c>
      <c r="U44" s="15">
        <f>IF(OR(A44="",N(Q44)=0),"",R44/Q44)</f>
        <v/>
      </c>
      <c r="V44" s="16">
        <f>IF(U44="","",REPT("█",ROUND(U44*10,0))&amp;REPT("░",10-ROUND(U44*10,0)))</f>
        <v/>
      </c>
      <c r="W44" s="14">
        <f>IF(C44="","Chưa có ngày",IF(C44&gt;TODAY(),"Còn "&amp;(C44-TODAY())&amp;" ngày",IF(IF(D44="",C44,D44)&gt;=TODAY(),"Đang diễn ra","Đã qua "&amp;(TODAY()-IF(D44="",C44,D44))&amp;" ngày")))</f>
        <v/>
      </c>
      <c r="X44" s="14">
        <f>IF(AND(A44&lt;&gt;"",P44="Có",ISNUMBER(C44)),IF(IF(D44="",C44,D44)&gt;=TODAY()-35,C44+ROW()/100000,""),"")</f>
        <v/>
      </c>
    </row>
    <row r="45">
      <c r="A45" s="46" t="n"/>
      <c r="B45" s="12" t="n"/>
      <c r="C45" s="13" t="n"/>
      <c r="D45" s="13" t="n"/>
      <c r="E45" s="14" t="n"/>
      <c r="F45" s="14" t="n"/>
      <c r="G45" s="14" t="n"/>
      <c r="H45" s="14" t="n"/>
      <c r="I45" s="46" t="n"/>
      <c r="J45" s="46" t="n"/>
      <c r="K45" s="47" t="n"/>
      <c r="L45" s="47" t="n"/>
      <c r="M45" s="47" t="n"/>
      <c r="N45" s="47" t="n"/>
      <c r="O45" s="47" t="n"/>
      <c r="P45" s="47" t="n"/>
      <c r="Q45" s="14">
        <f>IF(A45="","",COUNTIFS('Giao việc'!$O$5:$O$3004,A45,'Giao việc'!$J$5:$J$3004,"&lt;&gt;Bỏ qua"))</f>
        <v/>
      </c>
      <c r="R45" s="14">
        <f>IF(A45="","",COUNTIFS('Giao việc'!$O$5:$O$3004,A45,'Giao việc'!$J$5:$J$3004,"Xong"))</f>
        <v/>
      </c>
      <c r="S45" s="14">
        <f>IF(A45="","",COUNTIFS('Giao việc'!$O$5:$O$3004,A45,'Giao việc'!$M$5:$M$3004,"*QUÁ HẠN*"))</f>
        <v/>
      </c>
      <c r="T45" s="14">
        <f>IF(A45="","",COUNTIFS('Giao việc'!$O$5:$O$3004,A45,'Giao việc'!$M$5:$M$3004,"*CHƯA GIAO*"))</f>
        <v/>
      </c>
      <c r="U45" s="15">
        <f>IF(OR(A45="",N(Q45)=0),"",R45/Q45)</f>
        <v/>
      </c>
      <c r="V45" s="16">
        <f>IF(U45="","",REPT("█",ROUND(U45*10,0))&amp;REPT("░",10-ROUND(U45*10,0)))</f>
        <v/>
      </c>
      <c r="W45" s="14">
        <f>IF(C45="","Chưa có ngày",IF(C45&gt;TODAY(),"Còn "&amp;(C45-TODAY())&amp;" ngày",IF(IF(D45="",C45,D45)&gt;=TODAY(),"Đang diễn ra","Đã qua "&amp;(TODAY()-IF(D45="",C45,D45))&amp;" ngày")))</f>
        <v/>
      </c>
      <c r="X45" s="14">
        <f>IF(AND(A45&lt;&gt;"",P45="Có",ISNUMBER(C45)),IF(IF(D45="",C45,D45)&gt;=TODAY()-35,C45+ROW()/100000,""),"")</f>
        <v/>
      </c>
    </row>
    <row r="46">
      <c r="A46" s="46" t="n"/>
      <c r="B46" s="12" t="n"/>
      <c r="C46" s="13" t="n"/>
      <c r="D46" s="13" t="n"/>
      <c r="E46" s="14" t="n"/>
      <c r="F46" s="14" t="n"/>
      <c r="G46" s="14" t="n"/>
      <c r="H46" s="14" t="n"/>
      <c r="I46" s="46" t="n"/>
      <c r="J46" s="46" t="n"/>
      <c r="K46" s="47" t="n"/>
      <c r="L46" s="47" t="n"/>
      <c r="M46" s="47" t="n"/>
      <c r="N46" s="47" t="n"/>
      <c r="O46" s="47" t="n"/>
      <c r="P46" s="47" t="n"/>
      <c r="Q46" s="14">
        <f>IF(A46="","",COUNTIFS('Giao việc'!$O$5:$O$3004,A46,'Giao việc'!$J$5:$J$3004,"&lt;&gt;Bỏ qua"))</f>
        <v/>
      </c>
      <c r="R46" s="14">
        <f>IF(A46="","",COUNTIFS('Giao việc'!$O$5:$O$3004,A46,'Giao việc'!$J$5:$J$3004,"Xong"))</f>
        <v/>
      </c>
      <c r="S46" s="14">
        <f>IF(A46="","",COUNTIFS('Giao việc'!$O$5:$O$3004,A46,'Giao việc'!$M$5:$M$3004,"*QUÁ HẠN*"))</f>
        <v/>
      </c>
      <c r="T46" s="14">
        <f>IF(A46="","",COUNTIFS('Giao việc'!$O$5:$O$3004,A46,'Giao việc'!$M$5:$M$3004,"*CHƯA GIAO*"))</f>
        <v/>
      </c>
      <c r="U46" s="15">
        <f>IF(OR(A46="",N(Q46)=0),"",R46/Q46)</f>
        <v/>
      </c>
      <c r="V46" s="16">
        <f>IF(U46="","",REPT("█",ROUND(U46*10,0))&amp;REPT("░",10-ROUND(U46*10,0)))</f>
        <v/>
      </c>
      <c r="W46" s="14">
        <f>IF(C46="","Chưa có ngày",IF(C46&gt;TODAY(),"Còn "&amp;(C46-TODAY())&amp;" ngày",IF(IF(D46="",C46,D46)&gt;=TODAY(),"Đang diễn ra","Đã qua "&amp;(TODAY()-IF(D46="",C46,D46))&amp;" ngày")))</f>
        <v/>
      </c>
      <c r="X46" s="14">
        <f>IF(AND(A46&lt;&gt;"",P46="Có",ISNUMBER(C46)),IF(IF(D46="",C46,D46)&gt;=TODAY()-35,C46+ROW()/100000,""),"")</f>
        <v/>
      </c>
    </row>
    <row r="47">
      <c r="A47" s="46" t="n"/>
      <c r="B47" s="12" t="n"/>
      <c r="C47" s="13" t="n"/>
      <c r="D47" s="13" t="n"/>
      <c r="E47" s="14" t="n"/>
      <c r="F47" s="14" t="n"/>
      <c r="G47" s="14" t="n"/>
      <c r="H47" s="14" t="n"/>
      <c r="I47" s="46" t="n"/>
      <c r="J47" s="46" t="n"/>
      <c r="K47" s="47" t="n"/>
      <c r="L47" s="47" t="n"/>
      <c r="M47" s="47" t="n"/>
      <c r="N47" s="47" t="n"/>
      <c r="O47" s="47" t="n"/>
      <c r="P47" s="47" t="n"/>
      <c r="Q47" s="14">
        <f>IF(A47="","",COUNTIFS('Giao việc'!$O$5:$O$3004,A47,'Giao việc'!$J$5:$J$3004,"&lt;&gt;Bỏ qua"))</f>
        <v/>
      </c>
      <c r="R47" s="14">
        <f>IF(A47="","",COUNTIFS('Giao việc'!$O$5:$O$3004,A47,'Giao việc'!$J$5:$J$3004,"Xong"))</f>
        <v/>
      </c>
      <c r="S47" s="14">
        <f>IF(A47="","",COUNTIFS('Giao việc'!$O$5:$O$3004,A47,'Giao việc'!$M$5:$M$3004,"*QUÁ HẠN*"))</f>
        <v/>
      </c>
      <c r="T47" s="14">
        <f>IF(A47="","",COUNTIFS('Giao việc'!$O$5:$O$3004,A47,'Giao việc'!$M$5:$M$3004,"*CHƯA GIAO*"))</f>
        <v/>
      </c>
      <c r="U47" s="15">
        <f>IF(OR(A47="",N(Q47)=0),"",R47/Q47)</f>
        <v/>
      </c>
      <c r="V47" s="16">
        <f>IF(U47="","",REPT("█",ROUND(U47*10,0))&amp;REPT("░",10-ROUND(U47*10,0)))</f>
        <v/>
      </c>
      <c r="W47" s="14">
        <f>IF(C47="","Chưa có ngày",IF(C47&gt;TODAY(),"Còn "&amp;(C47-TODAY())&amp;" ngày",IF(IF(D47="",C47,D47)&gt;=TODAY(),"Đang diễn ra","Đã qua "&amp;(TODAY()-IF(D47="",C47,D47))&amp;" ngày")))</f>
        <v/>
      </c>
      <c r="X47" s="14">
        <f>IF(AND(A47&lt;&gt;"",P47="Có",ISNUMBER(C47)),IF(IF(D47="",C47,D47)&gt;=TODAY()-35,C47+ROW()/100000,""),"")</f>
        <v/>
      </c>
    </row>
    <row r="48">
      <c r="A48" s="46" t="n"/>
      <c r="B48" s="12" t="n"/>
      <c r="C48" s="13" t="n"/>
      <c r="D48" s="13" t="n"/>
      <c r="E48" s="14" t="n"/>
      <c r="F48" s="14" t="n"/>
      <c r="G48" s="14" t="n"/>
      <c r="H48" s="14" t="n"/>
      <c r="I48" s="46" t="n"/>
      <c r="J48" s="46" t="n"/>
      <c r="K48" s="47" t="n"/>
      <c r="L48" s="47" t="n"/>
      <c r="M48" s="47" t="n"/>
      <c r="N48" s="47" t="n"/>
      <c r="O48" s="47" t="n"/>
      <c r="P48" s="47" t="n"/>
      <c r="Q48" s="14">
        <f>IF(A48="","",COUNTIFS('Giao việc'!$O$5:$O$3004,A48,'Giao việc'!$J$5:$J$3004,"&lt;&gt;Bỏ qua"))</f>
        <v/>
      </c>
      <c r="R48" s="14">
        <f>IF(A48="","",COUNTIFS('Giao việc'!$O$5:$O$3004,A48,'Giao việc'!$J$5:$J$3004,"Xong"))</f>
        <v/>
      </c>
      <c r="S48" s="14">
        <f>IF(A48="","",COUNTIFS('Giao việc'!$O$5:$O$3004,A48,'Giao việc'!$M$5:$M$3004,"*QUÁ HẠN*"))</f>
        <v/>
      </c>
      <c r="T48" s="14">
        <f>IF(A48="","",COUNTIFS('Giao việc'!$O$5:$O$3004,A48,'Giao việc'!$M$5:$M$3004,"*CHƯA GIAO*"))</f>
        <v/>
      </c>
      <c r="U48" s="15">
        <f>IF(OR(A48="",N(Q48)=0),"",R48/Q48)</f>
        <v/>
      </c>
      <c r="V48" s="16">
        <f>IF(U48="","",REPT("█",ROUND(U48*10,0))&amp;REPT("░",10-ROUND(U48*10,0)))</f>
        <v/>
      </c>
      <c r="W48" s="14">
        <f>IF(C48="","Chưa có ngày",IF(C48&gt;TODAY(),"Còn "&amp;(C48-TODAY())&amp;" ngày",IF(IF(D48="",C48,D48)&gt;=TODAY(),"Đang diễn ra","Đã qua "&amp;(TODAY()-IF(D48="",C48,D48))&amp;" ngày")))</f>
        <v/>
      </c>
      <c r="X48" s="14">
        <f>IF(AND(A48&lt;&gt;"",P48="Có",ISNUMBER(C48)),IF(IF(D48="",C48,D48)&gt;=TODAY()-35,C48+ROW()/100000,""),"")</f>
        <v/>
      </c>
    </row>
    <row r="49">
      <c r="A49" s="46" t="n"/>
      <c r="B49" s="12" t="n"/>
      <c r="C49" s="13" t="n"/>
      <c r="D49" s="13" t="n"/>
      <c r="E49" s="14" t="n"/>
      <c r="F49" s="14" t="n"/>
      <c r="G49" s="14" t="n"/>
      <c r="H49" s="14" t="n"/>
      <c r="I49" s="46" t="n"/>
      <c r="J49" s="46" t="n"/>
      <c r="K49" s="47" t="n"/>
      <c r="L49" s="47" t="n"/>
      <c r="M49" s="47" t="n"/>
      <c r="N49" s="47" t="n"/>
      <c r="O49" s="47" t="n"/>
      <c r="P49" s="47" t="n"/>
      <c r="Q49" s="14">
        <f>IF(A49="","",COUNTIFS('Giao việc'!$O$5:$O$3004,A49,'Giao việc'!$J$5:$J$3004,"&lt;&gt;Bỏ qua"))</f>
        <v/>
      </c>
      <c r="R49" s="14">
        <f>IF(A49="","",COUNTIFS('Giao việc'!$O$5:$O$3004,A49,'Giao việc'!$J$5:$J$3004,"Xong"))</f>
        <v/>
      </c>
      <c r="S49" s="14">
        <f>IF(A49="","",COUNTIFS('Giao việc'!$O$5:$O$3004,A49,'Giao việc'!$M$5:$M$3004,"*QUÁ HẠN*"))</f>
        <v/>
      </c>
      <c r="T49" s="14">
        <f>IF(A49="","",COUNTIFS('Giao việc'!$O$5:$O$3004,A49,'Giao việc'!$M$5:$M$3004,"*CHƯA GIAO*"))</f>
        <v/>
      </c>
      <c r="U49" s="15">
        <f>IF(OR(A49="",N(Q49)=0),"",R49/Q49)</f>
        <v/>
      </c>
      <c r="V49" s="16">
        <f>IF(U49="","",REPT("█",ROUND(U49*10,0))&amp;REPT("░",10-ROUND(U49*10,0)))</f>
        <v/>
      </c>
      <c r="W49" s="14">
        <f>IF(C49="","Chưa có ngày",IF(C49&gt;TODAY(),"Còn "&amp;(C49-TODAY())&amp;" ngày",IF(IF(D49="",C49,D49)&gt;=TODAY(),"Đang diễn ra","Đã qua "&amp;(TODAY()-IF(D49="",C49,D49))&amp;" ngày")))</f>
        <v/>
      </c>
      <c r="X49" s="14">
        <f>IF(AND(A49&lt;&gt;"",P49="Có",ISNUMBER(C49)),IF(IF(D49="",C49,D49)&gt;=TODAY()-35,C49+ROW()/100000,""),"")</f>
        <v/>
      </c>
    </row>
    <row r="50">
      <c r="A50" s="46" t="n"/>
      <c r="B50" s="12" t="n"/>
      <c r="C50" s="13" t="n"/>
      <c r="D50" s="13" t="n"/>
      <c r="E50" s="14" t="n"/>
      <c r="F50" s="14" t="n"/>
      <c r="G50" s="14" t="n"/>
      <c r="H50" s="14" t="n"/>
      <c r="I50" s="46" t="n"/>
      <c r="J50" s="46" t="n"/>
      <c r="K50" s="47" t="n"/>
      <c r="L50" s="47" t="n"/>
      <c r="M50" s="47" t="n"/>
      <c r="N50" s="47" t="n"/>
      <c r="O50" s="47" t="n"/>
      <c r="P50" s="47" t="n"/>
      <c r="Q50" s="14">
        <f>IF(A50="","",COUNTIFS('Giao việc'!$O$5:$O$3004,A50,'Giao việc'!$J$5:$J$3004,"&lt;&gt;Bỏ qua"))</f>
        <v/>
      </c>
      <c r="R50" s="14">
        <f>IF(A50="","",COUNTIFS('Giao việc'!$O$5:$O$3004,A50,'Giao việc'!$J$5:$J$3004,"Xong"))</f>
        <v/>
      </c>
      <c r="S50" s="14">
        <f>IF(A50="","",COUNTIFS('Giao việc'!$O$5:$O$3004,A50,'Giao việc'!$M$5:$M$3004,"*QUÁ HẠN*"))</f>
        <v/>
      </c>
      <c r="T50" s="14">
        <f>IF(A50="","",COUNTIFS('Giao việc'!$O$5:$O$3004,A50,'Giao việc'!$M$5:$M$3004,"*CHƯA GIAO*"))</f>
        <v/>
      </c>
      <c r="U50" s="15">
        <f>IF(OR(A50="",N(Q50)=0),"",R50/Q50)</f>
        <v/>
      </c>
      <c r="V50" s="16">
        <f>IF(U50="","",REPT("█",ROUND(U50*10,0))&amp;REPT("░",10-ROUND(U50*10,0)))</f>
        <v/>
      </c>
      <c r="W50" s="14">
        <f>IF(C50="","Chưa có ngày",IF(C50&gt;TODAY(),"Còn "&amp;(C50-TODAY())&amp;" ngày",IF(IF(D50="",C50,D50)&gt;=TODAY(),"Đang diễn ra","Đã qua "&amp;(TODAY()-IF(D50="",C50,D50))&amp;" ngày")))</f>
        <v/>
      </c>
      <c r="X50" s="14">
        <f>IF(AND(A50&lt;&gt;"",P50="Có",ISNUMBER(C50)),IF(IF(D50="",C50,D50)&gt;=TODAY()-35,C50+ROW()/100000,""),"")</f>
        <v/>
      </c>
    </row>
    <row r="51">
      <c r="A51" s="46" t="n"/>
      <c r="B51" s="12" t="n"/>
      <c r="C51" s="13" t="n"/>
      <c r="D51" s="13" t="n"/>
      <c r="E51" s="14" t="n"/>
      <c r="F51" s="14" t="n"/>
      <c r="G51" s="14" t="n"/>
      <c r="H51" s="14" t="n"/>
      <c r="I51" s="46" t="n"/>
      <c r="J51" s="46" t="n"/>
      <c r="K51" s="47" t="n"/>
      <c r="L51" s="47" t="n"/>
      <c r="M51" s="47" t="n"/>
      <c r="N51" s="47" t="n"/>
      <c r="O51" s="47" t="n"/>
      <c r="P51" s="47" t="n"/>
      <c r="Q51" s="14">
        <f>IF(A51="","",COUNTIFS('Giao việc'!$O$5:$O$3004,A51,'Giao việc'!$J$5:$J$3004,"&lt;&gt;Bỏ qua"))</f>
        <v/>
      </c>
      <c r="R51" s="14">
        <f>IF(A51="","",COUNTIFS('Giao việc'!$O$5:$O$3004,A51,'Giao việc'!$J$5:$J$3004,"Xong"))</f>
        <v/>
      </c>
      <c r="S51" s="14">
        <f>IF(A51="","",COUNTIFS('Giao việc'!$O$5:$O$3004,A51,'Giao việc'!$M$5:$M$3004,"*QUÁ HẠN*"))</f>
        <v/>
      </c>
      <c r="T51" s="14">
        <f>IF(A51="","",COUNTIFS('Giao việc'!$O$5:$O$3004,A51,'Giao việc'!$M$5:$M$3004,"*CHƯA GIAO*"))</f>
        <v/>
      </c>
      <c r="U51" s="15">
        <f>IF(OR(A51="",N(Q51)=0),"",R51/Q51)</f>
        <v/>
      </c>
      <c r="V51" s="16">
        <f>IF(U51="","",REPT("█",ROUND(U51*10,0))&amp;REPT("░",10-ROUND(U51*10,0)))</f>
        <v/>
      </c>
      <c r="W51" s="14">
        <f>IF(C51="","Chưa có ngày",IF(C51&gt;TODAY(),"Còn "&amp;(C51-TODAY())&amp;" ngày",IF(IF(D51="",C51,D51)&gt;=TODAY(),"Đang diễn ra","Đã qua "&amp;(TODAY()-IF(D51="",C51,D51))&amp;" ngày")))</f>
        <v/>
      </c>
      <c r="X51" s="14">
        <f>IF(AND(A51&lt;&gt;"",P51="Có",ISNUMBER(C51)),IF(IF(D51="",C51,D51)&gt;=TODAY()-35,C51+ROW()/100000,""),"")</f>
        <v/>
      </c>
    </row>
    <row r="52">
      <c r="A52" s="46" t="n"/>
      <c r="B52" s="12" t="n"/>
      <c r="C52" s="13" t="n"/>
      <c r="D52" s="13" t="n"/>
      <c r="E52" s="14" t="n"/>
      <c r="F52" s="14" t="n"/>
      <c r="G52" s="14" t="n"/>
      <c r="H52" s="14" t="n"/>
      <c r="I52" s="46" t="n"/>
      <c r="J52" s="46" t="n"/>
      <c r="K52" s="47" t="n"/>
      <c r="L52" s="47" t="n"/>
      <c r="M52" s="47" t="n"/>
      <c r="N52" s="47" t="n"/>
      <c r="O52" s="47" t="n"/>
      <c r="P52" s="47" t="n"/>
      <c r="Q52" s="14">
        <f>IF(A52="","",COUNTIFS('Giao việc'!$O$5:$O$3004,A52,'Giao việc'!$J$5:$J$3004,"&lt;&gt;Bỏ qua"))</f>
        <v/>
      </c>
      <c r="R52" s="14">
        <f>IF(A52="","",COUNTIFS('Giao việc'!$O$5:$O$3004,A52,'Giao việc'!$J$5:$J$3004,"Xong"))</f>
        <v/>
      </c>
      <c r="S52" s="14">
        <f>IF(A52="","",COUNTIFS('Giao việc'!$O$5:$O$3004,A52,'Giao việc'!$M$5:$M$3004,"*QUÁ HẠN*"))</f>
        <v/>
      </c>
      <c r="T52" s="14">
        <f>IF(A52="","",COUNTIFS('Giao việc'!$O$5:$O$3004,A52,'Giao việc'!$M$5:$M$3004,"*CHƯA GIAO*"))</f>
        <v/>
      </c>
      <c r="U52" s="15">
        <f>IF(OR(A52="",N(Q52)=0),"",R52/Q52)</f>
        <v/>
      </c>
      <c r="V52" s="16">
        <f>IF(U52="","",REPT("█",ROUND(U52*10,0))&amp;REPT("░",10-ROUND(U52*10,0)))</f>
        <v/>
      </c>
      <c r="W52" s="14">
        <f>IF(C52="","Chưa có ngày",IF(C52&gt;TODAY(),"Còn "&amp;(C52-TODAY())&amp;" ngày",IF(IF(D52="",C52,D52)&gt;=TODAY(),"Đang diễn ra","Đã qua "&amp;(TODAY()-IF(D52="",C52,D52))&amp;" ngày")))</f>
        <v/>
      </c>
      <c r="X52" s="14">
        <f>IF(AND(A52&lt;&gt;"",P52="Có",ISNUMBER(C52)),IF(IF(D52="",C52,D52)&gt;=TODAY()-35,C52+ROW()/100000,""),"")</f>
        <v/>
      </c>
    </row>
    <row r="53">
      <c r="A53" s="46" t="n"/>
      <c r="B53" s="12" t="n"/>
      <c r="C53" s="13" t="n"/>
      <c r="D53" s="13" t="n"/>
      <c r="E53" s="14" t="n"/>
      <c r="F53" s="14" t="n"/>
      <c r="G53" s="14" t="n"/>
      <c r="H53" s="14" t="n"/>
      <c r="I53" s="46" t="n"/>
      <c r="J53" s="46" t="n"/>
      <c r="K53" s="47" t="n"/>
      <c r="L53" s="47" t="n"/>
      <c r="M53" s="47" t="n"/>
      <c r="N53" s="47" t="n"/>
      <c r="O53" s="47" t="n"/>
      <c r="P53" s="47" t="n"/>
      <c r="Q53" s="14">
        <f>IF(A53="","",COUNTIFS('Giao việc'!$O$5:$O$3004,A53,'Giao việc'!$J$5:$J$3004,"&lt;&gt;Bỏ qua"))</f>
        <v/>
      </c>
      <c r="R53" s="14">
        <f>IF(A53="","",COUNTIFS('Giao việc'!$O$5:$O$3004,A53,'Giao việc'!$J$5:$J$3004,"Xong"))</f>
        <v/>
      </c>
      <c r="S53" s="14">
        <f>IF(A53="","",COUNTIFS('Giao việc'!$O$5:$O$3004,A53,'Giao việc'!$M$5:$M$3004,"*QUÁ HẠN*"))</f>
        <v/>
      </c>
      <c r="T53" s="14">
        <f>IF(A53="","",COUNTIFS('Giao việc'!$O$5:$O$3004,A53,'Giao việc'!$M$5:$M$3004,"*CHƯA GIAO*"))</f>
        <v/>
      </c>
      <c r="U53" s="15">
        <f>IF(OR(A53="",N(Q53)=0),"",R53/Q53)</f>
        <v/>
      </c>
      <c r="V53" s="16">
        <f>IF(U53="","",REPT("█",ROUND(U53*10,0))&amp;REPT("░",10-ROUND(U53*10,0)))</f>
        <v/>
      </c>
      <c r="W53" s="14">
        <f>IF(C53="","Chưa có ngày",IF(C53&gt;TODAY(),"Còn "&amp;(C53-TODAY())&amp;" ngày",IF(IF(D53="",C53,D53)&gt;=TODAY(),"Đang diễn ra","Đã qua "&amp;(TODAY()-IF(D53="",C53,D53))&amp;" ngày")))</f>
        <v/>
      </c>
      <c r="X53" s="14">
        <f>IF(AND(A53&lt;&gt;"",P53="Có",ISNUMBER(C53)),IF(IF(D53="",C53,D53)&gt;=TODAY()-35,C53+ROW()/100000,""),"")</f>
        <v/>
      </c>
    </row>
    <row r="54">
      <c r="A54" s="46" t="n"/>
      <c r="B54" s="12" t="n"/>
      <c r="C54" s="13" t="n"/>
      <c r="D54" s="13" t="n"/>
      <c r="E54" s="14" t="n"/>
      <c r="F54" s="14" t="n"/>
      <c r="G54" s="14" t="n"/>
      <c r="H54" s="14" t="n"/>
      <c r="I54" s="46" t="n"/>
      <c r="J54" s="46" t="n"/>
      <c r="K54" s="47" t="n"/>
      <c r="L54" s="47" t="n"/>
      <c r="M54" s="47" t="n"/>
      <c r="N54" s="47" t="n"/>
      <c r="O54" s="47" t="n"/>
      <c r="P54" s="47" t="n"/>
      <c r="Q54" s="14">
        <f>IF(A54="","",COUNTIFS('Giao việc'!$O$5:$O$3004,A54,'Giao việc'!$J$5:$J$3004,"&lt;&gt;Bỏ qua"))</f>
        <v/>
      </c>
      <c r="R54" s="14">
        <f>IF(A54="","",COUNTIFS('Giao việc'!$O$5:$O$3004,A54,'Giao việc'!$J$5:$J$3004,"Xong"))</f>
        <v/>
      </c>
      <c r="S54" s="14">
        <f>IF(A54="","",COUNTIFS('Giao việc'!$O$5:$O$3004,A54,'Giao việc'!$M$5:$M$3004,"*QUÁ HẠN*"))</f>
        <v/>
      </c>
      <c r="T54" s="14">
        <f>IF(A54="","",COUNTIFS('Giao việc'!$O$5:$O$3004,A54,'Giao việc'!$M$5:$M$3004,"*CHƯA GIAO*"))</f>
        <v/>
      </c>
      <c r="U54" s="15">
        <f>IF(OR(A54="",N(Q54)=0),"",R54/Q54)</f>
        <v/>
      </c>
      <c r="V54" s="16">
        <f>IF(U54="","",REPT("█",ROUND(U54*10,0))&amp;REPT("░",10-ROUND(U54*10,0)))</f>
        <v/>
      </c>
      <c r="W54" s="14">
        <f>IF(C54="","Chưa có ngày",IF(C54&gt;TODAY(),"Còn "&amp;(C54-TODAY())&amp;" ngày",IF(IF(D54="",C54,D54)&gt;=TODAY(),"Đang diễn ra","Đã qua "&amp;(TODAY()-IF(D54="",C54,D54))&amp;" ngày")))</f>
        <v/>
      </c>
      <c r="X54" s="14">
        <f>IF(AND(A54&lt;&gt;"",P54="Có",ISNUMBER(C54)),IF(IF(D54="",C54,D54)&gt;=TODAY()-35,C54+ROW()/100000,""),"")</f>
        <v/>
      </c>
    </row>
    <row r="55">
      <c r="A55" s="46" t="n"/>
      <c r="B55" s="12" t="n"/>
      <c r="C55" s="13" t="n"/>
      <c r="D55" s="13" t="n"/>
      <c r="E55" s="14" t="n"/>
      <c r="F55" s="14" t="n"/>
      <c r="G55" s="14" t="n"/>
      <c r="H55" s="14" t="n"/>
      <c r="I55" s="46" t="n"/>
      <c r="J55" s="46" t="n"/>
      <c r="K55" s="47" t="n"/>
      <c r="L55" s="47" t="n"/>
      <c r="M55" s="47" t="n"/>
      <c r="N55" s="47" t="n"/>
      <c r="O55" s="47" t="n"/>
      <c r="P55" s="47" t="n"/>
      <c r="Q55" s="14">
        <f>IF(A55="","",COUNTIFS('Giao việc'!$O$5:$O$3004,A55,'Giao việc'!$J$5:$J$3004,"&lt;&gt;Bỏ qua"))</f>
        <v/>
      </c>
      <c r="R55" s="14">
        <f>IF(A55="","",COUNTIFS('Giao việc'!$O$5:$O$3004,A55,'Giao việc'!$J$5:$J$3004,"Xong"))</f>
        <v/>
      </c>
      <c r="S55" s="14">
        <f>IF(A55="","",COUNTIFS('Giao việc'!$O$5:$O$3004,A55,'Giao việc'!$M$5:$M$3004,"*QUÁ HẠN*"))</f>
        <v/>
      </c>
      <c r="T55" s="14">
        <f>IF(A55="","",COUNTIFS('Giao việc'!$O$5:$O$3004,A55,'Giao việc'!$M$5:$M$3004,"*CHƯA GIAO*"))</f>
        <v/>
      </c>
      <c r="U55" s="15">
        <f>IF(OR(A55="",N(Q55)=0),"",R55/Q55)</f>
        <v/>
      </c>
      <c r="V55" s="16">
        <f>IF(U55="","",REPT("█",ROUND(U55*10,0))&amp;REPT("░",10-ROUND(U55*10,0)))</f>
        <v/>
      </c>
      <c r="W55" s="14">
        <f>IF(C55="","Chưa có ngày",IF(C55&gt;TODAY(),"Còn "&amp;(C55-TODAY())&amp;" ngày",IF(IF(D55="",C55,D55)&gt;=TODAY(),"Đang diễn ra","Đã qua "&amp;(TODAY()-IF(D55="",C55,D55))&amp;" ngày")))</f>
        <v/>
      </c>
      <c r="X55" s="14">
        <f>IF(AND(A55&lt;&gt;"",P55="Có",ISNUMBER(C55)),IF(IF(D55="",C55,D55)&gt;=TODAY()-35,C55+ROW()/100000,""),"")</f>
        <v/>
      </c>
    </row>
    <row r="56">
      <c r="A56" s="46" t="n"/>
      <c r="B56" s="12" t="n"/>
      <c r="C56" s="13" t="n"/>
      <c r="D56" s="13" t="n"/>
      <c r="E56" s="14" t="n"/>
      <c r="F56" s="14" t="n"/>
      <c r="G56" s="14" t="n"/>
      <c r="H56" s="14" t="n"/>
      <c r="I56" s="46" t="n"/>
      <c r="J56" s="46" t="n"/>
      <c r="K56" s="47" t="n"/>
      <c r="L56" s="47" t="n"/>
      <c r="M56" s="47" t="n"/>
      <c r="N56" s="47" t="n"/>
      <c r="O56" s="47" t="n"/>
      <c r="P56" s="47" t="n"/>
      <c r="Q56" s="14">
        <f>IF(A56="","",COUNTIFS('Giao việc'!$O$5:$O$3004,A56,'Giao việc'!$J$5:$J$3004,"&lt;&gt;Bỏ qua"))</f>
        <v/>
      </c>
      <c r="R56" s="14">
        <f>IF(A56="","",COUNTIFS('Giao việc'!$O$5:$O$3004,A56,'Giao việc'!$J$5:$J$3004,"Xong"))</f>
        <v/>
      </c>
      <c r="S56" s="14">
        <f>IF(A56="","",COUNTIFS('Giao việc'!$O$5:$O$3004,A56,'Giao việc'!$M$5:$M$3004,"*QUÁ HẠN*"))</f>
        <v/>
      </c>
      <c r="T56" s="14">
        <f>IF(A56="","",COUNTIFS('Giao việc'!$O$5:$O$3004,A56,'Giao việc'!$M$5:$M$3004,"*CHƯA GIAO*"))</f>
        <v/>
      </c>
      <c r="U56" s="15">
        <f>IF(OR(A56="",N(Q56)=0),"",R56/Q56)</f>
        <v/>
      </c>
      <c r="V56" s="16">
        <f>IF(U56="","",REPT("█",ROUND(U56*10,0))&amp;REPT("░",10-ROUND(U56*10,0)))</f>
        <v/>
      </c>
      <c r="W56" s="14">
        <f>IF(C56="","Chưa có ngày",IF(C56&gt;TODAY(),"Còn "&amp;(C56-TODAY())&amp;" ngày",IF(IF(D56="",C56,D56)&gt;=TODAY(),"Đang diễn ra","Đã qua "&amp;(TODAY()-IF(D56="",C56,D56))&amp;" ngày")))</f>
        <v/>
      </c>
      <c r="X56" s="14">
        <f>IF(AND(A56&lt;&gt;"",P56="Có",ISNUMBER(C56)),IF(IF(D56="",C56,D56)&gt;=TODAY()-35,C56+ROW()/100000,""),"")</f>
        <v/>
      </c>
    </row>
    <row r="57">
      <c r="A57" s="46" t="n"/>
      <c r="B57" s="12" t="n"/>
      <c r="C57" s="13" t="n"/>
      <c r="D57" s="13" t="n"/>
      <c r="E57" s="14" t="n"/>
      <c r="F57" s="14" t="n"/>
      <c r="G57" s="14" t="n"/>
      <c r="H57" s="14" t="n"/>
      <c r="I57" s="46" t="n"/>
      <c r="J57" s="46" t="n"/>
      <c r="K57" s="47" t="n"/>
      <c r="L57" s="47" t="n"/>
      <c r="M57" s="47" t="n"/>
      <c r="N57" s="47" t="n"/>
      <c r="O57" s="47" t="n"/>
      <c r="P57" s="47" t="n"/>
      <c r="Q57" s="14">
        <f>IF(A57="","",COUNTIFS('Giao việc'!$O$5:$O$3004,A57,'Giao việc'!$J$5:$J$3004,"&lt;&gt;Bỏ qua"))</f>
        <v/>
      </c>
      <c r="R57" s="14">
        <f>IF(A57="","",COUNTIFS('Giao việc'!$O$5:$O$3004,A57,'Giao việc'!$J$5:$J$3004,"Xong"))</f>
        <v/>
      </c>
      <c r="S57" s="14">
        <f>IF(A57="","",COUNTIFS('Giao việc'!$O$5:$O$3004,A57,'Giao việc'!$M$5:$M$3004,"*QUÁ HẠN*"))</f>
        <v/>
      </c>
      <c r="T57" s="14">
        <f>IF(A57="","",COUNTIFS('Giao việc'!$O$5:$O$3004,A57,'Giao việc'!$M$5:$M$3004,"*CHƯA GIAO*"))</f>
        <v/>
      </c>
      <c r="U57" s="15">
        <f>IF(OR(A57="",N(Q57)=0),"",R57/Q57)</f>
        <v/>
      </c>
      <c r="V57" s="16">
        <f>IF(U57="","",REPT("█",ROUND(U57*10,0))&amp;REPT("░",10-ROUND(U57*10,0)))</f>
        <v/>
      </c>
      <c r="W57" s="14">
        <f>IF(C57="","Chưa có ngày",IF(C57&gt;TODAY(),"Còn "&amp;(C57-TODAY())&amp;" ngày",IF(IF(D57="",C57,D57)&gt;=TODAY(),"Đang diễn ra","Đã qua "&amp;(TODAY()-IF(D57="",C57,D57))&amp;" ngày")))</f>
        <v/>
      </c>
      <c r="X57" s="14">
        <f>IF(AND(A57&lt;&gt;"",P57="Có",ISNUMBER(C57)),IF(IF(D57="",C57,D57)&gt;=TODAY()-35,C57+ROW()/100000,""),"")</f>
        <v/>
      </c>
    </row>
    <row r="58">
      <c r="A58" s="46" t="n"/>
      <c r="B58" s="12" t="n"/>
      <c r="C58" s="13" t="n"/>
      <c r="D58" s="13" t="n"/>
      <c r="E58" s="14" t="n"/>
      <c r="F58" s="14" t="n"/>
      <c r="G58" s="14" t="n"/>
      <c r="H58" s="14" t="n"/>
      <c r="I58" s="46" t="n"/>
      <c r="J58" s="46" t="n"/>
      <c r="K58" s="47" t="n"/>
      <c r="L58" s="47" t="n"/>
      <c r="M58" s="47" t="n"/>
      <c r="N58" s="47" t="n"/>
      <c r="O58" s="47" t="n"/>
      <c r="P58" s="47" t="n"/>
      <c r="Q58" s="14">
        <f>IF(A58="","",COUNTIFS('Giao việc'!$O$5:$O$3004,A58,'Giao việc'!$J$5:$J$3004,"&lt;&gt;Bỏ qua"))</f>
        <v/>
      </c>
      <c r="R58" s="14">
        <f>IF(A58="","",COUNTIFS('Giao việc'!$O$5:$O$3004,A58,'Giao việc'!$J$5:$J$3004,"Xong"))</f>
        <v/>
      </c>
      <c r="S58" s="14">
        <f>IF(A58="","",COUNTIFS('Giao việc'!$O$5:$O$3004,A58,'Giao việc'!$M$5:$M$3004,"*QUÁ HẠN*"))</f>
        <v/>
      </c>
      <c r="T58" s="14">
        <f>IF(A58="","",COUNTIFS('Giao việc'!$O$5:$O$3004,A58,'Giao việc'!$M$5:$M$3004,"*CHƯA GIAO*"))</f>
        <v/>
      </c>
      <c r="U58" s="15">
        <f>IF(OR(A58="",N(Q58)=0),"",R58/Q58)</f>
        <v/>
      </c>
      <c r="V58" s="16">
        <f>IF(U58="","",REPT("█",ROUND(U58*10,0))&amp;REPT("░",10-ROUND(U58*10,0)))</f>
        <v/>
      </c>
      <c r="W58" s="14">
        <f>IF(C58="","Chưa có ngày",IF(C58&gt;TODAY(),"Còn "&amp;(C58-TODAY())&amp;" ngày",IF(IF(D58="",C58,D58)&gt;=TODAY(),"Đang diễn ra","Đã qua "&amp;(TODAY()-IF(D58="",C58,D58))&amp;" ngày")))</f>
        <v/>
      </c>
      <c r="X58" s="14">
        <f>IF(AND(A58&lt;&gt;"",P58="Có",ISNUMBER(C58)),IF(IF(D58="",C58,D58)&gt;=TODAY()-35,C58+ROW()/100000,""),"")</f>
        <v/>
      </c>
    </row>
    <row r="59">
      <c r="A59" s="46" t="n"/>
      <c r="B59" s="12" t="n"/>
      <c r="C59" s="13" t="n"/>
      <c r="D59" s="13" t="n"/>
      <c r="E59" s="14" t="n"/>
      <c r="F59" s="14" t="n"/>
      <c r="G59" s="14" t="n"/>
      <c r="H59" s="14" t="n"/>
      <c r="I59" s="46" t="n"/>
      <c r="J59" s="46" t="n"/>
      <c r="K59" s="47" t="n"/>
      <c r="L59" s="47" t="n"/>
      <c r="M59" s="47" t="n"/>
      <c r="N59" s="47" t="n"/>
      <c r="O59" s="47" t="n"/>
      <c r="P59" s="47" t="n"/>
      <c r="Q59" s="14">
        <f>IF(A59="","",COUNTIFS('Giao việc'!$O$5:$O$3004,A59,'Giao việc'!$J$5:$J$3004,"&lt;&gt;Bỏ qua"))</f>
        <v/>
      </c>
      <c r="R59" s="14">
        <f>IF(A59="","",COUNTIFS('Giao việc'!$O$5:$O$3004,A59,'Giao việc'!$J$5:$J$3004,"Xong"))</f>
        <v/>
      </c>
      <c r="S59" s="14">
        <f>IF(A59="","",COUNTIFS('Giao việc'!$O$5:$O$3004,A59,'Giao việc'!$M$5:$M$3004,"*QUÁ HẠN*"))</f>
        <v/>
      </c>
      <c r="T59" s="14">
        <f>IF(A59="","",COUNTIFS('Giao việc'!$O$5:$O$3004,A59,'Giao việc'!$M$5:$M$3004,"*CHƯA GIAO*"))</f>
        <v/>
      </c>
      <c r="U59" s="15">
        <f>IF(OR(A59="",N(Q59)=0),"",R59/Q59)</f>
        <v/>
      </c>
      <c r="V59" s="16">
        <f>IF(U59="","",REPT("█",ROUND(U59*10,0))&amp;REPT("░",10-ROUND(U59*10,0)))</f>
        <v/>
      </c>
      <c r="W59" s="14">
        <f>IF(C59="","Chưa có ngày",IF(C59&gt;TODAY(),"Còn "&amp;(C59-TODAY())&amp;" ngày",IF(IF(D59="",C59,D59)&gt;=TODAY(),"Đang diễn ra","Đã qua "&amp;(TODAY()-IF(D59="",C59,D59))&amp;" ngày")))</f>
        <v/>
      </c>
      <c r="X59" s="14">
        <f>IF(AND(A59&lt;&gt;"",P59="Có",ISNUMBER(C59)),IF(IF(D59="",C59,D59)&gt;=TODAY()-35,C59+ROW()/100000,""),"")</f>
        <v/>
      </c>
    </row>
    <row r="60">
      <c r="A60" s="46" t="n"/>
      <c r="B60" s="12" t="n"/>
      <c r="C60" s="13" t="n"/>
      <c r="D60" s="13" t="n"/>
      <c r="E60" s="14" t="n"/>
      <c r="F60" s="14" t="n"/>
      <c r="G60" s="14" t="n"/>
      <c r="H60" s="14" t="n"/>
      <c r="I60" s="46" t="n"/>
      <c r="J60" s="46" t="n"/>
      <c r="K60" s="47" t="n"/>
      <c r="L60" s="47" t="n"/>
      <c r="M60" s="47" t="n"/>
      <c r="N60" s="47" t="n"/>
      <c r="O60" s="47" t="n"/>
      <c r="P60" s="47" t="n"/>
      <c r="Q60" s="14">
        <f>IF(A60="","",COUNTIFS('Giao việc'!$O$5:$O$3004,A60,'Giao việc'!$J$5:$J$3004,"&lt;&gt;Bỏ qua"))</f>
        <v/>
      </c>
      <c r="R60" s="14">
        <f>IF(A60="","",COUNTIFS('Giao việc'!$O$5:$O$3004,A60,'Giao việc'!$J$5:$J$3004,"Xong"))</f>
        <v/>
      </c>
      <c r="S60" s="14">
        <f>IF(A60="","",COUNTIFS('Giao việc'!$O$5:$O$3004,A60,'Giao việc'!$M$5:$M$3004,"*QUÁ HẠN*"))</f>
        <v/>
      </c>
      <c r="T60" s="14">
        <f>IF(A60="","",COUNTIFS('Giao việc'!$O$5:$O$3004,A60,'Giao việc'!$M$5:$M$3004,"*CHƯA GIAO*"))</f>
        <v/>
      </c>
      <c r="U60" s="15">
        <f>IF(OR(A60="",N(Q60)=0),"",R60/Q60)</f>
        <v/>
      </c>
      <c r="V60" s="16">
        <f>IF(U60="","",REPT("█",ROUND(U60*10,0))&amp;REPT("░",10-ROUND(U60*10,0)))</f>
        <v/>
      </c>
      <c r="W60" s="14">
        <f>IF(C60="","Chưa có ngày",IF(C60&gt;TODAY(),"Còn "&amp;(C60-TODAY())&amp;" ngày",IF(IF(D60="",C60,D60)&gt;=TODAY(),"Đang diễn ra","Đã qua "&amp;(TODAY()-IF(D60="",C60,D60))&amp;" ngày")))</f>
        <v/>
      </c>
      <c r="X60" s="14">
        <f>IF(AND(A60&lt;&gt;"",P60="Có",ISNUMBER(C60)),IF(IF(D60="",C60,D60)&gt;=TODAY()-35,C60+ROW()/100000,""),"")</f>
        <v/>
      </c>
    </row>
    <row r="61">
      <c r="A61" s="46" t="n"/>
      <c r="B61" s="12" t="n"/>
      <c r="C61" s="13" t="n"/>
      <c r="D61" s="13" t="n"/>
      <c r="E61" s="14" t="n"/>
      <c r="F61" s="14" t="n"/>
      <c r="G61" s="14" t="n"/>
      <c r="H61" s="14" t="n"/>
      <c r="I61" s="46" t="n"/>
      <c r="J61" s="46" t="n"/>
      <c r="K61" s="47" t="n"/>
      <c r="L61" s="47" t="n"/>
      <c r="M61" s="47" t="n"/>
      <c r="N61" s="47" t="n"/>
      <c r="O61" s="47" t="n"/>
      <c r="P61" s="47" t="n"/>
      <c r="Q61" s="14">
        <f>IF(A61="","",COUNTIFS('Giao việc'!$O$5:$O$3004,A61,'Giao việc'!$J$5:$J$3004,"&lt;&gt;Bỏ qua"))</f>
        <v/>
      </c>
      <c r="R61" s="14">
        <f>IF(A61="","",COUNTIFS('Giao việc'!$O$5:$O$3004,A61,'Giao việc'!$J$5:$J$3004,"Xong"))</f>
        <v/>
      </c>
      <c r="S61" s="14">
        <f>IF(A61="","",COUNTIFS('Giao việc'!$O$5:$O$3004,A61,'Giao việc'!$M$5:$M$3004,"*QUÁ HẠN*"))</f>
        <v/>
      </c>
      <c r="T61" s="14">
        <f>IF(A61="","",COUNTIFS('Giao việc'!$O$5:$O$3004,A61,'Giao việc'!$M$5:$M$3004,"*CHƯA GIAO*"))</f>
        <v/>
      </c>
      <c r="U61" s="15">
        <f>IF(OR(A61="",N(Q61)=0),"",R61/Q61)</f>
        <v/>
      </c>
      <c r="V61" s="16">
        <f>IF(U61="","",REPT("█",ROUND(U61*10,0))&amp;REPT("░",10-ROUND(U61*10,0)))</f>
        <v/>
      </c>
      <c r="W61" s="14">
        <f>IF(C61="","Chưa có ngày",IF(C61&gt;TODAY(),"Còn "&amp;(C61-TODAY())&amp;" ngày",IF(IF(D61="",C61,D61)&gt;=TODAY(),"Đang diễn ra","Đã qua "&amp;(TODAY()-IF(D61="",C61,D61))&amp;" ngày")))</f>
        <v/>
      </c>
      <c r="X61" s="14">
        <f>IF(AND(A61&lt;&gt;"",P61="Có",ISNUMBER(C61)),IF(IF(D61="",C61,D61)&gt;=TODAY()-35,C61+ROW()/100000,""),"")</f>
        <v/>
      </c>
    </row>
    <row r="62">
      <c r="A62" s="46" t="n"/>
      <c r="B62" s="12" t="n"/>
      <c r="C62" s="13" t="n"/>
      <c r="D62" s="13" t="n"/>
      <c r="E62" s="14" t="n"/>
      <c r="F62" s="14" t="n"/>
      <c r="G62" s="14" t="n"/>
      <c r="H62" s="14" t="n"/>
      <c r="I62" s="46" t="n"/>
      <c r="J62" s="46" t="n"/>
      <c r="K62" s="47" t="n"/>
      <c r="L62" s="47" t="n"/>
      <c r="M62" s="47" t="n"/>
      <c r="N62" s="47" t="n"/>
      <c r="O62" s="47" t="n"/>
      <c r="P62" s="47" t="n"/>
      <c r="Q62" s="14">
        <f>IF(A62="","",COUNTIFS('Giao việc'!$O$5:$O$3004,A62,'Giao việc'!$J$5:$J$3004,"&lt;&gt;Bỏ qua"))</f>
        <v/>
      </c>
      <c r="R62" s="14">
        <f>IF(A62="","",COUNTIFS('Giao việc'!$O$5:$O$3004,A62,'Giao việc'!$J$5:$J$3004,"Xong"))</f>
        <v/>
      </c>
      <c r="S62" s="14">
        <f>IF(A62="","",COUNTIFS('Giao việc'!$O$5:$O$3004,A62,'Giao việc'!$M$5:$M$3004,"*QUÁ HẠN*"))</f>
        <v/>
      </c>
      <c r="T62" s="14">
        <f>IF(A62="","",COUNTIFS('Giao việc'!$O$5:$O$3004,A62,'Giao việc'!$M$5:$M$3004,"*CHƯA GIAO*"))</f>
        <v/>
      </c>
      <c r="U62" s="15">
        <f>IF(OR(A62="",N(Q62)=0),"",R62/Q62)</f>
        <v/>
      </c>
      <c r="V62" s="16">
        <f>IF(U62="","",REPT("█",ROUND(U62*10,0))&amp;REPT("░",10-ROUND(U62*10,0)))</f>
        <v/>
      </c>
      <c r="W62" s="14">
        <f>IF(C62="","Chưa có ngày",IF(C62&gt;TODAY(),"Còn "&amp;(C62-TODAY())&amp;" ngày",IF(IF(D62="",C62,D62)&gt;=TODAY(),"Đang diễn ra","Đã qua "&amp;(TODAY()-IF(D62="",C62,D62))&amp;" ngày")))</f>
        <v/>
      </c>
      <c r="X62" s="14">
        <f>IF(AND(A62&lt;&gt;"",P62="Có",ISNUMBER(C62)),IF(IF(D62="",C62,D62)&gt;=TODAY()-35,C62+ROW()/100000,""),"")</f>
        <v/>
      </c>
    </row>
    <row r="63">
      <c r="A63" s="46" t="n"/>
      <c r="B63" s="12" t="n"/>
      <c r="C63" s="13" t="n"/>
      <c r="D63" s="13" t="n"/>
      <c r="E63" s="14" t="n"/>
      <c r="F63" s="14" t="n"/>
      <c r="G63" s="14" t="n"/>
      <c r="H63" s="14" t="n"/>
      <c r="I63" s="46" t="n"/>
      <c r="J63" s="46" t="n"/>
      <c r="K63" s="47" t="n"/>
      <c r="L63" s="47" t="n"/>
      <c r="M63" s="47" t="n"/>
      <c r="N63" s="47" t="n"/>
      <c r="O63" s="47" t="n"/>
      <c r="P63" s="47" t="n"/>
      <c r="Q63" s="14">
        <f>IF(A63="","",COUNTIFS('Giao việc'!$O$5:$O$3004,A63,'Giao việc'!$J$5:$J$3004,"&lt;&gt;Bỏ qua"))</f>
        <v/>
      </c>
      <c r="R63" s="14">
        <f>IF(A63="","",COUNTIFS('Giao việc'!$O$5:$O$3004,A63,'Giao việc'!$J$5:$J$3004,"Xong"))</f>
        <v/>
      </c>
      <c r="S63" s="14">
        <f>IF(A63="","",COUNTIFS('Giao việc'!$O$5:$O$3004,A63,'Giao việc'!$M$5:$M$3004,"*QUÁ HẠN*"))</f>
        <v/>
      </c>
      <c r="T63" s="14">
        <f>IF(A63="","",COUNTIFS('Giao việc'!$O$5:$O$3004,A63,'Giao việc'!$M$5:$M$3004,"*CHƯA GIAO*"))</f>
        <v/>
      </c>
      <c r="U63" s="15">
        <f>IF(OR(A63="",N(Q63)=0),"",R63/Q63)</f>
        <v/>
      </c>
      <c r="V63" s="16">
        <f>IF(U63="","",REPT("█",ROUND(U63*10,0))&amp;REPT("░",10-ROUND(U63*10,0)))</f>
        <v/>
      </c>
      <c r="W63" s="14">
        <f>IF(C63="","Chưa có ngày",IF(C63&gt;TODAY(),"Còn "&amp;(C63-TODAY())&amp;" ngày",IF(IF(D63="",C63,D63)&gt;=TODAY(),"Đang diễn ra","Đã qua "&amp;(TODAY()-IF(D63="",C63,D63))&amp;" ngày")))</f>
        <v/>
      </c>
      <c r="X63" s="14">
        <f>IF(AND(A63&lt;&gt;"",P63="Có",ISNUMBER(C63)),IF(IF(D63="",C63,D63)&gt;=TODAY()-35,C63+ROW()/100000,""),"")</f>
        <v/>
      </c>
    </row>
    <row r="64">
      <c r="A64" s="46" t="n"/>
      <c r="B64" s="12" t="n"/>
      <c r="C64" s="13" t="n"/>
      <c r="D64" s="13" t="n"/>
      <c r="E64" s="14" t="n"/>
      <c r="F64" s="14" t="n"/>
      <c r="G64" s="14" t="n"/>
      <c r="H64" s="14" t="n"/>
      <c r="I64" s="46" t="n"/>
      <c r="J64" s="46" t="n"/>
      <c r="K64" s="47" t="n"/>
      <c r="L64" s="47" t="n"/>
      <c r="M64" s="47" t="n"/>
      <c r="N64" s="47" t="n"/>
      <c r="O64" s="47" t="n"/>
      <c r="P64" s="47" t="n"/>
      <c r="Q64" s="14">
        <f>IF(A64="","",COUNTIFS('Giao việc'!$O$5:$O$3004,A64,'Giao việc'!$J$5:$J$3004,"&lt;&gt;Bỏ qua"))</f>
        <v/>
      </c>
      <c r="R64" s="14">
        <f>IF(A64="","",COUNTIFS('Giao việc'!$O$5:$O$3004,A64,'Giao việc'!$J$5:$J$3004,"Xong"))</f>
        <v/>
      </c>
      <c r="S64" s="14">
        <f>IF(A64="","",COUNTIFS('Giao việc'!$O$5:$O$3004,A64,'Giao việc'!$M$5:$M$3004,"*QUÁ HẠN*"))</f>
        <v/>
      </c>
      <c r="T64" s="14">
        <f>IF(A64="","",COUNTIFS('Giao việc'!$O$5:$O$3004,A64,'Giao việc'!$M$5:$M$3004,"*CHƯA GIAO*"))</f>
        <v/>
      </c>
      <c r="U64" s="15">
        <f>IF(OR(A64="",N(Q64)=0),"",R64/Q64)</f>
        <v/>
      </c>
      <c r="V64" s="16">
        <f>IF(U64="","",REPT("█",ROUND(U64*10,0))&amp;REPT("░",10-ROUND(U64*10,0)))</f>
        <v/>
      </c>
      <c r="W64" s="14">
        <f>IF(C64="","Chưa có ngày",IF(C64&gt;TODAY(),"Còn "&amp;(C64-TODAY())&amp;" ngày",IF(IF(D64="",C64,D64)&gt;=TODAY(),"Đang diễn ra","Đã qua "&amp;(TODAY()-IF(D64="",C64,D64))&amp;" ngày")))</f>
        <v/>
      </c>
      <c r="X64" s="14">
        <f>IF(AND(A64&lt;&gt;"",P64="Có",ISNUMBER(C64)),IF(IF(D64="",C64,D64)&gt;=TODAY()-35,C64+ROW()/100000,""),"")</f>
        <v/>
      </c>
    </row>
    <row r="65">
      <c r="A65" s="46" t="n"/>
      <c r="B65" s="12" t="n"/>
      <c r="C65" s="13" t="n"/>
      <c r="D65" s="13" t="n"/>
      <c r="E65" s="14" t="n"/>
      <c r="F65" s="14" t="n"/>
      <c r="G65" s="14" t="n"/>
      <c r="H65" s="14" t="n"/>
      <c r="I65" s="46" t="n"/>
      <c r="J65" s="46" t="n"/>
      <c r="K65" s="47" t="n"/>
      <c r="L65" s="47" t="n"/>
      <c r="M65" s="47" t="n"/>
      <c r="N65" s="47" t="n"/>
      <c r="O65" s="47" t="n"/>
      <c r="P65" s="47" t="n"/>
      <c r="Q65" s="14">
        <f>IF(A65="","",COUNTIFS('Giao việc'!$O$5:$O$3004,A65,'Giao việc'!$J$5:$J$3004,"&lt;&gt;Bỏ qua"))</f>
        <v/>
      </c>
      <c r="R65" s="14">
        <f>IF(A65="","",COUNTIFS('Giao việc'!$O$5:$O$3004,A65,'Giao việc'!$J$5:$J$3004,"Xong"))</f>
        <v/>
      </c>
      <c r="S65" s="14">
        <f>IF(A65="","",COUNTIFS('Giao việc'!$O$5:$O$3004,A65,'Giao việc'!$M$5:$M$3004,"*QUÁ HẠN*"))</f>
        <v/>
      </c>
      <c r="T65" s="14">
        <f>IF(A65="","",COUNTIFS('Giao việc'!$O$5:$O$3004,A65,'Giao việc'!$M$5:$M$3004,"*CHƯA GIAO*"))</f>
        <v/>
      </c>
      <c r="U65" s="15">
        <f>IF(OR(A65="",N(Q65)=0),"",R65/Q65)</f>
        <v/>
      </c>
      <c r="V65" s="16">
        <f>IF(U65="","",REPT("█",ROUND(U65*10,0))&amp;REPT("░",10-ROUND(U65*10,0)))</f>
        <v/>
      </c>
      <c r="W65" s="14">
        <f>IF(C65="","Chưa có ngày",IF(C65&gt;TODAY(),"Còn "&amp;(C65-TODAY())&amp;" ngày",IF(IF(D65="",C65,D65)&gt;=TODAY(),"Đang diễn ra","Đã qua "&amp;(TODAY()-IF(D65="",C65,D65))&amp;" ngày")))</f>
        <v/>
      </c>
      <c r="X65" s="14">
        <f>IF(AND(A65&lt;&gt;"",P65="Có",ISNUMBER(C65)),IF(IF(D65="",C65,D65)&gt;=TODAY()-35,C65+ROW()/100000,""),"")</f>
        <v/>
      </c>
    </row>
    <row r="66">
      <c r="A66" s="46" t="n"/>
      <c r="B66" s="12" t="n"/>
      <c r="C66" s="13" t="n"/>
      <c r="D66" s="13" t="n"/>
      <c r="E66" s="14" t="n"/>
      <c r="F66" s="14" t="n"/>
      <c r="G66" s="14" t="n"/>
      <c r="H66" s="14" t="n"/>
      <c r="I66" s="46" t="n"/>
      <c r="J66" s="46" t="n"/>
      <c r="K66" s="47" t="n"/>
      <c r="L66" s="47" t="n"/>
      <c r="M66" s="47" t="n"/>
      <c r="N66" s="47" t="n"/>
      <c r="O66" s="47" t="n"/>
      <c r="P66" s="47" t="n"/>
      <c r="Q66" s="14">
        <f>IF(A66="","",COUNTIFS('Giao việc'!$O$5:$O$3004,A66,'Giao việc'!$J$5:$J$3004,"&lt;&gt;Bỏ qua"))</f>
        <v/>
      </c>
      <c r="R66" s="14">
        <f>IF(A66="","",COUNTIFS('Giao việc'!$O$5:$O$3004,A66,'Giao việc'!$J$5:$J$3004,"Xong"))</f>
        <v/>
      </c>
      <c r="S66" s="14">
        <f>IF(A66="","",COUNTIFS('Giao việc'!$O$5:$O$3004,A66,'Giao việc'!$M$5:$M$3004,"*QUÁ HẠN*"))</f>
        <v/>
      </c>
      <c r="T66" s="14">
        <f>IF(A66="","",COUNTIFS('Giao việc'!$O$5:$O$3004,A66,'Giao việc'!$M$5:$M$3004,"*CHƯA GIAO*"))</f>
        <v/>
      </c>
      <c r="U66" s="15">
        <f>IF(OR(A66="",N(Q66)=0),"",R66/Q66)</f>
        <v/>
      </c>
      <c r="V66" s="16">
        <f>IF(U66="","",REPT("█",ROUND(U66*10,0))&amp;REPT("░",10-ROUND(U66*10,0)))</f>
        <v/>
      </c>
      <c r="W66" s="14">
        <f>IF(C66="","Chưa có ngày",IF(C66&gt;TODAY(),"Còn "&amp;(C66-TODAY())&amp;" ngày",IF(IF(D66="",C66,D66)&gt;=TODAY(),"Đang diễn ra","Đã qua "&amp;(TODAY()-IF(D66="",C66,D66))&amp;" ngày")))</f>
        <v/>
      </c>
      <c r="X66" s="14">
        <f>IF(AND(A66&lt;&gt;"",P66="Có",ISNUMBER(C66)),IF(IF(D66="",C66,D66)&gt;=TODAY()-35,C66+ROW()/100000,""),"")</f>
        <v/>
      </c>
    </row>
    <row r="67">
      <c r="A67" s="46" t="n"/>
      <c r="B67" s="12" t="n"/>
      <c r="C67" s="13" t="n"/>
      <c r="D67" s="13" t="n"/>
      <c r="E67" s="14" t="n"/>
      <c r="F67" s="14" t="n"/>
      <c r="G67" s="14" t="n"/>
      <c r="H67" s="14" t="n"/>
      <c r="I67" s="46" t="n"/>
      <c r="J67" s="46" t="n"/>
      <c r="K67" s="47" t="n"/>
      <c r="L67" s="47" t="n"/>
      <c r="M67" s="47" t="n"/>
      <c r="N67" s="47" t="n"/>
      <c r="O67" s="47" t="n"/>
      <c r="P67" s="47" t="n"/>
      <c r="Q67" s="14">
        <f>IF(A67="","",COUNTIFS('Giao việc'!$O$5:$O$3004,A67,'Giao việc'!$J$5:$J$3004,"&lt;&gt;Bỏ qua"))</f>
        <v/>
      </c>
      <c r="R67" s="14">
        <f>IF(A67="","",COUNTIFS('Giao việc'!$O$5:$O$3004,A67,'Giao việc'!$J$5:$J$3004,"Xong"))</f>
        <v/>
      </c>
      <c r="S67" s="14">
        <f>IF(A67="","",COUNTIFS('Giao việc'!$O$5:$O$3004,A67,'Giao việc'!$M$5:$M$3004,"*QUÁ HẠN*"))</f>
        <v/>
      </c>
      <c r="T67" s="14">
        <f>IF(A67="","",COUNTIFS('Giao việc'!$O$5:$O$3004,A67,'Giao việc'!$M$5:$M$3004,"*CHƯA GIAO*"))</f>
        <v/>
      </c>
      <c r="U67" s="15">
        <f>IF(OR(A67="",N(Q67)=0),"",R67/Q67)</f>
        <v/>
      </c>
      <c r="V67" s="16">
        <f>IF(U67="","",REPT("█",ROUND(U67*10,0))&amp;REPT("░",10-ROUND(U67*10,0)))</f>
        <v/>
      </c>
      <c r="W67" s="14">
        <f>IF(C67="","Chưa có ngày",IF(C67&gt;TODAY(),"Còn "&amp;(C67-TODAY())&amp;" ngày",IF(IF(D67="",C67,D67)&gt;=TODAY(),"Đang diễn ra","Đã qua "&amp;(TODAY()-IF(D67="",C67,D67))&amp;" ngày")))</f>
        <v/>
      </c>
      <c r="X67" s="14">
        <f>IF(AND(A67&lt;&gt;"",P67="Có",ISNUMBER(C67)),IF(IF(D67="",C67,D67)&gt;=TODAY()-35,C67+ROW()/100000,""),"")</f>
        <v/>
      </c>
    </row>
    <row r="68">
      <c r="A68" s="46" t="n"/>
      <c r="B68" s="12" t="n"/>
      <c r="C68" s="13" t="n"/>
      <c r="D68" s="13" t="n"/>
      <c r="E68" s="14" t="n"/>
      <c r="F68" s="14" t="n"/>
      <c r="G68" s="14" t="n"/>
      <c r="H68" s="14" t="n"/>
      <c r="I68" s="46" t="n"/>
      <c r="J68" s="46" t="n"/>
      <c r="K68" s="47" t="n"/>
      <c r="L68" s="47" t="n"/>
      <c r="M68" s="47" t="n"/>
      <c r="N68" s="47" t="n"/>
      <c r="O68" s="47" t="n"/>
      <c r="P68" s="47" t="n"/>
      <c r="Q68" s="14">
        <f>IF(A68="","",COUNTIFS('Giao việc'!$O$5:$O$3004,A68,'Giao việc'!$J$5:$J$3004,"&lt;&gt;Bỏ qua"))</f>
        <v/>
      </c>
      <c r="R68" s="14">
        <f>IF(A68="","",COUNTIFS('Giao việc'!$O$5:$O$3004,A68,'Giao việc'!$J$5:$J$3004,"Xong"))</f>
        <v/>
      </c>
      <c r="S68" s="14">
        <f>IF(A68="","",COUNTIFS('Giao việc'!$O$5:$O$3004,A68,'Giao việc'!$M$5:$M$3004,"*QUÁ HẠN*"))</f>
        <v/>
      </c>
      <c r="T68" s="14">
        <f>IF(A68="","",COUNTIFS('Giao việc'!$O$5:$O$3004,A68,'Giao việc'!$M$5:$M$3004,"*CHƯA GIAO*"))</f>
        <v/>
      </c>
      <c r="U68" s="15">
        <f>IF(OR(A68="",N(Q68)=0),"",R68/Q68)</f>
        <v/>
      </c>
      <c r="V68" s="16">
        <f>IF(U68="","",REPT("█",ROUND(U68*10,0))&amp;REPT("░",10-ROUND(U68*10,0)))</f>
        <v/>
      </c>
      <c r="W68" s="14">
        <f>IF(C68="","Chưa có ngày",IF(C68&gt;TODAY(),"Còn "&amp;(C68-TODAY())&amp;" ngày",IF(IF(D68="",C68,D68)&gt;=TODAY(),"Đang diễn ra","Đã qua "&amp;(TODAY()-IF(D68="",C68,D68))&amp;" ngày")))</f>
        <v/>
      </c>
      <c r="X68" s="14">
        <f>IF(AND(A68&lt;&gt;"",P68="Có",ISNUMBER(C68)),IF(IF(D68="",C68,D68)&gt;=TODAY()-35,C68+ROW()/100000,""),"")</f>
        <v/>
      </c>
    </row>
    <row r="69">
      <c r="A69" s="46" t="n"/>
      <c r="B69" s="12" t="n"/>
      <c r="C69" s="13" t="n"/>
      <c r="D69" s="13" t="n"/>
      <c r="E69" s="14" t="n"/>
      <c r="F69" s="14" t="n"/>
      <c r="G69" s="14" t="n"/>
      <c r="H69" s="14" t="n"/>
      <c r="I69" s="46" t="n"/>
      <c r="J69" s="46" t="n"/>
      <c r="K69" s="47" t="n"/>
      <c r="L69" s="47" t="n"/>
      <c r="M69" s="47" t="n"/>
      <c r="N69" s="47" t="n"/>
      <c r="O69" s="47" t="n"/>
      <c r="P69" s="47" t="n"/>
      <c r="Q69" s="14">
        <f>IF(A69="","",COUNTIFS('Giao việc'!$O$5:$O$3004,A69,'Giao việc'!$J$5:$J$3004,"&lt;&gt;Bỏ qua"))</f>
        <v/>
      </c>
      <c r="R69" s="14">
        <f>IF(A69="","",COUNTIFS('Giao việc'!$O$5:$O$3004,A69,'Giao việc'!$J$5:$J$3004,"Xong"))</f>
        <v/>
      </c>
      <c r="S69" s="14">
        <f>IF(A69="","",COUNTIFS('Giao việc'!$O$5:$O$3004,A69,'Giao việc'!$M$5:$M$3004,"*QUÁ HẠN*"))</f>
        <v/>
      </c>
      <c r="T69" s="14">
        <f>IF(A69="","",COUNTIFS('Giao việc'!$O$5:$O$3004,A69,'Giao việc'!$M$5:$M$3004,"*CHƯA GIAO*"))</f>
        <v/>
      </c>
      <c r="U69" s="15">
        <f>IF(OR(A69="",N(Q69)=0),"",R69/Q69)</f>
        <v/>
      </c>
      <c r="V69" s="16">
        <f>IF(U69="","",REPT("█",ROUND(U69*10,0))&amp;REPT("░",10-ROUND(U69*10,0)))</f>
        <v/>
      </c>
      <c r="W69" s="14">
        <f>IF(C69="","Chưa có ngày",IF(C69&gt;TODAY(),"Còn "&amp;(C69-TODAY())&amp;" ngày",IF(IF(D69="",C69,D69)&gt;=TODAY(),"Đang diễn ra","Đã qua "&amp;(TODAY()-IF(D69="",C69,D69))&amp;" ngày")))</f>
        <v/>
      </c>
      <c r="X69" s="14">
        <f>IF(AND(A69&lt;&gt;"",P69="Có",ISNUMBER(C69)),IF(IF(D69="",C69,D69)&gt;=TODAY()-35,C69+ROW()/100000,""),"")</f>
        <v/>
      </c>
    </row>
    <row r="70">
      <c r="A70" s="46" t="n"/>
      <c r="B70" s="12" t="n"/>
      <c r="C70" s="13" t="n"/>
      <c r="D70" s="13" t="n"/>
      <c r="E70" s="14" t="n"/>
      <c r="F70" s="14" t="n"/>
      <c r="G70" s="14" t="n"/>
      <c r="H70" s="14" t="n"/>
      <c r="I70" s="46" t="n"/>
      <c r="J70" s="46" t="n"/>
      <c r="K70" s="47" t="n"/>
      <c r="L70" s="47" t="n"/>
      <c r="M70" s="47" t="n"/>
      <c r="N70" s="47" t="n"/>
      <c r="O70" s="47" t="n"/>
      <c r="P70" s="47" t="n"/>
      <c r="Q70" s="14">
        <f>IF(A70="","",COUNTIFS('Giao việc'!$O$5:$O$3004,A70,'Giao việc'!$J$5:$J$3004,"&lt;&gt;Bỏ qua"))</f>
        <v/>
      </c>
      <c r="R70" s="14">
        <f>IF(A70="","",COUNTIFS('Giao việc'!$O$5:$O$3004,A70,'Giao việc'!$J$5:$J$3004,"Xong"))</f>
        <v/>
      </c>
      <c r="S70" s="14">
        <f>IF(A70="","",COUNTIFS('Giao việc'!$O$5:$O$3004,A70,'Giao việc'!$M$5:$M$3004,"*QUÁ HẠN*"))</f>
        <v/>
      </c>
      <c r="T70" s="14">
        <f>IF(A70="","",COUNTIFS('Giao việc'!$O$5:$O$3004,A70,'Giao việc'!$M$5:$M$3004,"*CHƯA GIAO*"))</f>
        <v/>
      </c>
      <c r="U70" s="15">
        <f>IF(OR(A70="",N(Q70)=0),"",R70/Q70)</f>
        <v/>
      </c>
      <c r="V70" s="16">
        <f>IF(U70="","",REPT("█",ROUND(U70*10,0))&amp;REPT("░",10-ROUND(U70*10,0)))</f>
        <v/>
      </c>
      <c r="W70" s="14">
        <f>IF(C70="","Chưa có ngày",IF(C70&gt;TODAY(),"Còn "&amp;(C70-TODAY())&amp;" ngày",IF(IF(D70="",C70,D70)&gt;=TODAY(),"Đang diễn ra","Đã qua "&amp;(TODAY()-IF(D70="",C70,D70))&amp;" ngày")))</f>
        <v/>
      </c>
      <c r="X70" s="14">
        <f>IF(AND(A70&lt;&gt;"",P70="Có",ISNUMBER(C70)),IF(IF(D70="",C70,D70)&gt;=TODAY()-35,C70+ROW()/100000,""),"")</f>
        <v/>
      </c>
    </row>
    <row r="71">
      <c r="A71" s="46" t="n"/>
      <c r="B71" s="12" t="n"/>
      <c r="C71" s="13" t="n"/>
      <c r="D71" s="13" t="n"/>
      <c r="E71" s="14" t="n"/>
      <c r="F71" s="14" t="n"/>
      <c r="G71" s="14" t="n"/>
      <c r="H71" s="14" t="n"/>
      <c r="I71" s="46" t="n"/>
      <c r="J71" s="46" t="n"/>
      <c r="K71" s="47" t="n"/>
      <c r="L71" s="47" t="n"/>
      <c r="M71" s="47" t="n"/>
      <c r="N71" s="47" t="n"/>
      <c r="O71" s="47" t="n"/>
      <c r="P71" s="47" t="n"/>
      <c r="Q71" s="14">
        <f>IF(A71="","",COUNTIFS('Giao việc'!$O$5:$O$3004,A71,'Giao việc'!$J$5:$J$3004,"&lt;&gt;Bỏ qua"))</f>
        <v/>
      </c>
      <c r="R71" s="14">
        <f>IF(A71="","",COUNTIFS('Giao việc'!$O$5:$O$3004,A71,'Giao việc'!$J$5:$J$3004,"Xong"))</f>
        <v/>
      </c>
      <c r="S71" s="14">
        <f>IF(A71="","",COUNTIFS('Giao việc'!$O$5:$O$3004,A71,'Giao việc'!$M$5:$M$3004,"*QUÁ HẠN*"))</f>
        <v/>
      </c>
      <c r="T71" s="14">
        <f>IF(A71="","",COUNTIFS('Giao việc'!$O$5:$O$3004,A71,'Giao việc'!$M$5:$M$3004,"*CHƯA GIAO*"))</f>
        <v/>
      </c>
      <c r="U71" s="15">
        <f>IF(OR(A71="",N(Q71)=0),"",R71/Q71)</f>
        <v/>
      </c>
      <c r="V71" s="16">
        <f>IF(U71="","",REPT("█",ROUND(U71*10,0))&amp;REPT("░",10-ROUND(U71*10,0)))</f>
        <v/>
      </c>
      <c r="W71" s="14">
        <f>IF(C71="","Chưa có ngày",IF(C71&gt;TODAY(),"Còn "&amp;(C71-TODAY())&amp;" ngày",IF(IF(D71="",C71,D71)&gt;=TODAY(),"Đang diễn ra","Đã qua "&amp;(TODAY()-IF(D71="",C71,D71))&amp;" ngày")))</f>
        <v/>
      </c>
      <c r="X71" s="14">
        <f>IF(AND(A71&lt;&gt;"",P71="Có",ISNUMBER(C71)),IF(IF(D71="",C71,D71)&gt;=TODAY()-35,C71+ROW()/100000,""),"")</f>
        <v/>
      </c>
    </row>
    <row r="72">
      <c r="A72" s="46" t="n"/>
      <c r="B72" s="12" t="n"/>
      <c r="C72" s="13" t="n"/>
      <c r="D72" s="13" t="n"/>
      <c r="E72" s="14" t="n"/>
      <c r="F72" s="14" t="n"/>
      <c r="G72" s="14" t="n"/>
      <c r="H72" s="14" t="n"/>
      <c r="I72" s="46" t="n"/>
      <c r="J72" s="46" t="n"/>
      <c r="K72" s="47" t="n"/>
      <c r="L72" s="47" t="n"/>
      <c r="M72" s="47" t="n"/>
      <c r="N72" s="47" t="n"/>
      <c r="O72" s="47" t="n"/>
      <c r="P72" s="47" t="n"/>
      <c r="Q72" s="14">
        <f>IF(A72="","",COUNTIFS('Giao việc'!$O$5:$O$3004,A72,'Giao việc'!$J$5:$J$3004,"&lt;&gt;Bỏ qua"))</f>
        <v/>
      </c>
      <c r="R72" s="14">
        <f>IF(A72="","",COUNTIFS('Giao việc'!$O$5:$O$3004,A72,'Giao việc'!$J$5:$J$3004,"Xong"))</f>
        <v/>
      </c>
      <c r="S72" s="14">
        <f>IF(A72="","",COUNTIFS('Giao việc'!$O$5:$O$3004,A72,'Giao việc'!$M$5:$M$3004,"*QUÁ HẠN*"))</f>
        <v/>
      </c>
      <c r="T72" s="14">
        <f>IF(A72="","",COUNTIFS('Giao việc'!$O$5:$O$3004,A72,'Giao việc'!$M$5:$M$3004,"*CHƯA GIAO*"))</f>
        <v/>
      </c>
      <c r="U72" s="15">
        <f>IF(OR(A72="",N(Q72)=0),"",R72/Q72)</f>
        <v/>
      </c>
      <c r="V72" s="16">
        <f>IF(U72="","",REPT("█",ROUND(U72*10,0))&amp;REPT("░",10-ROUND(U72*10,0)))</f>
        <v/>
      </c>
      <c r="W72" s="14">
        <f>IF(C72="","Chưa có ngày",IF(C72&gt;TODAY(),"Còn "&amp;(C72-TODAY())&amp;" ngày",IF(IF(D72="",C72,D72)&gt;=TODAY(),"Đang diễn ra","Đã qua "&amp;(TODAY()-IF(D72="",C72,D72))&amp;" ngày")))</f>
        <v/>
      </c>
      <c r="X72" s="14">
        <f>IF(AND(A72&lt;&gt;"",P72="Có",ISNUMBER(C72)),IF(IF(D72="",C72,D72)&gt;=TODAY()-35,C72+ROW()/100000,""),"")</f>
        <v/>
      </c>
    </row>
    <row r="73">
      <c r="A73" s="46" t="n"/>
      <c r="B73" s="12" t="n"/>
      <c r="C73" s="13" t="n"/>
      <c r="D73" s="13" t="n"/>
      <c r="E73" s="14" t="n"/>
      <c r="F73" s="14" t="n"/>
      <c r="G73" s="14" t="n"/>
      <c r="H73" s="14" t="n"/>
      <c r="I73" s="46" t="n"/>
      <c r="J73" s="46" t="n"/>
      <c r="K73" s="47" t="n"/>
      <c r="L73" s="47" t="n"/>
      <c r="M73" s="47" t="n"/>
      <c r="N73" s="47" t="n"/>
      <c r="O73" s="47" t="n"/>
      <c r="P73" s="47" t="n"/>
      <c r="Q73" s="14">
        <f>IF(A73="","",COUNTIFS('Giao việc'!$O$5:$O$3004,A73,'Giao việc'!$J$5:$J$3004,"&lt;&gt;Bỏ qua"))</f>
        <v/>
      </c>
      <c r="R73" s="14">
        <f>IF(A73="","",COUNTIFS('Giao việc'!$O$5:$O$3004,A73,'Giao việc'!$J$5:$J$3004,"Xong"))</f>
        <v/>
      </c>
      <c r="S73" s="14">
        <f>IF(A73="","",COUNTIFS('Giao việc'!$O$5:$O$3004,A73,'Giao việc'!$M$5:$M$3004,"*QUÁ HẠN*"))</f>
        <v/>
      </c>
      <c r="T73" s="14">
        <f>IF(A73="","",COUNTIFS('Giao việc'!$O$5:$O$3004,A73,'Giao việc'!$M$5:$M$3004,"*CHƯA GIAO*"))</f>
        <v/>
      </c>
      <c r="U73" s="15">
        <f>IF(OR(A73="",N(Q73)=0),"",R73/Q73)</f>
        <v/>
      </c>
      <c r="V73" s="16">
        <f>IF(U73="","",REPT("█",ROUND(U73*10,0))&amp;REPT("░",10-ROUND(U73*10,0)))</f>
        <v/>
      </c>
      <c r="W73" s="14">
        <f>IF(C73="","Chưa có ngày",IF(C73&gt;TODAY(),"Còn "&amp;(C73-TODAY())&amp;" ngày",IF(IF(D73="",C73,D73)&gt;=TODAY(),"Đang diễn ra","Đã qua "&amp;(TODAY()-IF(D73="",C73,D73))&amp;" ngày")))</f>
        <v/>
      </c>
      <c r="X73" s="14">
        <f>IF(AND(A73&lt;&gt;"",P73="Có",ISNUMBER(C73)),IF(IF(D73="",C73,D73)&gt;=TODAY()-35,C73+ROW()/100000,""),"")</f>
        <v/>
      </c>
    </row>
    <row r="74">
      <c r="A74" s="46" t="n"/>
      <c r="B74" s="12" t="n"/>
      <c r="C74" s="13" t="n"/>
      <c r="D74" s="13" t="n"/>
      <c r="E74" s="14" t="n"/>
      <c r="F74" s="14" t="n"/>
      <c r="G74" s="14" t="n"/>
      <c r="H74" s="14" t="n"/>
      <c r="I74" s="46" t="n"/>
      <c r="J74" s="46" t="n"/>
      <c r="K74" s="47" t="n"/>
      <c r="L74" s="47" t="n"/>
      <c r="M74" s="47" t="n"/>
      <c r="N74" s="47" t="n"/>
      <c r="O74" s="47" t="n"/>
      <c r="P74" s="47" t="n"/>
      <c r="Q74" s="14">
        <f>IF(A74="","",COUNTIFS('Giao việc'!$O$5:$O$3004,A74,'Giao việc'!$J$5:$J$3004,"&lt;&gt;Bỏ qua"))</f>
        <v/>
      </c>
      <c r="R74" s="14">
        <f>IF(A74="","",COUNTIFS('Giao việc'!$O$5:$O$3004,A74,'Giao việc'!$J$5:$J$3004,"Xong"))</f>
        <v/>
      </c>
      <c r="S74" s="14">
        <f>IF(A74="","",COUNTIFS('Giao việc'!$O$5:$O$3004,A74,'Giao việc'!$M$5:$M$3004,"*QUÁ HẠN*"))</f>
        <v/>
      </c>
      <c r="T74" s="14">
        <f>IF(A74="","",COUNTIFS('Giao việc'!$O$5:$O$3004,A74,'Giao việc'!$M$5:$M$3004,"*CHƯA GIAO*"))</f>
        <v/>
      </c>
      <c r="U74" s="15">
        <f>IF(OR(A74="",N(Q74)=0),"",R74/Q74)</f>
        <v/>
      </c>
      <c r="V74" s="16">
        <f>IF(U74="","",REPT("█",ROUND(U74*10,0))&amp;REPT("░",10-ROUND(U74*10,0)))</f>
        <v/>
      </c>
      <c r="W74" s="14">
        <f>IF(C74="","Chưa có ngày",IF(C74&gt;TODAY(),"Còn "&amp;(C74-TODAY())&amp;" ngày",IF(IF(D74="",C74,D74)&gt;=TODAY(),"Đang diễn ra","Đã qua "&amp;(TODAY()-IF(D74="",C74,D74))&amp;" ngày")))</f>
        <v/>
      </c>
      <c r="X74" s="14">
        <f>IF(AND(A74&lt;&gt;"",P74="Có",ISNUMBER(C74)),IF(IF(D74="",C74,D74)&gt;=TODAY()-35,C74+ROW()/100000,""),"")</f>
        <v/>
      </c>
    </row>
    <row r="75">
      <c r="A75" s="46" t="n"/>
      <c r="B75" s="12" t="n"/>
      <c r="C75" s="13" t="n"/>
      <c r="D75" s="13" t="n"/>
      <c r="E75" s="14" t="n"/>
      <c r="F75" s="14" t="n"/>
      <c r="G75" s="14" t="n"/>
      <c r="H75" s="14" t="n"/>
      <c r="I75" s="46" t="n"/>
      <c r="J75" s="46" t="n"/>
      <c r="K75" s="47" t="n"/>
      <c r="L75" s="47" t="n"/>
      <c r="M75" s="47" t="n"/>
      <c r="N75" s="47" t="n"/>
      <c r="O75" s="47" t="n"/>
      <c r="P75" s="47" t="n"/>
      <c r="Q75" s="14">
        <f>IF(A75="","",COUNTIFS('Giao việc'!$O$5:$O$3004,A75,'Giao việc'!$J$5:$J$3004,"&lt;&gt;Bỏ qua"))</f>
        <v/>
      </c>
      <c r="R75" s="14">
        <f>IF(A75="","",COUNTIFS('Giao việc'!$O$5:$O$3004,A75,'Giao việc'!$J$5:$J$3004,"Xong"))</f>
        <v/>
      </c>
      <c r="S75" s="14">
        <f>IF(A75="","",COUNTIFS('Giao việc'!$O$5:$O$3004,A75,'Giao việc'!$M$5:$M$3004,"*QUÁ HẠN*"))</f>
        <v/>
      </c>
      <c r="T75" s="14">
        <f>IF(A75="","",COUNTIFS('Giao việc'!$O$5:$O$3004,A75,'Giao việc'!$M$5:$M$3004,"*CHƯA GIAO*"))</f>
        <v/>
      </c>
      <c r="U75" s="15">
        <f>IF(OR(A75="",N(Q75)=0),"",R75/Q75)</f>
        <v/>
      </c>
      <c r="V75" s="16">
        <f>IF(U75="","",REPT("█",ROUND(U75*10,0))&amp;REPT("░",10-ROUND(U75*10,0)))</f>
        <v/>
      </c>
      <c r="W75" s="14">
        <f>IF(C75="","Chưa có ngày",IF(C75&gt;TODAY(),"Còn "&amp;(C75-TODAY())&amp;" ngày",IF(IF(D75="",C75,D75)&gt;=TODAY(),"Đang diễn ra","Đã qua "&amp;(TODAY()-IF(D75="",C75,D75))&amp;" ngày")))</f>
        <v/>
      </c>
      <c r="X75" s="14">
        <f>IF(AND(A75&lt;&gt;"",P75="Có",ISNUMBER(C75)),IF(IF(D75="",C75,D75)&gt;=TODAY()-35,C75+ROW()/100000,""),"")</f>
        <v/>
      </c>
    </row>
    <row r="76">
      <c r="A76" s="46" t="n"/>
      <c r="B76" s="12" t="n"/>
      <c r="C76" s="13" t="n"/>
      <c r="D76" s="13" t="n"/>
      <c r="E76" s="14" t="n"/>
      <c r="F76" s="14" t="n"/>
      <c r="G76" s="14" t="n"/>
      <c r="H76" s="14" t="n"/>
      <c r="I76" s="46" t="n"/>
      <c r="J76" s="46" t="n"/>
      <c r="K76" s="47" t="n"/>
      <c r="L76" s="47" t="n"/>
      <c r="M76" s="47" t="n"/>
      <c r="N76" s="47" t="n"/>
      <c r="O76" s="47" t="n"/>
      <c r="P76" s="47" t="n"/>
      <c r="Q76" s="14">
        <f>IF(A76="","",COUNTIFS('Giao việc'!$O$5:$O$3004,A76,'Giao việc'!$J$5:$J$3004,"&lt;&gt;Bỏ qua"))</f>
        <v/>
      </c>
      <c r="R76" s="14">
        <f>IF(A76="","",COUNTIFS('Giao việc'!$O$5:$O$3004,A76,'Giao việc'!$J$5:$J$3004,"Xong"))</f>
        <v/>
      </c>
      <c r="S76" s="14">
        <f>IF(A76="","",COUNTIFS('Giao việc'!$O$5:$O$3004,A76,'Giao việc'!$M$5:$M$3004,"*QUÁ HẠN*"))</f>
        <v/>
      </c>
      <c r="T76" s="14">
        <f>IF(A76="","",COUNTIFS('Giao việc'!$O$5:$O$3004,A76,'Giao việc'!$M$5:$M$3004,"*CHƯA GIAO*"))</f>
        <v/>
      </c>
      <c r="U76" s="15">
        <f>IF(OR(A76="",N(Q76)=0),"",R76/Q76)</f>
        <v/>
      </c>
      <c r="V76" s="16">
        <f>IF(U76="","",REPT("█",ROUND(U76*10,0))&amp;REPT("░",10-ROUND(U76*10,0)))</f>
        <v/>
      </c>
      <c r="W76" s="14">
        <f>IF(C76="","Chưa có ngày",IF(C76&gt;TODAY(),"Còn "&amp;(C76-TODAY())&amp;" ngày",IF(IF(D76="",C76,D76)&gt;=TODAY(),"Đang diễn ra","Đã qua "&amp;(TODAY()-IF(D76="",C76,D76))&amp;" ngày")))</f>
        <v/>
      </c>
      <c r="X76" s="14">
        <f>IF(AND(A76&lt;&gt;"",P76="Có",ISNUMBER(C76)),IF(IF(D76="",C76,D76)&gt;=TODAY()-35,C76+ROW()/100000,""),"")</f>
        <v/>
      </c>
    </row>
    <row r="77">
      <c r="A77" s="46" t="n"/>
      <c r="B77" s="12" t="n"/>
      <c r="C77" s="13" t="n"/>
      <c r="D77" s="13" t="n"/>
      <c r="E77" s="14" t="n"/>
      <c r="F77" s="14" t="n"/>
      <c r="G77" s="14" t="n"/>
      <c r="H77" s="14" t="n"/>
      <c r="I77" s="46" t="n"/>
      <c r="J77" s="46" t="n"/>
      <c r="K77" s="47" t="n"/>
      <c r="L77" s="47" t="n"/>
      <c r="M77" s="47" t="n"/>
      <c r="N77" s="47" t="n"/>
      <c r="O77" s="47" t="n"/>
      <c r="P77" s="47" t="n"/>
      <c r="Q77" s="14">
        <f>IF(A77="","",COUNTIFS('Giao việc'!$O$5:$O$3004,A77,'Giao việc'!$J$5:$J$3004,"&lt;&gt;Bỏ qua"))</f>
        <v/>
      </c>
      <c r="R77" s="14">
        <f>IF(A77="","",COUNTIFS('Giao việc'!$O$5:$O$3004,A77,'Giao việc'!$J$5:$J$3004,"Xong"))</f>
        <v/>
      </c>
      <c r="S77" s="14">
        <f>IF(A77="","",COUNTIFS('Giao việc'!$O$5:$O$3004,A77,'Giao việc'!$M$5:$M$3004,"*QUÁ HẠN*"))</f>
        <v/>
      </c>
      <c r="T77" s="14">
        <f>IF(A77="","",COUNTIFS('Giao việc'!$O$5:$O$3004,A77,'Giao việc'!$M$5:$M$3004,"*CHƯA GIAO*"))</f>
        <v/>
      </c>
      <c r="U77" s="15">
        <f>IF(OR(A77="",N(Q77)=0),"",R77/Q77)</f>
        <v/>
      </c>
      <c r="V77" s="16">
        <f>IF(U77="","",REPT("█",ROUND(U77*10,0))&amp;REPT("░",10-ROUND(U77*10,0)))</f>
        <v/>
      </c>
      <c r="W77" s="14">
        <f>IF(C77="","Chưa có ngày",IF(C77&gt;TODAY(),"Còn "&amp;(C77-TODAY())&amp;" ngày",IF(IF(D77="",C77,D77)&gt;=TODAY(),"Đang diễn ra","Đã qua "&amp;(TODAY()-IF(D77="",C77,D77))&amp;" ngày")))</f>
        <v/>
      </c>
      <c r="X77" s="14">
        <f>IF(AND(A77&lt;&gt;"",P77="Có",ISNUMBER(C77)),IF(IF(D77="",C77,D77)&gt;=TODAY()-35,C77+ROW()/100000,""),"")</f>
        <v/>
      </c>
    </row>
    <row r="78">
      <c r="A78" s="46" t="n"/>
      <c r="B78" s="12" t="n"/>
      <c r="C78" s="13" t="n"/>
      <c r="D78" s="13" t="n"/>
      <c r="E78" s="14" t="n"/>
      <c r="F78" s="14" t="n"/>
      <c r="G78" s="14" t="n"/>
      <c r="H78" s="14" t="n"/>
      <c r="I78" s="46" t="n"/>
      <c r="J78" s="46" t="n"/>
      <c r="K78" s="47" t="n"/>
      <c r="L78" s="47" t="n"/>
      <c r="M78" s="47" t="n"/>
      <c r="N78" s="47" t="n"/>
      <c r="O78" s="47" t="n"/>
      <c r="P78" s="47" t="n"/>
      <c r="Q78" s="14">
        <f>IF(A78="","",COUNTIFS('Giao việc'!$O$5:$O$3004,A78,'Giao việc'!$J$5:$J$3004,"&lt;&gt;Bỏ qua"))</f>
        <v/>
      </c>
      <c r="R78" s="14">
        <f>IF(A78="","",COUNTIFS('Giao việc'!$O$5:$O$3004,A78,'Giao việc'!$J$5:$J$3004,"Xong"))</f>
        <v/>
      </c>
      <c r="S78" s="14">
        <f>IF(A78="","",COUNTIFS('Giao việc'!$O$5:$O$3004,A78,'Giao việc'!$M$5:$M$3004,"*QUÁ HẠN*"))</f>
        <v/>
      </c>
      <c r="T78" s="14">
        <f>IF(A78="","",COUNTIFS('Giao việc'!$O$5:$O$3004,A78,'Giao việc'!$M$5:$M$3004,"*CHƯA GIAO*"))</f>
        <v/>
      </c>
      <c r="U78" s="15">
        <f>IF(OR(A78="",N(Q78)=0),"",R78/Q78)</f>
        <v/>
      </c>
      <c r="V78" s="16">
        <f>IF(U78="","",REPT("█",ROUND(U78*10,0))&amp;REPT("░",10-ROUND(U78*10,0)))</f>
        <v/>
      </c>
      <c r="W78" s="14">
        <f>IF(C78="","Chưa có ngày",IF(C78&gt;TODAY(),"Còn "&amp;(C78-TODAY())&amp;" ngày",IF(IF(D78="",C78,D78)&gt;=TODAY(),"Đang diễn ra","Đã qua "&amp;(TODAY()-IF(D78="",C78,D78))&amp;" ngày")))</f>
        <v/>
      </c>
      <c r="X78" s="14">
        <f>IF(AND(A78&lt;&gt;"",P78="Có",ISNUMBER(C78)),IF(IF(D78="",C78,D78)&gt;=TODAY()-35,C78+ROW()/100000,""),"")</f>
        <v/>
      </c>
    </row>
    <row r="79">
      <c r="A79" s="46" t="n"/>
      <c r="B79" s="12" t="n"/>
      <c r="C79" s="13" t="n"/>
      <c r="D79" s="13" t="n"/>
      <c r="E79" s="14" t="n"/>
      <c r="F79" s="14" t="n"/>
      <c r="G79" s="14" t="n"/>
      <c r="H79" s="14" t="n"/>
      <c r="I79" s="46" t="n"/>
      <c r="J79" s="46" t="n"/>
      <c r="K79" s="47" t="n"/>
      <c r="L79" s="47" t="n"/>
      <c r="M79" s="47" t="n"/>
      <c r="N79" s="47" t="n"/>
      <c r="O79" s="47" t="n"/>
      <c r="P79" s="47" t="n"/>
      <c r="Q79" s="14">
        <f>IF(A79="","",COUNTIFS('Giao việc'!$O$5:$O$3004,A79,'Giao việc'!$J$5:$J$3004,"&lt;&gt;Bỏ qua"))</f>
        <v/>
      </c>
      <c r="R79" s="14">
        <f>IF(A79="","",COUNTIFS('Giao việc'!$O$5:$O$3004,A79,'Giao việc'!$J$5:$J$3004,"Xong"))</f>
        <v/>
      </c>
      <c r="S79" s="14">
        <f>IF(A79="","",COUNTIFS('Giao việc'!$O$5:$O$3004,A79,'Giao việc'!$M$5:$M$3004,"*QUÁ HẠN*"))</f>
        <v/>
      </c>
      <c r="T79" s="14">
        <f>IF(A79="","",COUNTIFS('Giao việc'!$O$5:$O$3004,A79,'Giao việc'!$M$5:$M$3004,"*CHƯA GIAO*"))</f>
        <v/>
      </c>
      <c r="U79" s="15">
        <f>IF(OR(A79="",N(Q79)=0),"",R79/Q79)</f>
        <v/>
      </c>
      <c r="V79" s="16">
        <f>IF(U79="","",REPT("█",ROUND(U79*10,0))&amp;REPT("░",10-ROUND(U79*10,0)))</f>
        <v/>
      </c>
      <c r="W79" s="14">
        <f>IF(C79="","Chưa có ngày",IF(C79&gt;TODAY(),"Còn "&amp;(C79-TODAY())&amp;" ngày",IF(IF(D79="",C79,D79)&gt;=TODAY(),"Đang diễn ra","Đã qua "&amp;(TODAY()-IF(D79="",C79,D79))&amp;" ngày")))</f>
        <v/>
      </c>
      <c r="X79" s="14">
        <f>IF(AND(A79&lt;&gt;"",P79="Có",ISNUMBER(C79)),IF(IF(D79="",C79,D79)&gt;=TODAY()-35,C79+ROW()/100000,""),"")</f>
        <v/>
      </c>
    </row>
    <row r="80">
      <c r="A80" s="46" t="n"/>
      <c r="B80" s="12" t="n"/>
      <c r="C80" s="13" t="n"/>
      <c r="D80" s="13" t="n"/>
      <c r="E80" s="14" t="n"/>
      <c r="F80" s="14" t="n"/>
      <c r="G80" s="14" t="n"/>
      <c r="H80" s="14" t="n"/>
      <c r="I80" s="46" t="n"/>
      <c r="J80" s="46" t="n"/>
      <c r="K80" s="47" t="n"/>
      <c r="L80" s="47" t="n"/>
      <c r="M80" s="47" t="n"/>
      <c r="N80" s="47" t="n"/>
      <c r="O80" s="47" t="n"/>
      <c r="P80" s="47" t="n"/>
      <c r="Q80" s="14">
        <f>IF(A80="","",COUNTIFS('Giao việc'!$O$5:$O$3004,A80,'Giao việc'!$J$5:$J$3004,"&lt;&gt;Bỏ qua"))</f>
        <v/>
      </c>
      <c r="R80" s="14">
        <f>IF(A80="","",COUNTIFS('Giao việc'!$O$5:$O$3004,A80,'Giao việc'!$J$5:$J$3004,"Xong"))</f>
        <v/>
      </c>
      <c r="S80" s="14">
        <f>IF(A80="","",COUNTIFS('Giao việc'!$O$5:$O$3004,A80,'Giao việc'!$M$5:$M$3004,"*QUÁ HẠN*"))</f>
        <v/>
      </c>
      <c r="T80" s="14">
        <f>IF(A80="","",COUNTIFS('Giao việc'!$O$5:$O$3004,A80,'Giao việc'!$M$5:$M$3004,"*CHƯA GIAO*"))</f>
        <v/>
      </c>
      <c r="U80" s="15">
        <f>IF(OR(A80="",N(Q80)=0),"",R80/Q80)</f>
        <v/>
      </c>
      <c r="V80" s="16">
        <f>IF(U80="","",REPT("█",ROUND(U80*10,0))&amp;REPT("░",10-ROUND(U80*10,0)))</f>
        <v/>
      </c>
      <c r="W80" s="14">
        <f>IF(C80="","Chưa có ngày",IF(C80&gt;TODAY(),"Còn "&amp;(C80-TODAY())&amp;" ngày",IF(IF(D80="",C80,D80)&gt;=TODAY(),"Đang diễn ra","Đã qua "&amp;(TODAY()-IF(D80="",C80,D80))&amp;" ngày")))</f>
        <v/>
      </c>
      <c r="X80" s="14">
        <f>IF(AND(A80&lt;&gt;"",P80="Có",ISNUMBER(C80)),IF(IF(D80="",C80,D80)&gt;=TODAY()-35,C80+ROW()/100000,""),"")</f>
        <v/>
      </c>
    </row>
    <row r="81">
      <c r="A81" s="46" t="n"/>
      <c r="B81" s="12" t="n"/>
      <c r="C81" s="13" t="n"/>
      <c r="D81" s="13" t="n"/>
      <c r="E81" s="14" t="n"/>
      <c r="F81" s="14" t="n"/>
      <c r="G81" s="14" t="n"/>
      <c r="H81" s="14" t="n"/>
      <c r="I81" s="46" t="n"/>
      <c r="J81" s="46" t="n"/>
      <c r="K81" s="47" t="n"/>
      <c r="L81" s="47" t="n"/>
      <c r="M81" s="47" t="n"/>
      <c r="N81" s="47" t="n"/>
      <c r="O81" s="47" t="n"/>
      <c r="P81" s="47" t="n"/>
      <c r="Q81" s="14">
        <f>IF(A81="","",COUNTIFS('Giao việc'!$O$5:$O$3004,A81,'Giao việc'!$J$5:$J$3004,"&lt;&gt;Bỏ qua"))</f>
        <v/>
      </c>
      <c r="R81" s="14">
        <f>IF(A81="","",COUNTIFS('Giao việc'!$O$5:$O$3004,A81,'Giao việc'!$J$5:$J$3004,"Xong"))</f>
        <v/>
      </c>
      <c r="S81" s="14">
        <f>IF(A81="","",COUNTIFS('Giao việc'!$O$5:$O$3004,A81,'Giao việc'!$M$5:$M$3004,"*QUÁ HẠN*"))</f>
        <v/>
      </c>
      <c r="T81" s="14">
        <f>IF(A81="","",COUNTIFS('Giao việc'!$O$5:$O$3004,A81,'Giao việc'!$M$5:$M$3004,"*CHƯA GIAO*"))</f>
        <v/>
      </c>
      <c r="U81" s="15">
        <f>IF(OR(A81="",N(Q81)=0),"",R81/Q81)</f>
        <v/>
      </c>
      <c r="V81" s="16">
        <f>IF(U81="","",REPT("█",ROUND(U81*10,0))&amp;REPT("░",10-ROUND(U81*10,0)))</f>
        <v/>
      </c>
      <c r="W81" s="14">
        <f>IF(C81="","Chưa có ngày",IF(C81&gt;TODAY(),"Còn "&amp;(C81-TODAY())&amp;" ngày",IF(IF(D81="",C81,D81)&gt;=TODAY(),"Đang diễn ra","Đã qua "&amp;(TODAY()-IF(D81="",C81,D81))&amp;" ngày")))</f>
        <v/>
      </c>
      <c r="X81" s="14">
        <f>IF(AND(A81&lt;&gt;"",P81="Có",ISNUMBER(C81)),IF(IF(D81="",C81,D81)&gt;=TODAY()-35,C81+ROW()/100000,""),"")</f>
        <v/>
      </c>
    </row>
    <row r="82">
      <c r="A82" s="46" t="n"/>
      <c r="B82" s="12" t="n"/>
      <c r="C82" s="13" t="n"/>
      <c r="D82" s="13" t="n"/>
      <c r="E82" s="14" t="n"/>
      <c r="F82" s="14" t="n"/>
      <c r="G82" s="14" t="n"/>
      <c r="H82" s="14" t="n"/>
      <c r="I82" s="46" t="n"/>
      <c r="J82" s="46" t="n"/>
      <c r="K82" s="47" t="n"/>
      <c r="L82" s="47" t="n"/>
      <c r="M82" s="47" t="n"/>
      <c r="N82" s="47" t="n"/>
      <c r="O82" s="47" t="n"/>
      <c r="P82" s="47" t="n"/>
      <c r="Q82" s="14">
        <f>IF(A82="","",COUNTIFS('Giao việc'!$O$5:$O$3004,A82,'Giao việc'!$J$5:$J$3004,"&lt;&gt;Bỏ qua"))</f>
        <v/>
      </c>
      <c r="R82" s="14">
        <f>IF(A82="","",COUNTIFS('Giao việc'!$O$5:$O$3004,A82,'Giao việc'!$J$5:$J$3004,"Xong"))</f>
        <v/>
      </c>
      <c r="S82" s="14">
        <f>IF(A82="","",COUNTIFS('Giao việc'!$O$5:$O$3004,A82,'Giao việc'!$M$5:$M$3004,"*QUÁ HẠN*"))</f>
        <v/>
      </c>
      <c r="T82" s="14">
        <f>IF(A82="","",COUNTIFS('Giao việc'!$O$5:$O$3004,A82,'Giao việc'!$M$5:$M$3004,"*CHƯA GIAO*"))</f>
        <v/>
      </c>
      <c r="U82" s="15">
        <f>IF(OR(A82="",N(Q82)=0),"",R82/Q82)</f>
        <v/>
      </c>
      <c r="V82" s="16">
        <f>IF(U82="","",REPT("█",ROUND(U82*10,0))&amp;REPT("░",10-ROUND(U82*10,0)))</f>
        <v/>
      </c>
      <c r="W82" s="14">
        <f>IF(C82="","Chưa có ngày",IF(C82&gt;TODAY(),"Còn "&amp;(C82-TODAY())&amp;" ngày",IF(IF(D82="",C82,D82)&gt;=TODAY(),"Đang diễn ra","Đã qua "&amp;(TODAY()-IF(D82="",C82,D82))&amp;" ngày")))</f>
        <v/>
      </c>
      <c r="X82" s="14">
        <f>IF(AND(A82&lt;&gt;"",P82="Có",ISNUMBER(C82)),IF(IF(D82="",C82,D82)&gt;=TODAY()-35,C82+ROW()/100000,""),"")</f>
        <v/>
      </c>
    </row>
    <row r="83">
      <c r="A83" s="46" t="n"/>
      <c r="B83" s="12" t="n"/>
      <c r="C83" s="13" t="n"/>
      <c r="D83" s="13" t="n"/>
      <c r="E83" s="14" t="n"/>
      <c r="F83" s="14" t="n"/>
      <c r="G83" s="14" t="n"/>
      <c r="H83" s="14" t="n"/>
      <c r="I83" s="46" t="n"/>
      <c r="J83" s="46" t="n"/>
      <c r="K83" s="47" t="n"/>
      <c r="L83" s="47" t="n"/>
      <c r="M83" s="47" t="n"/>
      <c r="N83" s="47" t="n"/>
      <c r="O83" s="47" t="n"/>
      <c r="P83" s="47" t="n"/>
      <c r="Q83" s="14">
        <f>IF(A83="","",COUNTIFS('Giao việc'!$O$5:$O$3004,A83,'Giao việc'!$J$5:$J$3004,"&lt;&gt;Bỏ qua"))</f>
        <v/>
      </c>
      <c r="R83" s="14">
        <f>IF(A83="","",COUNTIFS('Giao việc'!$O$5:$O$3004,A83,'Giao việc'!$J$5:$J$3004,"Xong"))</f>
        <v/>
      </c>
      <c r="S83" s="14">
        <f>IF(A83="","",COUNTIFS('Giao việc'!$O$5:$O$3004,A83,'Giao việc'!$M$5:$M$3004,"*QUÁ HẠN*"))</f>
        <v/>
      </c>
      <c r="T83" s="14">
        <f>IF(A83="","",COUNTIFS('Giao việc'!$O$5:$O$3004,A83,'Giao việc'!$M$5:$M$3004,"*CHƯA GIAO*"))</f>
        <v/>
      </c>
      <c r="U83" s="15">
        <f>IF(OR(A83="",N(Q83)=0),"",R83/Q83)</f>
        <v/>
      </c>
      <c r="V83" s="16">
        <f>IF(U83="","",REPT("█",ROUND(U83*10,0))&amp;REPT("░",10-ROUND(U83*10,0)))</f>
        <v/>
      </c>
      <c r="W83" s="14">
        <f>IF(C83="","Chưa có ngày",IF(C83&gt;TODAY(),"Còn "&amp;(C83-TODAY())&amp;" ngày",IF(IF(D83="",C83,D83)&gt;=TODAY(),"Đang diễn ra","Đã qua "&amp;(TODAY()-IF(D83="",C83,D83))&amp;" ngày")))</f>
        <v/>
      </c>
      <c r="X83" s="14">
        <f>IF(AND(A83&lt;&gt;"",P83="Có",ISNUMBER(C83)),IF(IF(D83="",C83,D83)&gt;=TODAY()-35,C83+ROW()/100000,""),"")</f>
        <v/>
      </c>
    </row>
    <row r="84">
      <c r="A84" s="46" t="n"/>
      <c r="B84" s="12" t="n"/>
      <c r="C84" s="13" t="n"/>
      <c r="D84" s="13" t="n"/>
      <c r="E84" s="14" t="n"/>
      <c r="F84" s="14" t="n"/>
      <c r="G84" s="14" t="n"/>
      <c r="H84" s="14" t="n"/>
      <c r="I84" s="46" t="n"/>
      <c r="J84" s="46" t="n"/>
      <c r="K84" s="47" t="n"/>
      <c r="L84" s="47" t="n"/>
      <c r="M84" s="47" t="n"/>
      <c r="N84" s="47" t="n"/>
      <c r="O84" s="47" t="n"/>
      <c r="P84" s="47" t="n"/>
      <c r="Q84" s="14">
        <f>IF(A84="","",COUNTIFS('Giao việc'!$O$5:$O$3004,A84,'Giao việc'!$J$5:$J$3004,"&lt;&gt;Bỏ qua"))</f>
        <v/>
      </c>
      <c r="R84" s="14">
        <f>IF(A84="","",COUNTIFS('Giao việc'!$O$5:$O$3004,A84,'Giao việc'!$J$5:$J$3004,"Xong"))</f>
        <v/>
      </c>
      <c r="S84" s="14">
        <f>IF(A84="","",COUNTIFS('Giao việc'!$O$5:$O$3004,A84,'Giao việc'!$M$5:$M$3004,"*QUÁ HẠN*"))</f>
        <v/>
      </c>
      <c r="T84" s="14">
        <f>IF(A84="","",COUNTIFS('Giao việc'!$O$5:$O$3004,A84,'Giao việc'!$M$5:$M$3004,"*CHƯA GIAO*"))</f>
        <v/>
      </c>
      <c r="U84" s="15">
        <f>IF(OR(A84="",N(Q84)=0),"",R84/Q84)</f>
        <v/>
      </c>
      <c r="V84" s="16">
        <f>IF(U84="","",REPT("█",ROUND(U84*10,0))&amp;REPT("░",10-ROUND(U84*10,0)))</f>
        <v/>
      </c>
      <c r="W84" s="14">
        <f>IF(C84="","Chưa có ngày",IF(C84&gt;TODAY(),"Còn "&amp;(C84-TODAY())&amp;" ngày",IF(IF(D84="",C84,D84)&gt;=TODAY(),"Đang diễn ra","Đã qua "&amp;(TODAY()-IF(D84="",C84,D84))&amp;" ngày")))</f>
        <v/>
      </c>
      <c r="X84" s="14">
        <f>IF(AND(A84&lt;&gt;"",P84="Có",ISNUMBER(C84)),IF(IF(D84="",C84,D84)&gt;=TODAY()-35,C84+ROW()/100000,""),"")</f>
        <v/>
      </c>
    </row>
    <row r="85">
      <c r="A85" s="46" t="n"/>
      <c r="B85" s="12" t="n"/>
      <c r="C85" s="13" t="n"/>
      <c r="D85" s="13" t="n"/>
      <c r="E85" s="14" t="n"/>
      <c r="F85" s="14" t="n"/>
      <c r="G85" s="14" t="n"/>
      <c r="H85" s="14" t="n"/>
      <c r="I85" s="46" t="n"/>
      <c r="J85" s="46" t="n"/>
      <c r="K85" s="47" t="n"/>
      <c r="L85" s="47" t="n"/>
      <c r="M85" s="47" t="n"/>
      <c r="N85" s="47" t="n"/>
      <c r="O85" s="47" t="n"/>
      <c r="P85" s="47" t="n"/>
      <c r="Q85" s="14">
        <f>IF(A85="","",COUNTIFS('Giao việc'!$O$5:$O$3004,A85,'Giao việc'!$J$5:$J$3004,"&lt;&gt;Bỏ qua"))</f>
        <v/>
      </c>
      <c r="R85" s="14">
        <f>IF(A85="","",COUNTIFS('Giao việc'!$O$5:$O$3004,A85,'Giao việc'!$J$5:$J$3004,"Xong"))</f>
        <v/>
      </c>
      <c r="S85" s="14">
        <f>IF(A85="","",COUNTIFS('Giao việc'!$O$5:$O$3004,A85,'Giao việc'!$M$5:$M$3004,"*QUÁ HẠN*"))</f>
        <v/>
      </c>
      <c r="T85" s="14">
        <f>IF(A85="","",COUNTIFS('Giao việc'!$O$5:$O$3004,A85,'Giao việc'!$M$5:$M$3004,"*CHƯA GIAO*"))</f>
        <v/>
      </c>
      <c r="U85" s="15">
        <f>IF(OR(A85="",N(Q85)=0),"",R85/Q85)</f>
        <v/>
      </c>
      <c r="V85" s="16">
        <f>IF(U85="","",REPT("█",ROUND(U85*10,0))&amp;REPT("░",10-ROUND(U85*10,0)))</f>
        <v/>
      </c>
      <c r="W85" s="14">
        <f>IF(C85="","Chưa có ngày",IF(C85&gt;TODAY(),"Còn "&amp;(C85-TODAY())&amp;" ngày",IF(IF(D85="",C85,D85)&gt;=TODAY(),"Đang diễn ra","Đã qua "&amp;(TODAY()-IF(D85="",C85,D85))&amp;" ngày")))</f>
        <v/>
      </c>
      <c r="X85" s="14">
        <f>IF(AND(A85&lt;&gt;"",P85="Có",ISNUMBER(C85)),IF(IF(D85="",C85,D85)&gt;=TODAY()-35,C85+ROW()/100000,""),"")</f>
        <v/>
      </c>
    </row>
    <row r="86">
      <c r="A86" s="46" t="n"/>
      <c r="B86" s="12" t="n"/>
      <c r="C86" s="13" t="n"/>
      <c r="D86" s="13" t="n"/>
      <c r="E86" s="14" t="n"/>
      <c r="F86" s="14" t="n"/>
      <c r="G86" s="14" t="n"/>
      <c r="H86" s="14" t="n"/>
      <c r="I86" s="46" t="n"/>
      <c r="J86" s="46" t="n"/>
      <c r="K86" s="47" t="n"/>
      <c r="L86" s="47" t="n"/>
      <c r="M86" s="47" t="n"/>
      <c r="N86" s="47" t="n"/>
      <c r="O86" s="47" t="n"/>
      <c r="P86" s="47" t="n"/>
      <c r="Q86" s="14">
        <f>IF(A86="","",COUNTIFS('Giao việc'!$O$5:$O$3004,A86,'Giao việc'!$J$5:$J$3004,"&lt;&gt;Bỏ qua"))</f>
        <v/>
      </c>
      <c r="R86" s="14">
        <f>IF(A86="","",COUNTIFS('Giao việc'!$O$5:$O$3004,A86,'Giao việc'!$J$5:$J$3004,"Xong"))</f>
        <v/>
      </c>
      <c r="S86" s="14">
        <f>IF(A86="","",COUNTIFS('Giao việc'!$O$5:$O$3004,A86,'Giao việc'!$M$5:$M$3004,"*QUÁ HẠN*"))</f>
        <v/>
      </c>
      <c r="T86" s="14">
        <f>IF(A86="","",COUNTIFS('Giao việc'!$O$5:$O$3004,A86,'Giao việc'!$M$5:$M$3004,"*CHƯA GIAO*"))</f>
        <v/>
      </c>
      <c r="U86" s="15">
        <f>IF(OR(A86="",N(Q86)=0),"",R86/Q86)</f>
        <v/>
      </c>
      <c r="V86" s="16">
        <f>IF(U86="","",REPT("█",ROUND(U86*10,0))&amp;REPT("░",10-ROUND(U86*10,0)))</f>
        <v/>
      </c>
      <c r="W86" s="14">
        <f>IF(C86="","Chưa có ngày",IF(C86&gt;TODAY(),"Còn "&amp;(C86-TODAY())&amp;" ngày",IF(IF(D86="",C86,D86)&gt;=TODAY(),"Đang diễn ra","Đã qua "&amp;(TODAY()-IF(D86="",C86,D86))&amp;" ngày")))</f>
        <v/>
      </c>
      <c r="X86" s="14">
        <f>IF(AND(A86&lt;&gt;"",P86="Có",ISNUMBER(C86)),IF(IF(D86="",C86,D86)&gt;=TODAY()-35,C86+ROW()/100000,""),"")</f>
        <v/>
      </c>
    </row>
    <row r="87">
      <c r="A87" s="46" t="n"/>
      <c r="B87" s="12" t="n"/>
      <c r="C87" s="13" t="n"/>
      <c r="D87" s="13" t="n"/>
      <c r="E87" s="14" t="n"/>
      <c r="F87" s="14" t="n"/>
      <c r="G87" s="14" t="n"/>
      <c r="H87" s="14" t="n"/>
      <c r="I87" s="46" t="n"/>
      <c r="J87" s="46" t="n"/>
      <c r="K87" s="47" t="n"/>
      <c r="L87" s="47" t="n"/>
      <c r="M87" s="47" t="n"/>
      <c r="N87" s="47" t="n"/>
      <c r="O87" s="47" t="n"/>
      <c r="P87" s="47" t="n"/>
      <c r="Q87" s="14">
        <f>IF(A87="","",COUNTIFS('Giao việc'!$O$5:$O$3004,A87,'Giao việc'!$J$5:$J$3004,"&lt;&gt;Bỏ qua"))</f>
        <v/>
      </c>
      <c r="R87" s="14">
        <f>IF(A87="","",COUNTIFS('Giao việc'!$O$5:$O$3004,A87,'Giao việc'!$J$5:$J$3004,"Xong"))</f>
        <v/>
      </c>
      <c r="S87" s="14">
        <f>IF(A87="","",COUNTIFS('Giao việc'!$O$5:$O$3004,A87,'Giao việc'!$M$5:$M$3004,"*QUÁ HẠN*"))</f>
        <v/>
      </c>
      <c r="T87" s="14">
        <f>IF(A87="","",COUNTIFS('Giao việc'!$O$5:$O$3004,A87,'Giao việc'!$M$5:$M$3004,"*CHƯA GIAO*"))</f>
        <v/>
      </c>
      <c r="U87" s="15">
        <f>IF(OR(A87="",N(Q87)=0),"",R87/Q87)</f>
        <v/>
      </c>
      <c r="V87" s="16">
        <f>IF(U87="","",REPT("█",ROUND(U87*10,0))&amp;REPT("░",10-ROUND(U87*10,0)))</f>
        <v/>
      </c>
      <c r="W87" s="14">
        <f>IF(C87="","Chưa có ngày",IF(C87&gt;TODAY(),"Còn "&amp;(C87-TODAY())&amp;" ngày",IF(IF(D87="",C87,D87)&gt;=TODAY(),"Đang diễn ra","Đã qua "&amp;(TODAY()-IF(D87="",C87,D87))&amp;" ngày")))</f>
        <v/>
      </c>
      <c r="X87" s="14">
        <f>IF(AND(A87&lt;&gt;"",P87="Có",ISNUMBER(C87)),IF(IF(D87="",C87,D87)&gt;=TODAY()-35,C87+ROW()/100000,""),"")</f>
        <v/>
      </c>
    </row>
    <row r="88">
      <c r="A88" s="46" t="n"/>
      <c r="B88" s="12" t="n"/>
      <c r="C88" s="13" t="n"/>
      <c r="D88" s="13" t="n"/>
      <c r="E88" s="14" t="n"/>
      <c r="F88" s="14" t="n"/>
      <c r="G88" s="14" t="n"/>
      <c r="H88" s="14" t="n"/>
      <c r="I88" s="46" t="n"/>
      <c r="J88" s="46" t="n"/>
      <c r="K88" s="47" t="n"/>
      <c r="L88" s="47" t="n"/>
      <c r="M88" s="47" t="n"/>
      <c r="N88" s="47" t="n"/>
      <c r="O88" s="47" t="n"/>
      <c r="P88" s="47" t="n"/>
      <c r="Q88" s="14">
        <f>IF(A88="","",COUNTIFS('Giao việc'!$O$5:$O$3004,A88,'Giao việc'!$J$5:$J$3004,"&lt;&gt;Bỏ qua"))</f>
        <v/>
      </c>
      <c r="R88" s="14">
        <f>IF(A88="","",COUNTIFS('Giao việc'!$O$5:$O$3004,A88,'Giao việc'!$J$5:$J$3004,"Xong"))</f>
        <v/>
      </c>
      <c r="S88" s="14">
        <f>IF(A88="","",COUNTIFS('Giao việc'!$O$5:$O$3004,A88,'Giao việc'!$M$5:$M$3004,"*QUÁ HẠN*"))</f>
        <v/>
      </c>
      <c r="T88" s="14">
        <f>IF(A88="","",COUNTIFS('Giao việc'!$O$5:$O$3004,A88,'Giao việc'!$M$5:$M$3004,"*CHƯA GIAO*"))</f>
        <v/>
      </c>
      <c r="U88" s="15">
        <f>IF(OR(A88="",N(Q88)=0),"",R88/Q88)</f>
        <v/>
      </c>
      <c r="V88" s="16">
        <f>IF(U88="","",REPT("█",ROUND(U88*10,0))&amp;REPT("░",10-ROUND(U88*10,0)))</f>
        <v/>
      </c>
      <c r="W88" s="14">
        <f>IF(C88="","Chưa có ngày",IF(C88&gt;TODAY(),"Còn "&amp;(C88-TODAY())&amp;" ngày",IF(IF(D88="",C88,D88)&gt;=TODAY(),"Đang diễn ra","Đã qua "&amp;(TODAY()-IF(D88="",C88,D88))&amp;" ngày")))</f>
        <v/>
      </c>
      <c r="X88" s="14">
        <f>IF(AND(A88&lt;&gt;"",P88="Có",ISNUMBER(C88)),IF(IF(D88="",C88,D88)&gt;=TODAY()-35,C88+ROW()/100000,""),"")</f>
        <v/>
      </c>
    </row>
    <row r="89">
      <c r="A89" s="46" t="n"/>
      <c r="B89" s="12" t="n"/>
      <c r="C89" s="13" t="n"/>
      <c r="D89" s="13" t="n"/>
      <c r="E89" s="14" t="n"/>
      <c r="F89" s="14" t="n"/>
      <c r="G89" s="14" t="n"/>
      <c r="H89" s="14" t="n"/>
      <c r="I89" s="46" t="n"/>
      <c r="J89" s="46" t="n"/>
      <c r="K89" s="47" t="n"/>
      <c r="L89" s="47" t="n"/>
      <c r="M89" s="47" t="n"/>
      <c r="N89" s="47" t="n"/>
      <c r="O89" s="47" t="n"/>
      <c r="P89" s="47" t="n"/>
      <c r="Q89" s="14">
        <f>IF(A89="","",COUNTIFS('Giao việc'!$O$5:$O$3004,A89,'Giao việc'!$J$5:$J$3004,"&lt;&gt;Bỏ qua"))</f>
        <v/>
      </c>
      <c r="R89" s="14">
        <f>IF(A89="","",COUNTIFS('Giao việc'!$O$5:$O$3004,A89,'Giao việc'!$J$5:$J$3004,"Xong"))</f>
        <v/>
      </c>
      <c r="S89" s="14">
        <f>IF(A89="","",COUNTIFS('Giao việc'!$O$5:$O$3004,A89,'Giao việc'!$M$5:$M$3004,"*QUÁ HẠN*"))</f>
        <v/>
      </c>
      <c r="T89" s="14">
        <f>IF(A89="","",COUNTIFS('Giao việc'!$O$5:$O$3004,A89,'Giao việc'!$M$5:$M$3004,"*CHƯA GIAO*"))</f>
        <v/>
      </c>
      <c r="U89" s="15">
        <f>IF(OR(A89="",N(Q89)=0),"",R89/Q89)</f>
        <v/>
      </c>
      <c r="V89" s="16">
        <f>IF(U89="","",REPT("█",ROUND(U89*10,0))&amp;REPT("░",10-ROUND(U89*10,0)))</f>
        <v/>
      </c>
      <c r="W89" s="14">
        <f>IF(C89="","Chưa có ngày",IF(C89&gt;TODAY(),"Còn "&amp;(C89-TODAY())&amp;" ngày",IF(IF(D89="",C89,D89)&gt;=TODAY(),"Đang diễn ra","Đã qua "&amp;(TODAY()-IF(D89="",C89,D89))&amp;" ngày")))</f>
        <v/>
      </c>
      <c r="X89" s="14">
        <f>IF(AND(A89&lt;&gt;"",P89="Có",ISNUMBER(C89)),IF(IF(D89="",C89,D89)&gt;=TODAY()-35,C89+ROW()/100000,""),"")</f>
        <v/>
      </c>
    </row>
    <row r="90">
      <c r="A90" s="46" t="n"/>
      <c r="B90" s="12" t="n"/>
      <c r="C90" s="13" t="n"/>
      <c r="D90" s="13" t="n"/>
      <c r="E90" s="14" t="n"/>
      <c r="F90" s="14" t="n"/>
      <c r="G90" s="14" t="n"/>
      <c r="H90" s="14" t="n"/>
      <c r="I90" s="46" t="n"/>
      <c r="J90" s="46" t="n"/>
      <c r="K90" s="47" t="n"/>
      <c r="L90" s="47" t="n"/>
      <c r="M90" s="47" t="n"/>
      <c r="N90" s="47" t="n"/>
      <c r="O90" s="47" t="n"/>
      <c r="P90" s="47" t="n"/>
      <c r="Q90" s="14">
        <f>IF(A90="","",COUNTIFS('Giao việc'!$O$5:$O$3004,A90,'Giao việc'!$J$5:$J$3004,"&lt;&gt;Bỏ qua"))</f>
        <v/>
      </c>
      <c r="R90" s="14">
        <f>IF(A90="","",COUNTIFS('Giao việc'!$O$5:$O$3004,A90,'Giao việc'!$J$5:$J$3004,"Xong"))</f>
        <v/>
      </c>
      <c r="S90" s="14">
        <f>IF(A90="","",COUNTIFS('Giao việc'!$O$5:$O$3004,A90,'Giao việc'!$M$5:$M$3004,"*QUÁ HẠN*"))</f>
        <v/>
      </c>
      <c r="T90" s="14">
        <f>IF(A90="","",COUNTIFS('Giao việc'!$O$5:$O$3004,A90,'Giao việc'!$M$5:$M$3004,"*CHƯA GIAO*"))</f>
        <v/>
      </c>
      <c r="U90" s="15">
        <f>IF(OR(A90="",N(Q90)=0),"",R90/Q90)</f>
        <v/>
      </c>
      <c r="V90" s="16">
        <f>IF(U90="","",REPT("█",ROUND(U90*10,0))&amp;REPT("░",10-ROUND(U90*10,0)))</f>
        <v/>
      </c>
      <c r="W90" s="14">
        <f>IF(C90="","Chưa có ngày",IF(C90&gt;TODAY(),"Còn "&amp;(C90-TODAY())&amp;" ngày",IF(IF(D90="",C90,D90)&gt;=TODAY(),"Đang diễn ra","Đã qua "&amp;(TODAY()-IF(D90="",C90,D90))&amp;" ngày")))</f>
        <v/>
      </c>
      <c r="X90" s="14">
        <f>IF(AND(A90&lt;&gt;"",P90="Có",ISNUMBER(C90)),IF(IF(D90="",C90,D90)&gt;=TODAY()-35,C90+ROW()/100000,""),"")</f>
        <v/>
      </c>
    </row>
    <row r="91">
      <c r="A91" s="46" t="n"/>
      <c r="B91" s="12" t="n"/>
      <c r="C91" s="13" t="n"/>
      <c r="D91" s="13" t="n"/>
      <c r="E91" s="14" t="n"/>
      <c r="F91" s="14" t="n"/>
      <c r="G91" s="14" t="n"/>
      <c r="H91" s="14" t="n"/>
      <c r="I91" s="46" t="n"/>
      <c r="J91" s="46" t="n"/>
      <c r="K91" s="47" t="n"/>
      <c r="L91" s="47" t="n"/>
      <c r="M91" s="47" t="n"/>
      <c r="N91" s="47" t="n"/>
      <c r="O91" s="47" t="n"/>
      <c r="P91" s="47" t="n"/>
      <c r="Q91" s="14">
        <f>IF(A91="","",COUNTIFS('Giao việc'!$O$5:$O$3004,A91,'Giao việc'!$J$5:$J$3004,"&lt;&gt;Bỏ qua"))</f>
        <v/>
      </c>
      <c r="R91" s="14">
        <f>IF(A91="","",COUNTIFS('Giao việc'!$O$5:$O$3004,A91,'Giao việc'!$J$5:$J$3004,"Xong"))</f>
        <v/>
      </c>
      <c r="S91" s="14">
        <f>IF(A91="","",COUNTIFS('Giao việc'!$O$5:$O$3004,A91,'Giao việc'!$M$5:$M$3004,"*QUÁ HẠN*"))</f>
        <v/>
      </c>
      <c r="T91" s="14">
        <f>IF(A91="","",COUNTIFS('Giao việc'!$O$5:$O$3004,A91,'Giao việc'!$M$5:$M$3004,"*CHƯA GIAO*"))</f>
        <v/>
      </c>
      <c r="U91" s="15">
        <f>IF(OR(A91="",N(Q91)=0),"",R91/Q91)</f>
        <v/>
      </c>
      <c r="V91" s="16">
        <f>IF(U91="","",REPT("█",ROUND(U91*10,0))&amp;REPT("░",10-ROUND(U91*10,0)))</f>
        <v/>
      </c>
      <c r="W91" s="14">
        <f>IF(C91="","Chưa có ngày",IF(C91&gt;TODAY(),"Còn "&amp;(C91-TODAY())&amp;" ngày",IF(IF(D91="",C91,D91)&gt;=TODAY(),"Đang diễn ra","Đã qua "&amp;(TODAY()-IF(D91="",C91,D91))&amp;" ngày")))</f>
        <v/>
      </c>
      <c r="X91" s="14">
        <f>IF(AND(A91&lt;&gt;"",P91="Có",ISNUMBER(C91)),IF(IF(D91="",C91,D91)&gt;=TODAY()-35,C91+ROW()/100000,""),"")</f>
        <v/>
      </c>
    </row>
    <row r="92">
      <c r="A92" s="46" t="n"/>
      <c r="B92" s="12" t="n"/>
      <c r="C92" s="13" t="n"/>
      <c r="D92" s="13" t="n"/>
      <c r="E92" s="14" t="n"/>
      <c r="F92" s="14" t="n"/>
      <c r="G92" s="14" t="n"/>
      <c r="H92" s="14" t="n"/>
      <c r="I92" s="46" t="n"/>
      <c r="J92" s="46" t="n"/>
      <c r="K92" s="47" t="n"/>
      <c r="L92" s="47" t="n"/>
      <c r="M92" s="47" t="n"/>
      <c r="N92" s="47" t="n"/>
      <c r="O92" s="47" t="n"/>
      <c r="P92" s="47" t="n"/>
      <c r="Q92" s="14">
        <f>IF(A92="","",COUNTIFS('Giao việc'!$O$5:$O$3004,A92,'Giao việc'!$J$5:$J$3004,"&lt;&gt;Bỏ qua"))</f>
        <v/>
      </c>
      <c r="R92" s="14">
        <f>IF(A92="","",COUNTIFS('Giao việc'!$O$5:$O$3004,A92,'Giao việc'!$J$5:$J$3004,"Xong"))</f>
        <v/>
      </c>
      <c r="S92" s="14">
        <f>IF(A92="","",COUNTIFS('Giao việc'!$O$5:$O$3004,A92,'Giao việc'!$M$5:$M$3004,"*QUÁ HẠN*"))</f>
        <v/>
      </c>
      <c r="T92" s="14">
        <f>IF(A92="","",COUNTIFS('Giao việc'!$O$5:$O$3004,A92,'Giao việc'!$M$5:$M$3004,"*CHƯA GIAO*"))</f>
        <v/>
      </c>
      <c r="U92" s="15">
        <f>IF(OR(A92="",N(Q92)=0),"",R92/Q92)</f>
        <v/>
      </c>
      <c r="V92" s="16">
        <f>IF(U92="","",REPT("█",ROUND(U92*10,0))&amp;REPT("░",10-ROUND(U92*10,0)))</f>
        <v/>
      </c>
      <c r="W92" s="14">
        <f>IF(C92="","Chưa có ngày",IF(C92&gt;TODAY(),"Còn "&amp;(C92-TODAY())&amp;" ngày",IF(IF(D92="",C92,D92)&gt;=TODAY(),"Đang diễn ra","Đã qua "&amp;(TODAY()-IF(D92="",C92,D92))&amp;" ngày")))</f>
        <v/>
      </c>
      <c r="X92" s="14">
        <f>IF(AND(A92&lt;&gt;"",P92="Có",ISNUMBER(C92)),IF(IF(D92="",C92,D92)&gt;=TODAY()-35,C92+ROW()/100000,""),"")</f>
        <v/>
      </c>
    </row>
    <row r="93">
      <c r="A93" s="46" t="n"/>
      <c r="B93" s="12" t="n"/>
      <c r="C93" s="13" t="n"/>
      <c r="D93" s="13" t="n"/>
      <c r="E93" s="14" t="n"/>
      <c r="F93" s="14" t="n"/>
      <c r="G93" s="14" t="n"/>
      <c r="H93" s="14" t="n"/>
      <c r="I93" s="46" t="n"/>
      <c r="J93" s="46" t="n"/>
      <c r="K93" s="47" t="n"/>
      <c r="L93" s="47" t="n"/>
      <c r="M93" s="47" t="n"/>
      <c r="N93" s="47" t="n"/>
      <c r="O93" s="47" t="n"/>
      <c r="P93" s="47" t="n"/>
      <c r="Q93" s="14">
        <f>IF(A93="","",COUNTIFS('Giao việc'!$O$5:$O$3004,A93,'Giao việc'!$J$5:$J$3004,"&lt;&gt;Bỏ qua"))</f>
        <v/>
      </c>
      <c r="R93" s="14">
        <f>IF(A93="","",COUNTIFS('Giao việc'!$O$5:$O$3004,A93,'Giao việc'!$J$5:$J$3004,"Xong"))</f>
        <v/>
      </c>
      <c r="S93" s="14">
        <f>IF(A93="","",COUNTIFS('Giao việc'!$O$5:$O$3004,A93,'Giao việc'!$M$5:$M$3004,"*QUÁ HẠN*"))</f>
        <v/>
      </c>
      <c r="T93" s="14">
        <f>IF(A93="","",COUNTIFS('Giao việc'!$O$5:$O$3004,A93,'Giao việc'!$M$5:$M$3004,"*CHƯA GIAO*"))</f>
        <v/>
      </c>
      <c r="U93" s="15">
        <f>IF(OR(A93="",N(Q93)=0),"",R93/Q93)</f>
        <v/>
      </c>
      <c r="V93" s="16">
        <f>IF(U93="","",REPT("█",ROUND(U93*10,0))&amp;REPT("░",10-ROUND(U93*10,0)))</f>
        <v/>
      </c>
      <c r="W93" s="14">
        <f>IF(C93="","Chưa có ngày",IF(C93&gt;TODAY(),"Còn "&amp;(C93-TODAY())&amp;" ngày",IF(IF(D93="",C93,D93)&gt;=TODAY(),"Đang diễn ra","Đã qua "&amp;(TODAY()-IF(D93="",C93,D93))&amp;" ngày")))</f>
        <v/>
      </c>
      <c r="X93" s="14">
        <f>IF(AND(A93&lt;&gt;"",P93="Có",ISNUMBER(C93)),IF(IF(D93="",C93,D93)&gt;=TODAY()-35,C93+ROW()/100000,""),"")</f>
        <v/>
      </c>
    </row>
    <row r="94">
      <c r="A94" s="46" t="n"/>
      <c r="B94" s="12" t="n"/>
      <c r="C94" s="13" t="n"/>
      <c r="D94" s="13" t="n"/>
      <c r="E94" s="14" t="n"/>
      <c r="F94" s="14" t="n"/>
      <c r="G94" s="14" t="n"/>
      <c r="H94" s="14" t="n"/>
      <c r="I94" s="46" t="n"/>
      <c r="J94" s="46" t="n"/>
      <c r="K94" s="47" t="n"/>
      <c r="L94" s="47" t="n"/>
      <c r="M94" s="47" t="n"/>
      <c r="N94" s="47" t="n"/>
      <c r="O94" s="47" t="n"/>
      <c r="P94" s="47" t="n"/>
      <c r="Q94" s="14">
        <f>IF(A94="","",COUNTIFS('Giao việc'!$O$5:$O$3004,A94,'Giao việc'!$J$5:$J$3004,"&lt;&gt;Bỏ qua"))</f>
        <v/>
      </c>
      <c r="R94" s="14">
        <f>IF(A94="","",COUNTIFS('Giao việc'!$O$5:$O$3004,A94,'Giao việc'!$J$5:$J$3004,"Xong"))</f>
        <v/>
      </c>
      <c r="S94" s="14">
        <f>IF(A94="","",COUNTIFS('Giao việc'!$O$5:$O$3004,A94,'Giao việc'!$M$5:$M$3004,"*QUÁ HẠN*"))</f>
        <v/>
      </c>
      <c r="T94" s="14">
        <f>IF(A94="","",COUNTIFS('Giao việc'!$O$5:$O$3004,A94,'Giao việc'!$M$5:$M$3004,"*CHƯA GIAO*"))</f>
        <v/>
      </c>
      <c r="U94" s="15">
        <f>IF(OR(A94="",N(Q94)=0),"",R94/Q94)</f>
        <v/>
      </c>
      <c r="V94" s="16">
        <f>IF(U94="","",REPT("█",ROUND(U94*10,0))&amp;REPT("░",10-ROUND(U94*10,0)))</f>
        <v/>
      </c>
      <c r="W94" s="14">
        <f>IF(C94="","Chưa có ngày",IF(C94&gt;TODAY(),"Còn "&amp;(C94-TODAY())&amp;" ngày",IF(IF(D94="",C94,D94)&gt;=TODAY(),"Đang diễn ra","Đã qua "&amp;(TODAY()-IF(D94="",C94,D94))&amp;" ngày")))</f>
        <v/>
      </c>
      <c r="X94" s="14">
        <f>IF(AND(A94&lt;&gt;"",P94="Có",ISNUMBER(C94)),IF(IF(D94="",C94,D94)&gt;=TODAY()-35,C94+ROW()/100000,""),"")</f>
        <v/>
      </c>
    </row>
    <row r="95">
      <c r="A95" s="46" t="n"/>
      <c r="B95" s="12" t="n"/>
      <c r="C95" s="13" t="n"/>
      <c r="D95" s="13" t="n"/>
      <c r="E95" s="14" t="n"/>
      <c r="F95" s="14" t="n"/>
      <c r="G95" s="14" t="n"/>
      <c r="H95" s="14" t="n"/>
      <c r="I95" s="46" t="n"/>
      <c r="J95" s="46" t="n"/>
      <c r="K95" s="47" t="n"/>
      <c r="L95" s="47" t="n"/>
      <c r="M95" s="47" t="n"/>
      <c r="N95" s="47" t="n"/>
      <c r="O95" s="47" t="n"/>
      <c r="P95" s="47" t="n"/>
      <c r="Q95" s="14">
        <f>IF(A95="","",COUNTIFS('Giao việc'!$O$5:$O$3004,A95,'Giao việc'!$J$5:$J$3004,"&lt;&gt;Bỏ qua"))</f>
        <v/>
      </c>
      <c r="R95" s="14">
        <f>IF(A95="","",COUNTIFS('Giao việc'!$O$5:$O$3004,A95,'Giao việc'!$J$5:$J$3004,"Xong"))</f>
        <v/>
      </c>
      <c r="S95" s="14">
        <f>IF(A95="","",COUNTIFS('Giao việc'!$O$5:$O$3004,A95,'Giao việc'!$M$5:$M$3004,"*QUÁ HẠN*"))</f>
        <v/>
      </c>
      <c r="T95" s="14">
        <f>IF(A95="","",COUNTIFS('Giao việc'!$O$5:$O$3004,A95,'Giao việc'!$M$5:$M$3004,"*CHƯA GIAO*"))</f>
        <v/>
      </c>
      <c r="U95" s="15">
        <f>IF(OR(A95="",N(Q95)=0),"",R95/Q95)</f>
        <v/>
      </c>
      <c r="V95" s="16">
        <f>IF(U95="","",REPT("█",ROUND(U95*10,0))&amp;REPT("░",10-ROUND(U95*10,0)))</f>
        <v/>
      </c>
      <c r="W95" s="14">
        <f>IF(C95="","Chưa có ngày",IF(C95&gt;TODAY(),"Còn "&amp;(C95-TODAY())&amp;" ngày",IF(IF(D95="",C95,D95)&gt;=TODAY(),"Đang diễn ra","Đã qua "&amp;(TODAY()-IF(D95="",C95,D95))&amp;" ngày")))</f>
        <v/>
      </c>
      <c r="X95" s="14">
        <f>IF(AND(A95&lt;&gt;"",P95="Có",ISNUMBER(C95)),IF(IF(D95="",C95,D95)&gt;=TODAY()-35,C95+ROW()/100000,""),"")</f>
        <v/>
      </c>
    </row>
    <row r="96">
      <c r="A96" s="46" t="n"/>
      <c r="B96" s="12" t="n"/>
      <c r="C96" s="13" t="n"/>
      <c r="D96" s="13" t="n"/>
      <c r="E96" s="14" t="n"/>
      <c r="F96" s="14" t="n"/>
      <c r="G96" s="14" t="n"/>
      <c r="H96" s="14" t="n"/>
      <c r="I96" s="46" t="n"/>
      <c r="J96" s="46" t="n"/>
      <c r="K96" s="47" t="n"/>
      <c r="L96" s="47" t="n"/>
      <c r="M96" s="47" t="n"/>
      <c r="N96" s="47" t="n"/>
      <c r="O96" s="47" t="n"/>
      <c r="P96" s="47" t="n"/>
      <c r="Q96" s="14">
        <f>IF(A96="","",COUNTIFS('Giao việc'!$O$5:$O$3004,A96,'Giao việc'!$J$5:$J$3004,"&lt;&gt;Bỏ qua"))</f>
        <v/>
      </c>
      <c r="R96" s="14">
        <f>IF(A96="","",COUNTIFS('Giao việc'!$O$5:$O$3004,A96,'Giao việc'!$J$5:$J$3004,"Xong"))</f>
        <v/>
      </c>
      <c r="S96" s="14">
        <f>IF(A96="","",COUNTIFS('Giao việc'!$O$5:$O$3004,A96,'Giao việc'!$M$5:$M$3004,"*QUÁ HẠN*"))</f>
        <v/>
      </c>
      <c r="T96" s="14">
        <f>IF(A96="","",COUNTIFS('Giao việc'!$O$5:$O$3004,A96,'Giao việc'!$M$5:$M$3004,"*CHƯA GIAO*"))</f>
        <v/>
      </c>
      <c r="U96" s="15">
        <f>IF(OR(A96="",N(Q96)=0),"",R96/Q96)</f>
        <v/>
      </c>
      <c r="V96" s="16">
        <f>IF(U96="","",REPT("█",ROUND(U96*10,0))&amp;REPT("░",10-ROUND(U96*10,0)))</f>
        <v/>
      </c>
      <c r="W96" s="14">
        <f>IF(C96="","Chưa có ngày",IF(C96&gt;TODAY(),"Còn "&amp;(C96-TODAY())&amp;" ngày",IF(IF(D96="",C96,D96)&gt;=TODAY(),"Đang diễn ra","Đã qua "&amp;(TODAY()-IF(D96="",C96,D96))&amp;" ngày")))</f>
        <v/>
      </c>
      <c r="X96" s="14">
        <f>IF(AND(A96&lt;&gt;"",P96="Có",ISNUMBER(C96)),IF(IF(D96="",C96,D96)&gt;=TODAY()-35,C96+ROW()/100000,""),"")</f>
        <v/>
      </c>
    </row>
    <row r="97">
      <c r="A97" s="46" t="n"/>
      <c r="B97" s="12" t="n"/>
      <c r="C97" s="13" t="n"/>
      <c r="D97" s="13" t="n"/>
      <c r="E97" s="14" t="n"/>
      <c r="F97" s="14" t="n"/>
      <c r="G97" s="14" t="n"/>
      <c r="H97" s="14" t="n"/>
      <c r="I97" s="46" t="n"/>
      <c r="J97" s="46" t="n"/>
      <c r="K97" s="47" t="n"/>
      <c r="L97" s="47" t="n"/>
      <c r="M97" s="47" t="n"/>
      <c r="N97" s="47" t="n"/>
      <c r="O97" s="47" t="n"/>
      <c r="P97" s="47" t="n"/>
      <c r="Q97" s="14">
        <f>IF(A97="","",COUNTIFS('Giao việc'!$O$5:$O$3004,A97,'Giao việc'!$J$5:$J$3004,"&lt;&gt;Bỏ qua"))</f>
        <v/>
      </c>
      <c r="R97" s="14">
        <f>IF(A97="","",COUNTIFS('Giao việc'!$O$5:$O$3004,A97,'Giao việc'!$J$5:$J$3004,"Xong"))</f>
        <v/>
      </c>
      <c r="S97" s="14">
        <f>IF(A97="","",COUNTIFS('Giao việc'!$O$5:$O$3004,A97,'Giao việc'!$M$5:$M$3004,"*QUÁ HẠN*"))</f>
        <v/>
      </c>
      <c r="T97" s="14">
        <f>IF(A97="","",COUNTIFS('Giao việc'!$O$5:$O$3004,A97,'Giao việc'!$M$5:$M$3004,"*CHƯA GIAO*"))</f>
        <v/>
      </c>
      <c r="U97" s="15">
        <f>IF(OR(A97="",N(Q97)=0),"",R97/Q97)</f>
        <v/>
      </c>
      <c r="V97" s="16">
        <f>IF(U97="","",REPT("█",ROUND(U97*10,0))&amp;REPT("░",10-ROUND(U97*10,0)))</f>
        <v/>
      </c>
      <c r="W97" s="14">
        <f>IF(C97="","Chưa có ngày",IF(C97&gt;TODAY(),"Còn "&amp;(C97-TODAY())&amp;" ngày",IF(IF(D97="",C97,D97)&gt;=TODAY(),"Đang diễn ra","Đã qua "&amp;(TODAY()-IF(D97="",C97,D97))&amp;" ngày")))</f>
        <v/>
      </c>
      <c r="X97" s="14">
        <f>IF(AND(A97&lt;&gt;"",P97="Có",ISNUMBER(C97)),IF(IF(D97="",C97,D97)&gt;=TODAY()-35,C97+ROW()/100000,""),"")</f>
        <v/>
      </c>
    </row>
    <row r="98">
      <c r="A98" s="46" t="n"/>
      <c r="B98" s="12" t="n"/>
      <c r="C98" s="13" t="n"/>
      <c r="D98" s="13" t="n"/>
      <c r="E98" s="14" t="n"/>
      <c r="F98" s="14" t="n"/>
      <c r="G98" s="14" t="n"/>
      <c r="H98" s="14" t="n"/>
      <c r="I98" s="46" t="n"/>
      <c r="J98" s="46" t="n"/>
      <c r="K98" s="47" t="n"/>
      <c r="L98" s="47" t="n"/>
      <c r="M98" s="47" t="n"/>
      <c r="N98" s="47" t="n"/>
      <c r="O98" s="47" t="n"/>
      <c r="P98" s="47" t="n"/>
      <c r="Q98" s="14">
        <f>IF(A98="","",COUNTIFS('Giao việc'!$O$5:$O$3004,A98,'Giao việc'!$J$5:$J$3004,"&lt;&gt;Bỏ qua"))</f>
        <v/>
      </c>
      <c r="R98" s="14">
        <f>IF(A98="","",COUNTIFS('Giao việc'!$O$5:$O$3004,A98,'Giao việc'!$J$5:$J$3004,"Xong"))</f>
        <v/>
      </c>
      <c r="S98" s="14">
        <f>IF(A98="","",COUNTIFS('Giao việc'!$O$5:$O$3004,A98,'Giao việc'!$M$5:$M$3004,"*QUÁ HẠN*"))</f>
        <v/>
      </c>
      <c r="T98" s="14">
        <f>IF(A98="","",COUNTIFS('Giao việc'!$O$5:$O$3004,A98,'Giao việc'!$M$5:$M$3004,"*CHƯA GIAO*"))</f>
        <v/>
      </c>
      <c r="U98" s="15">
        <f>IF(OR(A98="",N(Q98)=0),"",R98/Q98)</f>
        <v/>
      </c>
      <c r="V98" s="16">
        <f>IF(U98="","",REPT("█",ROUND(U98*10,0))&amp;REPT("░",10-ROUND(U98*10,0)))</f>
        <v/>
      </c>
      <c r="W98" s="14">
        <f>IF(C98="","Chưa có ngày",IF(C98&gt;TODAY(),"Còn "&amp;(C98-TODAY())&amp;" ngày",IF(IF(D98="",C98,D98)&gt;=TODAY(),"Đang diễn ra","Đã qua "&amp;(TODAY()-IF(D98="",C98,D98))&amp;" ngày")))</f>
        <v/>
      </c>
      <c r="X98" s="14">
        <f>IF(AND(A98&lt;&gt;"",P98="Có",ISNUMBER(C98)),IF(IF(D98="",C98,D98)&gt;=TODAY()-35,C98+ROW()/100000,""),"")</f>
        <v/>
      </c>
    </row>
    <row r="99">
      <c r="A99" s="46" t="n"/>
      <c r="B99" s="12" t="n"/>
      <c r="C99" s="13" t="n"/>
      <c r="D99" s="13" t="n"/>
      <c r="E99" s="14" t="n"/>
      <c r="F99" s="14" t="n"/>
      <c r="G99" s="14" t="n"/>
      <c r="H99" s="14" t="n"/>
      <c r="I99" s="46" t="n"/>
      <c r="J99" s="46" t="n"/>
      <c r="K99" s="47" t="n"/>
      <c r="L99" s="47" t="n"/>
      <c r="M99" s="47" t="n"/>
      <c r="N99" s="47" t="n"/>
      <c r="O99" s="47" t="n"/>
      <c r="P99" s="47" t="n"/>
      <c r="Q99" s="14">
        <f>IF(A99="","",COUNTIFS('Giao việc'!$O$5:$O$3004,A99,'Giao việc'!$J$5:$J$3004,"&lt;&gt;Bỏ qua"))</f>
        <v/>
      </c>
      <c r="R99" s="14">
        <f>IF(A99="","",COUNTIFS('Giao việc'!$O$5:$O$3004,A99,'Giao việc'!$J$5:$J$3004,"Xong"))</f>
        <v/>
      </c>
      <c r="S99" s="14">
        <f>IF(A99="","",COUNTIFS('Giao việc'!$O$5:$O$3004,A99,'Giao việc'!$M$5:$M$3004,"*QUÁ HẠN*"))</f>
        <v/>
      </c>
      <c r="T99" s="14">
        <f>IF(A99="","",COUNTIFS('Giao việc'!$O$5:$O$3004,A99,'Giao việc'!$M$5:$M$3004,"*CHƯA GIAO*"))</f>
        <v/>
      </c>
      <c r="U99" s="15">
        <f>IF(OR(A99="",N(Q99)=0),"",R99/Q99)</f>
        <v/>
      </c>
      <c r="V99" s="16">
        <f>IF(U99="","",REPT("█",ROUND(U99*10,0))&amp;REPT("░",10-ROUND(U99*10,0)))</f>
        <v/>
      </c>
      <c r="W99" s="14">
        <f>IF(C99="","Chưa có ngày",IF(C99&gt;TODAY(),"Còn "&amp;(C99-TODAY())&amp;" ngày",IF(IF(D99="",C99,D99)&gt;=TODAY(),"Đang diễn ra","Đã qua "&amp;(TODAY()-IF(D99="",C99,D99))&amp;" ngày")))</f>
        <v/>
      </c>
      <c r="X99" s="14">
        <f>IF(AND(A99&lt;&gt;"",P99="Có",ISNUMBER(C99)),IF(IF(D99="",C99,D99)&gt;=TODAY()-35,C99+ROW()/100000,""),"")</f>
        <v/>
      </c>
    </row>
    <row r="100">
      <c r="A100" s="46" t="n"/>
      <c r="B100" s="12" t="n"/>
      <c r="C100" s="13" t="n"/>
      <c r="D100" s="13" t="n"/>
      <c r="E100" s="14" t="n"/>
      <c r="F100" s="14" t="n"/>
      <c r="G100" s="14" t="n"/>
      <c r="H100" s="14" t="n"/>
      <c r="I100" s="46" t="n"/>
      <c r="J100" s="46" t="n"/>
      <c r="K100" s="47" t="n"/>
      <c r="L100" s="47" t="n"/>
      <c r="M100" s="47" t="n"/>
      <c r="N100" s="47" t="n"/>
      <c r="O100" s="47" t="n"/>
      <c r="P100" s="47" t="n"/>
      <c r="Q100" s="14">
        <f>IF(A100="","",COUNTIFS('Giao việc'!$O$5:$O$3004,A100,'Giao việc'!$J$5:$J$3004,"&lt;&gt;Bỏ qua"))</f>
        <v/>
      </c>
      <c r="R100" s="14">
        <f>IF(A100="","",COUNTIFS('Giao việc'!$O$5:$O$3004,A100,'Giao việc'!$J$5:$J$3004,"Xong"))</f>
        <v/>
      </c>
      <c r="S100" s="14">
        <f>IF(A100="","",COUNTIFS('Giao việc'!$O$5:$O$3004,A100,'Giao việc'!$M$5:$M$3004,"*QUÁ HẠN*"))</f>
        <v/>
      </c>
      <c r="T100" s="14">
        <f>IF(A100="","",COUNTIFS('Giao việc'!$O$5:$O$3004,A100,'Giao việc'!$M$5:$M$3004,"*CHƯA GIAO*"))</f>
        <v/>
      </c>
      <c r="U100" s="15">
        <f>IF(OR(A100="",N(Q100)=0),"",R100/Q100)</f>
        <v/>
      </c>
      <c r="V100" s="16">
        <f>IF(U100="","",REPT("█",ROUND(U100*10,0))&amp;REPT("░",10-ROUND(U100*10,0)))</f>
        <v/>
      </c>
      <c r="W100" s="14">
        <f>IF(C100="","Chưa có ngày",IF(C100&gt;TODAY(),"Còn "&amp;(C100-TODAY())&amp;" ngày",IF(IF(D100="",C100,D100)&gt;=TODAY(),"Đang diễn ra","Đã qua "&amp;(TODAY()-IF(D100="",C100,D100))&amp;" ngày")))</f>
        <v/>
      </c>
      <c r="X100" s="14">
        <f>IF(AND(A100&lt;&gt;"",P100="Có",ISNUMBER(C100)),IF(IF(D100="",C100,D100)&gt;=TODAY()-35,C100+ROW()/100000,""),"")</f>
        <v/>
      </c>
    </row>
    <row r="101">
      <c r="A101" s="46" t="n"/>
      <c r="B101" s="12" t="n"/>
      <c r="C101" s="13" t="n"/>
      <c r="D101" s="13" t="n"/>
      <c r="E101" s="14" t="n"/>
      <c r="F101" s="14" t="n"/>
      <c r="G101" s="14" t="n"/>
      <c r="H101" s="14" t="n"/>
      <c r="I101" s="46" t="n"/>
      <c r="J101" s="46" t="n"/>
      <c r="K101" s="47" t="n"/>
      <c r="L101" s="47" t="n"/>
      <c r="M101" s="47" t="n"/>
      <c r="N101" s="47" t="n"/>
      <c r="O101" s="47" t="n"/>
      <c r="P101" s="47" t="n"/>
      <c r="Q101" s="14">
        <f>IF(A101="","",COUNTIFS('Giao việc'!$O$5:$O$3004,A101,'Giao việc'!$J$5:$J$3004,"&lt;&gt;Bỏ qua"))</f>
        <v/>
      </c>
      <c r="R101" s="14">
        <f>IF(A101="","",COUNTIFS('Giao việc'!$O$5:$O$3004,A101,'Giao việc'!$J$5:$J$3004,"Xong"))</f>
        <v/>
      </c>
      <c r="S101" s="14">
        <f>IF(A101="","",COUNTIFS('Giao việc'!$O$5:$O$3004,A101,'Giao việc'!$M$5:$M$3004,"*QUÁ HẠN*"))</f>
        <v/>
      </c>
      <c r="T101" s="14">
        <f>IF(A101="","",COUNTIFS('Giao việc'!$O$5:$O$3004,A101,'Giao việc'!$M$5:$M$3004,"*CHƯA GIAO*"))</f>
        <v/>
      </c>
      <c r="U101" s="15">
        <f>IF(OR(A101="",N(Q101)=0),"",R101/Q101)</f>
        <v/>
      </c>
      <c r="V101" s="16">
        <f>IF(U101="","",REPT("█",ROUND(U101*10,0))&amp;REPT("░",10-ROUND(U101*10,0)))</f>
        <v/>
      </c>
      <c r="W101" s="14">
        <f>IF(C101="","Chưa có ngày",IF(C101&gt;TODAY(),"Còn "&amp;(C101-TODAY())&amp;" ngày",IF(IF(D101="",C101,D101)&gt;=TODAY(),"Đang diễn ra","Đã qua "&amp;(TODAY()-IF(D101="",C101,D101))&amp;" ngày")))</f>
        <v/>
      </c>
      <c r="X101" s="14">
        <f>IF(AND(A101&lt;&gt;"",P101="Có",ISNUMBER(C101)),IF(IF(D101="",C101,D101)&gt;=TODAY()-35,C101+ROW()/100000,""),"")</f>
        <v/>
      </c>
    </row>
    <row r="102">
      <c r="A102" s="46" t="n"/>
      <c r="B102" s="12" t="n"/>
      <c r="C102" s="13" t="n"/>
      <c r="D102" s="13" t="n"/>
      <c r="E102" s="14" t="n"/>
      <c r="F102" s="14" t="n"/>
      <c r="G102" s="14" t="n"/>
      <c r="H102" s="14" t="n"/>
      <c r="I102" s="46" t="n"/>
      <c r="J102" s="46" t="n"/>
      <c r="K102" s="47" t="n"/>
      <c r="L102" s="47" t="n"/>
      <c r="M102" s="47" t="n"/>
      <c r="N102" s="47" t="n"/>
      <c r="O102" s="47" t="n"/>
      <c r="P102" s="47" t="n"/>
      <c r="Q102" s="14">
        <f>IF(A102="","",COUNTIFS('Giao việc'!$O$5:$O$3004,A102,'Giao việc'!$J$5:$J$3004,"&lt;&gt;Bỏ qua"))</f>
        <v/>
      </c>
      <c r="R102" s="14">
        <f>IF(A102="","",COUNTIFS('Giao việc'!$O$5:$O$3004,A102,'Giao việc'!$J$5:$J$3004,"Xong"))</f>
        <v/>
      </c>
      <c r="S102" s="14">
        <f>IF(A102="","",COUNTIFS('Giao việc'!$O$5:$O$3004,A102,'Giao việc'!$M$5:$M$3004,"*QUÁ HẠN*"))</f>
        <v/>
      </c>
      <c r="T102" s="14">
        <f>IF(A102="","",COUNTIFS('Giao việc'!$O$5:$O$3004,A102,'Giao việc'!$M$5:$M$3004,"*CHƯA GIAO*"))</f>
        <v/>
      </c>
      <c r="U102" s="15">
        <f>IF(OR(A102="",N(Q102)=0),"",R102/Q102)</f>
        <v/>
      </c>
      <c r="V102" s="16">
        <f>IF(U102="","",REPT("█",ROUND(U102*10,0))&amp;REPT("░",10-ROUND(U102*10,0)))</f>
        <v/>
      </c>
      <c r="W102" s="14">
        <f>IF(C102="","Chưa có ngày",IF(C102&gt;TODAY(),"Còn "&amp;(C102-TODAY())&amp;" ngày",IF(IF(D102="",C102,D102)&gt;=TODAY(),"Đang diễn ra","Đã qua "&amp;(TODAY()-IF(D102="",C102,D102))&amp;" ngày")))</f>
        <v/>
      </c>
      <c r="X102" s="14">
        <f>IF(AND(A102&lt;&gt;"",P102="Có",ISNUMBER(C102)),IF(IF(D102="",C102,D102)&gt;=TODAY()-35,C102+ROW()/100000,""),"")</f>
        <v/>
      </c>
    </row>
    <row r="103">
      <c r="A103" s="46" t="n"/>
      <c r="B103" s="12" t="n"/>
      <c r="C103" s="13" t="n"/>
      <c r="D103" s="13" t="n"/>
      <c r="E103" s="14" t="n"/>
      <c r="F103" s="14" t="n"/>
      <c r="G103" s="14" t="n"/>
      <c r="H103" s="14" t="n"/>
      <c r="I103" s="46" t="n"/>
      <c r="J103" s="46" t="n"/>
      <c r="K103" s="47" t="n"/>
      <c r="L103" s="47" t="n"/>
      <c r="M103" s="47" t="n"/>
      <c r="N103" s="47" t="n"/>
      <c r="O103" s="47" t="n"/>
      <c r="P103" s="47" t="n"/>
      <c r="Q103" s="14">
        <f>IF(A103="","",COUNTIFS('Giao việc'!$O$5:$O$3004,A103,'Giao việc'!$J$5:$J$3004,"&lt;&gt;Bỏ qua"))</f>
        <v/>
      </c>
      <c r="R103" s="14">
        <f>IF(A103="","",COUNTIFS('Giao việc'!$O$5:$O$3004,A103,'Giao việc'!$J$5:$J$3004,"Xong"))</f>
        <v/>
      </c>
      <c r="S103" s="14">
        <f>IF(A103="","",COUNTIFS('Giao việc'!$O$5:$O$3004,A103,'Giao việc'!$M$5:$M$3004,"*QUÁ HẠN*"))</f>
        <v/>
      </c>
      <c r="T103" s="14">
        <f>IF(A103="","",COUNTIFS('Giao việc'!$O$5:$O$3004,A103,'Giao việc'!$M$5:$M$3004,"*CHƯA GIAO*"))</f>
        <v/>
      </c>
      <c r="U103" s="15">
        <f>IF(OR(A103="",N(Q103)=0),"",R103/Q103)</f>
        <v/>
      </c>
      <c r="V103" s="16">
        <f>IF(U103="","",REPT("█",ROUND(U103*10,0))&amp;REPT("░",10-ROUND(U103*10,0)))</f>
        <v/>
      </c>
      <c r="W103" s="14">
        <f>IF(C103="","Chưa có ngày",IF(C103&gt;TODAY(),"Còn "&amp;(C103-TODAY())&amp;" ngày",IF(IF(D103="",C103,D103)&gt;=TODAY(),"Đang diễn ra","Đã qua "&amp;(TODAY()-IF(D103="",C103,D103))&amp;" ngày")))</f>
        <v/>
      </c>
      <c r="X103" s="14">
        <f>IF(AND(A103&lt;&gt;"",P103="Có",ISNUMBER(C103)),IF(IF(D103="",C103,D103)&gt;=TODAY()-35,C103+ROW()/100000,""),"")</f>
        <v/>
      </c>
    </row>
    <row r="104">
      <c r="A104" s="46" t="n"/>
      <c r="B104" s="12" t="n"/>
      <c r="C104" s="13" t="n"/>
      <c r="D104" s="13" t="n"/>
      <c r="E104" s="14" t="n"/>
      <c r="F104" s="14" t="n"/>
      <c r="G104" s="14" t="n"/>
      <c r="H104" s="14" t="n"/>
      <c r="I104" s="46" t="n"/>
      <c r="J104" s="46" t="n"/>
      <c r="K104" s="47" t="n"/>
      <c r="L104" s="47" t="n"/>
      <c r="M104" s="47" t="n"/>
      <c r="N104" s="47" t="n"/>
      <c r="O104" s="47" t="n"/>
      <c r="P104" s="47" t="n"/>
      <c r="Q104" s="14">
        <f>IF(A104="","",COUNTIFS('Giao việc'!$O$5:$O$3004,A104,'Giao việc'!$J$5:$J$3004,"&lt;&gt;Bỏ qua"))</f>
        <v/>
      </c>
      <c r="R104" s="14">
        <f>IF(A104="","",COUNTIFS('Giao việc'!$O$5:$O$3004,A104,'Giao việc'!$J$5:$J$3004,"Xong"))</f>
        <v/>
      </c>
      <c r="S104" s="14">
        <f>IF(A104="","",COUNTIFS('Giao việc'!$O$5:$O$3004,A104,'Giao việc'!$M$5:$M$3004,"*QUÁ HẠN*"))</f>
        <v/>
      </c>
      <c r="T104" s="14">
        <f>IF(A104="","",COUNTIFS('Giao việc'!$O$5:$O$3004,A104,'Giao việc'!$M$5:$M$3004,"*CHƯA GIAO*"))</f>
        <v/>
      </c>
      <c r="U104" s="15">
        <f>IF(OR(A104="",N(Q104)=0),"",R104/Q104)</f>
        <v/>
      </c>
      <c r="V104" s="16">
        <f>IF(U104="","",REPT("█",ROUND(U104*10,0))&amp;REPT("░",10-ROUND(U104*10,0)))</f>
        <v/>
      </c>
      <c r="W104" s="14">
        <f>IF(C104="","Chưa có ngày",IF(C104&gt;TODAY(),"Còn "&amp;(C104-TODAY())&amp;" ngày",IF(IF(D104="",C104,D104)&gt;=TODAY(),"Đang diễn ra","Đã qua "&amp;(TODAY()-IF(D104="",C104,D104))&amp;" ngày")))</f>
        <v/>
      </c>
      <c r="X104" s="14">
        <f>IF(AND(A104&lt;&gt;"",P104="Có",ISNUMBER(C104)),IF(IF(D104="",C104,D104)&gt;=TODAY()-35,C104+ROW()/100000,""),"")</f>
        <v/>
      </c>
    </row>
    <row r="105">
      <c r="A105" s="46" t="n"/>
      <c r="B105" s="12" t="n"/>
      <c r="C105" s="13" t="n"/>
      <c r="D105" s="13" t="n"/>
      <c r="E105" s="14" t="n"/>
      <c r="F105" s="14" t="n"/>
      <c r="G105" s="14" t="n"/>
      <c r="H105" s="14" t="n"/>
      <c r="I105" s="46" t="n"/>
      <c r="J105" s="46" t="n"/>
      <c r="K105" s="47" t="n"/>
      <c r="L105" s="47" t="n"/>
      <c r="M105" s="47" t="n"/>
      <c r="N105" s="47" t="n"/>
      <c r="O105" s="47" t="n"/>
      <c r="P105" s="47" t="n"/>
      <c r="Q105" s="14">
        <f>IF(A105="","",COUNTIFS('Giao việc'!$O$5:$O$3004,A105,'Giao việc'!$J$5:$J$3004,"&lt;&gt;Bỏ qua"))</f>
        <v/>
      </c>
      <c r="R105" s="14">
        <f>IF(A105="","",COUNTIFS('Giao việc'!$O$5:$O$3004,A105,'Giao việc'!$J$5:$J$3004,"Xong"))</f>
        <v/>
      </c>
      <c r="S105" s="14">
        <f>IF(A105="","",COUNTIFS('Giao việc'!$O$5:$O$3004,A105,'Giao việc'!$M$5:$M$3004,"*QUÁ HẠN*"))</f>
        <v/>
      </c>
      <c r="T105" s="14">
        <f>IF(A105="","",COUNTIFS('Giao việc'!$O$5:$O$3004,A105,'Giao việc'!$M$5:$M$3004,"*CHƯA GIAO*"))</f>
        <v/>
      </c>
      <c r="U105" s="15">
        <f>IF(OR(A105="",N(Q105)=0),"",R105/Q105)</f>
        <v/>
      </c>
      <c r="V105" s="16">
        <f>IF(U105="","",REPT("█",ROUND(U105*10,0))&amp;REPT("░",10-ROUND(U105*10,0)))</f>
        <v/>
      </c>
      <c r="W105" s="14">
        <f>IF(C105="","Chưa có ngày",IF(C105&gt;TODAY(),"Còn "&amp;(C105-TODAY())&amp;" ngày",IF(IF(D105="",C105,D105)&gt;=TODAY(),"Đang diễn ra","Đã qua "&amp;(TODAY()-IF(D105="",C105,D105))&amp;" ngày")))</f>
        <v/>
      </c>
      <c r="X105" s="14">
        <f>IF(AND(A105&lt;&gt;"",P105="Có",ISNUMBER(C105)),IF(IF(D105="",C105,D105)&gt;=TODAY()-35,C105+ROW()/100000,""),"")</f>
        <v/>
      </c>
    </row>
    <row r="106">
      <c r="A106" s="46" t="n"/>
      <c r="B106" s="12" t="n"/>
      <c r="C106" s="13" t="n"/>
      <c r="D106" s="13" t="n"/>
      <c r="E106" s="14" t="n"/>
      <c r="F106" s="14" t="n"/>
      <c r="G106" s="14" t="n"/>
      <c r="H106" s="14" t="n"/>
      <c r="I106" s="46" t="n"/>
      <c r="J106" s="46" t="n"/>
      <c r="K106" s="47" t="n"/>
      <c r="L106" s="47" t="n"/>
      <c r="M106" s="47" t="n"/>
      <c r="N106" s="47" t="n"/>
      <c r="O106" s="47" t="n"/>
      <c r="P106" s="47" t="n"/>
      <c r="Q106" s="14">
        <f>IF(A106="","",COUNTIFS('Giao việc'!$O$5:$O$3004,A106,'Giao việc'!$J$5:$J$3004,"&lt;&gt;Bỏ qua"))</f>
        <v/>
      </c>
      <c r="R106" s="14">
        <f>IF(A106="","",COUNTIFS('Giao việc'!$O$5:$O$3004,A106,'Giao việc'!$J$5:$J$3004,"Xong"))</f>
        <v/>
      </c>
      <c r="S106" s="14">
        <f>IF(A106="","",COUNTIFS('Giao việc'!$O$5:$O$3004,A106,'Giao việc'!$M$5:$M$3004,"*QUÁ HẠN*"))</f>
        <v/>
      </c>
      <c r="T106" s="14">
        <f>IF(A106="","",COUNTIFS('Giao việc'!$O$5:$O$3004,A106,'Giao việc'!$M$5:$M$3004,"*CHƯA GIAO*"))</f>
        <v/>
      </c>
      <c r="U106" s="15">
        <f>IF(OR(A106="",N(Q106)=0),"",R106/Q106)</f>
        <v/>
      </c>
      <c r="V106" s="16">
        <f>IF(U106="","",REPT("█",ROUND(U106*10,0))&amp;REPT("░",10-ROUND(U106*10,0)))</f>
        <v/>
      </c>
      <c r="W106" s="14">
        <f>IF(C106="","Chưa có ngày",IF(C106&gt;TODAY(),"Còn "&amp;(C106-TODAY())&amp;" ngày",IF(IF(D106="",C106,D106)&gt;=TODAY(),"Đang diễn ra","Đã qua "&amp;(TODAY()-IF(D106="",C106,D106))&amp;" ngày")))</f>
        <v/>
      </c>
      <c r="X106" s="14">
        <f>IF(AND(A106&lt;&gt;"",P106="Có",ISNUMBER(C106)),IF(IF(D106="",C106,D106)&gt;=TODAY()-35,C106+ROW()/100000,""),"")</f>
        <v/>
      </c>
    </row>
    <row r="107">
      <c r="A107" s="46" t="n"/>
      <c r="B107" s="12" t="n"/>
      <c r="C107" s="13" t="n"/>
      <c r="D107" s="13" t="n"/>
      <c r="E107" s="14" t="n"/>
      <c r="F107" s="14" t="n"/>
      <c r="G107" s="14" t="n"/>
      <c r="H107" s="14" t="n"/>
      <c r="I107" s="46" t="n"/>
      <c r="J107" s="46" t="n"/>
      <c r="K107" s="47" t="n"/>
      <c r="L107" s="47" t="n"/>
      <c r="M107" s="47" t="n"/>
      <c r="N107" s="47" t="n"/>
      <c r="O107" s="47" t="n"/>
      <c r="P107" s="47" t="n"/>
      <c r="Q107" s="14">
        <f>IF(A107="","",COUNTIFS('Giao việc'!$O$5:$O$3004,A107,'Giao việc'!$J$5:$J$3004,"&lt;&gt;Bỏ qua"))</f>
        <v/>
      </c>
      <c r="R107" s="14">
        <f>IF(A107="","",COUNTIFS('Giao việc'!$O$5:$O$3004,A107,'Giao việc'!$J$5:$J$3004,"Xong"))</f>
        <v/>
      </c>
      <c r="S107" s="14">
        <f>IF(A107="","",COUNTIFS('Giao việc'!$O$5:$O$3004,A107,'Giao việc'!$M$5:$M$3004,"*QUÁ HẠN*"))</f>
        <v/>
      </c>
      <c r="T107" s="14">
        <f>IF(A107="","",COUNTIFS('Giao việc'!$O$5:$O$3004,A107,'Giao việc'!$M$5:$M$3004,"*CHƯA GIAO*"))</f>
        <v/>
      </c>
      <c r="U107" s="15">
        <f>IF(OR(A107="",N(Q107)=0),"",R107/Q107)</f>
        <v/>
      </c>
      <c r="V107" s="16">
        <f>IF(U107="","",REPT("█",ROUND(U107*10,0))&amp;REPT("░",10-ROUND(U107*10,0)))</f>
        <v/>
      </c>
      <c r="W107" s="14">
        <f>IF(C107="","Chưa có ngày",IF(C107&gt;TODAY(),"Còn "&amp;(C107-TODAY())&amp;" ngày",IF(IF(D107="",C107,D107)&gt;=TODAY(),"Đang diễn ra","Đã qua "&amp;(TODAY()-IF(D107="",C107,D107))&amp;" ngày")))</f>
        <v/>
      </c>
      <c r="X107" s="14">
        <f>IF(AND(A107&lt;&gt;"",P107="Có",ISNUMBER(C107)),IF(IF(D107="",C107,D107)&gt;=TODAY()-35,C107+ROW()/100000,""),"")</f>
        <v/>
      </c>
    </row>
    <row r="108">
      <c r="A108" s="46" t="n"/>
      <c r="B108" s="12" t="n"/>
      <c r="C108" s="13" t="n"/>
      <c r="D108" s="13" t="n"/>
      <c r="E108" s="14" t="n"/>
      <c r="F108" s="14" t="n"/>
      <c r="G108" s="14" t="n"/>
      <c r="H108" s="14" t="n"/>
      <c r="I108" s="46" t="n"/>
      <c r="J108" s="46" t="n"/>
      <c r="K108" s="47" t="n"/>
      <c r="L108" s="47" t="n"/>
      <c r="M108" s="47" t="n"/>
      <c r="N108" s="47" t="n"/>
      <c r="O108" s="47" t="n"/>
      <c r="P108" s="47" t="n"/>
      <c r="Q108" s="14">
        <f>IF(A108="","",COUNTIFS('Giao việc'!$O$5:$O$3004,A108,'Giao việc'!$J$5:$J$3004,"&lt;&gt;Bỏ qua"))</f>
        <v/>
      </c>
      <c r="R108" s="14">
        <f>IF(A108="","",COUNTIFS('Giao việc'!$O$5:$O$3004,A108,'Giao việc'!$J$5:$J$3004,"Xong"))</f>
        <v/>
      </c>
      <c r="S108" s="14">
        <f>IF(A108="","",COUNTIFS('Giao việc'!$O$5:$O$3004,A108,'Giao việc'!$M$5:$M$3004,"*QUÁ HẠN*"))</f>
        <v/>
      </c>
      <c r="T108" s="14">
        <f>IF(A108="","",COUNTIFS('Giao việc'!$O$5:$O$3004,A108,'Giao việc'!$M$5:$M$3004,"*CHƯA GIAO*"))</f>
        <v/>
      </c>
      <c r="U108" s="15">
        <f>IF(OR(A108="",N(Q108)=0),"",R108/Q108)</f>
        <v/>
      </c>
      <c r="V108" s="16">
        <f>IF(U108="","",REPT("█",ROUND(U108*10,0))&amp;REPT("░",10-ROUND(U108*10,0)))</f>
        <v/>
      </c>
      <c r="W108" s="14">
        <f>IF(C108="","Chưa có ngày",IF(C108&gt;TODAY(),"Còn "&amp;(C108-TODAY())&amp;" ngày",IF(IF(D108="",C108,D108)&gt;=TODAY(),"Đang diễn ra","Đã qua "&amp;(TODAY()-IF(D108="",C108,D108))&amp;" ngày")))</f>
        <v/>
      </c>
      <c r="X108" s="14">
        <f>IF(AND(A108&lt;&gt;"",P108="Có",ISNUMBER(C108)),IF(IF(D108="",C108,D108)&gt;=TODAY()-35,C108+ROW()/100000,""),"")</f>
        <v/>
      </c>
    </row>
    <row r="109">
      <c r="A109" s="46" t="n"/>
      <c r="B109" s="12" t="n"/>
      <c r="C109" s="13" t="n"/>
      <c r="D109" s="13" t="n"/>
      <c r="E109" s="14" t="n"/>
      <c r="F109" s="14" t="n"/>
      <c r="G109" s="14" t="n"/>
      <c r="H109" s="14" t="n"/>
      <c r="I109" s="46" t="n"/>
      <c r="J109" s="46" t="n"/>
      <c r="K109" s="47" t="n"/>
      <c r="L109" s="47" t="n"/>
      <c r="M109" s="47" t="n"/>
      <c r="N109" s="47" t="n"/>
      <c r="O109" s="47" t="n"/>
      <c r="P109" s="47" t="n"/>
      <c r="Q109" s="14">
        <f>IF(A109="","",COUNTIFS('Giao việc'!$O$5:$O$3004,A109,'Giao việc'!$J$5:$J$3004,"&lt;&gt;Bỏ qua"))</f>
        <v/>
      </c>
      <c r="R109" s="14">
        <f>IF(A109="","",COUNTIFS('Giao việc'!$O$5:$O$3004,A109,'Giao việc'!$J$5:$J$3004,"Xong"))</f>
        <v/>
      </c>
      <c r="S109" s="14">
        <f>IF(A109="","",COUNTIFS('Giao việc'!$O$5:$O$3004,A109,'Giao việc'!$M$5:$M$3004,"*QUÁ HẠN*"))</f>
        <v/>
      </c>
      <c r="T109" s="14">
        <f>IF(A109="","",COUNTIFS('Giao việc'!$O$5:$O$3004,A109,'Giao việc'!$M$5:$M$3004,"*CHƯA GIAO*"))</f>
        <v/>
      </c>
      <c r="U109" s="15">
        <f>IF(OR(A109="",N(Q109)=0),"",R109/Q109)</f>
        <v/>
      </c>
      <c r="V109" s="16">
        <f>IF(U109="","",REPT("█",ROUND(U109*10,0))&amp;REPT("░",10-ROUND(U109*10,0)))</f>
        <v/>
      </c>
      <c r="W109" s="14">
        <f>IF(C109="","Chưa có ngày",IF(C109&gt;TODAY(),"Còn "&amp;(C109-TODAY())&amp;" ngày",IF(IF(D109="",C109,D109)&gt;=TODAY(),"Đang diễn ra","Đã qua "&amp;(TODAY()-IF(D109="",C109,D109))&amp;" ngày")))</f>
        <v/>
      </c>
      <c r="X109" s="14">
        <f>IF(AND(A109&lt;&gt;"",P109="Có",ISNUMBER(C109)),IF(IF(D109="",C109,D109)&gt;=TODAY()-35,C109+ROW()/100000,""),"")</f>
        <v/>
      </c>
    </row>
    <row r="110">
      <c r="A110" s="46" t="n"/>
      <c r="B110" s="12" t="n"/>
      <c r="C110" s="13" t="n"/>
      <c r="D110" s="13" t="n"/>
      <c r="E110" s="14" t="n"/>
      <c r="F110" s="14" t="n"/>
      <c r="G110" s="14" t="n"/>
      <c r="H110" s="14" t="n"/>
      <c r="I110" s="46" t="n"/>
      <c r="J110" s="46" t="n"/>
      <c r="K110" s="47" t="n"/>
      <c r="L110" s="47" t="n"/>
      <c r="M110" s="47" t="n"/>
      <c r="N110" s="47" t="n"/>
      <c r="O110" s="47" t="n"/>
      <c r="P110" s="47" t="n"/>
      <c r="Q110" s="14">
        <f>IF(A110="","",COUNTIFS('Giao việc'!$O$5:$O$3004,A110,'Giao việc'!$J$5:$J$3004,"&lt;&gt;Bỏ qua"))</f>
        <v/>
      </c>
      <c r="R110" s="14">
        <f>IF(A110="","",COUNTIFS('Giao việc'!$O$5:$O$3004,A110,'Giao việc'!$J$5:$J$3004,"Xong"))</f>
        <v/>
      </c>
      <c r="S110" s="14">
        <f>IF(A110="","",COUNTIFS('Giao việc'!$O$5:$O$3004,A110,'Giao việc'!$M$5:$M$3004,"*QUÁ HẠN*"))</f>
        <v/>
      </c>
      <c r="T110" s="14">
        <f>IF(A110="","",COUNTIFS('Giao việc'!$O$5:$O$3004,A110,'Giao việc'!$M$5:$M$3004,"*CHƯA GIAO*"))</f>
        <v/>
      </c>
      <c r="U110" s="15">
        <f>IF(OR(A110="",N(Q110)=0),"",R110/Q110)</f>
        <v/>
      </c>
      <c r="V110" s="16">
        <f>IF(U110="","",REPT("█",ROUND(U110*10,0))&amp;REPT("░",10-ROUND(U110*10,0)))</f>
        <v/>
      </c>
      <c r="W110" s="14">
        <f>IF(C110="","Chưa có ngày",IF(C110&gt;TODAY(),"Còn "&amp;(C110-TODAY())&amp;" ngày",IF(IF(D110="",C110,D110)&gt;=TODAY(),"Đang diễn ra","Đã qua "&amp;(TODAY()-IF(D110="",C110,D110))&amp;" ngày")))</f>
        <v/>
      </c>
      <c r="X110" s="14">
        <f>IF(AND(A110&lt;&gt;"",P110="Có",ISNUMBER(C110)),IF(IF(D110="",C110,D110)&gt;=TODAY()-35,C110+ROW()/100000,""),"")</f>
        <v/>
      </c>
    </row>
    <row r="111">
      <c r="A111" s="46" t="n"/>
      <c r="B111" s="12" t="n"/>
      <c r="C111" s="13" t="n"/>
      <c r="D111" s="13" t="n"/>
      <c r="E111" s="14" t="n"/>
      <c r="F111" s="14" t="n"/>
      <c r="G111" s="14" t="n"/>
      <c r="H111" s="14" t="n"/>
      <c r="I111" s="46" t="n"/>
      <c r="J111" s="46" t="n"/>
      <c r="K111" s="47" t="n"/>
      <c r="L111" s="47" t="n"/>
      <c r="M111" s="47" t="n"/>
      <c r="N111" s="47" t="n"/>
      <c r="O111" s="47" t="n"/>
      <c r="P111" s="47" t="n"/>
      <c r="Q111" s="14">
        <f>IF(A111="","",COUNTIFS('Giao việc'!$O$5:$O$3004,A111,'Giao việc'!$J$5:$J$3004,"&lt;&gt;Bỏ qua"))</f>
        <v/>
      </c>
      <c r="R111" s="14">
        <f>IF(A111="","",COUNTIFS('Giao việc'!$O$5:$O$3004,A111,'Giao việc'!$J$5:$J$3004,"Xong"))</f>
        <v/>
      </c>
      <c r="S111" s="14">
        <f>IF(A111="","",COUNTIFS('Giao việc'!$O$5:$O$3004,A111,'Giao việc'!$M$5:$M$3004,"*QUÁ HẠN*"))</f>
        <v/>
      </c>
      <c r="T111" s="14">
        <f>IF(A111="","",COUNTIFS('Giao việc'!$O$5:$O$3004,A111,'Giao việc'!$M$5:$M$3004,"*CHƯA GIAO*"))</f>
        <v/>
      </c>
      <c r="U111" s="15">
        <f>IF(OR(A111="",N(Q111)=0),"",R111/Q111)</f>
        <v/>
      </c>
      <c r="V111" s="16">
        <f>IF(U111="","",REPT("█",ROUND(U111*10,0))&amp;REPT("░",10-ROUND(U111*10,0)))</f>
        <v/>
      </c>
      <c r="W111" s="14">
        <f>IF(C111="","Chưa có ngày",IF(C111&gt;TODAY(),"Còn "&amp;(C111-TODAY())&amp;" ngày",IF(IF(D111="",C111,D111)&gt;=TODAY(),"Đang diễn ra","Đã qua "&amp;(TODAY()-IF(D111="",C111,D111))&amp;" ngày")))</f>
        <v/>
      </c>
      <c r="X111" s="14">
        <f>IF(AND(A111&lt;&gt;"",P111="Có",ISNUMBER(C111)),IF(IF(D111="",C111,D111)&gt;=TODAY()-35,C111+ROW()/100000,""),"")</f>
        <v/>
      </c>
    </row>
    <row r="112">
      <c r="A112" s="46" t="n"/>
      <c r="B112" s="12" t="n"/>
      <c r="C112" s="13" t="n"/>
      <c r="D112" s="13" t="n"/>
      <c r="E112" s="14" t="n"/>
      <c r="F112" s="14" t="n"/>
      <c r="G112" s="14" t="n"/>
      <c r="H112" s="14" t="n"/>
      <c r="I112" s="46" t="n"/>
      <c r="J112" s="46" t="n"/>
      <c r="K112" s="47" t="n"/>
      <c r="L112" s="47" t="n"/>
      <c r="M112" s="47" t="n"/>
      <c r="N112" s="47" t="n"/>
      <c r="O112" s="47" t="n"/>
      <c r="P112" s="47" t="n"/>
      <c r="Q112" s="14">
        <f>IF(A112="","",COUNTIFS('Giao việc'!$O$5:$O$3004,A112,'Giao việc'!$J$5:$J$3004,"&lt;&gt;Bỏ qua"))</f>
        <v/>
      </c>
      <c r="R112" s="14">
        <f>IF(A112="","",COUNTIFS('Giao việc'!$O$5:$O$3004,A112,'Giao việc'!$J$5:$J$3004,"Xong"))</f>
        <v/>
      </c>
      <c r="S112" s="14">
        <f>IF(A112="","",COUNTIFS('Giao việc'!$O$5:$O$3004,A112,'Giao việc'!$M$5:$M$3004,"*QUÁ HẠN*"))</f>
        <v/>
      </c>
      <c r="T112" s="14">
        <f>IF(A112="","",COUNTIFS('Giao việc'!$O$5:$O$3004,A112,'Giao việc'!$M$5:$M$3004,"*CHƯA GIAO*"))</f>
        <v/>
      </c>
      <c r="U112" s="15">
        <f>IF(OR(A112="",N(Q112)=0),"",R112/Q112)</f>
        <v/>
      </c>
      <c r="V112" s="16">
        <f>IF(U112="","",REPT("█",ROUND(U112*10,0))&amp;REPT("░",10-ROUND(U112*10,0)))</f>
        <v/>
      </c>
      <c r="W112" s="14">
        <f>IF(C112="","Chưa có ngày",IF(C112&gt;TODAY(),"Còn "&amp;(C112-TODAY())&amp;" ngày",IF(IF(D112="",C112,D112)&gt;=TODAY(),"Đang diễn ra","Đã qua "&amp;(TODAY()-IF(D112="",C112,D112))&amp;" ngày")))</f>
        <v/>
      </c>
      <c r="X112" s="14">
        <f>IF(AND(A112&lt;&gt;"",P112="Có",ISNUMBER(C112)),IF(IF(D112="",C112,D112)&gt;=TODAY()-35,C112+ROW()/100000,""),"")</f>
        <v/>
      </c>
    </row>
    <row r="113">
      <c r="A113" s="46" t="n"/>
      <c r="B113" s="12" t="n"/>
      <c r="C113" s="13" t="n"/>
      <c r="D113" s="13" t="n"/>
      <c r="E113" s="14" t="n"/>
      <c r="F113" s="14" t="n"/>
      <c r="G113" s="14" t="n"/>
      <c r="H113" s="14" t="n"/>
      <c r="I113" s="46" t="n"/>
      <c r="J113" s="46" t="n"/>
      <c r="K113" s="47" t="n"/>
      <c r="L113" s="47" t="n"/>
      <c r="M113" s="47" t="n"/>
      <c r="N113" s="47" t="n"/>
      <c r="O113" s="47" t="n"/>
      <c r="P113" s="47" t="n"/>
      <c r="Q113" s="14">
        <f>IF(A113="","",COUNTIFS('Giao việc'!$O$5:$O$3004,A113,'Giao việc'!$J$5:$J$3004,"&lt;&gt;Bỏ qua"))</f>
        <v/>
      </c>
      <c r="R113" s="14">
        <f>IF(A113="","",COUNTIFS('Giao việc'!$O$5:$O$3004,A113,'Giao việc'!$J$5:$J$3004,"Xong"))</f>
        <v/>
      </c>
      <c r="S113" s="14">
        <f>IF(A113="","",COUNTIFS('Giao việc'!$O$5:$O$3004,A113,'Giao việc'!$M$5:$M$3004,"*QUÁ HẠN*"))</f>
        <v/>
      </c>
      <c r="T113" s="14">
        <f>IF(A113="","",COUNTIFS('Giao việc'!$O$5:$O$3004,A113,'Giao việc'!$M$5:$M$3004,"*CHƯA GIAO*"))</f>
        <v/>
      </c>
      <c r="U113" s="15">
        <f>IF(OR(A113="",N(Q113)=0),"",R113/Q113)</f>
        <v/>
      </c>
      <c r="V113" s="16">
        <f>IF(U113="","",REPT("█",ROUND(U113*10,0))&amp;REPT("░",10-ROUND(U113*10,0)))</f>
        <v/>
      </c>
      <c r="W113" s="14">
        <f>IF(C113="","Chưa có ngày",IF(C113&gt;TODAY(),"Còn "&amp;(C113-TODAY())&amp;" ngày",IF(IF(D113="",C113,D113)&gt;=TODAY(),"Đang diễn ra","Đã qua "&amp;(TODAY()-IF(D113="",C113,D113))&amp;" ngày")))</f>
        <v/>
      </c>
      <c r="X113" s="14">
        <f>IF(AND(A113&lt;&gt;"",P113="Có",ISNUMBER(C113)),IF(IF(D113="",C113,D113)&gt;=TODAY()-35,C113+ROW()/100000,""),"")</f>
        <v/>
      </c>
    </row>
    <row r="114">
      <c r="A114" s="46" t="n"/>
      <c r="B114" s="12" t="n"/>
      <c r="C114" s="13" t="n"/>
      <c r="D114" s="13" t="n"/>
      <c r="E114" s="14" t="n"/>
      <c r="F114" s="14" t="n"/>
      <c r="G114" s="14" t="n"/>
      <c r="H114" s="14" t="n"/>
      <c r="I114" s="46" t="n"/>
      <c r="J114" s="46" t="n"/>
      <c r="K114" s="47" t="n"/>
      <c r="L114" s="47" t="n"/>
      <c r="M114" s="47" t="n"/>
      <c r="N114" s="47" t="n"/>
      <c r="O114" s="47" t="n"/>
      <c r="P114" s="47" t="n"/>
      <c r="Q114" s="14">
        <f>IF(A114="","",COUNTIFS('Giao việc'!$O$5:$O$3004,A114,'Giao việc'!$J$5:$J$3004,"&lt;&gt;Bỏ qua"))</f>
        <v/>
      </c>
      <c r="R114" s="14">
        <f>IF(A114="","",COUNTIFS('Giao việc'!$O$5:$O$3004,A114,'Giao việc'!$J$5:$J$3004,"Xong"))</f>
        <v/>
      </c>
      <c r="S114" s="14">
        <f>IF(A114="","",COUNTIFS('Giao việc'!$O$5:$O$3004,A114,'Giao việc'!$M$5:$M$3004,"*QUÁ HẠN*"))</f>
        <v/>
      </c>
      <c r="T114" s="14">
        <f>IF(A114="","",COUNTIFS('Giao việc'!$O$5:$O$3004,A114,'Giao việc'!$M$5:$M$3004,"*CHƯA GIAO*"))</f>
        <v/>
      </c>
      <c r="U114" s="15">
        <f>IF(OR(A114="",N(Q114)=0),"",R114/Q114)</f>
        <v/>
      </c>
      <c r="V114" s="16">
        <f>IF(U114="","",REPT("█",ROUND(U114*10,0))&amp;REPT("░",10-ROUND(U114*10,0)))</f>
        <v/>
      </c>
      <c r="W114" s="14">
        <f>IF(C114="","Chưa có ngày",IF(C114&gt;TODAY(),"Còn "&amp;(C114-TODAY())&amp;" ngày",IF(IF(D114="",C114,D114)&gt;=TODAY(),"Đang diễn ra","Đã qua "&amp;(TODAY()-IF(D114="",C114,D114))&amp;" ngày")))</f>
        <v/>
      </c>
      <c r="X114" s="14">
        <f>IF(AND(A114&lt;&gt;"",P114="Có",ISNUMBER(C114)),IF(IF(D114="",C114,D114)&gt;=TODAY()-35,C114+ROW()/100000,""),"")</f>
        <v/>
      </c>
    </row>
    <row r="115">
      <c r="A115" s="46" t="n"/>
      <c r="B115" s="12" t="n"/>
      <c r="C115" s="13" t="n"/>
      <c r="D115" s="13" t="n"/>
      <c r="E115" s="14" t="n"/>
      <c r="F115" s="14" t="n"/>
      <c r="G115" s="14" t="n"/>
      <c r="H115" s="14" t="n"/>
      <c r="I115" s="46" t="n"/>
      <c r="J115" s="46" t="n"/>
      <c r="K115" s="47" t="n"/>
      <c r="L115" s="47" t="n"/>
      <c r="M115" s="47" t="n"/>
      <c r="N115" s="47" t="n"/>
      <c r="O115" s="47" t="n"/>
      <c r="P115" s="47" t="n"/>
      <c r="Q115" s="14">
        <f>IF(A115="","",COUNTIFS('Giao việc'!$O$5:$O$3004,A115,'Giao việc'!$J$5:$J$3004,"&lt;&gt;Bỏ qua"))</f>
        <v/>
      </c>
      <c r="R115" s="14">
        <f>IF(A115="","",COUNTIFS('Giao việc'!$O$5:$O$3004,A115,'Giao việc'!$J$5:$J$3004,"Xong"))</f>
        <v/>
      </c>
      <c r="S115" s="14">
        <f>IF(A115="","",COUNTIFS('Giao việc'!$O$5:$O$3004,A115,'Giao việc'!$M$5:$M$3004,"*QUÁ HẠN*"))</f>
        <v/>
      </c>
      <c r="T115" s="14">
        <f>IF(A115="","",COUNTIFS('Giao việc'!$O$5:$O$3004,A115,'Giao việc'!$M$5:$M$3004,"*CHƯA GIAO*"))</f>
        <v/>
      </c>
      <c r="U115" s="15">
        <f>IF(OR(A115="",N(Q115)=0),"",R115/Q115)</f>
        <v/>
      </c>
      <c r="V115" s="16">
        <f>IF(U115="","",REPT("█",ROUND(U115*10,0))&amp;REPT("░",10-ROUND(U115*10,0)))</f>
        <v/>
      </c>
      <c r="W115" s="14">
        <f>IF(C115="","Chưa có ngày",IF(C115&gt;TODAY(),"Còn "&amp;(C115-TODAY())&amp;" ngày",IF(IF(D115="",C115,D115)&gt;=TODAY(),"Đang diễn ra","Đã qua "&amp;(TODAY()-IF(D115="",C115,D115))&amp;" ngày")))</f>
        <v/>
      </c>
      <c r="X115" s="14">
        <f>IF(AND(A115&lt;&gt;"",P115="Có",ISNUMBER(C115)),IF(IF(D115="",C115,D115)&gt;=TODAY()-35,C115+ROW()/100000,""),"")</f>
        <v/>
      </c>
    </row>
    <row r="116">
      <c r="A116" s="46" t="n"/>
      <c r="B116" s="12" t="n"/>
      <c r="C116" s="13" t="n"/>
      <c r="D116" s="13" t="n"/>
      <c r="E116" s="14" t="n"/>
      <c r="F116" s="14" t="n"/>
      <c r="G116" s="14" t="n"/>
      <c r="H116" s="14" t="n"/>
      <c r="I116" s="46" t="n"/>
      <c r="J116" s="46" t="n"/>
      <c r="K116" s="47" t="n"/>
      <c r="L116" s="47" t="n"/>
      <c r="M116" s="47" t="n"/>
      <c r="N116" s="47" t="n"/>
      <c r="O116" s="47" t="n"/>
      <c r="P116" s="47" t="n"/>
      <c r="Q116" s="14">
        <f>IF(A116="","",COUNTIFS('Giao việc'!$O$5:$O$3004,A116,'Giao việc'!$J$5:$J$3004,"&lt;&gt;Bỏ qua"))</f>
        <v/>
      </c>
      <c r="R116" s="14">
        <f>IF(A116="","",COUNTIFS('Giao việc'!$O$5:$O$3004,A116,'Giao việc'!$J$5:$J$3004,"Xong"))</f>
        <v/>
      </c>
      <c r="S116" s="14">
        <f>IF(A116="","",COUNTIFS('Giao việc'!$O$5:$O$3004,A116,'Giao việc'!$M$5:$M$3004,"*QUÁ HẠN*"))</f>
        <v/>
      </c>
      <c r="T116" s="14">
        <f>IF(A116="","",COUNTIFS('Giao việc'!$O$5:$O$3004,A116,'Giao việc'!$M$5:$M$3004,"*CHƯA GIAO*"))</f>
        <v/>
      </c>
      <c r="U116" s="15">
        <f>IF(OR(A116="",N(Q116)=0),"",R116/Q116)</f>
        <v/>
      </c>
      <c r="V116" s="16">
        <f>IF(U116="","",REPT("█",ROUND(U116*10,0))&amp;REPT("░",10-ROUND(U116*10,0)))</f>
        <v/>
      </c>
      <c r="W116" s="14">
        <f>IF(C116="","Chưa có ngày",IF(C116&gt;TODAY(),"Còn "&amp;(C116-TODAY())&amp;" ngày",IF(IF(D116="",C116,D116)&gt;=TODAY(),"Đang diễn ra","Đã qua "&amp;(TODAY()-IF(D116="",C116,D116))&amp;" ngày")))</f>
        <v/>
      </c>
      <c r="X116" s="14">
        <f>IF(AND(A116&lt;&gt;"",P116="Có",ISNUMBER(C116)),IF(IF(D116="",C116,D116)&gt;=TODAY()-35,C116+ROW()/100000,""),"")</f>
        <v/>
      </c>
    </row>
    <row r="117">
      <c r="A117" s="46" t="n"/>
      <c r="B117" s="12" t="n"/>
      <c r="C117" s="13" t="n"/>
      <c r="D117" s="13" t="n"/>
      <c r="E117" s="14" t="n"/>
      <c r="F117" s="14" t="n"/>
      <c r="G117" s="14" t="n"/>
      <c r="H117" s="14" t="n"/>
      <c r="I117" s="46" t="n"/>
      <c r="J117" s="46" t="n"/>
      <c r="K117" s="47" t="n"/>
      <c r="L117" s="47" t="n"/>
      <c r="M117" s="47" t="n"/>
      <c r="N117" s="47" t="n"/>
      <c r="O117" s="47" t="n"/>
      <c r="P117" s="47" t="n"/>
      <c r="Q117" s="14">
        <f>IF(A117="","",COUNTIFS('Giao việc'!$O$5:$O$3004,A117,'Giao việc'!$J$5:$J$3004,"&lt;&gt;Bỏ qua"))</f>
        <v/>
      </c>
      <c r="R117" s="14">
        <f>IF(A117="","",COUNTIFS('Giao việc'!$O$5:$O$3004,A117,'Giao việc'!$J$5:$J$3004,"Xong"))</f>
        <v/>
      </c>
      <c r="S117" s="14">
        <f>IF(A117="","",COUNTIFS('Giao việc'!$O$5:$O$3004,A117,'Giao việc'!$M$5:$M$3004,"*QUÁ HẠN*"))</f>
        <v/>
      </c>
      <c r="T117" s="14">
        <f>IF(A117="","",COUNTIFS('Giao việc'!$O$5:$O$3004,A117,'Giao việc'!$M$5:$M$3004,"*CHƯA GIAO*"))</f>
        <v/>
      </c>
      <c r="U117" s="15">
        <f>IF(OR(A117="",N(Q117)=0),"",R117/Q117)</f>
        <v/>
      </c>
      <c r="V117" s="16">
        <f>IF(U117="","",REPT("█",ROUND(U117*10,0))&amp;REPT("░",10-ROUND(U117*10,0)))</f>
        <v/>
      </c>
      <c r="W117" s="14">
        <f>IF(C117="","Chưa có ngày",IF(C117&gt;TODAY(),"Còn "&amp;(C117-TODAY())&amp;" ngày",IF(IF(D117="",C117,D117)&gt;=TODAY(),"Đang diễn ra","Đã qua "&amp;(TODAY()-IF(D117="",C117,D117))&amp;" ngày")))</f>
        <v/>
      </c>
      <c r="X117" s="14">
        <f>IF(AND(A117&lt;&gt;"",P117="Có",ISNUMBER(C117)),IF(IF(D117="",C117,D117)&gt;=TODAY()-35,C117+ROW()/100000,""),"")</f>
        <v/>
      </c>
    </row>
    <row r="118">
      <c r="A118" s="46" t="n"/>
      <c r="B118" s="12" t="n"/>
      <c r="C118" s="13" t="n"/>
      <c r="D118" s="13" t="n"/>
      <c r="E118" s="14" t="n"/>
      <c r="F118" s="14" t="n"/>
      <c r="G118" s="14" t="n"/>
      <c r="H118" s="14" t="n"/>
      <c r="I118" s="46" t="n"/>
      <c r="J118" s="46" t="n"/>
      <c r="K118" s="47" t="n"/>
      <c r="L118" s="47" t="n"/>
      <c r="M118" s="47" t="n"/>
      <c r="N118" s="47" t="n"/>
      <c r="O118" s="47" t="n"/>
      <c r="P118" s="47" t="n"/>
      <c r="Q118" s="14">
        <f>IF(A118="","",COUNTIFS('Giao việc'!$O$5:$O$3004,A118,'Giao việc'!$J$5:$J$3004,"&lt;&gt;Bỏ qua"))</f>
        <v/>
      </c>
      <c r="R118" s="14">
        <f>IF(A118="","",COUNTIFS('Giao việc'!$O$5:$O$3004,A118,'Giao việc'!$J$5:$J$3004,"Xong"))</f>
        <v/>
      </c>
      <c r="S118" s="14">
        <f>IF(A118="","",COUNTIFS('Giao việc'!$O$5:$O$3004,A118,'Giao việc'!$M$5:$M$3004,"*QUÁ HẠN*"))</f>
        <v/>
      </c>
      <c r="T118" s="14">
        <f>IF(A118="","",COUNTIFS('Giao việc'!$O$5:$O$3004,A118,'Giao việc'!$M$5:$M$3004,"*CHƯA GIAO*"))</f>
        <v/>
      </c>
      <c r="U118" s="15">
        <f>IF(OR(A118="",N(Q118)=0),"",R118/Q118)</f>
        <v/>
      </c>
      <c r="V118" s="16">
        <f>IF(U118="","",REPT("█",ROUND(U118*10,0))&amp;REPT("░",10-ROUND(U118*10,0)))</f>
        <v/>
      </c>
      <c r="W118" s="14">
        <f>IF(C118="","Chưa có ngày",IF(C118&gt;TODAY(),"Còn "&amp;(C118-TODAY())&amp;" ngày",IF(IF(D118="",C118,D118)&gt;=TODAY(),"Đang diễn ra","Đã qua "&amp;(TODAY()-IF(D118="",C118,D118))&amp;" ngày")))</f>
        <v/>
      </c>
      <c r="X118" s="14">
        <f>IF(AND(A118&lt;&gt;"",P118="Có",ISNUMBER(C118)),IF(IF(D118="",C118,D118)&gt;=TODAY()-35,C118+ROW()/100000,""),"")</f>
        <v/>
      </c>
    </row>
    <row r="119">
      <c r="A119" s="46" t="n"/>
      <c r="B119" s="12" t="n"/>
      <c r="C119" s="13" t="n"/>
      <c r="D119" s="13" t="n"/>
      <c r="E119" s="14" t="n"/>
      <c r="F119" s="14" t="n"/>
      <c r="G119" s="14" t="n"/>
      <c r="H119" s="14" t="n"/>
      <c r="I119" s="46" t="n"/>
      <c r="J119" s="46" t="n"/>
      <c r="K119" s="47" t="n"/>
      <c r="L119" s="47" t="n"/>
      <c r="M119" s="47" t="n"/>
      <c r="N119" s="47" t="n"/>
      <c r="O119" s="47" t="n"/>
      <c r="P119" s="47" t="n"/>
      <c r="Q119" s="14">
        <f>IF(A119="","",COUNTIFS('Giao việc'!$O$5:$O$3004,A119,'Giao việc'!$J$5:$J$3004,"&lt;&gt;Bỏ qua"))</f>
        <v/>
      </c>
      <c r="R119" s="14">
        <f>IF(A119="","",COUNTIFS('Giao việc'!$O$5:$O$3004,A119,'Giao việc'!$J$5:$J$3004,"Xong"))</f>
        <v/>
      </c>
      <c r="S119" s="14">
        <f>IF(A119="","",COUNTIFS('Giao việc'!$O$5:$O$3004,A119,'Giao việc'!$M$5:$M$3004,"*QUÁ HẠN*"))</f>
        <v/>
      </c>
      <c r="T119" s="14">
        <f>IF(A119="","",COUNTIFS('Giao việc'!$O$5:$O$3004,A119,'Giao việc'!$M$5:$M$3004,"*CHƯA GIAO*"))</f>
        <v/>
      </c>
      <c r="U119" s="15">
        <f>IF(OR(A119="",N(Q119)=0),"",R119/Q119)</f>
        <v/>
      </c>
      <c r="V119" s="16">
        <f>IF(U119="","",REPT("█",ROUND(U119*10,0))&amp;REPT("░",10-ROUND(U119*10,0)))</f>
        <v/>
      </c>
      <c r="W119" s="14">
        <f>IF(C119="","Chưa có ngày",IF(C119&gt;TODAY(),"Còn "&amp;(C119-TODAY())&amp;" ngày",IF(IF(D119="",C119,D119)&gt;=TODAY(),"Đang diễn ra","Đã qua "&amp;(TODAY()-IF(D119="",C119,D119))&amp;" ngày")))</f>
        <v/>
      </c>
      <c r="X119" s="14">
        <f>IF(AND(A119&lt;&gt;"",P119="Có",ISNUMBER(C119)),IF(IF(D119="",C119,D119)&gt;=TODAY()-35,C119+ROW()/100000,""),"")</f>
        <v/>
      </c>
    </row>
    <row r="120">
      <c r="A120" s="46" t="n"/>
      <c r="B120" s="12" t="n"/>
      <c r="C120" s="13" t="n"/>
      <c r="D120" s="13" t="n"/>
      <c r="E120" s="14" t="n"/>
      <c r="F120" s="14" t="n"/>
      <c r="G120" s="14" t="n"/>
      <c r="H120" s="14" t="n"/>
      <c r="I120" s="46" t="n"/>
      <c r="J120" s="46" t="n"/>
      <c r="K120" s="47" t="n"/>
      <c r="L120" s="47" t="n"/>
      <c r="M120" s="47" t="n"/>
      <c r="N120" s="47" t="n"/>
      <c r="O120" s="47" t="n"/>
      <c r="P120" s="47" t="n"/>
      <c r="Q120" s="14">
        <f>IF(A120="","",COUNTIFS('Giao việc'!$O$5:$O$3004,A120,'Giao việc'!$J$5:$J$3004,"&lt;&gt;Bỏ qua"))</f>
        <v/>
      </c>
      <c r="R120" s="14">
        <f>IF(A120="","",COUNTIFS('Giao việc'!$O$5:$O$3004,A120,'Giao việc'!$J$5:$J$3004,"Xong"))</f>
        <v/>
      </c>
      <c r="S120" s="14">
        <f>IF(A120="","",COUNTIFS('Giao việc'!$O$5:$O$3004,A120,'Giao việc'!$M$5:$M$3004,"*QUÁ HẠN*"))</f>
        <v/>
      </c>
      <c r="T120" s="14">
        <f>IF(A120="","",COUNTIFS('Giao việc'!$O$5:$O$3004,A120,'Giao việc'!$M$5:$M$3004,"*CHƯA GIAO*"))</f>
        <v/>
      </c>
      <c r="U120" s="15">
        <f>IF(OR(A120="",N(Q120)=0),"",R120/Q120)</f>
        <v/>
      </c>
      <c r="V120" s="16">
        <f>IF(U120="","",REPT("█",ROUND(U120*10,0))&amp;REPT("░",10-ROUND(U120*10,0)))</f>
        <v/>
      </c>
      <c r="W120" s="14">
        <f>IF(C120="","Chưa có ngày",IF(C120&gt;TODAY(),"Còn "&amp;(C120-TODAY())&amp;" ngày",IF(IF(D120="",C120,D120)&gt;=TODAY(),"Đang diễn ra","Đã qua "&amp;(TODAY()-IF(D120="",C120,D120))&amp;" ngày")))</f>
        <v/>
      </c>
      <c r="X120" s="14">
        <f>IF(AND(A120&lt;&gt;"",P120="Có",ISNUMBER(C120)),IF(IF(D120="",C120,D120)&gt;=TODAY()-35,C120+ROW()/100000,""),"")</f>
        <v/>
      </c>
    </row>
    <row r="121">
      <c r="A121" s="46" t="n"/>
      <c r="B121" s="12" t="n"/>
      <c r="C121" s="13" t="n"/>
      <c r="D121" s="13" t="n"/>
      <c r="E121" s="14" t="n"/>
      <c r="F121" s="14" t="n"/>
      <c r="G121" s="14" t="n"/>
      <c r="H121" s="14" t="n"/>
      <c r="I121" s="46" t="n"/>
      <c r="J121" s="46" t="n"/>
      <c r="K121" s="47" t="n"/>
      <c r="L121" s="47" t="n"/>
      <c r="M121" s="47" t="n"/>
      <c r="N121" s="47" t="n"/>
      <c r="O121" s="47" t="n"/>
      <c r="P121" s="47" t="n"/>
      <c r="Q121" s="14">
        <f>IF(A121="","",COUNTIFS('Giao việc'!$O$5:$O$3004,A121,'Giao việc'!$J$5:$J$3004,"&lt;&gt;Bỏ qua"))</f>
        <v/>
      </c>
      <c r="R121" s="14">
        <f>IF(A121="","",COUNTIFS('Giao việc'!$O$5:$O$3004,A121,'Giao việc'!$J$5:$J$3004,"Xong"))</f>
        <v/>
      </c>
      <c r="S121" s="14">
        <f>IF(A121="","",COUNTIFS('Giao việc'!$O$5:$O$3004,A121,'Giao việc'!$M$5:$M$3004,"*QUÁ HẠN*"))</f>
        <v/>
      </c>
      <c r="T121" s="14">
        <f>IF(A121="","",COUNTIFS('Giao việc'!$O$5:$O$3004,A121,'Giao việc'!$M$5:$M$3004,"*CHƯA GIAO*"))</f>
        <v/>
      </c>
      <c r="U121" s="15">
        <f>IF(OR(A121="",N(Q121)=0),"",R121/Q121)</f>
        <v/>
      </c>
      <c r="V121" s="16">
        <f>IF(U121="","",REPT("█",ROUND(U121*10,0))&amp;REPT("░",10-ROUND(U121*10,0)))</f>
        <v/>
      </c>
      <c r="W121" s="14">
        <f>IF(C121="","Chưa có ngày",IF(C121&gt;TODAY(),"Còn "&amp;(C121-TODAY())&amp;" ngày",IF(IF(D121="",C121,D121)&gt;=TODAY(),"Đang diễn ra","Đã qua "&amp;(TODAY()-IF(D121="",C121,D121))&amp;" ngày")))</f>
        <v/>
      </c>
      <c r="X121" s="14">
        <f>IF(AND(A121&lt;&gt;"",P121="Có",ISNUMBER(C121)),IF(IF(D121="",C121,D121)&gt;=TODAY()-35,C121+ROW()/100000,""),"")</f>
        <v/>
      </c>
    </row>
    <row r="122">
      <c r="A122" s="46" t="n"/>
      <c r="B122" s="12" t="n"/>
      <c r="C122" s="13" t="n"/>
      <c r="D122" s="13" t="n"/>
      <c r="E122" s="14" t="n"/>
      <c r="F122" s="14" t="n"/>
      <c r="G122" s="14" t="n"/>
      <c r="H122" s="14" t="n"/>
      <c r="I122" s="46" t="n"/>
      <c r="J122" s="46" t="n"/>
      <c r="K122" s="47" t="n"/>
      <c r="L122" s="47" t="n"/>
      <c r="M122" s="47" t="n"/>
      <c r="N122" s="47" t="n"/>
      <c r="O122" s="47" t="n"/>
      <c r="P122" s="47" t="n"/>
      <c r="Q122" s="14">
        <f>IF(A122="","",COUNTIFS('Giao việc'!$O$5:$O$3004,A122,'Giao việc'!$J$5:$J$3004,"&lt;&gt;Bỏ qua"))</f>
        <v/>
      </c>
      <c r="R122" s="14">
        <f>IF(A122="","",COUNTIFS('Giao việc'!$O$5:$O$3004,A122,'Giao việc'!$J$5:$J$3004,"Xong"))</f>
        <v/>
      </c>
      <c r="S122" s="14">
        <f>IF(A122="","",COUNTIFS('Giao việc'!$O$5:$O$3004,A122,'Giao việc'!$M$5:$M$3004,"*QUÁ HẠN*"))</f>
        <v/>
      </c>
      <c r="T122" s="14">
        <f>IF(A122="","",COUNTIFS('Giao việc'!$O$5:$O$3004,A122,'Giao việc'!$M$5:$M$3004,"*CHƯA GIAO*"))</f>
        <v/>
      </c>
      <c r="U122" s="15">
        <f>IF(OR(A122="",N(Q122)=0),"",R122/Q122)</f>
        <v/>
      </c>
      <c r="V122" s="16">
        <f>IF(U122="","",REPT("█",ROUND(U122*10,0))&amp;REPT("░",10-ROUND(U122*10,0)))</f>
        <v/>
      </c>
      <c r="W122" s="14">
        <f>IF(C122="","Chưa có ngày",IF(C122&gt;TODAY(),"Còn "&amp;(C122-TODAY())&amp;" ngày",IF(IF(D122="",C122,D122)&gt;=TODAY(),"Đang diễn ra","Đã qua "&amp;(TODAY()-IF(D122="",C122,D122))&amp;" ngày")))</f>
        <v/>
      </c>
      <c r="X122" s="14">
        <f>IF(AND(A122&lt;&gt;"",P122="Có",ISNUMBER(C122)),IF(IF(D122="",C122,D122)&gt;=TODAY()-35,C122+ROW()/100000,""),"")</f>
        <v/>
      </c>
    </row>
    <row r="123">
      <c r="A123" s="46" t="n"/>
      <c r="B123" s="12" t="n"/>
      <c r="C123" s="13" t="n"/>
      <c r="D123" s="13" t="n"/>
      <c r="E123" s="14" t="n"/>
      <c r="F123" s="14" t="n"/>
      <c r="G123" s="14" t="n"/>
      <c r="H123" s="14" t="n"/>
      <c r="I123" s="46" t="n"/>
      <c r="J123" s="46" t="n"/>
      <c r="K123" s="47" t="n"/>
      <c r="L123" s="47" t="n"/>
      <c r="M123" s="47" t="n"/>
      <c r="N123" s="47" t="n"/>
      <c r="O123" s="47" t="n"/>
      <c r="P123" s="47" t="n"/>
      <c r="Q123" s="14">
        <f>IF(A123="","",COUNTIFS('Giao việc'!$O$5:$O$3004,A123,'Giao việc'!$J$5:$J$3004,"&lt;&gt;Bỏ qua"))</f>
        <v/>
      </c>
      <c r="R123" s="14">
        <f>IF(A123="","",COUNTIFS('Giao việc'!$O$5:$O$3004,A123,'Giao việc'!$J$5:$J$3004,"Xong"))</f>
        <v/>
      </c>
      <c r="S123" s="14">
        <f>IF(A123="","",COUNTIFS('Giao việc'!$O$5:$O$3004,A123,'Giao việc'!$M$5:$M$3004,"*QUÁ HẠN*"))</f>
        <v/>
      </c>
      <c r="T123" s="14">
        <f>IF(A123="","",COUNTIFS('Giao việc'!$O$5:$O$3004,A123,'Giao việc'!$M$5:$M$3004,"*CHƯA GIAO*"))</f>
        <v/>
      </c>
      <c r="U123" s="15">
        <f>IF(OR(A123="",N(Q123)=0),"",R123/Q123)</f>
        <v/>
      </c>
      <c r="V123" s="16">
        <f>IF(U123="","",REPT("█",ROUND(U123*10,0))&amp;REPT("░",10-ROUND(U123*10,0)))</f>
        <v/>
      </c>
      <c r="W123" s="14">
        <f>IF(C123="","Chưa có ngày",IF(C123&gt;TODAY(),"Còn "&amp;(C123-TODAY())&amp;" ngày",IF(IF(D123="",C123,D123)&gt;=TODAY(),"Đang diễn ra","Đã qua "&amp;(TODAY()-IF(D123="",C123,D123))&amp;" ngày")))</f>
        <v/>
      </c>
      <c r="X123" s="14">
        <f>IF(AND(A123&lt;&gt;"",P123="Có",ISNUMBER(C123)),IF(IF(D123="",C123,D123)&gt;=TODAY()-35,C123+ROW()/100000,""),"")</f>
        <v/>
      </c>
    </row>
    <row r="124">
      <c r="A124" s="46" t="n"/>
      <c r="B124" s="12" t="n"/>
      <c r="C124" s="13" t="n"/>
      <c r="D124" s="13" t="n"/>
      <c r="E124" s="14" t="n"/>
      <c r="F124" s="14" t="n"/>
      <c r="G124" s="14" t="n"/>
      <c r="H124" s="14" t="n"/>
      <c r="I124" s="46" t="n"/>
      <c r="J124" s="46" t="n"/>
      <c r="K124" s="47" t="n"/>
      <c r="L124" s="47" t="n"/>
      <c r="M124" s="47" t="n"/>
      <c r="N124" s="47" t="n"/>
      <c r="O124" s="47" t="n"/>
      <c r="P124" s="47" t="n"/>
      <c r="Q124" s="14">
        <f>IF(A124="","",COUNTIFS('Giao việc'!$O$5:$O$3004,A124,'Giao việc'!$J$5:$J$3004,"&lt;&gt;Bỏ qua"))</f>
        <v/>
      </c>
      <c r="R124" s="14">
        <f>IF(A124="","",COUNTIFS('Giao việc'!$O$5:$O$3004,A124,'Giao việc'!$J$5:$J$3004,"Xong"))</f>
        <v/>
      </c>
      <c r="S124" s="14">
        <f>IF(A124="","",COUNTIFS('Giao việc'!$O$5:$O$3004,A124,'Giao việc'!$M$5:$M$3004,"*QUÁ HẠN*"))</f>
        <v/>
      </c>
      <c r="T124" s="14">
        <f>IF(A124="","",COUNTIFS('Giao việc'!$O$5:$O$3004,A124,'Giao việc'!$M$5:$M$3004,"*CHƯA GIAO*"))</f>
        <v/>
      </c>
      <c r="U124" s="15">
        <f>IF(OR(A124="",N(Q124)=0),"",R124/Q124)</f>
        <v/>
      </c>
      <c r="V124" s="16">
        <f>IF(U124="","",REPT("█",ROUND(U124*10,0))&amp;REPT("░",10-ROUND(U124*10,0)))</f>
        <v/>
      </c>
      <c r="W124" s="14">
        <f>IF(C124="","Chưa có ngày",IF(C124&gt;TODAY(),"Còn "&amp;(C124-TODAY())&amp;" ngày",IF(IF(D124="",C124,D124)&gt;=TODAY(),"Đang diễn ra","Đã qua "&amp;(TODAY()-IF(D124="",C124,D124))&amp;" ngày")))</f>
        <v/>
      </c>
      <c r="X124" s="14">
        <f>IF(AND(A124&lt;&gt;"",P124="Có",ISNUMBER(C124)),IF(IF(D124="",C124,D124)&gt;=TODAY()-35,C124+ROW()/100000,""),"")</f>
        <v/>
      </c>
    </row>
    <row r="125">
      <c r="A125" s="46" t="n"/>
      <c r="B125" s="12" t="n"/>
      <c r="C125" s="13" t="n"/>
      <c r="D125" s="13" t="n"/>
      <c r="E125" s="14" t="n"/>
      <c r="F125" s="14" t="n"/>
      <c r="G125" s="14" t="n"/>
      <c r="H125" s="14" t="n"/>
      <c r="I125" s="46" t="n"/>
      <c r="J125" s="46" t="n"/>
      <c r="K125" s="47" t="n"/>
      <c r="L125" s="47" t="n"/>
      <c r="M125" s="47" t="n"/>
      <c r="N125" s="47" t="n"/>
      <c r="O125" s="47" t="n"/>
      <c r="P125" s="47" t="n"/>
      <c r="Q125" s="14">
        <f>IF(A125="","",COUNTIFS('Giao việc'!$O$5:$O$3004,A125,'Giao việc'!$J$5:$J$3004,"&lt;&gt;Bỏ qua"))</f>
        <v/>
      </c>
      <c r="R125" s="14">
        <f>IF(A125="","",COUNTIFS('Giao việc'!$O$5:$O$3004,A125,'Giao việc'!$J$5:$J$3004,"Xong"))</f>
        <v/>
      </c>
      <c r="S125" s="14">
        <f>IF(A125="","",COUNTIFS('Giao việc'!$O$5:$O$3004,A125,'Giao việc'!$M$5:$M$3004,"*QUÁ HẠN*"))</f>
        <v/>
      </c>
      <c r="T125" s="14">
        <f>IF(A125="","",COUNTIFS('Giao việc'!$O$5:$O$3004,A125,'Giao việc'!$M$5:$M$3004,"*CHƯA GIAO*"))</f>
        <v/>
      </c>
      <c r="U125" s="15">
        <f>IF(OR(A125="",N(Q125)=0),"",R125/Q125)</f>
        <v/>
      </c>
      <c r="V125" s="16">
        <f>IF(U125="","",REPT("█",ROUND(U125*10,0))&amp;REPT("░",10-ROUND(U125*10,0)))</f>
        <v/>
      </c>
      <c r="W125" s="14">
        <f>IF(C125="","Chưa có ngày",IF(C125&gt;TODAY(),"Còn "&amp;(C125-TODAY())&amp;" ngày",IF(IF(D125="",C125,D125)&gt;=TODAY(),"Đang diễn ra","Đã qua "&amp;(TODAY()-IF(D125="",C125,D125))&amp;" ngày")))</f>
        <v/>
      </c>
      <c r="X125" s="14">
        <f>IF(AND(A125&lt;&gt;"",P125="Có",ISNUMBER(C125)),IF(IF(D125="",C125,D125)&gt;=TODAY()-35,C125+ROW()/100000,""),"")</f>
        <v/>
      </c>
    </row>
    <row r="126">
      <c r="A126" s="46" t="n"/>
      <c r="B126" s="12" t="n"/>
      <c r="C126" s="13" t="n"/>
      <c r="D126" s="13" t="n"/>
      <c r="E126" s="14" t="n"/>
      <c r="F126" s="14" t="n"/>
      <c r="G126" s="14" t="n"/>
      <c r="H126" s="14" t="n"/>
      <c r="I126" s="46" t="n"/>
      <c r="J126" s="46" t="n"/>
      <c r="K126" s="47" t="n"/>
      <c r="L126" s="47" t="n"/>
      <c r="M126" s="47" t="n"/>
      <c r="N126" s="47" t="n"/>
      <c r="O126" s="47" t="n"/>
      <c r="P126" s="47" t="n"/>
      <c r="Q126" s="14">
        <f>IF(A126="","",COUNTIFS('Giao việc'!$O$5:$O$3004,A126,'Giao việc'!$J$5:$J$3004,"&lt;&gt;Bỏ qua"))</f>
        <v/>
      </c>
      <c r="R126" s="14">
        <f>IF(A126="","",COUNTIFS('Giao việc'!$O$5:$O$3004,A126,'Giao việc'!$J$5:$J$3004,"Xong"))</f>
        <v/>
      </c>
      <c r="S126" s="14">
        <f>IF(A126="","",COUNTIFS('Giao việc'!$O$5:$O$3004,A126,'Giao việc'!$M$5:$M$3004,"*QUÁ HẠN*"))</f>
        <v/>
      </c>
      <c r="T126" s="14">
        <f>IF(A126="","",COUNTIFS('Giao việc'!$O$5:$O$3004,A126,'Giao việc'!$M$5:$M$3004,"*CHƯA GIAO*"))</f>
        <v/>
      </c>
      <c r="U126" s="15">
        <f>IF(OR(A126="",N(Q126)=0),"",R126/Q126)</f>
        <v/>
      </c>
      <c r="V126" s="16">
        <f>IF(U126="","",REPT("█",ROUND(U126*10,0))&amp;REPT("░",10-ROUND(U126*10,0)))</f>
        <v/>
      </c>
      <c r="W126" s="14">
        <f>IF(C126="","Chưa có ngày",IF(C126&gt;TODAY(),"Còn "&amp;(C126-TODAY())&amp;" ngày",IF(IF(D126="",C126,D126)&gt;=TODAY(),"Đang diễn ra","Đã qua "&amp;(TODAY()-IF(D126="",C126,D126))&amp;" ngày")))</f>
        <v/>
      </c>
      <c r="X126" s="14">
        <f>IF(AND(A126&lt;&gt;"",P126="Có",ISNUMBER(C126)),IF(IF(D126="",C126,D126)&gt;=TODAY()-35,C126+ROW()/100000,""),"")</f>
        <v/>
      </c>
    </row>
    <row r="127">
      <c r="A127" s="46" t="n"/>
      <c r="B127" s="12" t="n"/>
      <c r="C127" s="13" t="n"/>
      <c r="D127" s="13" t="n"/>
      <c r="E127" s="14" t="n"/>
      <c r="F127" s="14" t="n"/>
      <c r="G127" s="14" t="n"/>
      <c r="H127" s="14" t="n"/>
      <c r="I127" s="46" t="n"/>
      <c r="J127" s="46" t="n"/>
      <c r="K127" s="47" t="n"/>
      <c r="L127" s="47" t="n"/>
      <c r="M127" s="47" t="n"/>
      <c r="N127" s="47" t="n"/>
      <c r="O127" s="47" t="n"/>
      <c r="P127" s="47" t="n"/>
      <c r="Q127" s="14">
        <f>IF(A127="","",COUNTIFS('Giao việc'!$O$5:$O$3004,A127,'Giao việc'!$J$5:$J$3004,"&lt;&gt;Bỏ qua"))</f>
        <v/>
      </c>
      <c r="R127" s="14">
        <f>IF(A127="","",COUNTIFS('Giao việc'!$O$5:$O$3004,A127,'Giao việc'!$J$5:$J$3004,"Xong"))</f>
        <v/>
      </c>
      <c r="S127" s="14">
        <f>IF(A127="","",COUNTIFS('Giao việc'!$O$5:$O$3004,A127,'Giao việc'!$M$5:$M$3004,"*QUÁ HẠN*"))</f>
        <v/>
      </c>
      <c r="T127" s="14">
        <f>IF(A127="","",COUNTIFS('Giao việc'!$O$5:$O$3004,A127,'Giao việc'!$M$5:$M$3004,"*CHƯA GIAO*"))</f>
        <v/>
      </c>
      <c r="U127" s="15">
        <f>IF(OR(A127="",N(Q127)=0),"",R127/Q127)</f>
        <v/>
      </c>
      <c r="V127" s="16">
        <f>IF(U127="","",REPT("█",ROUND(U127*10,0))&amp;REPT("░",10-ROUND(U127*10,0)))</f>
        <v/>
      </c>
      <c r="W127" s="14">
        <f>IF(C127="","Chưa có ngày",IF(C127&gt;TODAY(),"Còn "&amp;(C127-TODAY())&amp;" ngày",IF(IF(D127="",C127,D127)&gt;=TODAY(),"Đang diễn ra","Đã qua "&amp;(TODAY()-IF(D127="",C127,D127))&amp;" ngày")))</f>
        <v/>
      </c>
      <c r="X127" s="14">
        <f>IF(AND(A127&lt;&gt;"",P127="Có",ISNUMBER(C127)),IF(IF(D127="",C127,D127)&gt;=TODAY()-35,C127+ROW()/100000,""),"")</f>
        <v/>
      </c>
    </row>
    <row r="128">
      <c r="A128" s="46" t="n"/>
      <c r="B128" s="12" t="n"/>
      <c r="C128" s="13" t="n"/>
      <c r="D128" s="13" t="n"/>
      <c r="E128" s="14" t="n"/>
      <c r="F128" s="14" t="n"/>
      <c r="G128" s="14" t="n"/>
      <c r="H128" s="14" t="n"/>
      <c r="I128" s="46" t="n"/>
      <c r="J128" s="46" t="n"/>
      <c r="K128" s="47" t="n"/>
      <c r="L128" s="47" t="n"/>
      <c r="M128" s="47" t="n"/>
      <c r="N128" s="47" t="n"/>
      <c r="O128" s="47" t="n"/>
      <c r="P128" s="47" t="n"/>
      <c r="Q128" s="14">
        <f>IF(A128="","",COUNTIFS('Giao việc'!$O$5:$O$3004,A128,'Giao việc'!$J$5:$J$3004,"&lt;&gt;Bỏ qua"))</f>
        <v/>
      </c>
      <c r="R128" s="14">
        <f>IF(A128="","",COUNTIFS('Giao việc'!$O$5:$O$3004,A128,'Giao việc'!$J$5:$J$3004,"Xong"))</f>
        <v/>
      </c>
      <c r="S128" s="14">
        <f>IF(A128="","",COUNTIFS('Giao việc'!$O$5:$O$3004,A128,'Giao việc'!$M$5:$M$3004,"*QUÁ HẠN*"))</f>
        <v/>
      </c>
      <c r="T128" s="14">
        <f>IF(A128="","",COUNTIFS('Giao việc'!$O$5:$O$3004,A128,'Giao việc'!$M$5:$M$3004,"*CHƯA GIAO*"))</f>
        <v/>
      </c>
      <c r="U128" s="15">
        <f>IF(OR(A128="",N(Q128)=0),"",R128/Q128)</f>
        <v/>
      </c>
      <c r="V128" s="16">
        <f>IF(U128="","",REPT("█",ROUND(U128*10,0))&amp;REPT("░",10-ROUND(U128*10,0)))</f>
        <v/>
      </c>
      <c r="W128" s="14">
        <f>IF(C128="","Chưa có ngày",IF(C128&gt;TODAY(),"Còn "&amp;(C128-TODAY())&amp;" ngày",IF(IF(D128="",C128,D128)&gt;=TODAY(),"Đang diễn ra","Đã qua "&amp;(TODAY()-IF(D128="",C128,D128))&amp;" ngày")))</f>
        <v/>
      </c>
      <c r="X128" s="14">
        <f>IF(AND(A128&lt;&gt;"",P128="Có",ISNUMBER(C128)),IF(IF(D128="",C128,D128)&gt;=TODAY()-35,C128+ROW()/100000,""),"")</f>
        <v/>
      </c>
    </row>
    <row r="129">
      <c r="A129" s="46" t="n"/>
      <c r="B129" s="12" t="n"/>
      <c r="C129" s="13" t="n"/>
      <c r="D129" s="13" t="n"/>
      <c r="E129" s="14" t="n"/>
      <c r="F129" s="14" t="n"/>
      <c r="G129" s="14" t="n"/>
      <c r="H129" s="14" t="n"/>
      <c r="I129" s="46" t="n"/>
      <c r="J129" s="46" t="n"/>
      <c r="K129" s="47" t="n"/>
      <c r="L129" s="47" t="n"/>
      <c r="M129" s="47" t="n"/>
      <c r="N129" s="47" t="n"/>
      <c r="O129" s="47" t="n"/>
      <c r="P129" s="47" t="n"/>
      <c r="Q129" s="14">
        <f>IF(A129="","",COUNTIFS('Giao việc'!$O$5:$O$3004,A129,'Giao việc'!$J$5:$J$3004,"&lt;&gt;Bỏ qua"))</f>
        <v/>
      </c>
      <c r="R129" s="14">
        <f>IF(A129="","",COUNTIFS('Giao việc'!$O$5:$O$3004,A129,'Giao việc'!$J$5:$J$3004,"Xong"))</f>
        <v/>
      </c>
      <c r="S129" s="14">
        <f>IF(A129="","",COUNTIFS('Giao việc'!$O$5:$O$3004,A129,'Giao việc'!$M$5:$M$3004,"*QUÁ HẠN*"))</f>
        <v/>
      </c>
      <c r="T129" s="14">
        <f>IF(A129="","",COUNTIFS('Giao việc'!$O$5:$O$3004,A129,'Giao việc'!$M$5:$M$3004,"*CHƯA GIAO*"))</f>
        <v/>
      </c>
      <c r="U129" s="15">
        <f>IF(OR(A129="",N(Q129)=0),"",R129/Q129)</f>
        <v/>
      </c>
      <c r="V129" s="16">
        <f>IF(U129="","",REPT("█",ROUND(U129*10,0))&amp;REPT("░",10-ROUND(U129*10,0)))</f>
        <v/>
      </c>
      <c r="W129" s="14">
        <f>IF(C129="","Chưa có ngày",IF(C129&gt;TODAY(),"Còn "&amp;(C129-TODAY())&amp;" ngày",IF(IF(D129="",C129,D129)&gt;=TODAY(),"Đang diễn ra","Đã qua "&amp;(TODAY()-IF(D129="",C129,D129))&amp;" ngày")))</f>
        <v/>
      </c>
      <c r="X129" s="14">
        <f>IF(AND(A129&lt;&gt;"",P129="Có",ISNUMBER(C129)),IF(IF(D129="",C129,D129)&gt;=TODAY()-35,C129+ROW()/100000,""),"")</f>
        <v/>
      </c>
    </row>
    <row r="130">
      <c r="A130" s="46" t="n"/>
      <c r="B130" s="12" t="n"/>
      <c r="C130" s="13" t="n"/>
      <c r="D130" s="13" t="n"/>
      <c r="E130" s="14" t="n"/>
      <c r="F130" s="14" t="n"/>
      <c r="G130" s="14" t="n"/>
      <c r="H130" s="14" t="n"/>
      <c r="I130" s="46" t="n"/>
      <c r="J130" s="46" t="n"/>
      <c r="K130" s="47" t="n"/>
      <c r="L130" s="47" t="n"/>
      <c r="M130" s="47" t="n"/>
      <c r="N130" s="47" t="n"/>
      <c r="O130" s="47" t="n"/>
      <c r="P130" s="47" t="n"/>
      <c r="Q130" s="14">
        <f>IF(A130="","",COUNTIFS('Giao việc'!$O$5:$O$3004,A130,'Giao việc'!$J$5:$J$3004,"&lt;&gt;Bỏ qua"))</f>
        <v/>
      </c>
      <c r="R130" s="14">
        <f>IF(A130="","",COUNTIFS('Giao việc'!$O$5:$O$3004,A130,'Giao việc'!$J$5:$J$3004,"Xong"))</f>
        <v/>
      </c>
      <c r="S130" s="14">
        <f>IF(A130="","",COUNTIFS('Giao việc'!$O$5:$O$3004,A130,'Giao việc'!$M$5:$M$3004,"*QUÁ HẠN*"))</f>
        <v/>
      </c>
      <c r="T130" s="14">
        <f>IF(A130="","",COUNTIFS('Giao việc'!$O$5:$O$3004,A130,'Giao việc'!$M$5:$M$3004,"*CHƯA GIAO*"))</f>
        <v/>
      </c>
      <c r="U130" s="15">
        <f>IF(OR(A130="",N(Q130)=0),"",R130/Q130)</f>
        <v/>
      </c>
      <c r="V130" s="16">
        <f>IF(U130="","",REPT("█",ROUND(U130*10,0))&amp;REPT("░",10-ROUND(U130*10,0)))</f>
        <v/>
      </c>
      <c r="W130" s="14">
        <f>IF(C130="","Chưa có ngày",IF(C130&gt;TODAY(),"Còn "&amp;(C130-TODAY())&amp;" ngày",IF(IF(D130="",C130,D130)&gt;=TODAY(),"Đang diễn ra","Đã qua "&amp;(TODAY()-IF(D130="",C130,D130))&amp;" ngày")))</f>
        <v/>
      </c>
      <c r="X130" s="14">
        <f>IF(AND(A130&lt;&gt;"",P130="Có",ISNUMBER(C130)),IF(IF(D130="",C130,D130)&gt;=TODAY()-35,C130+ROW()/100000,""),"")</f>
        <v/>
      </c>
    </row>
    <row r="131">
      <c r="A131" s="46" t="n"/>
      <c r="B131" s="12" t="n"/>
      <c r="C131" s="13" t="n"/>
      <c r="D131" s="13" t="n"/>
      <c r="E131" s="14" t="n"/>
      <c r="F131" s="14" t="n"/>
      <c r="G131" s="14" t="n"/>
      <c r="H131" s="14" t="n"/>
      <c r="I131" s="46" t="n"/>
      <c r="J131" s="46" t="n"/>
      <c r="K131" s="47" t="n"/>
      <c r="L131" s="47" t="n"/>
      <c r="M131" s="47" t="n"/>
      <c r="N131" s="47" t="n"/>
      <c r="O131" s="47" t="n"/>
      <c r="P131" s="47" t="n"/>
      <c r="Q131" s="14">
        <f>IF(A131="","",COUNTIFS('Giao việc'!$O$5:$O$3004,A131,'Giao việc'!$J$5:$J$3004,"&lt;&gt;Bỏ qua"))</f>
        <v/>
      </c>
      <c r="R131" s="14">
        <f>IF(A131="","",COUNTIFS('Giao việc'!$O$5:$O$3004,A131,'Giao việc'!$J$5:$J$3004,"Xong"))</f>
        <v/>
      </c>
      <c r="S131" s="14">
        <f>IF(A131="","",COUNTIFS('Giao việc'!$O$5:$O$3004,A131,'Giao việc'!$M$5:$M$3004,"*QUÁ HẠN*"))</f>
        <v/>
      </c>
      <c r="T131" s="14">
        <f>IF(A131="","",COUNTIFS('Giao việc'!$O$5:$O$3004,A131,'Giao việc'!$M$5:$M$3004,"*CHƯA GIAO*"))</f>
        <v/>
      </c>
      <c r="U131" s="15">
        <f>IF(OR(A131="",N(Q131)=0),"",R131/Q131)</f>
        <v/>
      </c>
      <c r="V131" s="16">
        <f>IF(U131="","",REPT("█",ROUND(U131*10,0))&amp;REPT("░",10-ROUND(U131*10,0)))</f>
        <v/>
      </c>
      <c r="W131" s="14">
        <f>IF(C131="","Chưa có ngày",IF(C131&gt;TODAY(),"Còn "&amp;(C131-TODAY())&amp;" ngày",IF(IF(D131="",C131,D131)&gt;=TODAY(),"Đang diễn ra","Đã qua "&amp;(TODAY()-IF(D131="",C131,D131))&amp;" ngày")))</f>
        <v/>
      </c>
      <c r="X131" s="14">
        <f>IF(AND(A131&lt;&gt;"",P131="Có",ISNUMBER(C131)),IF(IF(D131="",C131,D131)&gt;=TODAY()-35,C131+ROW()/100000,""),"")</f>
        <v/>
      </c>
    </row>
    <row r="132">
      <c r="A132" s="46" t="n"/>
      <c r="B132" s="12" t="n"/>
      <c r="C132" s="13" t="n"/>
      <c r="D132" s="13" t="n"/>
      <c r="E132" s="14" t="n"/>
      <c r="F132" s="14" t="n"/>
      <c r="G132" s="14" t="n"/>
      <c r="H132" s="14" t="n"/>
      <c r="I132" s="46" t="n"/>
      <c r="J132" s="46" t="n"/>
      <c r="K132" s="47" t="n"/>
      <c r="L132" s="47" t="n"/>
      <c r="M132" s="47" t="n"/>
      <c r="N132" s="47" t="n"/>
      <c r="O132" s="47" t="n"/>
      <c r="P132" s="47" t="n"/>
      <c r="Q132" s="14">
        <f>IF(A132="","",COUNTIFS('Giao việc'!$O$5:$O$3004,A132,'Giao việc'!$J$5:$J$3004,"&lt;&gt;Bỏ qua"))</f>
        <v/>
      </c>
      <c r="R132" s="14">
        <f>IF(A132="","",COUNTIFS('Giao việc'!$O$5:$O$3004,A132,'Giao việc'!$J$5:$J$3004,"Xong"))</f>
        <v/>
      </c>
      <c r="S132" s="14">
        <f>IF(A132="","",COUNTIFS('Giao việc'!$O$5:$O$3004,A132,'Giao việc'!$M$5:$M$3004,"*QUÁ HẠN*"))</f>
        <v/>
      </c>
      <c r="T132" s="14">
        <f>IF(A132="","",COUNTIFS('Giao việc'!$O$5:$O$3004,A132,'Giao việc'!$M$5:$M$3004,"*CHƯA GIAO*"))</f>
        <v/>
      </c>
      <c r="U132" s="15">
        <f>IF(OR(A132="",N(Q132)=0),"",R132/Q132)</f>
        <v/>
      </c>
      <c r="V132" s="16">
        <f>IF(U132="","",REPT("█",ROUND(U132*10,0))&amp;REPT("░",10-ROUND(U132*10,0)))</f>
        <v/>
      </c>
      <c r="W132" s="14">
        <f>IF(C132="","Chưa có ngày",IF(C132&gt;TODAY(),"Còn "&amp;(C132-TODAY())&amp;" ngày",IF(IF(D132="",C132,D132)&gt;=TODAY(),"Đang diễn ra","Đã qua "&amp;(TODAY()-IF(D132="",C132,D132))&amp;" ngày")))</f>
        <v/>
      </c>
      <c r="X132" s="14">
        <f>IF(AND(A132&lt;&gt;"",P132="Có",ISNUMBER(C132)),IF(IF(D132="",C132,D132)&gt;=TODAY()-35,C132+ROW()/100000,""),"")</f>
        <v/>
      </c>
    </row>
    <row r="133">
      <c r="A133" s="46" t="n"/>
      <c r="B133" s="12" t="n"/>
      <c r="C133" s="13" t="n"/>
      <c r="D133" s="13" t="n"/>
      <c r="E133" s="14" t="n"/>
      <c r="F133" s="14" t="n"/>
      <c r="G133" s="14" t="n"/>
      <c r="H133" s="14" t="n"/>
      <c r="I133" s="46" t="n"/>
      <c r="J133" s="46" t="n"/>
      <c r="K133" s="47" t="n"/>
      <c r="L133" s="47" t="n"/>
      <c r="M133" s="47" t="n"/>
      <c r="N133" s="47" t="n"/>
      <c r="O133" s="47" t="n"/>
      <c r="P133" s="47" t="n"/>
      <c r="Q133" s="14">
        <f>IF(A133="","",COUNTIFS('Giao việc'!$O$5:$O$3004,A133,'Giao việc'!$J$5:$J$3004,"&lt;&gt;Bỏ qua"))</f>
        <v/>
      </c>
      <c r="R133" s="14">
        <f>IF(A133="","",COUNTIFS('Giao việc'!$O$5:$O$3004,A133,'Giao việc'!$J$5:$J$3004,"Xong"))</f>
        <v/>
      </c>
      <c r="S133" s="14">
        <f>IF(A133="","",COUNTIFS('Giao việc'!$O$5:$O$3004,A133,'Giao việc'!$M$5:$M$3004,"*QUÁ HẠN*"))</f>
        <v/>
      </c>
      <c r="T133" s="14">
        <f>IF(A133="","",COUNTIFS('Giao việc'!$O$5:$O$3004,A133,'Giao việc'!$M$5:$M$3004,"*CHƯA GIAO*"))</f>
        <v/>
      </c>
      <c r="U133" s="15">
        <f>IF(OR(A133="",N(Q133)=0),"",R133/Q133)</f>
        <v/>
      </c>
      <c r="V133" s="16">
        <f>IF(U133="","",REPT("█",ROUND(U133*10,0))&amp;REPT("░",10-ROUND(U133*10,0)))</f>
        <v/>
      </c>
      <c r="W133" s="14">
        <f>IF(C133="","Chưa có ngày",IF(C133&gt;TODAY(),"Còn "&amp;(C133-TODAY())&amp;" ngày",IF(IF(D133="",C133,D133)&gt;=TODAY(),"Đang diễn ra","Đã qua "&amp;(TODAY()-IF(D133="",C133,D133))&amp;" ngày")))</f>
        <v/>
      </c>
      <c r="X133" s="14">
        <f>IF(AND(A133&lt;&gt;"",P133="Có",ISNUMBER(C133)),IF(IF(D133="",C133,D133)&gt;=TODAY()-35,C133+ROW()/100000,""),"")</f>
        <v/>
      </c>
    </row>
    <row r="134">
      <c r="A134" s="46" t="n"/>
      <c r="B134" s="12" t="n"/>
      <c r="C134" s="13" t="n"/>
      <c r="D134" s="13" t="n"/>
      <c r="E134" s="14" t="n"/>
      <c r="F134" s="14" t="n"/>
      <c r="G134" s="14" t="n"/>
      <c r="H134" s="14" t="n"/>
      <c r="I134" s="46" t="n"/>
      <c r="J134" s="46" t="n"/>
      <c r="K134" s="47" t="n"/>
      <c r="L134" s="47" t="n"/>
      <c r="M134" s="47" t="n"/>
      <c r="N134" s="47" t="n"/>
      <c r="O134" s="47" t="n"/>
      <c r="P134" s="47" t="n"/>
      <c r="Q134" s="14">
        <f>IF(A134="","",COUNTIFS('Giao việc'!$O$5:$O$3004,A134,'Giao việc'!$J$5:$J$3004,"&lt;&gt;Bỏ qua"))</f>
        <v/>
      </c>
      <c r="R134" s="14">
        <f>IF(A134="","",COUNTIFS('Giao việc'!$O$5:$O$3004,A134,'Giao việc'!$J$5:$J$3004,"Xong"))</f>
        <v/>
      </c>
      <c r="S134" s="14">
        <f>IF(A134="","",COUNTIFS('Giao việc'!$O$5:$O$3004,A134,'Giao việc'!$M$5:$M$3004,"*QUÁ HẠN*"))</f>
        <v/>
      </c>
      <c r="T134" s="14">
        <f>IF(A134="","",COUNTIFS('Giao việc'!$O$5:$O$3004,A134,'Giao việc'!$M$5:$M$3004,"*CHƯA GIAO*"))</f>
        <v/>
      </c>
      <c r="U134" s="15">
        <f>IF(OR(A134="",N(Q134)=0),"",R134/Q134)</f>
        <v/>
      </c>
      <c r="V134" s="16">
        <f>IF(U134="","",REPT("█",ROUND(U134*10,0))&amp;REPT("░",10-ROUND(U134*10,0)))</f>
        <v/>
      </c>
      <c r="W134" s="14">
        <f>IF(C134="","Chưa có ngày",IF(C134&gt;TODAY(),"Còn "&amp;(C134-TODAY())&amp;" ngày",IF(IF(D134="",C134,D134)&gt;=TODAY(),"Đang diễn ra","Đã qua "&amp;(TODAY()-IF(D134="",C134,D134))&amp;" ngày")))</f>
        <v/>
      </c>
      <c r="X134" s="14">
        <f>IF(AND(A134&lt;&gt;"",P134="Có",ISNUMBER(C134)),IF(IF(D134="",C134,D134)&gt;=TODAY()-35,C134+ROW()/100000,""),"")</f>
        <v/>
      </c>
    </row>
    <row r="135">
      <c r="A135" s="46" t="n"/>
      <c r="B135" s="12" t="n"/>
      <c r="C135" s="13" t="n"/>
      <c r="D135" s="13" t="n"/>
      <c r="E135" s="14" t="n"/>
      <c r="F135" s="14" t="n"/>
      <c r="G135" s="14" t="n"/>
      <c r="H135" s="14" t="n"/>
      <c r="I135" s="46" t="n"/>
      <c r="J135" s="46" t="n"/>
      <c r="K135" s="47" t="n"/>
      <c r="L135" s="47" t="n"/>
      <c r="M135" s="47" t="n"/>
      <c r="N135" s="47" t="n"/>
      <c r="O135" s="47" t="n"/>
      <c r="P135" s="47" t="n"/>
      <c r="Q135" s="14">
        <f>IF(A135="","",COUNTIFS('Giao việc'!$O$5:$O$3004,A135,'Giao việc'!$J$5:$J$3004,"&lt;&gt;Bỏ qua"))</f>
        <v/>
      </c>
      <c r="R135" s="14">
        <f>IF(A135="","",COUNTIFS('Giao việc'!$O$5:$O$3004,A135,'Giao việc'!$J$5:$J$3004,"Xong"))</f>
        <v/>
      </c>
      <c r="S135" s="14">
        <f>IF(A135="","",COUNTIFS('Giao việc'!$O$5:$O$3004,A135,'Giao việc'!$M$5:$M$3004,"*QUÁ HẠN*"))</f>
        <v/>
      </c>
      <c r="T135" s="14">
        <f>IF(A135="","",COUNTIFS('Giao việc'!$O$5:$O$3004,A135,'Giao việc'!$M$5:$M$3004,"*CHƯA GIAO*"))</f>
        <v/>
      </c>
      <c r="U135" s="15">
        <f>IF(OR(A135="",N(Q135)=0),"",R135/Q135)</f>
        <v/>
      </c>
      <c r="V135" s="16">
        <f>IF(U135="","",REPT("█",ROUND(U135*10,0))&amp;REPT("░",10-ROUND(U135*10,0)))</f>
        <v/>
      </c>
      <c r="W135" s="14">
        <f>IF(C135="","Chưa có ngày",IF(C135&gt;TODAY(),"Còn "&amp;(C135-TODAY())&amp;" ngày",IF(IF(D135="",C135,D135)&gt;=TODAY(),"Đang diễn ra","Đã qua "&amp;(TODAY()-IF(D135="",C135,D135))&amp;" ngày")))</f>
        <v/>
      </c>
      <c r="X135" s="14">
        <f>IF(AND(A135&lt;&gt;"",P135="Có",ISNUMBER(C135)),IF(IF(D135="",C135,D135)&gt;=TODAY()-35,C135+ROW()/100000,""),"")</f>
        <v/>
      </c>
    </row>
    <row r="136">
      <c r="A136" s="46" t="n"/>
      <c r="B136" s="12" t="n"/>
      <c r="C136" s="13" t="n"/>
      <c r="D136" s="13" t="n"/>
      <c r="E136" s="14" t="n"/>
      <c r="F136" s="14" t="n"/>
      <c r="G136" s="14" t="n"/>
      <c r="H136" s="14" t="n"/>
      <c r="I136" s="46" t="n"/>
      <c r="J136" s="46" t="n"/>
      <c r="K136" s="47" t="n"/>
      <c r="L136" s="47" t="n"/>
      <c r="M136" s="47" t="n"/>
      <c r="N136" s="47" t="n"/>
      <c r="O136" s="47" t="n"/>
      <c r="P136" s="47" t="n"/>
      <c r="Q136" s="14">
        <f>IF(A136="","",COUNTIFS('Giao việc'!$O$5:$O$3004,A136,'Giao việc'!$J$5:$J$3004,"&lt;&gt;Bỏ qua"))</f>
        <v/>
      </c>
      <c r="R136" s="14">
        <f>IF(A136="","",COUNTIFS('Giao việc'!$O$5:$O$3004,A136,'Giao việc'!$J$5:$J$3004,"Xong"))</f>
        <v/>
      </c>
      <c r="S136" s="14">
        <f>IF(A136="","",COUNTIFS('Giao việc'!$O$5:$O$3004,A136,'Giao việc'!$M$5:$M$3004,"*QUÁ HẠN*"))</f>
        <v/>
      </c>
      <c r="T136" s="14">
        <f>IF(A136="","",COUNTIFS('Giao việc'!$O$5:$O$3004,A136,'Giao việc'!$M$5:$M$3004,"*CHƯA GIAO*"))</f>
        <v/>
      </c>
      <c r="U136" s="15">
        <f>IF(OR(A136="",N(Q136)=0),"",R136/Q136)</f>
        <v/>
      </c>
      <c r="V136" s="16">
        <f>IF(U136="","",REPT("█",ROUND(U136*10,0))&amp;REPT("░",10-ROUND(U136*10,0)))</f>
        <v/>
      </c>
      <c r="W136" s="14">
        <f>IF(C136="","Chưa có ngày",IF(C136&gt;TODAY(),"Còn "&amp;(C136-TODAY())&amp;" ngày",IF(IF(D136="",C136,D136)&gt;=TODAY(),"Đang diễn ra","Đã qua "&amp;(TODAY()-IF(D136="",C136,D136))&amp;" ngày")))</f>
        <v/>
      </c>
      <c r="X136" s="14">
        <f>IF(AND(A136&lt;&gt;"",P136="Có",ISNUMBER(C136)),IF(IF(D136="",C136,D136)&gt;=TODAY()-35,C136+ROW()/100000,""),"")</f>
        <v/>
      </c>
    </row>
    <row r="137">
      <c r="A137" s="46" t="n"/>
      <c r="B137" s="12" t="n"/>
      <c r="C137" s="13" t="n"/>
      <c r="D137" s="13" t="n"/>
      <c r="E137" s="14" t="n"/>
      <c r="F137" s="14" t="n"/>
      <c r="G137" s="14" t="n"/>
      <c r="H137" s="14" t="n"/>
      <c r="I137" s="46" t="n"/>
      <c r="J137" s="46" t="n"/>
      <c r="K137" s="47" t="n"/>
      <c r="L137" s="47" t="n"/>
      <c r="M137" s="47" t="n"/>
      <c r="N137" s="47" t="n"/>
      <c r="O137" s="47" t="n"/>
      <c r="P137" s="47" t="n"/>
      <c r="Q137" s="14">
        <f>IF(A137="","",COUNTIFS('Giao việc'!$O$5:$O$3004,A137,'Giao việc'!$J$5:$J$3004,"&lt;&gt;Bỏ qua"))</f>
        <v/>
      </c>
      <c r="R137" s="14">
        <f>IF(A137="","",COUNTIFS('Giao việc'!$O$5:$O$3004,A137,'Giao việc'!$J$5:$J$3004,"Xong"))</f>
        <v/>
      </c>
      <c r="S137" s="14">
        <f>IF(A137="","",COUNTIFS('Giao việc'!$O$5:$O$3004,A137,'Giao việc'!$M$5:$M$3004,"*QUÁ HẠN*"))</f>
        <v/>
      </c>
      <c r="T137" s="14">
        <f>IF(A137="","",COUNTIFS('Giao việc'!$O$5:$O$3004,A137,'Giao việc'!$M$5:$M$3004,"*CHƯA GIAO*"))</f>
        <v/>
      </c>
      <c r="U137" s="15">
        <f>IF(OR(A137="",N(Q137)=0),"",R137/Q137)</f>
        <v/>
      </c>
      <c r="V137" s="16">
        <f>IF(U137="","",REPT("█",ROUND(U137*10,0))&amp;REPT("░",10-ROUND(U137*10,0)))</f>
        <v/>
      </c>
      <c r="W137" s="14">
        <f>IF(C137="","Chưa có ngày",IF(C137&gt;TODAY(),"Còn "&amp;(C137-TODAY())&amp;" ngày",IF(IF(D137="",C137,D137)&gt;=TODAY(),"Đang diễn ra","Đã qua "&amp;(TODAY()-IF(D137="",C137,D137))&amp;" ngày")))</f>
        <v/>
      </c>
      <c r="X137" s="14">
        <f>IF(AND(A137&lt;&gt;"",P137="Có",ISNUMBER(C137)),IF(IF(D137="",C137,D137)&gt;=TODAY()-35,C137+ROW()/100000,""),"")</f>
        <v/>
      </c>
    </row>
    <row r="138">
      <c r="A138" s="46" t="n"/>
      <c r="B138" s="12" t="n"/>
      <c r="C138" s="13" t="n"/>
      <c r="D138" s="13" t="n"/>
      <c r="E138" s="14" t="n"/>
      <c r="F138" s="14" t="n"/>
      <c r="G138" s="14" t="n"/>
      <c r="H138" s="14" t="n"/>
      <c r="I138" s="46" t="n"/>
      <c r="J138" s="46" t="n"/>
      <c r="K138" s="47" t="n"/>
      <c r="L138" s="47" t="n"/>
      <c r="M138" s="47" t="n"/>
      <c r="N138" s="47" t="n"/>
      <c r="O138" s="47" t="n"/>
      <c r="P138" s="47" t="n"/>
      <c r="Q138" s="14">
        <f>IF(A138="","",COUNTIFS('Giao việc'!$O$5:$O$3004,A138,'Giao việc'!$J$5:$J$3004,"&lt;&gt;Bỏ qua"))</f>
        <v/>
      </c>
      <c r="R138" s="14">
        <f>IF(A138="","",COUNTIFS('Giao việc'!$O$5:$O$3004,A138,'Giao việc'!$J$5:$J$3004,"Xong"))</f>
        <v/>
      </c>
      <c r="S138" s="14">
        <f>IF(A138="","",COUNTIFS('Giao việc'!$O$5:$O$3004,A138,'Giao việc'!$M$5:$M$3004,"*QUÁ HẠN*"))</f>
        <v/>
      </c>
      <c r="T138" s="14">
        <f>IF(A138="","",COUNTIFS('Giao việc'!$O$5:$O$3004,A138,'Giao việc'!$M$5:$M$3004,"*CHƯA GIAO*"))</f>
        <v/>
      </c>
      <c r="U138" s="15">
        <f>IF(OR(A138="",N(Q138)=0),"",R138/Q138)</f>
        <v/>
      </c>
      <c r="V138" s="16">
        <f>IF(U138="","",REPT("█",ROUND(U138*10,0))&amp;REPT("░",10-ROUND(U138*10,0)))</f>
        <v/>
      </c>
      <c r="W138" s="14">
        <f>IF(C138="","Chưa có ngày",IF(C138&gt;TODAY(),"Còn "&amp;(C138-TODAY())&amp;" ngày",IF(IF(D138="",C138,D138)&gt;=TODAY(),"Đang diễn ra","Đã qua "&amp;(TODAY()-IF(D138="",C138,D138))&amp;" ngày")))</f>
        <v/>
      </c>
      <c r="X138" s="14">
        <f>IF(AND(A138&lt;&gt;"",P138="Có",ISNUMBER(C138)),IF(IF(D138="",C138,D138)&gt;=TODAY()-35,C138+ROW()/100000,""),"")</f>
        <v/>
      </c>
    </row>
    <row r="139">
      <c r="A139" s="46" t="n"/>
      <c r="B139" s="12" t="n"/>
      <c r="C139" s="13" t="n"/>
      <c r="D139" s="13" t="n"/>
      <c r="E139" s="14" t="n"/>
      <c r="F139" s="14" t="n"/>
      <c r="G139" s="14" t="n"/>
      <c r="H139" s="14" t="n"/>
      <c r="I139" s="46" t="n"/>
      <c r="J139" s="46" t="n"/>
      <c r="K139" s="47" t="n"/>
      <c r="L139" s="47" t="n"/>
      <c r="M139" s="47" t="n"/>
      <c r="N139" s="47" t="n"/>
      <c r="O139" s="47" t="n"/>
      <c r="P139" s="47" t="n"/>
      <c r="Q139" s="14">
        <f>IF(A139="","",COUNTIFS('Giao việc'!$O$5:$O$3004,A139,'Giao việc'!$J$5:$J$3004,"&lt;&gt;Bỏ qua"))</f>
        <v/>
      </c>
      <c r="R139" s="14">
        <f>IF(A139="","",COUNTIFS('Giao việc'!$O$5:$O$3004,A139,'Giao việc'!$J$5:$J$3004,"Xong"))</f>
        <v/>
      </c>
      <c r="S139" s="14">
        <f>IF(A139="","",COUNTIFS('Giao việc'!$O$5:$O$3004,A139,'Giao việc'!$M$5:$M$3004,"*QUÁ HẠN*"))</f>
        <v/>
      </c>
      <c r="T139" s="14">
        <f>IF(A139="","",COUNTIFS('Giao việc'!$O$5:$O$3004,A139,'Giao việc'!$M$5:$M$3004,"*CHƯA GIAO*"))</f>
        <v/>
      </c>
      <c r="U139" s="15">
        <f>IF(OR(A139="",N(Q139)=0),"",R139/Q139)</f>
        <v/>
      </c>
      <c r="V139" s="16">
        <f>IF(U139="","",REPT("█",ROUND(U139*10,0))&amp;REPT("░",10-ROUND(U139*10,0)))</f>
        <v/>
      </c>
      <c r="W139" s="14">
        <f>IF(C139="","Chưa có ngày",IF(C139&gt;TODAY(),"Còn "&amp;(C139-TODAY())&amp;" ngày",IF(IF(D139="",C139,D139)&gt;=TODAY(),"Đang diễn ra","Đã qua "&amp;(TODAY()-IF(D139="",C139,D139))&amp;" ngày")))</f>
        <v/>
      </c>
      <c r="X139" s="14">
        <f>IF(AND(A139&lt;&gt;"",P139="Có",ISNUMBER(C139)),IF(IF(D139="",C139,D139)&gt;=TODAY()-35,C139+ROW()/100000,""),"")</f>
        <v/>
      </c>
    </row>
    <row r="140">
      <c r="A140" s="46" t="n"/>
      <c r="B140" s="12" t="n"/>
      <c r="C140" s="13" t="n"/>
      <c r="D140" s="13" t="n"/>
      <c r="E140" s="14" t="n"/>
      <c r="F140" s="14" t="n"/>
      <c r="G140" s="14" t="n"/>
      <c r="H140" s="14" t="n"/>
      <c r="I140" s="46" t="n"/>
      <c r="J140" s="46" t="n"/>
      <c r="K140" s="47" t="n"/>
      <c r="L140" s="47" t="n"/>
      <c r="M140" s="47" t="n"/>
      <c r="N140" s="47" t="n"/>
      <c r="O140" s="47" t="n"/>
      <c r="P140" s="47" t="n"/>
      <c r="Q140" s="14">
        <f>IF(A140="","",COUNTIFS('Giao việc'!$O$5:$O$3004,A140,'Giao việc'!$J$5:$J$3004,"&lt;&gt;Bỏ qua"))</f>
        <v/>
      </c>
      <c r="R140" s="14">
        <f>IF(A140="","",COUNTIFS('Giao việc'!$O$5:$O$3004,A140,'Giao việc'!$J$5:$J$3004,"Xong"))</f>
        <v/>
      </c>
      <c r="S140" s="14">
        <f>IF(A140="","",COUNTIFS('Giao việc'!$O$5:$O$3004,A140,'Giao việc'!$M$5:$M$3004,"*QUÁ HẠN*"))</f>
        <v/>
      </c>
      <c r="T140" s="14">
        <f>IF(A140="","",COUNTIFS('Giao việc'!$O$5:$O$3004,A140,'Giao việc'!$M$5:$M$3004,"*CHƯA GIAO*"))</f>
        <v/>
      </c>
      <c r="U140" s="15">
        <f>IF(OR(A140="",N(Q140)=0),"",R140/Q140)</f>
        <v/>
      </c>
      <c r="V140" s="16">
        <f>IF(U140="","",REPT("█",ROUND(U140*10,0))&amp;REPT("░",10-ROUND(U140*10,0)))</f>
        <v/>
      </c>
      <c r="W140" s="14">
        <f>IF(C140="","Chưa có ngày",IF(C140&gt;TODAY(),"Còn "&amp;(C140-TODAY())&amp;" ngày",IF(IF(D140="",C140,D140)&gt;=TODAY(),"Đang diễn ra","Đã qua "&amp;(TODAY()-IF(D140="",C140,D140))&amp;" ngày")))</f>
        <v/>
      </c>
      <c r="X140" s="14">
        <f>IF(AND(A140&lt;&gt;"",P140="Có",ISNUMBER(C140)),IF(IF(D140="",C140,D140)&gt;=TODAY()-35,C140+ROW()/100000,""),"")</f>
        <v/>
      </c>
    </row>
    <row r="141">
      <c r="A141" s="46" t="n"/>
      <c r="B141" s="12" t="n"/>
      <c r="C141" s="13" t="n"/>
      <c r="D141" s="13" t="n"/>
      <c r="E141" s="14" t="n"/>
      <c r="F141" s="14" t="n"/>
      <c r="G141" s="14" t="n"/>
      <c r="H141" s="14" t="n"/>
      <c r="I141" s="46" t="n"/>
      <c r="J141" s="46" t="n"/>
      <c r="K141" s="47" t="n"/>
      <c r="L141" s="47" t="n"/>
      <c r="M141" s="47" t="n"/>
      <c r="N141" s="47" t="n"/>
      <c r="O141" s="47" t="n"/>
      <c r="P141" s="47" t="n"/>
      <c r="Q141" s="14">
        <f>IF(A141="","",COUNTIFS('Giao việc'!$O$5:$O$3004,A141,'Giao việc'!$J$5:$J$3004,"&lt;&gt;Bỏ qua"))</f>
        <v/>
      </c>
      <c r="R141" s="14">
        <f>IF(A141="","",COUNTIFS('Giao việc'!$O$5:$O$3004,A141,'Giao việc'!$J$5:$J$3004,"Xong"))</f>
        <v/>
      </c>
      <c r="S141" s="14">
        <f>IF(A141="","",COUNTIFS('Giao việc'!$O$5:$O$3004,A141,'Giao việc'!$M$5:$M$3004,"*QUÁ HẠN*"))</f>
        <v/>
      </c>
      <c r="T141" s="14">
        <f>IF(A141="","",COUNTIFS('Giao việc'!$O$5:$O$3004,A141,'Giao việc'!$M$5:$M$3004,"*CHƯA GIAO*"))</f>
        <v/>
      </c>
      <c r="U141" s="15">
        <f>IF(OR(A141="",N(Q141)=0),"",R141/Q141)</f>
        <v/>
      </c>
      <c r="V141" s="16">
        <f>IF(U141="","",REPT("█",ROUND(U141*10,0))&amp;REPT("░",10-ROUND(U141*10,0)))</f>
        <v/>
      </c>
      <c r="W141" s="14">
        <f>IF(C141="","Chưa có ngày",IF(C141&gt;TODAY(),"Còn "&amp;(C141-TODAY())&amp;" ngày",IF(IF(D141="",C141,D141)&gt;=TODAY(),"Đang diễn ra","Đã qua "&amp;(TODAY()-IF(D141="",C141,D141))&amp;" ngày")))</f>
        <v/>
      </c>
      <c r="X141" s="14">
        <f>IF(AND(A141&lt;&gt;"",P141="Có",ISNUMBER(C141)),IF(IF(D141="",C141,D141)&gt;=TODAY()-35,C141+ROW()/100000,""),"")</f>
        <v/>
      </c>
    </row>
    <row r="142">
      <c r="A142" s="46" t="n"/>
      <c r="B142" s="12" t="n"/>
      <c r="C142" s="13" t="n"/>
      <c r="D142" s="13" t="n"/>
      <c r="E142" s="14" t="n"/>
      <c r="F142" s="14" t="n"/>
      <c r="G142" s="14" t="n"/>
      <c r="H142" s="14" t="n"/>
      <c r="I142" s="46" t="n"/>
      <c r="J142" s="46" t="n"/>
      <c r="K142" s="47" t="n"/>
      <c r="L142" s="47" t="n"/>
      <c r="M142" s="47" t="n"/>
      <c r="N142" s="47" t="n"/>
      <c r="O142" s="47" t="n"/>
      <c r="P142" s="47" t="n"/>
      <c r="Q142" s="14">
        <f>IF(A142="","",COUNTIFS('Giao việc'!$O$5:$O$3004,A142,'Giao việc'!$J$5:$J$3004,"&lt;&gt;Bỏ qua"))</f>
        <v/>
      </c>
      <c r="R142" s="14">
        <f>IF(A142="","",COUNTIFS('Giao việc'!$O$5:$O$3004,A142,'Giao việc'!$J$5:$J$3004,"Xong"))</f>
        <v/>
      </c>
      <c r="S142" s="14">
        <f>IF(A142="","",COUNTIFS('Giao việc'!$O$5:$O$3004,A142,'Giao việc'!$M$5:$M$3004,"*QUÁ HẠN*"))</f>
        <v/>
      </c>
      <c r="T142" s="14">
        <f>IF(A142="","",COUNTIFS('Giao việc'!$O$5:$O$3004,A142,'Giao việc'!$M$5:$M$3004,"*CHƯA GIAO*"))</f>
        <v/>
      </c>
      <c r="U142" s="15">
        <f>IF(OR(A142="",N(Q142)=0),"",R142/Q142)</f>
        <v/>
      </c>
      <c r="V142" s="16">
        <f>IF(U142="","",REPT("█",ROUND(U142*10,0))&amp;REPT("░",10-ROUND(U142*10,0)))</f>
        <v/>
      </c>
      <c r="W142" s="14">
        <f>IF(C142="","Chưa có ngày",IF(C142&gt;TODAY(),"Còn "&amp;(C142-TODAY())&amp;" ngày",IF(IF(D142="",C142,D142)&gt;=TODAY(),"Đang diễn ra","Đã qua "&amp;(TODAY()-IF(D142="",C142,D142))&amp;" ngày")))</f>
        <v/>
      </c>
      <c r="X142" s="14">
        <f>IF(AND(A142&lt;&gt;"",P142="Có",ISNUMBER(C142)),IF(IF(D142="",C142,D142)&gt;=TODAY()-35,C142+ROW()/100000,""),"")</f>
        <v/>
      </c>
    </row>
    <row r="143">
      <c r="A143" s="46" t="n"/>
      <c r="B143" s="12" t="n"/>
      <c r="C143" s="13" t="n"/>
      <c r="D143" s="13" t="n"/>
      <c r="E143" s="14" t="n"/>
      <c r="F143" s="14" t="n"/>
      <c r="G143" s="14" t="n"/>
      <c r="H143" s="14" t="n"/>
      <c r="I143" s="46" t="n"/>
      <c r="J143" s="46" t="n"/>
      <c r="K143" s="47" t="n"/>
      <c r="L143" s="47" t="n"/>
      <c r="M143" s="47" t="n"/>
      <c r="N143" s="47" t="n"/>
      <c r="O143" s="47" t="n"/>
      <c r="P143" s="47" t="n"/>
      <c r="Q143" s="14">
        <f>IF(A143="","",COUNTIFS('Giao việc'!$O$5:$O$3004,A143,'Giao việc'!$J$5:$J$3004,"&lt;&gt;Bỏ qua"))</f>
        <v/>
      </c>
      <c r="R143" s="14">
        <f>IF(A143="","",COUNTIFS('Giao việc'!$O$5:$O$3004,A143,'Giao việc'!$J$5:$J$3004,"Xong"))</f>
        <v/>
      </c>
      <c r="S143" s="14">
        <f>IF(A143="","",COUNTIFS('Giao việc'!$O$5:$O$3004,A143,'Giao việc'!$M$5:$M$3004,"*QUÁ HẠN*"))</f>
        <v/>
      </c>
      <c r="T143" s="14">
        <f>IF(A143="","",COUNTIFS('Giao việc'!$O$5:$O$3004,A143,'Giao việc'!$M$5:$M$3004,"*CHƯA GIAO*"))</f>
        <v/>
      </c>
      <c r="U143" s="15">
        <f>IF(OR(A143="",N(Q143)=0),"",R143/Q143)</f>
        <v/>
      </c>
      <c r="V143" s="16">
        <f>IF(U143="","",REPT("█",ROUND(U143*10,0))&amp;REPT("░",10-ROUND(U143*10,0)))</f>
        <v/>
      </c>
      <c r="W143" s="14">
        <f>IF(C143="","Chưa có ngày",IF(C143&gt;TODAY(),"Còn "&amp;(C143-TODAY())&amp;" ngày",IF(IF(D143="",C143,D143)&gt;=TODAY(),"Đang diễn ra","Đã qua "&amp;(TODAY()-IF(D143="",C143,D143))&amp;" ngày")))</f>
        <v/>
      </c>
      <c r="X143" s="14">
        <f>IF(AND(A143&lt;&gt;"",P143="Có",ISNUMBER(C143)),IF(IF(D143="",C143,D143)&gt;=TODAY()-35,C143+ROW()/100000,""),"")</f>
        <v/>
      </c>
    </row>
    <row r="144">
      <c r="A144" s="46" t="n"/>
      <c r="B144" s="12" t="n"/>
      <c r="C144" s="13" t="n"/>
      <c r="D144" s="13" t="n"/>
      <c r="E144" s="14" t="n"/>
      <c r="F144" s="14" t="n"/>
      <c r="G144" s="14" t="n"/>
      <c r="H144" s="14" t="n"/>
      <c r="I144" s="46" t="n"/>
      <c r="J144" s="46" t="n"/>
      <c r="K144" s="47" t="n"/>
      <c r="L144" s="47" t="n"/>
      <c r="M144" s="47" t="n"/>
      <c r="N144" s="47" t="n"/>
      <c r="O144" s="47" t="n"/>
      <c r="P144" s="47" t="n"/>
      <c r="Q144" s="14">
        <f>IF(A144="","",COUNTIFS('Giao việc'!$O$5:$O$3004,A144,'Giao việc'!$J$5:$J$3004,"&lt;&gt;Bỏ qua"))</f>
        <v/>
      </c>
      <c r="R144" s="14">
        <f>IF(A144="","",COUNTIFS('Giao việc'!$O$5:$O$3004,A144,'Giao việc'!$J$5:$J$3004,"Xong"))</f>
        <v/>
      </c>
      <c r="S144" s="14">
        <f>IF(A144="","",COUNTIFS('Giao việc'!$O$5:$O$3004,A144,'Giao việc'!$M$5:$M$3004,"*QUÁ HẠN*"))</f>
        <v/>
      </c>
      <c r="T144" s="14">
        <f>IF(A144="","",COUNTIFS('Giao việc'!$O$5:$O$3004,A144,'Giao việc'!$M$5:$M$3004,"*CHƯA GIAO*"))</f>
        <v/>
      </c>
      <c r="U144" s="15">
        <f>IF(OR(A144="",N(Q144)=0),"",R144/Q144)</f>
        <v/>
      </c>
      <c r="V144" s="16">
        <f>IF(U144="","",REPT("█",ROUND(U144*10,0))&amp;REPT("░",10-ROUND(U144*10,0)))</f>
        <v/>
      </c>
      <c r="W144" s="14">
        <f>IF(C144="","Chưa có ngày",IF(C144&gt;TODAY(),"Còn "&amp;(C144-TODAY())&amp;" ngày",IF(IF(D144="",C144,D144)&gt;=TODAY(),"Đang diễn ra","Đã qua "&amp;(TODAY()-IF(D144="",C144,D144))&amp;" ngày")))</f>
        <v/>
      </c>
      <c r="X144" s="14">
        <f>IF(AND(A144&lt;&gt;"",P144="Có",ISNUMBER(C144)),IF(IF(D144="",C144,D144)&gt;=TODAY()-35,C144+ROW()/100000,""),"")</f>
        <v/>
      </c>
    </row>
    <row r="145">
      <c r="A145" s="46" t="n"/>
      <c r="B145" s="12" t="n"/>
      <c r="C145" s="13" t="n"/>
      <c r="D145" s="13" t="n"/>
      <c r="E145" s="14" t="n"/>
      <c r="F145" s="14" t="n"/>
      <c r="G145" s="14" t="n"/>
      <c r="H145" s="14" t="n"/>
      <c r="I145" s="46" t="n"/>
      <c r="J145" s="46" t="n"/>
      <c r="K145" s="47" t="n"/>
      <c r="L145" s="47" t="n"/>
      <c r="M145" s="47" t="n"/>
      <c r="N145" s="47" t="n"/>
      <c r="O145" s="47" t="n"/>
      <c r="P145" s="47" t="n"/>
      <c r="Q145" s="14">
        <f>IF(A145="","",COUNTIFS('Giao việc'!$O$5:$O$3004,A145,'Giao việc'!$J$5:$J$3004,"&lt;&gt;Bỏ qua"))</f>
        <v/>
      </c>
      <c r="R145" s="14">
        <f>IF(A145="","",COUNTIFS('Giao việc'!$O$5:$O$3004,A145,'Giao việc'!$J$5:$J$3004,"Xong"))</f>
        <v/>
      </c>
      <c r="S145" s="14">
        <f>IF(A145="","",COUNTIFS('Giao việc'!$O$5:$O$3004,A145,'Giao việc'!$M$5:$M$3004,"*QUÁ HẠN*"))</f>
        <v/>
      </c>
      <c r="T145" s="14">
        <f>IF(A145="","",COUNTIFS('Giao việc'!$O$5:$O$3004,A145,'Giao việc'!$M$5:$M$3004,"*CHƯA GIAO*"))</f>
        <v/>
      </c>
      <c r="U145" s="15">
        <f>IF(OR(A145="",N(Q145)=0),"",R145/Q145)</f>
        <v/>
      </c>
      <c r="V145" s="16">
        <f>IF(U145="","",REPT("█",ROUND(U145*10,0))&amp;REPT("░",10-ROUND(U145*10,0)))</f>
        <v/>
      </c>
      <c r="W145" s="14">
        <f>IF(C145="","Chưa có ngày",IF(C145&gt;TODAY(),"Còn "&amp;(C145-TODAY())&amp;" ngày",IF(IF(D145="",C145,D145)&gt;=TODAY(),"Đang diễn ra","Đã qua "&amp;(TODAY()-IF(D145="",C145,D145))&amp;" ngày")))</f>
        <v/>
      </c>
      <c r="X145" s="14">
        <f>IF(AND(A145&lt;&gt;"",P145="Có",ISNUMBER(C145)),IF(IF(D145="",C145,D145)&gt;=TODAY()-35,C145+ROW()/100000,""),"")</f>
        <v/>
      </c>
    </row>
    <row r="146">
      <c r="A146" s="46" t="n"/>
      <c r="B146" s="12" t="n"/>
      <c r="C146" s="13" t="n"/>
      <c r="D146" s="13" t="n"/>
      <c r="E146" s="14" t="n"/>
      <c r="F146" s="14" t="n"/>
      <c r="G146" s="14" t="n"/>
      <c r="H146" s="14" t="n"/>
      <c r="I146" s="46" t="n"/>
      <c r="J146" s="46" t="n"/>
      <c r="K146" s="47" t="n"/>
      <c r="L146" s="47" t="n"/>
      <c r="M146" s="47" t="n"/>
      <c r="N146" s="47" t="n"/>
      <c r="O146" s="47" t="n"/>
      <c r="P146" s="47" t="n"/>
      <c r="Q146" s="14">
        <f>IF(A146="","",COUNTIFS('Giao việc'!$O$5:$O$3004,A146,'Giao việc'!$J$5:$J$3004,"&lt;&gt;Bỏ qua"))</f>
        <v/>
      </c>
      <c r="R146" s="14">
        <f>IF(A146="","",COUNTIFS('Giao việc'!$O$5:$O$3004,A146,'Giao việc'!$J$5:$J$3004,"Xong"))</f>
        <v/>
      </c>
      <c r="S146" s="14">
        <f>IF(A146="","",COUNTIFS('Giao việc'!$O$5:$O$3004,A146,'Giao việc'!$M$5:$M$3004,"*QUÁ HẠN*"))</f>
        <v/>
      </c>
      <c r="T146" s="14">
        <f>IF(A146="","",COUNTIFS('Giao việc'!$O$5:$O$3004,A146,'Giao việc'!$M$5:$M$3004,"*CHƯA GIAO*"))</f>
        <v/>
      </c>
      <c r="U146" s="15">
        <f>IF(OR(A146="",N(Q146)=0),"",R146/Q146)</f>
        <v/>
      </c>
      <c r="V146" s="16">
        <f>IF(U146="","",REPT("█",ROUND(U146*10,0))&amp;REPT("░",10-ROUND(U146*10,0)))</f>
        <v/>
      </c>
      <c r="W146" s="14">
        <f>IF(C146="","Chưa có ngày",IF(C146&gt;TODAY(),"Còn "&amp;(C146-TODAY())&amp;" ngày",IF(IF(D146="",C146,D146)&gt;=TODAY(),"Đang diễn ra","Đã qua "&amp;(TODAY()-IF(D146="",C146,D146))&amp;" ngày")))</f>
        <v/>
      </c>
      <c r="X146" s="14">
        <f>IF(AND(A146&lt;&gt;"",P146="Có",ISNUMBER(C146)),IF(IF(D146="",C146,D146)&gt;=TODAY()-35,C146+ROW()/100000,""),"")</f>
        <v/>
      </c>
    </row>
    <row r="147">
      <c r="A147" s="46" t="n"/>
      <c r="B147" s="12" t="n"/>
      <c r="C147" s="13" t="n"/>
      <c r="D147" s="13" t="n"/>
      <c r="E147" s="14" t="n"/>
      <c r="F147" s="14" t="n"/>
      <c r="G147" s="14" t="n"/>
      <c r="H147" s="14" t="n"/>
      <c r="I147" s="46" t="n"/>
      <c r="J147" s="46" t="n"/>
      <c r="K147" s="47" t="n"/>
      <c r="L147" s="47" t="n"/>
      <c r="M147" s="47" t="n"/>
      <c r="N147" s="47" t="n"/>
      <c r="O147" s="47" t="n"/>
      <c r="P147" s="47" t="n"/>
      <c r="Q147" s="14">
        <f>IF(A147="","",COUNTIFS('Giao việc'!$O$5:$O$3004,A147,'Giao việc'!$J$5:$J$3004,"&lt;&gt;Bỏ qua"))</f>
        <v/>
      </c>
      <c r="R147" s="14">
        <f>IF(A147="","",COUNTIFS('Giao việc'!$O$5:$O$3004,A147,'Giao việc'!$J$5:$J$3004,"Xong"))</f>
        <v/>
      </c>
      <c r="S147" s="14">
        <f>IF(A147="","",COUNTIFS('Giao việc'!$O$5:$O$3004,A147,'Giao việc'!$M$5:$M$3004,"*QUÁ HẠN*"))</f>
        <v/>
      </c>
      <c r="T147" s="14">
        <f>IF(A147="","",COUNTIFS('Giao việc'!$O$5:$O$3004,A147,'Giao việc'!$M$5:$M$3004,"*CHƯA GIAO*"))</f>
        <v/>
      </c>
      <c r="U147" s="15">
        <f>IF(OR(A147="",N(Q147)=0),"",R147/Q147)</f>
        <v/>
      </c>
      <c r="V147" s="16">
        <f>IF(U147="","",REPT("█",ROUND(U147*10,0))&amp;REPT("░",10-ROUND(U147*10,0)))</f>
        <v/>
      </c>
      <c r="W147" s="14">
        <f>IF(C147="","Chưa có ngày",IF(C147&gt;TODAY(),"Còn "&amp;(C147-TODAY())&amp;" ngày",IF(IF(D147="",C147,D147)&gt;=TODAY(),"Đang diễn ra","Đã qua "&amp;(TODAY()-IF(D147="",C147,D147))&amp;" ngày")))</f>
        <v/>
      </c>
      <c r="X147" s="14">
        <f>IF(AND(A147&lt;&gt;"",P147="Có",ISNUMBER(C147)),IF(IF(D147="",C147,D147)&gt;=TODAY()-35,C147+ROW()/100000,""),"")</f>
        <v/>
      </c>
    </row>
    <row r="148">
      <c r="A148" s="46" t="n"/>
      <c r="B148" s="12" t="n"/>
      <c r="C148" s="13" t="n"/>
      <c r="D148" s="13" t="n"/>
      <c r="E148" s="14" t="n"/>
      <c r="F148" s="14" t="n"/>
      <c r="G148" s="14" t="n"/>
      <c r="H148" s="14" t="n"/>
      <c r="I148" s="46" t="n"/>
      <c r="J148" s="46" t="n"/>
      <c r="K148" s="47" t="n"/>
      <c r="L148" s="47" t="n"/>
      <c r="M148" s="47" t="n"/>
      <c r="N148" s="47" t="n"/>
      <c r="O148" s="47" t="n"/>
      <c r="P148" s="47" t="n"/>
      <c r="Q148" s="14">
        <f>IF(A148="","",COUNTIFS('Giao việc'!$O$5:$O$3004,A148,'Giao việc'!$J$5:$J$3004,"&lt;&gt;Bỏ qua"))</f>
        <v/>
      </c>
      <c r="R148" s="14">
        <f>IF(A148="","",COUNTIFS('Giao việc'!$O$5:$O$3004,A148,'Giao việc'!$J$5:$J$3004,"Xong"))</f>
        <v/>
      </c>
      <c r="S148" s="14">
        <f>IF(A148="","",COUNTIFS('Giao việc'!$O$5:$O$3004,A148,'Giao việc'!$M$5:$M$3004,"*QUÁ HẠN*"))</f>
        <v/>
      </c>
      <c r="T148" s="14">
        <f>IF(A148="","",COUNTIFS('Giao việc'!$O$5:$O$3004,A148,'Giao việc'!$M$5:$M$3004,"*CHƯA GIAO*"))</f>
        <v/>
      </c>
      <c r="U148" s="15">
        <f>IF(OR(A148="",N(Q148)=0),"",R148/Q148)</f>
        <v/>
      </c>
      <c r="V148" s="16">
        <f>IF(U148="","",REPT("█",ROUND(U148*10,0))&amp;REPT("░",10-ROUND(U148*10,0)))</f>
        <v/>
      </c>
      <c r="W148" s="14">
        <f>IF(C148="","Chưa có ngày",IF(C148&gt;TODAY(),"Còn "&amp;(C148-TODAY())&amp;" ngày",IF(IF(D148="",C148,D148)&gt;=TODAY(),"Đang diễn ra","Đã qua "&amp;(TODAY()-IF(D148="",C148,D148))&amp;" ngày")))</f>
        <v/>
      </c>
      <c r="X148" s="14">
        <f>IF(AND(A148&lt;&gt;"",P148="Có",ISNUMBER(C148)),IF(IF(D148="",C148,D148)&gt;=TODAY()-35,C148+ROW()/100000,""),"")</f>
        <v/>
      </c>
    </row>
    <row r="149">
      <c r="A149" s="46" t="n"/>
      <c r="B149" s="12" t="n"/>
      <c r="C149" s="13" t="n"/>
      <c r="D149" s="13" t="n"/>
      <c r="E149" s="14" t="n"/>
      <c r="F149" s="14" t="n"/>
      <c r="G149" s="14" t="n"/>
      <c r="H149" s="14" t="n"/>
      <c r="I149" s="46" t="n"/>
      <c r="J149" s="46" t="n"/>
      <c r="K149" s="47" t="n"/>
      <c r="L149" s="47" t="n"/>
      <c r="M149" s="47" t="n"/>
      <c r="N149" s="47" t="n"/>
      <c r="O149" s="47" t="n"/>
      <c r="P149" s="47" t="n"/>
      <c r="Q149" s="14">
        <f>IF(A149="","",COUNTIFS('Giao việc'!$O$5:$O$3004,A149,'Giao việc'!$J$5:$J$3004,"&lt;&gt;Bỏ qua"))</f>
        <v/>
      </c>
      <c r="R149" s="14">
        <f>IF(A149="","",COUNTIFS('Giao việc'!$O$5:$O$3004,A149,'Giao việc'!$J$5:$J$3004,"Xong"))</f>
        <v/>
      </c>
      <c r="S149" s="14">
        <f>IF(A149="","",COUNTIFS('Giao việc'!$O$5:$O$3004,A149,'Giao việc'!$M$5:$M$3004,"*QUÁ HẠN*"))</f>
        <v/>
      </c>
      <c r="T149" s="14">
        <f>IF(A149="","",COUNTIFS('Giao việc'!$O$5:$O$3004,A149,'Giao việc'!$M$5:$M$3004,"*CHƯA GIAO*"))</f>
        <v/>
      </c>
      <c r="U149" s="15">
        <f>IF(OR(A149="",N(Q149)=0),"",R149/Q149)</f>
        <v/>
      </c>
      <c r="V149" s="16">
        <f>IF(U149="","",REPT("█",ROUND(U149*10,0))&amp;REPT("░",10-ROUND(U149*10,0)))</f>
        <v/>
      </c>
      <c r="W149" s="14">
        <f>IF(C149="","Chưa có ngày",IF(C149&gt;TODAY(),"Còn "&amp;(C149-TODAY())&amp;" ngày",IF(IF(D149="",C149,D149)&gt;=TODAY(),"Đang diễn ra","Đã qua "&amp;(TODAY()-IF(D149="",C149,D149))&amp;" ngày")))</f>
        <v/>
      </c>
      <c r="X149" s="14">
        <f>IF(AND(A149&lt;&gt;"",P149="Có",ISNUMBER(C149)),IF(IF(D149="",C149,D149)&gt;=TODAY()-35,C149+ROW()/100000,""),"")</f>
        <v/>
      </c>
    </row>
    <row r="150">
      <c r="A150" s="46" t="n"/>
      <c r="B150" s="12" t="n"/>
      <c r="C150" s="13" t="n"/>
      <c r="D150" s="13" t="n"/>
      <c r="E150" s="14" t="n"/>
      <c r="F150" s="14" t="n"/>
      <c r="G150" s="14" t="n"/>
      <c r="H150" s="14" t="n"/>
      <c r="I150" s="46" t="n"/>
      <c r="J150" s="46" t="n"/>
      <c r="K150" s="47" t="n"/>
      <c r="L150" s="47" t="n"/>
      <c r="M150" s="47" t="n"/>
      <c r="N150" s="47" t="n"/>
      <c r="O150" s="47" t="n"/>
      <c r="P150" s="47" t="n"/>
      <c r="Q150" s="14">
        <f>IF(A150="","",COUNTIFS('Giao việc'!$O$5:$O$3004,A150,'Giao việc'!$J$5:$J$3004,"&lt;&gt;Bỏ qua"))</f>
        <v/>
      </c>
      <c r="R150" s="14">
        <f>IF(A150="","",COUNTIFS('Giao việc'!$O$5:$O$3004,A150,'Giao việc'!$J$5:$J$3004,"Xong"))</f>
        <v/>
      </c>
      <c r="S150" s="14">
        <f>IF(A150="","",COUNTIFS('Giao việc'!$O$5:$O$3004,A150,'Giao việc'!$M$5:$M$3004,"*QUÁ HẠN*"))</f>
        <v/>
      </c>
      <c r="T150" s="14">
        <f>IF(A150="","",COUNTIFS('Giao việc'!$O$5:$O$3004,A150,'Giao việc'!$M$5:$M$3004,"*CHƯA GIAO*"))</f>
        <v/>
      </c>
      <c r="U150" s="15">
        <f>IF(OR(A150="",N(Q150)=0),"",R150/Q150)</f>
        <v/>
      </c>
      <c r="V150" s="16">
        <f>IF(U150="","",REPT("█",ROUND(U150*10,0))&amp;REPT("░",10-ROUND(U150*10,0)))</f>
        <v/>
      </c>
      <c r="W150" s="14">
        <f>IF(C150="","Chưa có ngày",IF(C150&gt;TODAY(),"Còn "&amp;(C150-TODAY())&amp;" ngày",IF(IF(D150="",C150,D150)&gt;=TODAY(),"Đang diễn ra","Đã qua "&amp;(TODAY()-IF(D150="",C150,D150))&amp;" ngày")))</f>
        <v/>
      </c>
      <c r="X150" s="14">
        <f>IF(AND(A150&lt;&gt;"",P150="Có",ISNUMBER(C150)),IF(IF(D150="",C150,D150)&gt;=TODAY()-35,C150+ROW()/100000,""),"")</f>
        <v/>
      </c>
    </row>
    <row r="151">
      <c r="A151" s="46" t="n"/>
      <c r="B151" s="12" t="n"/>
      <c r="C151" s="13" t="n"/>
      <c r="D151" s="13" t="n"/>
      <c r="E151" s="14" t="n"/>
      <c r="F151" s="14" t="n"/>
      <c r="G151" s="14" t="n"/>
      <c r="H151" s="14" t="n"/>
      <c r="I151" s="46" t="n"/>
      <c r="J151" s="46" t="n"/>
      <c r="K151" s="47" t="n"/>
      <c r="L151" s="47" t="n"/>
      <c r="M151" s="47" t="n"/>
      <c r="N151" s="47" t="n"/>
      <c r="O151" s="47" t="n"/>
      <c r="P151" s="47" t="n"/>
      <c r="Q151" s="14">
        <f>IF(A151="","",COUNTIFS('Giao việc'!$O$5:$O$3004,A151,'Giao việc'!$J$5:$J$3004,"&lt;&gt;Bỏ qua"))</f>
        <v/>
      </c>
      <c r="R151" s="14">
        <f>IF(A151="","",COUNTIFS('Giao việc'!$O$5:$O$3004,A151,'Giao việc'!$J$5:$J$3004,"Xong"))</f>
        <v/>
      </c>
      <c r="S151" s="14">
        <f>IF(A151="","",COUNTIFS('Giao việc'!$O$5:$O$3004,A151,'Giao việc'!$M$5:$M$3004,"*QUÁ HẠN*"))</f>
        <v/>
      </c>
      <c r="T151" s="14">
        <f>IF(A151="","",COUNTIFS('Giao việc'!$O$5:$O$3004,A151,'Giao việc'!$M$5:$M$3004,"*CHƯA GIAO*"))</f>
        <v/>
      </c>
      <c r="U151" s="15">
        <f>IF(OR(A151="",N(Q151)=0),"",R151/Q151)</f>
        <v/>
      </c>
      <c r="V151" s="16">
        <f>IF(U151="","",REPT("█",ROUND(U151*10,0))&amp;REPT("░",10-ROUND(U151*10,0)))</f>
        <v/>
      </c>
      <c r="W151" s="14">
        <f>IF(C151="","Chưa có ngày",IF(C151&gt;TODAY(),"Còn "&amp;(C151-TODAY())&amp;" ngày",IF(IF(D151="",C151,D151)&gt;=TODAY(),"Đang diễn ra","Đã qua "&amp;(TODAY()-IF(D151="",C151,D151))&amp;" ngày")))</f>
        <v/>
      </c>
      <c r="X151" s="14">
        <f>IF(AND(A151&lt;&gt;"",P151="Có",ISNUMBER(C151)),IF(IF(D151="",C151,D151)&gt;=TODAY()-35,C151+ROW()/100000,""),"")</f>
        <v/>
      </c>
    </row>
    <row r="152">
      <c r="A152" s="46" t="n"/>
      <c r="B152" s="12" t="n"/>
      <c r="C152" s="13" t="n"/>
      <c r="D152" s="13" t="n"/>
      <c r="E152" s="14" t="n"/>
      <c r="F152" s="14" t="n"/>
      <c r="G152" s="14" t="n"/>
      <c r="H152" s="14" t="n"/>
      <c r="I152" s="46" t="n"/>
      <c r="J152" s="46" t="n"/>
      <c r="K152" s="47" t="n"/>
      <c r="L152" s="47" t="n"/>
      <c r="M152" s="47" t="n"/>
      <c r="N152" s="47" t="n"/>
      <c r="O152" s="47" t="n"/>
      <c r="P152" s="47" t="n"/>
      <c r="Q152" s="14">
        <f>IF(A152="","",COUNTIFS('Giao việc'!$O$5:$O$3004,A152,'Giao việc'!$J$5:$J$3004,"&lt;&gt;Bỏ qua"))</f>
        <v/>
      </c>
      <c r="R152" s="14">
        <f>IF(A152="","",COUNTIFS('Giao việc'!$O$5:$O$3004,A152,'Giao việc'!$J$5:$J$3004,"Xong"))</f>
        <v/>
      </c>
      <c r="S152" s="14">
        <f>IF(A152="","",COUNTIFS('Giao việc'!$O$5:$O$3004,A152,'Giao việc'!$M$5:$M$3004,"*QUÁ HẠN*"))</f>
        <v/>
      </c>
      <c r="T152" s="14">
        <f>IF(A152="","",COUNTIFS('Giao việc'!$O$5:$O$3004,A152,'Giao việc'!$M$5:$M$3004,"*CHƯA GIAO*"))</f>
        <v/>
      </c>
      <c r="U152" s="15">
        <f>IF(OR(A152="",N(Q152)=0),"",R152/Q152)</f>
        <v/>
      </c>
      <c r="V152" s="16">
        <f>IF(U152="","",REPT("█",ROUND(U152*10,0))&amp;REPT("░",10-ROUND(U152*10,0)))</f>
        <v/>
      </c>
      <c r="W152" s="14">
        <f>IF(C152="","Chưa có ngày",IF(C152&gt;TODAY(),"Còn "&amp;(C152-TODAY())&amp;" ngày",IF(IF(D152="",C152,D152)&gt;=TODAY(),"Đang diễn ra","Đã qua "&amp;(TODAY()-IF(D152="",C152,D152))&amp;" ngày")))</f>
        <v/>
      </c>
      <c r="X152" s="14">
        <f>IF(AND(A152&lt;&gt;"",P152="Có",ISNUMBER(C152)),IF(IF(D152="",C152,D152)&gt;=TODAY()-35,C152+ROW()/100000,""),"")</f>
        <v/>
      </c>
    </row>
    <row r="153">
      <c r="A153" s="46" t="n"/>
      <c r="B153" s="12" t="n"/>
      <c r="C153" s="13" t="n"/>
      <c r="D153" s="13" t="n"/>
      <c r="E153" s="14" t="n"/>
      <c r="F153" s="14" t="n"/>
      <c r="G153" s="14" t="n"/>
      <c r="H153" s="14" t="n"/>
      <c r="I153" s="46" t="n"/>
      <c r="J153" s="46" t="n"/>
      <c r="K153" s="47" t="n"/>
      <c r="L153" s="47" t="n"/>
      <c r="M153" s="47" t="n"/>
      <c r="N153" s="47" t="n"/>
      <c r="O153" s="47" t="n"/>
      <c r="P153" s="47" t="n"/>
      <c r="Q153" s="14">
        <f>IF(A153="","",COUNTIFS('Giao việc'!$O$5:$O$3004,A153,'Giao việc'!$J$5:$J$3004,"&lt;&gt;Bỏ qua"))</f>
        <v/>
      </c>
      <c r="R153" s="14">
        <f>IF(A153="","",COUNTIFS('Giao việc'!$O$5:$O$3004,A153,'Giao việc'!$J$5:$J$3004,"Xong"))</f>
        <v/>
      </c>
      <c r="S153" s="14">
        <f>IF(A153="","",COUNTIFS('Giao việc'!$O$5:$O$3004,A153,'Giao việc'!$M$5:$M$3004,"*QUÁ HẠN*"))</f>
        <v/>
      </c>
      <c r="T153" s="14">
        <f>IF(A153="","",COUNTIFS('Giao việc'!$O$5:$O$3004,A153,'Giao việc'!$M$5:$M$3004,"*CHƯA GIAO*"))</f>
        <v/>
      </c>
      <c r="U153" s="15">
        <f>IF(OR(A153="",N(Q153)=0),"",R153/Q153)</f>
        <v/>
      </c>
      <c r="V153" s="16">
        <f>IF(U153="","",REPT("█",ROUND(U153*10,0))&amp;REPT("░",10-ROUND(U153*10,0)))</f>
        <v/>
      </c>
      <c r="W153" s="14">
        <f>IF(C153="","Chưa có ngày",IF(C153&gt;TODAY(),"Còn "&amp;(C153-TODAY())&amp;" ngày",IF(IF(D153="",C153,D153)&gt;=TODAY(),"Đang diễn ra","Đã qua "&amp;(TODAY()-IF(D153="",C153,D153))&amp;" ngày")))</f>
        <v/>
      </c>
      <c r="X153" s="14">
        <f>IF(AND(A153&lt;&gt;"",P153="Có",ISNUMBER(C153)),IF(IF(D153="",C153,D153)&gt;=TODAY()-35,C153+ROW()/100000,""),"")</f>
        <v/>
      </c>
    </row>
    <row r="154">
      <c r="A154" s="46" t="n"/>
      <c r="B154" s="12" t="n"/>
      <c r="C154" s="13" t="n"/>
      <c r="D154" s="13" t="n"/>
      <c r="E154" s="14" t="n"/>
      <c r="F154" s="14" t="n"/>
      <c r="G154" s="14" t="n"/>
      <c r="H154" s="14" t="n"/>
      <c r="I154" s="46" t="n"/>
      <c r="J154" s="46" t="n"/>
      <c r="K154" s="47" t="n"/>
      <c r="L154" s="47" t="n"/>
      <c r="M154" s="47" t="n"/>
      <c r="N154" s="47" t="n"/>
      <c r="O154" s="47" t="n"/>
      <c r="P154" s="47" t="n"/>
      <c r="Q154" s="14">
        <f>IF(A154="","",COUNTIFS('Giao việc'!$O$5:$O$3004,A154,'Giao việc'!$J$5:$J$3004,"&lt;&gt;Bỏ qua"))</f>
        <v/>
      </c>
      <c r="R154" s="14">
        <f>IF(A154="","",COUNTIFS('Giao việc'!$O$5:$O$3004,A154,'Giao việc'!$J$5:$J$3004,"Xong"))</f>
        <v/>
      </c>
      <c r="S154" s="14">
        <f>IF(A154="","",COUNTIFS('Giao việc'!$O$5:$O$3004,A154,'Giao việc'!$M$5:$M$3004,"*QUÁ HẠN*"))</f>
        <v/>
      </c>
      <c r="T154" s="14">
        <f>IF(A154="","",COUNTIFS('Giao việc'!$O$5:$O$3004,A154,'Giao việc'!$M$5:$M$3004,"*CHƯA GIAO*"))</f>
        <v/>
      </c>
      <c r="U154" s="15">
        <f>IF(OR(A154="",N(Q154)=0),"",R154/Q154)</f>
        <v/>
      </c>
      <c r="V154" s="16">
        <f>IF(U154="","",REPT("█",ROUND(U154*10,0))&amp;REPT("░",10-ROUND(U154*10,0)))</f>
        <v/>
      </c>
      <c r="W154" s="14">
        <f>IF(C154="","Chưa có ngày",IF(C154&gt;TODAY(),"Còn "&amp;(C154-TODAY())&amp;" ngày",IF(IF(D154="",C154,D154)&gt;=TODAY(),"Đang diễn ra","Đã qua "&amp;(TODAY()-IF(D154="",C154,D154))&amp;" ngày")))</f>
        <v/>
      </c>
      <c r="X154" s="14">
        <f>IF(AND(A154&lt;&gt;"",P154="Có",ISNUMBER(C154)),IF(IF(D154="",C154,D154)&gt;=TODAY()-35,C154+ROW()/100000,""),"")</f>
        <v/>
      </c>
    </row>
    <row r="155">
      <c r="A155" s="46" t="n"/>
      <c r="B155" s="12" t="n"/>
      <c r="C155" s="13" t="n"/>
      <c r="D155" s="13" t="n"/>
      <c r="E155" s="14" t="n"/>
      <c r="F155" s="14" t="n"/>
      <c r="G155" s="14" t="n"/>
      <c r="H155" s="14" t="n"/>
      <c r="I155" s="46" t="n"/>
      <c r="J155" s="46" t="n"/>
      <c r="K155" s="47" t="n"/>
      <c r="L155" s="47" t="n"/>
      <c r="M155" s="47" t="n"/>
      <c r="N155" s="47" t="n"/>
      <c r="O155" s="47" t="n"/>
      <c r="P155" s="47" t="n"/>
      <c r="Q155" s="14">
        <f>IF(A155="","",COUNTIFS('Giao việc'!$O$5:$O$3004,A155,'Giao việc'!$J$5:$J$3004,"&lt;&gt;Bỏ qua"))</f>
        <v/>
      </c>
      <c r="R155" s="14">
        <f>IF(A155="","",COUNTIFS('Giao việc'!$O$5:$O$3004,A155,'Giao việc'!$J$5:$J$3004,"Xong"))</f>
        <v/>
      </c>
      <c r="S155" s="14">
        <f>IF(A155="","",COUNTIFS('Giao việc'!$O$5:$O$3004,A155,'Giao việc'!$M$5:$M$3004,"*QUÁ HẠN*"))</f>
        <v/>
      </c>
      <c r="T155" s="14">
        <f>IF(A155="","",COUNTIFS('Giao việc'!$O$5:$O$3004,A155,'Giao việc'!$M$5:$M$3004,"*CHƯA GIAO*"))</f>
        <v/>
      </c>
      <c r="U155" s="15">
        <f>IF(OR(A155="",N(Q155)=0),"",R155/Q155)</f>
        <v/>
      </c>
      <c r="V155" s="16">
        <f>IF(U155="","",REPT("█",ROUND(U155*10,0))&amp;REPT("░",10-ROUND(U155*10,0)))</f>
        <v/>
      </c>
      <c r="W155" s="14">
        <f>IF(C155="","Chưa có ngày",IF(C155&gt;TODAY(),"Còn "&amp;(C155-TODAY())&amp;" ngày",IF(IF(D155="",C155,D155)&gt;=TODAY(),"Đang diễn ra","Đã qua "&amp;(TODAY()-IF(D155="",C155,D155))&amp;" ngày")))</f>
        <v/>
      </c>
      <c r="X155" s="14">
        <f>IF(AND(A155&lt;&gt;"",P155="Có",ISNUMBER(C155)),IF(IF(D155="",C155,D155)&gt;=TODAY()-35,C155+ROW()/100000,""),"")</f>
        <v/>
      </c>
    </row>
    <row r="156">
      <c r="A156" s="46" t="n"/>
      <c r="B156" s="12" t="n"/>
      <c r="C156" s="13" t="n"/>
      <c r="D156" s="13" t="n"/>
      <c r="E156" s="14" t="n"/>
      <c r="F156" s="14" t="n"/>
      <c r="G156" s="14" t="n"/>
      <c r="H156" s="14" t="n"/>
      <c r="I156" s="46" t="n"/>
      <c r="J156" s="46" t="n"/>
      <c r="K156" s="47" t="n"/>
      <c r="L156" s="47" t="n"/>
      <c r="M156" s="47" t="n"/>
      <c r="N156" s="47" t="n"/>
      <c r="O156" s="47" t="n"/>
      <c r="P156" s="47" t="n"/>
      <c r="Q156" s="14">
        <f>IF(A156="","",COUNTIFS('Giao việc'!$O$5:$O$3004,A156,'Giao việc'!$J$5:$J$3004,"&lt;&gt;Bỏ qua"))</f>
        <v/>
      </c>
      <c r="R156" s="14">
        <f>IF(A156="","",COUNTIFS('Giao việc'!$O$5:$O$3004,A156,'Giao việc'!$J$5:$J$3004,"Xong"))</f>
        <v/>
      </c>
      <c r="S156" s="14">
        <f>IF(A156="","",COUNTIFS('Giao việc'!$O$5:$O$3004,A156,'Giao việc'!$M$5:$M$3004,"*QUÁ HẠN*"))</f>
        <v/>
      </c>
      <c r="T156" s="14">
        <f>IF(A156="","",COUNTIFS('Giao việc'!$O$5:$O$3004,A156,'Giao việc'!$M$5:$M$3004,"*CHƯA GIAO*"))</f>
        <v/>
      </c>
      <c r="U156" s="15">
        <f>IF(OR(A156="",N(Q156)=0),"",R156/Q156)</f>
        <v/>
      </c>
      <c r="V156" s="16">
        <f>IF(U156="","",REPT("█",ROUND(U156*10,0))&amp;REPT("░",10-ROUND(U156*10,0)))</f>
        <v/>
      </c>
      <c r="W156" s="14">
        <f>IF(C156="","Chưa có ngày",IF(C156&gt;TODAY(),"Còn "&amp;(C156-TODAY())&amp;" ngày",IF(IF(D156="",C156,D156)&gt;=TODAY(),"Đang diễn ra","Đã qua "&amp;(TODAY()-IF(D156="",C156,D156))&amp;" ngày")))</f>
        <v/>
      </c>
      <c r="X156" s="14">
        <f>IF(AND(A156&lt;&gt;"",P156="Có",ISNUMBER(C156)),IF(IF(D156="",C156,D156)&gt;=TODAY()-35,C156+ROW()/100000,""),"")</f>
        <v/>
      </c>
    </row>
    <row r="157">
      <c r="A157" s="46" t="n"/>
      <c r="B157" s="12" t="n"/>
      <c r="C157" s="13" t="n"/>
      <c r="D157" s="13" t="n"/>
      <c r="E157" s="14" t="n"/>
      <c r="F157" s="14" t="n"/>
      <c r="G157" s="14" t="n"/>
      <c r="H157" s="14" t="n"/>
      <c r="I157" s="46" t="n"/>
      <c r="J157" s="46" t="n"/>
      <c r="K157" s="47" t="n"/>
      <c r="L157" s="47" t="n"/>
      <c r="M157" s="47" t="n"/>
      <c r="N157" s="47" t="n"/>
      <c r="O157" s="47" t="n"/>
      <c r="P157" s="47" t="n"/>
      <c r="Q157" s="14">
        <f>IF(A157="","",COUNTIFS('Giao việc'!$O$5:$O$3004,A157,'Giao việc'!$J$5:$J$3004,"&lt;&gt;Bỏ qua"))</f>
        <v/>
      </c>
      <c r="R157" s="14">
        <f>IF(A157="","",COUNTIFS('Giao việc'!$O$5:$O$3004,A157,'Giao việc'!$J$5:$J$3004,"Xong"))</f>
        <v/>
      </c>
      <c r="S157" s="14">
        <f>IF(A157="","",COUNTIFS('Giao việc'!$O$5:$O$3004,A157,'Giao việc'!$M$5:$M$3004,"*QUÁ HẠN*"))</f>
        <v/>
      </c>
      <c r="T157" s="14">
        <f>IF(A157="","",COUNTIFS('Giao việc'!$O$5:$O$3004,A157,'Giao việc'!$M$5:$M$3004,"*CHƯA GIAO*"))</f>
        <v/>
      </c>
      <c r="U157" s="15">
        <f>IF(OR(A157="",N(Q157)=0),"",R157/Q157)</f>
        <v/>
      </c>
      <c r="V157" s="16">
        <f>IF(U157="","",REPT("█",ROUND(U157*10,0))&amp;REPT("░",10-ROUND(U157*10,0)))</f>
        <v/>
      </c>
      <c r="W157" s="14">
        <f>IF(C157="","Chưa có ngày",IF(C157&gt;TODAY(),"Còn "&amp;(C157-TODAY())&amp;" ngày",IF(IF(D157="",C157,D157)&gt;=TODAY(),"Đang diễn ra","Đã qua "&amp;(TODAY()-IF(D157="",C157,D157))&amp;" ngày")))</f>
        <v/>
      </c>
      <c r="X157" s="14">
        <f>IF(AND(A157&lt;&gt;"",P157="Có",ISNUMBER(C157)),IF(IF(D157="",C157,D157)&gt;=TODAY()-35,C157+ROW()/100000,""),"")</f>
        <v/>
      </c>
    </row>
    <row r="158">
      <c r="A158" s="46" t="n"/>
      <c r="B158" s="12" t="n"/>
      <c r="C158" s="13" t="n"/>
      <c r="D158" s="13" t="n"/>
      <c r="E158" s="14" t="n"/>
      <c r="F158" s="14" t="n"/>
      <c r="G158" s="14" t="n"/>
      <c r="H158" s="14" t="n"/>
      <c r="I158" s="46" t="n"/>
      <c r="J158" s="46" t="n"/>
      <c r="K158" s="47" t="n"/>
      <c r="L158" s="47" t="n"/>
      <c r="M158" s="47" t="n"/>
      <c r="N158" s="47" t="n"/>
      <c r="O158" s="47" t="n"/>
      <c r="P158" s="47" t="n"/>
      <c r="Q158" s="14">
        <f>IF(A158="","",COUNTIFS('Giao việc'!$O$5:$O$3004,A158,'Giao việc'!$J$5:$J$3004,"&lt;&gt;Bỏ qua"))</f>
        <v/>
      </c>
      <c r="R158" s="14">
        <f>IF(A158="","",COUNTIFS('Giao việc'!$O$5:$O$3004,A158,'Giao việc'!$J$5:$J$3004,"Xong"))</f>
        <v/>
      </c>
      <c r="S158" s="14">
        <f>IF(A158="","",COUNTIFS('Giao việc'!$O$5:$O$3004,A158,'Giao việc'!$M$5:$M$3004,"*QUÁ HẠN*"))</f>
        <v/>
      </c>
      <c r="T158" s="14">
        <f>IF(A158="","",COUNTIFS('Giao việc'!$O$5:$O$3004,A158,'Giao việc'!$M$5:$M$3004,"*CHƯA GIAO*"))</f>
        <v/>
      </c>
      <c r="U158" s="15">
        <f>IF(OR(A158="",N(Q158)=0),"",R158/Q158)</f>
        <v/>
      </c>
      <c r="V158" s="16">
        <f>IF(U158="","",REPT("█",ROUND(U158*10,0))&amp;REPT("░",10-ROUND(U158*10,0)))</f>
        <v/>
      </c>
      <c r="W158" s="14">
        <f>IF(C158="","Chưa có ngày",IF(C158&gt;TODAY(),"Còn "&amp;(C158-TODAY())&amp;" ngày",IF(IF(D158="",C158,D158)&gt;=TODAY(),"Đang diễn ra","Đã qua "&amp;(TODAY()-IF(D158="",C158,D158))&amp;" ngày")))</f>
        <v/>
      </c>
      <c r="X158" s="14">
        <f>IF(AND(A158&lt;&gt;"",P158="Có",ISNUMBER(C158)),IF(IF(D158="",C158,D158)&gt;=TODAY()-35,C158+ROW()/100000,""),"")</f>
        <v/>
      </c>
    </row>
    <row r="159">
      <c r="A159" s="46" t="n"/>
      <c r="B159" s="12" t="n"/>
      <c r="C159" s="13" t="n"/>
      <c r="D159" s="13" t="n"/>
      <c r="E159" s="14" t="n"/>
      <c r="F159" s="14" t="n"/>
      <c r="G159" s="14" t="n"/>
      <c r="H159" s="14" t="n"/>
      <c r="I159" s="46" t="n"/>
      <c r="J159" s="46" t="n"/>
      <c r="K159" s="47" t="n"/>
      <c r="L159" s="47" t="n"/>
      <c r="M159" s="47" t="n"/>
      <c r="N159" s="47" t="n"/>
      <c r="O159" s="47" t="n"/>
      <c r="P159" s="47" t="n"/>
      <c r="Q159" s="14">
        <f>IF(A159="","",COUNTIFS('Giao việc'!$O$5:$O$3004,A159,'Giao việc'!$J$5:$J$3004,"&lt;&gt;Bỏ qua"))</f>
        <v/>
      </c>
      <c r="R159" s="14">
        <f>IF(A159="","",COUNTIFS('Giao việc'!$O$5:$O$3004,A159,'Giao việc'!$J$5:$J$3004,"Xong"))</f>
        <v/>
      </c>
      <c r="S159" s="14">
        <f>IF(A159="","",COUNTIFS('Giao việc'!$O$5:$O$3004,A159,'Giao việc'!$M$5:$M$3004,"*QUÁ HẠN*"))</f>
        <v/>
      </c>
      <c r="T159" s="14">
        <f>IF(A159="","",COUNTIFS('Giao việc'!$O$5:$O$3004,A159,'Giao việc'!$M$5:$M$3004,"*CHƯA GIAO*"))</f>
        <v/>
      </c>
      <c r="U159" s="15">
        <f>IF(OR(A159="",N(Q159)=0),"",R159/Q159)</f>
        <v/>
      </c>
      <c r="V159" s="16">
        <f>IF(U159="","",REPT("█",ROUND(U159*10,0))&amp;REPT("░",10-ROUND(U159*10,0)))</f>
        <v/>
      </c>
      <c r="W159" s="14">
        <f>IF(C159="","Chưa có ngày",IF(C159&gt;TODAY(),"Còn "&amp;(C159-TODAY())&amp;" ngày",IF(IF(D159="",C159,D159)&gt;=TODAY(),"Đang diễn ra","Đã qua "&amp;(TODAY()-IF(D159="",C159,D159))&amp;" ngày")))</f>
        <v/>
      </c>
      <c r="X159" s="14">
        <f>IF(AND(A159&lt;&gt;"",P159="Có",ISNUMBER(C159)),IF(IF(D159="",C159,D159)&gt;=TODAY()-35,C159+ROW()/100000,""),"")</f>
        <v/>
      </c>
    </row>
    <row r="160">
      <c r="A160" s="46" t="n"/>
      <c r="B160" s="12" t="n"/>
      <c r="C160" s="13" t="n"/>
      <c r="D160" s="13" t="n"/>
      <c r="E160" s="14" t="n"/>
      <c r="F160" s="14" t="n"/>
      <c r="G160" s="14" t="n"/>
      <c r="H160" s="14" t="n"/>
      <c r="I160" s="46" t="n"/>
      <c r="J160" s="46" t="n"/>
      <c r="K160" s="47" t="n"/>
      <c r="L160" s="47" t="n"/>
      <c r="M160" s="47" t="n"/>
      <c r="N160" s="47" t="n"/>
      <c r="O160" s="47" t="n"/>
      <c r="P160" s="47" t="n"/>
      <c r="Q160" s="14">
        <f>IF(A160="","",COUNTIFS('Giao việc'!$O$5:$O$3004,A160,'Giao việc'!$J$5:$J$3004,"&lt;&gt;Bỏ qua"))</f>
        <v/>
      </c>
      <c r="R160" s="14">
        <f>IF(A160="","",COUNTIFS('Giao việc'!$O$5:$O$3004,A160,'Giao việc'!$J$5:$J$3004,"Xong"))</f>
        <v/>
      </c>
      <c r="S160" s="14">
        <f>IF(A160="","",COUNTIFS('Giao việc'!$O$5:$O$3004,A160,'Giao việc'!$M$5:$M$3004,"*QUÁ HẠN*"))</f>
        <v/>
      </c>
      <c r="T160" s="14">
        <f>IF(A160="","",COUNTIFS('Giao việc'!$O$5:$O$3004,A160,'Giao việc'!$M$5:$M$3004,"*CHƯA GIAO*"))</f>
        <v/>
      </c>
      <c r="U160" s="15">
        <f>IF(OR(A160="",N(Q160)=0),"",R160/Q160)</f>
        <v/>
      </c>
      <c r="V160" s="16">
        <f>IF(U160="","",REPT("█",ROUND(U160*10,0))&amp;REPT("░",10-ROUND(U160*10,0)))</f>
        <v/>
      </c>
      <c r="W160" s="14">
        <f>IF(C160="","Chưa có ngày",IF(C160&gt;TODAY(),"Còn "&amp;(C160-TODAY())&amp;" ngày",IF(IF(D160="",C160,D160)&gt;=TODAY(),"Đang diễn ra","Đã qua "&amp;(TODAY()-IF(D160="",C160,D160))&amp;" ngày")))</f>
        <v/>
      </c>
      <c r="X160" s="14">
        <f>IF(AND(A160&lt;&gt;"",P160="Có",ISNUMBER(C160)),IF(IF(D160="",C160,D160)&gt;=TODAY()-35,C160+ROW()/100000,""),"")</f>
        <v/>
      </c>
    </row>
    <row r="161">
      <c r="A161" s="46" t="n"/>
      <c r="B161" s="12" t="n"/>
      <c r="C161" s="13" t="n"/>
      <c r="D161" s="13" t="n"/>
      <c r="E161" s="14" t="n"/>
      <c r="F161" s="14" t="n"/>
      <c r="G161" s="14" t="n"/>
      <c r="H161" s="14" t="n"/>
      <c r="I161" s="46" t="n"/>
      <c r="J161" s="46" t="n"/>
      <c r="K161" s="47" t="n"/>
      <c r="L161" s="47" t="n"/>
      <c r="M161" s="47" t="n"/>
      <c r="N161" s="47" t="n"/>
      <c r="O161" s="47" t="n"/>
      <c r="P161" s="47" t="n"/>
      <c r="Q161" s="14">
        <f>IF(A161="","",COUNTIFS('Giao việc'!$O$5:$O$3004,A161,'Giao việc'!$J$5:$J$3004,"&lt;&gt;Bỏ qua"))</f>
        <v/>
      </c>
      <c r="R161" s="14">
        <f>IF(A161="","",COUNTIFS('Giao việc'!$O$5:$O$3004,A161,'Giao việc'!$J$5:$J$3004,"Xong"))</f>
        <v/>
      </c>
      <c r="S161" s="14">
        <f>IF(A161="","",COUNTIFS('Giao việc'!$O$5:$O$3004,A161,'Giao việc'!$M$5:$M$3004,"*QUÁ HẠN*"))</f>
        <v/>
      </c>
      <c r="T161" s="14">
        <f>IF(A161="","",COUNTIFS('Giao việc'!$O$5:$O$3004,A161,'Giao việc'!$M$5:$M$3004,"*CHƯA GIAO*"))</f>
        <v/>
      </c>
      <c r="U161" s="15">
        <f>IF(OR(A161="",N(Q161)=0),"",R161/Q161)</f>
        <v/>
      </c>
      <c r="V161" s="16">
        <f>IF(U161="","",REPT("█",ROUND(U161*10,0))&amp;REPT("░",10-ROUND(U161*10,0)))</f>
        <v/>
      </c>
      <c r="W161" s="14">
        <f>IF(C161="","Chưa có ngày",IF(C161&gt;TODAY(),"Còn "&amp;(C161-TODAY())&amp;" ngày",IF(IF(D161="",C161,D161)&gt;=TODAY(),"Đang diễn ra","Đã qua "&amp;(TODAY()-IF(D161="",C161,D161))&amp;" ngày")))</f>
        <v/>
      </c>
      <c r="X161" s="14">
        <f>IF(AND(A161&lt;&gt;"",P161="Có",ISNUMBER(C161)),IF(IF(D161="",C161,D161)&gt;=TODAY()-35,C161+ROW()/100000,""),"")</f>
        <v/>
      </c>
    </row>
    <row r="162">
      <c r="A162" s="46" t="n"/>
      <c r="B162" s="12" t="n"/>
      <c r="C162" s="13" t="n"/>
      <c r="D162" s="13" t="n"/>
      <c r="E162" s="14" t="n"/>
      <c r="F162" s="14" t="n"/>
      <c r="G162" s="14" t="n"/>
      <c r="H162" s="14" t="n"/>
      <c r="I162" s="46" t="n"/>
      <c r="J162" s="46" t="n"/>
      <c r="K162" s="47" t="n"/>
      <c r="L162" s="47" t="n"/>
      <c r="M162" s="47" t="n"/>
      <c r="N162" s="47" t="n"/>
      <c r="O162" s="47" t="n"/>
      <c r="P162" s="47" t="n"/>
      <c r="Q162" s="14">
        <f>IF(A162="","",COUNTIFS('Giao việc'!$O$5:$O$3004,A162,'Giao việc'!$J$5:$J$3004,"&lt;&gt;Bỏ qua"))</f>
        <v/>
      </c>
      <c r="R162" s="14">
        <f>IF(A162="","",COUNTIFS('Giao việc'!$O$5:$O$3004,A162,'Giao việc'!$J$5:$J$3004,"Xong"))</f>
        <v/>
      </c>
      <c r="S162" s="14">
        <f>IF(A162="","",COUNTIFS('Giao việc'!$O$5:$O$3004,A162,'Giao việc'!$M$5:$M$3004,"*QUÁ HẠN*"))</f>
        <v/>
      </c>
      <c r="T162" s="14">
        <f>IF(A162="","",COUNTIFS('Giao việc'!$O$5:$O$3004,A162,'Giao việc'!$M$5:$M$3004,"*CHƯA GIAO*"))</f>
        <v/>
      </c>
      <c r="U162" s="15">
        <f>IF(OR(A162="",N(Q162)=0),"",R162/Q162)</f>
        <v/>
      </c>
      <c r="V162" s="16">
        <f>IF(U162="","",REPT("█",ROUND(U162*10,0))&amp;REPT("░",10-ROUND(U162*10,0)))</f>
        <v/>
      </c>
      <c r="W162" s="14">
        <f>IF(C162="","Chưa có ngày",IF(C162&gt;TODAY(),"Còn "&amp;(C162-TODAY())&amp;" ngày",IF(IF(D162="",C162,D162)&gt;=TODAY(),"Đang diễn ra","Đã qua "&amp;(TODAY()-IF(D162="",C162,D162))&amp;" ngày")))</f>
        <v/>
      </c>
      <c r="X162" s="14">
        <f>IF(AND(A162&lt;&gt;"",P162="Có",ISNUMBER(C162)),IF(IF(D162="",C162,D162)&gt;=TODAY()-35,C162+ROW()/100000,""),"")</f>
        <v/>
      </c>
    </row>
    <row r="163">
      <c r="A163" s="46" t="n"/>
      <c r="B163" s="12" t="n"/>
      <c r="C163" s="13" t="n"/>
      <c r="D163" s="13" t="n"/>
      <c r="E163" s="14" t="n"/>
      <c r="F163" s="14" t="n"/>
      <c r="G163" s="14" t="n"/>
      <c r="H163" s="14" t="n"/>
      <c r="I163" s="46" t="n"/>
      <c r="J163" s="46" t="n"/>
      <c r="K163" s="47" t="n"/>
      <c r="L163" s="47" t="n"/>
      <c r="M163" s="47" t="n"/>
      <c r="N163" s="47" t="n"/>
      <c r="O163" s="47" t="n"/>
      <c r="P163" s="47" t="n"/>
      <c r="Q163" s="14">
        <f>IF(A163="","",COUNTIFS('Giao việc'!$O$5:$O$3004,A163,'Giao việc'!$J$5:$J$3004,"&lt;&gt;Bỏ qua"))</f>
        <v/>
      </c>
      <c r="R163" s="14">
        <f>IF(A163="","",COUNTIFS('Giao việc'!$O$5:$O$3004,A163,'Giao việc'!$J$5:$J$3004,"Xong"))</f>
        <v/>
      </c>
      <c r="S163" s="14">
        <f>IF(A163="","",COUNTIFS('Giao việc'!$O$5:$O$3004,A163,'Giao việc'!$M$5:$M$3004,"*QUÁ HẠN*"))</f>
        <v/>
      </c>
      <c r="T163" s="14">
        <f>IF(A163="","",COUNTIFS('Giao việc'!$O$5:$O$3004,A163,'Giao việc'!$M$5:$M$3004,"*CHƯA GIAO*"))</f>
        <v/>
      </c>
      <c r="U163" s="15">
        <f>IF(OR(A163="",N(Q163)=0),"",R163/Q163)</f>
        <v/>
      </c>
      <c r="V163" s="16">
        <f>IF(U163="","",REPT("█",ROUND(U163*10,0))&amp;REPT("░",10-ROUND(U163*10,0)))</f>
        <v/>
      </c>
      <c r="W163" s="14">
        <f>IF(C163="","Chưa có ngày",IF(C163&gt;TODAY(),"Còn "&amp;(C163-TODAY())&amp;" ngày",IF(IF(D163="",C163,D163)&gt;=TODAY(),"Đang diễn ra","Đã qua "&amp;(TODAY()-IF(D163="",C163,D163))&amp;" ngày")))</f>
        <v/>
      </c>
      <c r="X163" s="14">
        <f>IF(AND(A163&lt;&gt;"",P163="Có",ISNUMBER(C163)),IF(IF(D163="",C163,D163)&gt;=TODAY()-35,C163+ROW()/100000,""),"")</f>
        <v/>
      </c>
    </row>
    <row r="164">
      <c r="A164" s="46" t="n"/>
      <c r="B164" s="12" t="n"/>
      <c r="C164" s="13" t="n"/>
      <c r="D164" s="13" t="n"/>
      <c r="E164" s="14" t="n"/>
      <c r="F164" s="14" t="n"/>
      <c r="G164" s="14" t="n"/>
      <c r="H164" s="14" t="n"/>
      <c r="I164" s="46" t="n"/>
      <c r="J164" s="46" t="n"/>
      <c r="K164" s="47" t="n"/>
      <c r="L164" s="47" t="n"/>
      <c r="M164" s="47" t="n"/>
      <c r="N164" s="47" t="n"/>
      <c r="O164" s="47" t="n"/>
      <c r="P164" s="47" t="n"/>
      <c r="Q164" s="14">
        <f>IF(A164="","",COUNTIFS('Giao việc'!$O$5:$O$3004,A164,'Giao việc'!$J$5:$J$3004,"&lt;&gt;Bỏ qua"))</f>
        <v/>
      </c>
      <c r="R164" s="14">
        <f>IF(A164="","",COUNTIFS('Giao việc'!$O$5:$O$3004,A164,'Giao việc'!$J$5:$J$3004,"Xong"))</f>
        <v/>
      </c>
      <c r="S164" s="14">
        <f>IF(A164="","",COUNTIFS('Giao việc'!$O$5:$O$3004,A164,'Giao việc'!$M$5:$M$3004,"*QUÁ HẠN*"))</f>
        <v/>
      </c>
      <c r="T164" s="14">
        <f>IF(A164="","",COUNTIFS('Giao việc'!$O$5:$O$3004,A164,'Giao việc'!$M$5:$M$3004,"*CHƯA GIAO*"))</f>
        <v/>
      </c>
      <c r="U164" s="15">
        <f>IF(OR(A164="",N(Q164)=0),"",R164/Q164)</f>
        <v/>
      </c>
      <c r="V164" s="16">
        <f>IF(U164="","",REPT("█",ROUND(U164*10,0))&amp;REPT("░",10-ROUND(U164*10,0)))</f>
        <v/>
      </c>
      <c r="W164" s="14">
        <f>IF(C164="","Chưa có ngày",IF(C164&gt;TODAY(),"Còn "&amp;(C164-TODAY())&amp;" ngày",IF(IF(D164="",C164,D164)&gt;=TODAY(),"Đang diễn ra","Đã qua "&amp;(TODAY()-IF(D164="",C164,D164))&amp;" ngày")))</f>
        <v/>
      </c>
      <c r="X164" s="14">
        <f>IF(AND(A164&lt;&gt;"",P164="Có",ISNUMBER(C164)),IF(IF(D164="",C164,D164)&gt;=TODAY()-35,C164+ROW()/100000,""),"")</f>
        <v/>
      </c>
    </row>
    <row r="165">
      <c r="A165" s="46" t="n"/>
      <c r="B165" s="12" t="n"/>
      <c r="C165" s="13" t="n"/>
      <c r="D165" s="13" t="n"/>
      <c r="E165" s="14" t="n"/>
      <c r="F165" s="14" t="n"/>
      <c r="G165" s="14" t="n"/>
      <c r="H165" s="14" t="n"/>
      <c r="I165" s="46" t="n"/>
      <c r="J165" s="46" t="n"/>
      <c r="K165" s="47" t="n"/>
      <c r="L165" s="47" t="n"/>
      <c r="M165" s="47" t="n"/>
      <c r="N165" s="47" t="n"/>
      <c r="O165" s="47" t="n"/>
      <c r="P165" s="47" t="n"/>
      <c r="Q165" s="14">
        <f>IF(A165="","",COUNTIFS('Giao việc'!$O$5:$O$3004,A165,'Giao việc'!$J$5:$J$3004,"&lt;&gt;Bỏ qua"))</f>
        <v/>
      </c>
      <c r="R165" s="14">
        <f>IF(A165="","",COUNTIFS('Giao việc'!$O$5:$O$3004,A165,'Giao việc'!$J$5:$J$3004,"Xong"))</f>
        <v/>
      </c>
      <c r="S165" s="14">
        <f>IF(A165="","",COUNTIFS('Giao việc'!$O$5:$O$3004,A165,'Giao việc'!$M$5:$M$3004,"*QUÁ HẠN*"))</f>
        <v/>
      </c>
      <c r="T165" s="14">
        <f>IF(A165="","",COUNTIFS('Giao việc'!$O$5:$O$3004,A165,'Giao việc'!$M$5:$M$3004,"*CHƯA GIAO*"))</f>
        <v/>
      </c>
      <c r="U165" s="15">
        <f>IF(OR(A165="",N(Q165)=0),"",R165/Q165)</f>
        <v/>
      </c>
      <c r="V165" s="16">
        <f>IF(U165="","",REPT("█",ROUND(U165*10,0))&amp;REPT("░",10-ROUND(U165*10,0)))</f>
        <v/>
      </c>
      <c r="W165" s="14">
        <f>IF(C165="","Chưa có ngày",IF(C165&gt;TODAY(),"Còn "&amp;(C165-TODAY())&amp;" ngày",IF(IF(D165="",C165,D165)&gt;=TODAY(),"Đang diễn ra","Đã qua "&amp;(TODAY()-IF(D165="",C165,D165))&amp;" ngày")))</f>
        <v/>
      </c>
      <c r="X165" s="14">
        <f>IF(AND(A165&lt;&gt;"",P165="Có",ISNUMBER(C165)),IF(IF(D165="",C165,D165)&gt;=TODAY()-35,C165+ROW()/100000,""),"")</f>
        <v/>
      </c>
    </row>
    <row r="166">
      <c r="A166" s="46" t="n"/>
      <c r="B166" s="12" t="n"/>
      <c r="C166" s="13" t="n"/>
      <c r="D166" s="13" t="n"/>
      <c r="E166" s="14" t="n"/>
      <c r="F166" s="14" t="n"/>
      <c r="G166" s="14" t="n"/>
      <c r="H166" s="14" t="n"/>
      <c r="I166" s="46" t="n"/>
      <c r="J166" s="46" t="n"/>
      <c r="K166" s="47" t="n"/>
      <c r="L166" s="47" t="n"/>
      <c r="M166" s="47" t="n"/>
      <c r="N166" s="47" t="n"/>
      <c r="O166" s="47" t="n"/>
      <c r="P166" s="47" t="n"/>
      <c r="Q166" s="14">
        <f>IF(A166="","",COUNTIFS('Giao việc'!$O$5:$O$3004,A166,'Giao việc'!$J$5:$J$3004,"&lt;&gt;Bỏ qua"))</f>
        <v/>
      </c>
      <c r="R166" s="14">
        <f>IF(A166="","",COUNTIFS('Giao việc'!$O$5:$O$3004,A166,'Giao việc'!$J$5:$J$3004,"Xong"))</f>
        <v/>
      </c>
      <c r="S166" s="14">
        <f>IF(A166="","",COUNTIFS('Giao việc'!$O$5:$O$3004,A166,'Giao việc'!$M$5:$M$3004,"*QUÁ HẠN*"))</f>
        <v/>
      </c>
      <c r="T166" s="14">
        <f>IF(A166="","",COUNTIFS('Giao việc'!$O$5:$O$3004,A166,'Giao việc'!$M$5:$M$3004,"*CHƯA GIAO*"))</f>
        <v/>
      </c>
      <c r="U166" s="15">
        <f>IF(OR(A166="",N(Q166)=0),"",R166/Q166)</f>
        <v/>
      </c>
      <c r="V166" s="16">
        <f>IF(U166="","",REPT("█",ROUND(U166*10,0))&amp;REPT("░",10-ROUND(U166*10,0)))</f>
        <v/>
      </c>
      <c r="W166" s="14">
        <f>IF(C166="","Chưa có ngày",IF(C166&gt;TODAY(),"Còn "&amp;(C166-TODAY())&amp;" ngày",IF(IF(D166="",C166,D166)&gt;=TODAY(),"Đang diễn ra","Đã qua "&amp;(TODAY()-IF(D166="",C166,D166))&amp;" ngày")))</f>
        <v/>
      </c>
      <c r="X166" s="14">
        <f>IF(AND(A166&lt;&gt;"",P166="Có",ISNUMBER(C166)),IF(IF(D166="",C166,D166)&gt;=TODAY()-35,C166+ROW()/100000,""),"")</f>
        <v/>
      </c>
    </row>
    <row r="167">
      <c r="A167" s="46" t="n"/>
      <c r="B167" s="12" t="n"/>
      <c r="C167" s="13" t="n"/>
      <c r="D167" s="13" t="n"/>
      <c r="E167" s="14" t="n"/>
      <c r="F167" s="14" t="n"/>
      <c r="G167" s="14" t="n"/>
      <c r="H167" s="14" t="n"/>
      <c r="I167" s="46" t="n"/>
      <c r="J167" s="46" t="n"/>
      <c r="K167" s="47" t="n"/>
      <c r="L167" s="47" t="n"/>
      <c r="M167" s="47" t="n"/>
      <c r="N167" s="47" t="n"/>
      <c r="O167" s="47" t="n"/>
      <c r="P167" s="47" t="n"/>
      <c r="Q167" s="14">
        <f>IF(A167="","",COUNTIFS('Giao việc'!$O$5:$O$3004,A167,'Giao việc'!$J$5:$J$3004,"&lt;&gt;Bỏ qua"))</f>
        <v/>
      </c>
      <c r="R167" s="14">
        <f>IF(A167="","",COUNTIFS('Giao việc'!$O$5:$O$3004,A167,'Giao việc'!$J$5:$J$3004,"Xong"))</f>
        <v/>
      </c>
      <c r="S167" s="14">
        <f>IF(A167="","",COUNTIFS('Giao việc'!$O$5:$O$3004,A167,'Giao việc'!$M$5:$M$3004,"*QUÁ HẠN*"))</f>
        <v/>
      </c>
      <c r="T167" s="14">
        <f>IF(A167="","",COUNTIFS('Giao việc'!$O$5:$O$3004,A167,'Giao việc'!$M$5:$M$3004,"*CHƯA GIAO*"))</f>
        <v/>
      </c>
      <c r="U167" s="15">
        <f>IF(OR(A167="",N(Q167)=0),"",R167/Q167)</f>
        <v/>
      </c>
      <c r="V167" s="16">
        <f>IF(U167="","",REPT("█",ROUND(U167*10,0))&amp;REPT("░",10-ROUND(U167*10,0)))</f>
        <v/>
      </c>
      <c r="W167" s="14">
        <f>IF(C167="","Chưa có ngày",IF(C167&gt;TODAY(),"Còn "&amp;(C167-TODAY())&amp;" ngày",IF(IF(D167="",C167,D167)&gt;=TODAY(),"Đang diễn ra","Đã qua "&amp;(TODAY()-IF(D167="",C167,D167))&amp;" ngày")))</f>
        <v/>
      </c>
      <c r="X167" s="14">
        <f>IF(AND(A167&lt;&gt;"",P167="Có",ISNUMBER(C167)),IF(IF(D167="",C167,D167)&gt;=TODAY()-35,C167+ROW()/100000,""),"")</f>
        <v/>
      </c>
    </row>
    <row r="168">
      <c r="A168" s="46" t="n"/>
      <c r="B168" s="12" t="n"/>
      <c r="C168" s="13" t="n"/>
      <c r="D168" s="13" t="n"/>
      <c r="E168" s="14" t="n"/>
      <c r="F168" s="14" t="n"/>
      <c r="G168" s="14" t="n"/>
      <c r="H168" s="14" t="n"/>
      <c r="I168" s="46" t="n"/>
      <c r="J168" s="46" t="n"/>
      <c r="K168" s="47" t="n"/>
      <c r="L168" s="47" t="n"/>
      <c r="M168" s="47" t="n"/>
      <c r="N168" s="47" t="n"/>
      <c r="O168" s="47" t="n"/>
      <c r="P168" s="47" t="n"/>
      <c r="Q168" s="14">
        <f>IF(A168="","",COUNTIFS('Giao việc'!$O$5:$O$3004,A168,'Giao việc'!$J$5:$J$3004,"&lt;&gt;Bỏ qua"))</f>
        <v/>
      </c>
      <c r="R168" s="14">
        <f>IF(A168="","",COUNTIFS('Giao việc'!$O$5:$O$3004,A168,'Giao việc'!$J$5:$J$3004,"Xong"))</f>
        <v/>
      </c>
      <c r="S168" s="14">
        <f>IF(A168="","",COUNTIFS('Giao việc'!$O$5:$O$3004,A168,'Giao việc'!$M$5:$M$3004,"*QUÁ HẠN*"))</f>
        <v/>
      </c>
      <c r="T168" s="14">
        <f>IF(A168="","",COUNTIFS('Giao việc'!$O$5:$O$3004,A168,'Giao việc'!$M$5:$M$3004,"*CHƯA GIAO*"))</f>
        <v/>
      </c>
      <c r="U168" s="15">
        <f>IF(OR(A168="",N(Q168)=0),"",R168/Q168)</f>
        <v/>
      </c>
      <c r="V168" s="16">
        <f>IF(U168="","",REPT("█",ROUND(U168*10,0))&amp;REPT("░",10-ROUND(U168*10,0)))</f>
        <v/>
      </c>
      <c r="W168" s="14">
        <f>IF(C168="","Chưa có ngày",IF(C168&gt;TODAY(),"Còn "&amp;(C168-TODAY())&amp;" ngày",IF(IF(D168="",C168,D168)&gt;=TODAY(),"Đang diễn ra","Đã qua "&amp;(TODAY()-IF(D168="",C168,D168))&amp;" ngày")))</f>
        <v/>
      </c>
      <c r="X168" s="14">
        <f>IF(AND(A168&lt;&gt;"",P168="Có",ISNUMBER(C168)),IF(IF(D168="",C168,D168)&gt;=TODAY()-35,C168+ROW()/100000,""),"")</f>
        <v/>
      </c>
    </row>
    <row r="169">
      <c r="A169" s="46" t="n"/>
      <c r="B169" s="12" t="n"/>
      <c r="C169" s="13" t="n"/>
      <c r="D169" s="13" t="n"/>
      <c r="E169" s="14" t="n"/>
      <c r="F169" s="14" t="n"/>
      <c r="G169" s="14" t="n"/>
      <c r="H169" s="14" t="n"/>
      <c r="I169" s="46" t="n"/>
      <c r="J169" s="46" t="n"/>
      <c r="K169" s="47" t="n"/>
      <c r="L169" s="47" t="n"/>
      <c r="M169" s="47" t="n"/>
      <c r="N169" s="47" t="n"/>
      <c r="O169" s="47" t="n"/>
      <c r="P169" s="47" t="n"/>
      <c r="Q169" s="14">
        <f>IF(A169="","",COUNTIFS('Giao việc'!$O$5:$O$3004,A169,'Giao việc'!$J$5:$J$3004,"&lt;&gt;Bỏ qua"))</f>
        <v/>
      </c>
      <c r="R169" s="14">
        <f>IF(A169="","",COUNTIFS('Giao việc'!$O$5:$O$3004,A169,'Giao việc'!$J$5:$J$3004,"Xong"))</f>
        <v/>
      </c>
      <c r="S169" s="14">
        <f>IF(A169="","",COUNTIFS('Giao việc'!$O$5:$O$3004,A169,'Giao việc'!$M$5:$M$3004,"*QUÁ HẠN*"))</f>
        <v/>
      </c>
      <c r="T169" s="14">
        <f>IF(A169="","",COUNTIFS('Giao việc'!$O$5:$O$3004,A169,'Giao việc'!$M$5:$M$3004,"*CHƯA GIAO*"))</f>
        <v/>
      </c>
      <c r="U169" s="15">
        <f>IF(OR(A169="",N(Q169)=0),"",R169/Q169)</f>
        <v/>
      </c>
      <c r="V169" s="16">
        <f>IF(U169="","",REPT("█",ROUND(U169*10,0))&amp;REPT("░",10-ROUND(U169*10,0)))</f>
        <v/>
      </c>
      <c r="W169" s="14">
        <f>IF(C169="","Chưa có ngày",IF(C169&gt;TODAY(),"Còn "&amp;(C169-TODAY())&amp;" ngày",IF(IF(D169="",C169,D169)&gt;=TODAY(),"Đang diễn ra","Đã qua "&amp;(TODAY()-IF(D169="",C169,D169))&amp;" ngày")))</f>
        <v/>
      </c>
      <c r="X169" s="14">
        <f>IF(AND(A169&lt;&gt;"",P169="Có",ISNUMBER(C169)),IF(IF(D169="",C169,D169)&gt;=TODAY()-35,C169+ROW()/100000,""),"")</f>
        <v/>
      </c>
    </row>
    <row r="170">
      <c r="A170" s="46" t="n"/>
      <c r="B170" s="12" t="n"/>
      <c r="C170" s="13" t="n"/>
      <c r="D170" s="13" t="n"/>
      <c r="E170" s="14" t="n"/>
      <c r="F170" s="14" t="n"/>
      <c r="G170" s="14" t="n"/>
      <c r="H170" s="14" t="n"/>
      <c r="I170" s="46" t="n"/>
      <c r="J170" s="46" t="n"/>
      <c r="K170" s="47" t="n"/>
      <c r="L170" s="47" t="n"/>
      <c r="M170" s="47" t="n"/>
      <c r="N170" s="47" t="n"/>
      <c r="O170" s="47" t="n"/>
      <c r="P170" s="47" t="n"/>
      <c r="Q170" s="14">
        <f>IF(A170="","",COUNTIFS('Giao việc'!$O$5:$O$3004,A170,'Giao việc'!$J$5:$J$3004,"&lt;&gt;Bỏ qua"))</f>
        <v/>
      </c>
      <c r="R170" s="14">
        <f>IF(A170="","",COUNTIFS('Giao việc'!$O$5:$O$3004,A170,'Giao việc'!$J$5:$J$3004,"Xong"))</f>
        <v/>
      </c>
      <c r="S170" s="14">
        <f>IF(A170="","",COUNTIFS('Giao việc'!$O$5:$O$3004,A170,'Giao việc'!$M$5:$M$3004,"*QUÁ HẠN*"))</f>
        <v/>
      </c>
      <c r="T170" s="14">
        <f>IF(A170="","",COUNTIFS('Giao việc'!$O$5:$O$3004,A170,'Giao việc'!$M$5:$M$3004,"*CHƯA GIAO*"))</f>
        <v/>
      </c>
      <c r="U170" s="15">
        <f>IF(OR(A170="",N(Q170)=0),"",R170/Q170)</f>
        <v/>
      </c>
      <c r="V170" s="16">
        <f>IF(U170="","",REPT("█",ROUND(U170*10,0))&amp;REPT("░",10-ROUND(U170*10,0)))</f>
        <v/>
      </c>
      <c r="W170" s="14">
        <f>IF(C170="","Chưa có ngày",IF(C170&gt;TODAY(),"Còn "&amp;(C170-TODAY())&amp;" ngày",IF(IF(D170="",C170,D170)&gt;=TODAY(),"Đang diễn ra","Đã qua "&amp;(TODAY()-IF(D170="",C170,D170))&amp;" ngày")))</f>
        <v/>
      </c>
      <c r="X170" s="14">
        <f>IF(AND(A170&lt;&gt;"",P170="Có",ISNUMBER(C170)),IF(IF(D170="",C170,D170)&gt;=TODAY()-35,C170+ROW()/100000,""),"")</f>
        <v/>
      </c>
    </row>
    <row r="171">
      <c r="A171" s="46" t="n"/>
      <c r="B171" s="12" t="n"/>
      <c r="C171" s="13" t="n"/>
      <c r="D171" s="13" t="n"/>
      <c r="E171" s="14" t="n"/>
      <c r="F171" s="14" t="n"/>
      <c r="G171" s="14" t="n"/>
      <c r="H171" s="14" t="n"/>
      <c r="I171" s="46" t="n"/>
      <c r="J171" s="46" t="n"/>
      <c r="K171" s="47" t="n"/>
      <c r="L171" s="47" t="n"/>
      <c r="M171" s="47" t="n"/>
      <c r="N171" s="47" t="n"/>
      <c r="O171" s="47" t="n"/>
      <c r="P171" s="47" t="n"/>
      <c r="Q171" s="14">
        <f>IF(A171="","",COUNTIFS('Giao việc'!$O$5:$O$3004,A171,'Giao việc'!$J$5:$J$3004,"&lt;&gt;Bỏ qua"))</f>
        <v/>
      </c>
      <c r="R171" s="14">
        <f>IF(A171="","",COUNTIFS('Giao việc'!$O$5:$O$3004,A171,'Giao việc'!$J$5:$J$3004,"Xong"))</f>
        <v/>
      </c>
      <c r="S171" s="14">
        <f>IF(A171="","",COUNTIFS('Giao việc'!$O$5:$O$3004,A171,'Giao việc'!$M$5:$M$3004,"*QUÁ HẠN*"))</f>
        <v/>
      </c>
      <c r="T171" s="14">
        <f>IF(A171="","",COUNTIFS('Giao việc'!$O$5:$O$3004,A171,'Giao việc'!$M$5:$M$3004,"*CHƯA GIAO*"))</f>
        <v/>
      </c>
      <c r="U171" s="15">
        <f>IF(OR(A171="",N(Q171)=0),"",R171/Q171)</f>
        <v/>
      </c>
      <c r="V171" s="16">
        <f>IF(U171="","",REPT("█",ROUND(U171*10,0))&amp;REPT("░",10-ROUND(U171*10,0)))</f>
        <v/>
      </c>
      <c r="W171" s="14">
        <f>IF(C171="","Chưa có ngày",IF(C171&gt;TODAY(),"Còn "&amp;(C171-TODAY())&amp;" ngày",IF(IF(D171="",C171,D171)&gt;=TODAY(),"Đang diễn ra","Đã qua "&amp;(TODAY()-IF(D171="",C171,D171))&amp;" ngày")))</f>
        <v/>
      </c>
      <c r="X171" s="14">
        <f>IF(AND(A171&lt;&gt;"",P171="Có",ISNUMBER(C171)),IF(IF(D171="",C171,D171)&gt;=TODAY()-35,C171+ROW()/100000,""),"")</f>
        <v/>
      </c>
    </row>
    <row r="172">
      <c r="A172" s="46" t="n"/>
      <c r="B172" s="12" t="n"/>
      <c r="C172" s="13" t="n"/>
      <c r="D172" s="13" t="n"/>
      <c r="E172" s="14" t="n"/>
      <c r="F172" s="14" t="n"/>
      <c r="G172" s="14" t="n"/>
      <c r="H172" s="14" t="n"/>
      <c r="I172" s="46" t="n"/>
      <c r="J172" s="46" t="n"/>
      <c r="K172" s="47" t="n"/>
      <c r="L172" s="47" t="n"/>
      <c r="M172" s="47" t="n"/>
      <c r="N172" s="47" t="n"/>
      <c r="O172" s="47" t="n"/>
      <c r="P172" s="47" t="n"/>
      <c r="Q172" s="14">
        <f>IF(A172="","",COUNTIFS('Giao việc'!$O$5:$O$3004,A172,'Giao việc'!$J$5:$J$3004,"&lt;&gt;Bỏ qua"))</f>
        <v/>
      </c>
      <c r="R172" s="14">
        <f>IF(A172="","",COUNTIFS('Giao việc'!$O$5:$O$3004,A172,'Giao việc'!$J$5:$J$3004,"Xong"))</f>
        <v/>
      </c>
      <c r="S172" s="14">
        <f>IF(A172="","",COUNTIFS('Giao việc'!$O$5:$O$3004,A172,'Giao việc'!$M$5:$M$3004,"*QUÁ HẠN*"))</f>
        <v/>
      </c>
      <c r="T172" s="14">
        <f>IF(A172="","",COUNTIFS('Giao việc'!$O$5:$O$3004,A172,'Giao việc'!$M$5:$M$3004,"*CHƯA GIAO*"))</f>
        <v/>
      </c>
      <c r="U172" s="15">
        <f>IF(OR(A172="",N(Q172)=0),"",R172/Q172)</f>
        <v/>
      </c>
      <c r="V172" s="16">
        <f>IF(U172="","",REPT("█",ROUND(U172*10,0))&amp;REPT("░",10-ROUND(U172*10,0)))</f>
        <v/>
      </c>
      <c r="W172" s="14">
        <f>IF(C172="","Chưa có ngày",IF(C172&gt;TODAY(),"Còn "&amp;(C172-TODAY())&amp;" ngày",IF(IF(D172="",C172,D172)&gt;=TODAY(),"Đang diễn ra","Đã qua "&amp;(TODAY()-IF(D172="",C172,D172))&amp;" ngày")))</f>
        <v/>
      </c>
      <c r="X172" s="14">
        <f>IF(AND(A172&lt;&gt;"",P172="Có",ISNUMBER(C172)),IF(IF(D172="",C172,D172)&gt;=TODAY()-35,C172+ROW()/100000,""),"")</f>
        <v/>
      </c>
    </row>
    <row r="173">
      <c r="A173" s="46" t="n"/>
      <c r="B173" s="12" t="n"/>
      <c r="C173" s="13" t="n"/>
      <c r="D173" s="13" t="n"/>
      <c r="E173" s="14" t="n"/>
      <c r="F173" s="14" t="n"/>
      <c r="G173" s="14" t="n"/>
      <c r="H173" s="14" t="n"/>
      <c r="I173" s="46" t="n"/>
      <c r="J173" s="46" t="n"/>
      <c r="K173" s="47" t="n"/>
      <c r="L173" s="47" t="n"/>
      <c r="M173" s="47" t="n"/>
      <c r="N173" s="47" t="n"/>
      <c r="O173" s="47" t="n"/>
      <c r="P173" s="47" t="n"/>
      <c r="Q173" s="14">
        <f>IF(A173="","",COUNTIFS('Giao việc'!$O$5:$O$3004,A173,'Giao việc'!$J$5:$J$3004,"&lt;&gt;Bỏ qua"))</f>
        <v/>
      </c>
      <c r="R173" s="14">
        <f>IF(A173="","",COUNTIFS('Giao việc'!$O$5:$O$3004,A173,'Giao việc'!$J$5:$J$3004,"Xong"))</f>
        <v/>
      </c>
      <c r="S173" s="14">
        <f>IF(A173="","",COUNTIFS('Giao việc'!$O$5:$O$3004,A173,'Giao việc'!$M$5:$M$3004,"*QUÁ HẠN*"))</f>
        <v/>
      </c>
      <c r="T173" s="14">
        <f>IF(A173="","",COUNTIFS('Giao việc'!$O$5:$O$3004,A173,'Giao việc'!$M$5:$M$3004,"*CHƯA GIAO*"))</f>
        <v/>
      </c>
      <c r="U173" s="15">
        <f>IF(OR(A173="",N(Q173)=0),"",R173/Q173)</f>
        <v/>
      </c>
      <c r="V173" s="16">
        <f>IF(U173="","",REPT("█",ROUND(U173*10,0))&amp;REPT("░",10-ROUND(U173*10,0)))</f>
        <v/>
      </c>
      <c r="W173" s="14">
        <f>IF(C173="","Chưa có ngày",IF(C173&gt;TODAY(),"Còn "&amp;(C173-TODAY())&amp;" ngày",IF(IF(D173="",C173,D173)&gt;=TODAY(),"Đang diễn ra","Đã qua "&amp;(TODAY()-IF(D173="",C173,D173))&amp;" ngày")))</f>
        <v/>
      </c>
      <c r="X173" s="14">
        <f>IF(AND(A173&lt;&gt;"",P173="Có",ISNUMBER(C173)),IF(IF(D173="",C173,D173)&gt;=TODAY()-35,C173+ROW()/100000,""),"")</f>
        <v/>
      </c>
    </row>
    <row r="174">
      <c r="A174" s="46" t="n"/>
      <c r="B174" s="12" t="n"/>
      <c r="C174" s="13" t="n"/>
      <c r="D174" s="13" t="n"/>
      <c r="E174" s="14" t="n"/>
      <c r="F174" s="14" t="n"/>
      <c r="G174" s="14" t="n"/>
      <c r="H174" s="14" t="n"/>
      <c r="I174" s="46" t="n"/>
      <c r="J174" s="46" t="n"/>
      <c r="K174" s="47" t="n"/>
      <c r="L174" s="47" t="n"/>
      <c r="M174" s="47" t="n"/>
      <c r="N174" s="47" t="n"/>
      <c r="O174" s="47" t="n"/>
      <c r="P174" s="47" t="n"/>
      <c r="Q174" s="14">
        <f>IF(A174="","",COUNTIFS('Giao việc'!$O$5:$O$3004,A174,'Giao việc'!$J$5:$J$3004,"&lt;&gt;Bỏ qua"))</f>
        <v/>
      </c>
      <c r="R174" s="14">
        <f>IF(A174="","",COUNTIFS('Giao việc'!$O$5:$O$3004,A174,'Giao việc'!$J$5:$J$3004,"Xong"))</f>
        <v/>
      </c>
      <c r="S174" s="14">
        <f>IF(A174="","",COUNTIFS('Giao việc'!$O$5:$O$3004,A174,'Giao việc'!$M$5:$M$3004,"*QUÁ HẠN*"))</f>
        <v/>
      </c>
      <c r="T174" s="14">
        <f>IF(A174="","",COUNTIFS('Giao việc'!$O$5:$O$3004,A174,'Giao việc'!$M$5:$M$3004,"*CHƯA GIAO*"))</f>
        <v/>
      </c>
      <c r="U174" s="15">
        <f>IF(OR(A174="",N(Q174)=0),"",R174/Q174)</f>
        <v/>
      </c>
      <c r="V174" s="16">
        <f>IF(U174="","",REPT("█",ROUND(U174*10,0))&amp;REPT("░",10-ROUND(U174*10,0)))</f>
        <v/>
      </c>
      <c r="W174" s="14">
        <f>IF(C174="","Chưa có ngày",IF(C174&gt;TODAY(),"Còn "&amp;(C174-TODAY())&amp;" ngày",IF(IF(D174="",C174,D174)&gt;=TODAY(),"Đang diễn ra","Đã qua "&amp;(TODAY()-IF(D174="",C174,D174))&amp;" ngày")))</f>
        <v/>
      </c>
      <c r="X174" s="14">
        <f>IF(AND(A174&lt;&gt;"",P174="Có",ISNUMBER(C174)),IF(IF(D174="",C174,D174)&gt;=TODAY()-35,C174+ROW()/100000,""),"")</f>
        <v/>
      </c>
    </row>
    <row r="175">
      <c r="A175" s="46" t="n"/>
      <c r="B175" s="12" t="n"/>
      <c r="C175" s="13" t="n"/>
      <c r="D175" s="13" t="n"/>
      <c r="E175" s="14" t="n"/>
      <c r="F175" s="14" t="n"/>
      <c r="G175" s="14" t="n"/>
      <c r="H175" s="14" t="n"/>
      <c r="I175" s="46" t="n"/>
      <c r="J175" s="46" t="n"/>
      <c r="K175" s="47" t="n"/>
      <c r="L175" s="47" t="n"/>
      <c r="M175" s="47" t="n"/>
      <c r="N175" s="47" t="n"/>
      <c r="O175" s="47" t="n"/>
      <c r="P175" s="47" t="n"/>
      <c r="Q175" s="14">
        <f>IF(A175="","",COUNTIFS('Giao việc'!$O$5:$O$3004,A175,'Giao việc'!$J$5:$J$3004,"&lt;&gt;Bỏ qua"))</f>
        <v/>
      </c>
      <c r="R175" s="14">
        <f>IF(A175="","",COUNTIFS('Giao việc'!$O$5:$O$3004,A175,'Giao việc'!$J$5:$J$3004,"Xong"))</f>
        <v/>
      </c>
      <c r="S175" s="14">
        <f>IF(A175="","",COUNTIFS('Giao việc'!$O$5:$O$3004,A175,'Giao việc'!$M$5:$M$3004,"*QUÁ HẠN*"))</f>
        <v/>
      </c>
      <c r="T175" s="14">
        <f>IF(A175="","",COUNTIFS('Giao việc'!$O$5:$O$3004,A175,'Giao việc'!$M$5:$M$3004,"*CHƯA GIAO*"))</f>
        <v/>
      </c>
      <c r="U175" s="15">
        <f>IF(OR(A175="",N(Q175)=0),"",R175/Q175)</f>
        <v/>
      </c>
      <c r="V175" s="16">
        <f>IF(U175="","",REPT("█",ROUND(U175*10,0))&amp;REPT("░",10-ROUND(U175*10,0)))</f>
        <v/>
      </c>
      <c r="W175" s="14">
        <f>IF(C175="","Chưa có ngày",IF(C175&gt;TODAY(),"Còn "&amp;(C175-TODAY())&amp;" ngày",IF(IF(D175="",C175,D175)&gt;=TODAY(),"Đang diễn ra","Đã qua "&amp;(TODAY()-IF(D175="",C175,D175))&amp;" ngày")))</f>
        <v/>
      </c>
      <c r="X175" s="14">
        <f>IF(AND(A175&lt;&gt;"",P175="Có",ISNUMBER(C175)),IF(IF(D175="",C175,D175)&gt;=TODAY()-35,C175+ROW()/100000,""),"")</f>
        <v/>
      </c>
    </row>
    <row r="176">
      <c r="A176" s="46" t="n"/>
      <c r="B176" s="12" t="n"/>
      <c r="C176" s="13" t="n"/>
      <c r="D176" s="13" t="n"/>
      <c r="E176" s="14" t="n"/>
      <c r="F176" s="14" t="n"/>
      <c r="G176" s="14" t="n"/>
      <c r="H176" s="14" t="n"/>
      <c r="I176" s="46" t="n"/>
      <c r="J176" s="46" t="n"/>
      <c r="K176" s="47" t="n"/>
      <c r="L176" s="47" t="n"/>
      <c r="M176" s="47" t="n"/>
      <c r="N176" s="47" t="n"/>
      <c r="O176" s="47" t="n"/>
      <c r="P176" s="47" t="n"/>
      <c r="Q176" s="14">
        <f>IF(A176="","",COUNTIFS('Giao việc'!$O$5:$O$3004,A176,'Giao việc'!$J$5:$J$3004,"&lt;&gt;Bỏ qua"))</f>
        <v/>
      </c>
      <c r="R176" s="14">
        <f>IF(A176="","",COUNTIFS('Giao việc'!$O$5:$O$3004,A176,'Giao việc'!$J$5:$J$3004,"Xong"))</f>
        <v/>
      </c>
      <c r="S176" s="14">
        <f>IF(A176="","",COUNTIFS('Giao việc'!$O$5:$O$3004,A176,'Giao việc'!$M$5:$M$3004,"*QUÁ HẠN*"))</f>
        <v/>
      </c>
      <c r="T176" s="14">
        <f>IF(A176="","",COUNTIFS('Giao việc'!$O$5:$O$3004,A176,'Giao việc'!$M$5:$M$3004,"*CHƯA GIAO*"))</f>
        <v/>
      </c>
      <c r="U176" s="15">
        <f>IF(OR(A176="",N(Q176)=0),"",R176/Q176)</f>
        <v/>
      </c>
      <c r="V176" s="16">
        <f>IF(U176="","",REPT("█",ROUND(U176*10,0))&amp;REPT("░",10-ROUND(U176*10,0)))</f>
        <v/>
      </c>
      <c r="W176" s="14">
        <f>IF(C176="","Chưa có ngày",IF(C176&gt;TODAY(),"Còn "&amp;(C176-TODAY())&amp;" ngày",IF(IF(D176="",C176,D176)&gt;=TODAY(),"Đang diễn ra","Đã qua "&amp;(TODAY()-IF(D176="",C176,D176))&amp;" ngày")))</f>
        <v/>
      </c>
      <c r="X176" s="14">
        <f>IF(AND(A176&lt;&gt;"",P176="Có",ISNUMBER(C176)),IF(IF(D176="",C176,D176)&gt;=TODAY()-35,C176+ROW()/100000,""),"")</f>
        <v/>
      </c>
    </row>
    <row r="177">
      <c r="A177" s="46" t="n"/>
      <c r="B177" s="12" t="n"/>
      <c r="C177" s="13" t="n"/>
      <c r="D177" s="13" t="n"/>
      <c r="E177" s="14" t="n"/>
      <c r="F177" s="14" t="n"/>
      <c r="G177" s="14" t="n"/>
      <c r="H177" s="14" t="n"/>
      <c r="I177" s="46" t="n"/>
      <c r="J177" s="46" t="n"/>
      <c r="K177" s="47" t="n"/>
      <c r="L177" s="47" t="n"/>
      <c r="M177" s="47" t="n"/>
      <c r="N177" s="47" t="n"/>
      <c r="O177" s="47" t="n"/>
      <c r="P177" s="47" t="n"/>
      <c r="Q177" s="14">
        <f>IF(A177="","",COUNTIFS('Giao việc'!$O$5:$O$3004,A177,'Giao việc'!$J$5:$J$3004,"&lt;&gt;Bỏ qua"))</f>
        <v/>
      </c>
      <c r="R177" s="14">
        <f>IF(A177="","",COUNTIFS('Giao việc'!$O$5:$O$3004,A177,'Giao việc'!$J$5:$J$3004,"Xong"))</f>
        <v/>
      </c>
      <c r="S177" s="14">
        <f>IF(A177="","",COUNTIFS('Giao việc'!$O$5:$O$3004,A177,'Giao việc'!$M$5:$M$3004,"*QUÁ HẠN*"))</f>
        <v/>
      </c>
      <c r="T177" s="14">
        <f>IF(A177="","",COUNTIFS('Giao việc'!$O$5:$O$3004,A177,'Giao việc'!$M$5:$M$3004,"*CHƯA GIAO*"))</f>
        <v/>
      </c>
      <c r="U177" s="15">
        <f>IF(OR(A177="",N(Q177)=0),"",R177/Q177)</f>
        <v/>
      </c>
      <c r="V177" s="16">
        <f>IF(U177="","",REPT("█",ROUND(U177*10,0))&amp;REPT("░",10-ROUND(U177*10,0)))</f>
        <v/>
      </c>
      <c r="W177" s="14">
        <f>IF(C177="","Chưa có ngày",IF(C177&gt;TODAY(),"Còn "&amp;(C177-TODAY())&amp;" ngày",IF(IF(D177="",C177,D177)&gt;=TODAY(),"Đang diễn ra","Đã qua "&amp;(TODAY()-IF(D177="",C177,D177))&amp;" ngày")))</f>
        <v/>
      </c>
      <c r="X177" s="14">
        <f>IF(AND(A177&lt;&gt;"",P177="Có",ISNUMBER(C177)),IF(IF(D177="",C177,D177)&gt;=TODAY()-35,C177+ROW()/100000,""),"")</f>
        <v/>
      </c>
    </row>
    <row r="178">
      <c r="A178" s="46" t="n"/>
      <c r="B178" s="12" t="n"/>
      <c r="C178" s="13" t="n"/>
      <c r="D178" s="13" t="n"/>
      <c r="E178" s="14" t="n"/>
      <c r="F178" s="14" t="n"/>
      <c r="G178" s="14" t="n"/>
      <c r="H178" s="14" t="n"/>
      <c r="I178" s="46" t="n"/>
      <c r="J178" s="46" t="n"/>
      <c r="K178" s="47" t="n"/>
      <c r="L178" s="47" t="n"/>
      <c r="M178" s="47" t="n"/>
      <c r="N178" s="47" t="n"/>
      <c r="O178" s="47" t="n"/>
      <c r="P178" s="47" t="n"/>
      <c r="Q178" s="14">
        <f>IF(A178="","",COUNTIFS('Giao việc'!$O$5:$O$3004,A178,'Giao việc'!$J$5:$J$3004,"&lt;&gt;Bỏ qua"))</f>
        <v/>
      </c>
      <c r="R178" s="14">
        <f>IF(A178="","",COUNTIFS('Giao việc'!$O$5:$O$3004,A178,'Giao việc'!$J$5:$J$3004,"Xong"))</f>
        <v/>
      </c>
      <c r="S178" s="14">
        <f>IF(A178="","",COUNTIFS('Giao việc'!$O$5:$O$3004,A178,'Giao việc'!$M$5:$M$3004,"*QUÁ HẠN*"))</f>
        <v/>
      </c>
      <c r="T178" s="14">
        <f>IF(A178="","",COUNTIFS('Giao việc'!$O$5:$O$3004,A178,'Giao việc'!$M$5:$M$3004,"*CHƯA GIAO*"))</f>
        <v/>
      </c>
      <c r="U178" s="15">
        <f>IF(OR(A178="",N(Q178)=0),"",R178/Q178)</f>
        <v/>
      </c>
      <c r="V178" s="16">
        <f>IF(U178="","",REPT("█",ROUND(U178*10,0))&amp;REPT("░",10-ROUND(U178*10,0)))</f>
        <v/>
      </c>
      <c r="W178" s="14">
        <f>IF(C178="","Chưa có ngày",IF(C178&gt;TODAY(),"Còn "&amp;(C178-TODAY())&amp;" ngày",IF(IF(D178="",C178,D178)&gt;=TODAY(),"Đang diễn ra","Đã qua "&amp;(TODAY()-IF(D178="",C178,D178))&amp;" ngày")))</f>
        <v/>
      </c>
      <c r="X178" s="14">
        <f>IF(AND(A178&lt;&gt;"",P178="Có",ISNUMBER(C178)),IF(IF(D178="",C178,D178)&gt;=TODAY()-35,C178+ROW()/100000,""),"")</f>
        <v/>
      </c>
    </row>
    <row r="179">
      <c r="A179" s="46" t="n"/>
      <c r="B179" s="12" t="n"/>
      <c r="C179" s="13" t="n"/>
      <c r="D179" s="13" t="n"/>
      <c r="E179" s="14" t="n"/>
      <c r="F179" s="14" t="n"/>
      <c r="G179" s="14" t="n"/>
      <c r="H179" s="14" t="n"/>
      <c r="I179" s="46" t="n"/>
      <c r="J179" s="46" t="n"/>
      <c r="K179" s="47" t="n"/>
      <c r="L179" s="47" t="n"/>
      <c r="M179" s="47" t="n"/>
      <c r="N179" s="47" t="n"/>
      <c r="O179" s="47" t="n"/>
      <c r="P179" s="47" t="n"/>
      <c r="Q179" s="14">
        <f>IF(A179="","",COUNTIFS('Giao việc'!$O$5:$O$3004,A179,'Giao việc'!$J$5:$J$3004,"&lt;&gt;Bỏ qua"))</f>
        <v/>
      </c>
      <c r="R179" s="14">
        <f>IF(A179="","",COUNTIFS('Giao việc'!$O$5:$O$3004,A179,'Giao việc'!$J$5:$J$3004,"Xong"))</f>
        <v/>
      </c>
      <c r="S179" s="14">
        <f>IF(A179="","",COUNTIFS('Giao việc'!$O$5:$O$3004,A179,'Giao việc'!$M$5:$M$3004,"*QUÁ HẠN*"))</f>
        <v/>
      </c>
      <c r="T179" s="14">
        <f>IF(A179="","",COUNTIFS('Giao việc'!$O$5:$O$3004,A179,'Giao việc'!$M$5:$M$3004,"*CHƯA GIAO*"))</f>
        <v/>
      </c>
      <c r="U179" s="15">
        <f>IF(OR(A179="",N(Q179)=0),"",R179/Q179)</f>
        <v/>
      </c>
      <c r="V179" s="16">
        <f>IF(U179="","",REPT("█",ROUND(U179*10,0))&amp;REPT("░",10-ROUND(U179*10,0)))</f>
        <v/>
      </c>
      <c r="W179" s="14">
        <f>IF(C179="","Chưa có ngày",IF(C179&gt;TODAY(),"Còn "&amp;(C179-TODAY())&amp;" ngày",IF(IF(D179="",C179,D179)&gt;=TODAY(),"Đang diễn ra","Đã qua "&amp;(TODAY()-IF(D179="",C179,D179))&amp;" ngày")))</f>
        <v/>
      </c>
      <c r="X179" s="14">
        <f>IF(AND(A179&lt;&gt;"",P179="Có",ISNUMBER(C179)),IF(IF(D179="",C179,D179)&gt;=TODAY()-35,C179+ROW()/100000,""),"")</f>
        <v/>
      </c>
    </row>
    <row r="180">
      <c r="A180" s="46" t="n"/>
      <c r="B180" s="12" t="n"/>
      <c r="C180" s="13" t="n"/>
      <c r="D180" s="13" t="n"/>
      <c r="E180" s="14" t="n"/>
      <c r="F180" s="14" t="n"/>
      <c r="G180" s="14" t="n"/>
      <c r="H180" s="14" t="n"/>
      <c r="I180" s="46" t="n"/>
      <c r="J180" s="46" t="n"/>
      <c r="K180" s="47" t="n"/>
      <c r="L180" s="47" t="n"/>
      <c r="M180" s="47" t="n"/>
      <c r="N180" s="47" t="n"/>
      <c r="O180" s="47" t="n"/>
      <c r="P180" s="47" t="n"/>
      <c r="Q180" s="14">
        <f>IF(A180="","",COUNTIFS('Giao việc'!$O$5:$O$3004,A180,'Giao việc'!$J$5:$J$3004,"&lt;&gt;Bỏ qua"))</f>
        <v/>
      </c>
      <c r="R180" s="14">
        <f>IF(A180="","",COUNTIFS('Giao việc'!$O$5:$O$3004,A180,'Giao việc'!$J$5:$J$3004,"Xong"))</f>
        <v/>
      </c>
      <c r="S180" s="14">
        <f>IF(A180="","",COUNTIFS('Giao việc'!$O$5:$O$3004,A180,'Giao việc'!$M$5:$M$3004,"*QUÁ HẠN*"))</f>
        <v/>
      </c>
      <c r="T180" s="14">
        <f>IF(A180="","",COUNTIFS('Giao việc'!$O$5:$O$3004,A180,'Giao việc'!$M$5:$M$3004,"*CHƯA GIAO*"))</f>
        <v/>
      </c>
      <c r="U180" s="15">
        <f>IF(OR(A180="",N(Q180)=0),"",R180/Q180)</f>
        <v/>
      </c>
      <c r="V180" s="16">
        <f>IF(U180="","",REPT("█",ROUND(U180*10,0))&amp;REPT("░",10-ROUND(U180*10,0)))</f>
        <v/>
      </c>
      <c r="W180" s="14">
        <f>IF(C180="","Chưa có ngày",IF(C180&gt;TODAY(),"Còn "&amp;(C180-TODAY())&amp;" ngày",IF(IF(D180="",C180,D180)&gt;=TODAY(),"Đang diễn ra","Đã qua "&amp;(TODAY()-IF(D180="",C180,D180))&amp;" ngày")))</f>
        <v/>
      </c>
      <c r="X180" s="14">
        <f>IF(AND(A180&lt;&gt;"",P180="Có",ISNUMBER(C180)),IF(IF(D180="",C180,D180)&gt;=TODAY()-35,C180+ROW()/100000,""),"")</f>
        <v/>
      </c>
    </row>
    <row r="181">
      <c r="A181" s="46" t="n"/>
      <c r="B181" s="12" t="n"/>
      <c r="C181" s="13" t="n"/>
      <c r="D181" s="13" t="n"/>
      <c r="E181" s="14" t="n"/>
      <c r="F181" s="14" t="n"/>
      <c r="G181" s="14" t="n"/>
      <c r="H181" s="14" t="n"/>
      <c r="I181" s="46" t="n"/>
      <c r="J181" s="46" t="n"/>
      <c r="K181" s="47" t="n"/>
      <c r="L181" s="47" t="n"/>
      <c r="M181" s="47" t="n"/>
      <c r="N181" s="47" t="n"/>
      <c r="O181" s="47" t="n"/>
      <c r="P181" s="47" t="n"/>
      <c r="Q181" s="14">
        <f>IF(A181="","",COUNTIFS('Giao việc'!$O$5:$O$3004,A181,'Giao việc'!$J$5:$J$3004,"&lt;&gt;Bỏ qua"))</f>
        <v/>
      </c>
      <c r="R181" s="14">
        <f>IF(A181="","",COUNTIFS('Giao việc'!$O$5:$O$3004,A181,'Giao việc'!$J$5:$J$3004,"Xong"))</f>
        <v/>
      </c>
      <c r="S181" s="14">
        <f>IF(A181="","",COUNTIFS('Giao việc'!$O$5:$O$3004,A181,'Giao việc'!$M$5:$M$3004,"*QUÁ HẠN*"))</f>
        <v/>
      </c>
      <c r="T181" s="14">
        <f>IF(A181="","",COUNTIFS('Giao việc'!$O$5:$O$3004,A181,'Giao việc'!$M$5:$M$3004,"*CHƯA GIAO*"))</f>
        <v/>
      </c>
      <c r="U181" s="15">
        <f>IF(OR(A181="",N(Q181)=0),"",R181/Q181)</f>
        <v/>
      </c>
      <c r="V181" s="16">
        <f>IF(U181="","",REPT("█",ROUND(U181*10,0))&amp;REPT("░",10-ROUND(U181*10,0)))</f>
        <v/>
      </c>
      <c r="W181" s="14">
        <f>IF(C181="","Chưa có ngày",IF(C181&gt;TODAY(),"Còn "&amp;(C181-TODAY())&amp;" ngày",IF(IF(D181="",C181,D181)&gt;=TODAY(),"Đang diễn ra","Đã qua "&amp;(TODAY()-IF(D181="",C181,D181))&amp;" ngày")))</f>
        <v/>
      </c>
      <c r="X181" s="14">
        <f>IF(AND(A181&lt;&gt;"",P181="Có",ISNUMBER(C181)),IF(IF(D181="",C181,D181)&gt;=TODAY()-35,C181+ROW()/100000,""),"")</f>
        <v/>
      </c>
    </row>
    <row r="182">
      <c r="A182" s="46" t="n"/>
      <c r="B182" s="12" t="n"/>
      <c r="C182" s="13" t="n"/>
      <c r="D182" s="13" t="n"/>
      <c r="E182" s="14" t="n"/>
      <c r="F182" s="14" t="n"/>
      <c r="G182" s="14" t="n"/>
      <c r="H182" s="14" t="n"/>
      <c r="I182" s="46" t="n"/>
      <c r="J182" s="46" t="n"/>
      <c r="K182" s="47" t="n"/>
      <c r="L182" s="47" t="n"/>
      <c r="M182" s="47" t="n"/>
      <c r="N182" s="47" t="n"/>
      <c r="O182" s="47" t="n"/>
      <c r="P182" s="47" t="n"/>
      <c r="Q182" s="14">
        <f>IF(A182="","",COUNTIFS('Giao việc'!$O$5:$O$3004,A182,'Giao việc'!$J$5:$J$3004,"&lt;&gt;Bỏ qua"))</f>
        <v/>
      </c>
      <c r="R182" s="14">
        <f>IF(A182="","",COUNTIFS('Giao việc'!$O$5:$O$3004,A182,'Giao việc'!$J$5:$J$3004,"Xong"))</f>
        <v/>
      </c>
      <c r="S182" s="14">
        <f>IF(A182="","",COUNTIFS('Giao việc'!$O$5:$O$3004,A182,'Giao việc'!$M$5:$M$3004,"*QUÁ HẠN*"))</f>
        <v/>
      </c>
      <c r="T182" s="14">
        <f>IF(A182="","",COUNTIFS('Giao việc'!$O$5:$O$3004,A182,'Giao việc'!$M$5:$M$3004,"*CHƯA GIAO*"))</f>
        <v/>
      </c>
      <c r="U182" s="15">
        <f>IF(OR(A182="",N(Q182)=0),"",R182/Q182)</f>
        <v/>
      </c>
      <c r="V182" s="16">
        <f>IF(U182="","",REPT("█",ROUND(U182*10,0))&amp;REPT("░",10-ROUND(U182*10,0)))</f>
        <v/>
      </c>
      <c r="W182" s="14">
        <f>IF(C182="","Chưa có ngày",IF(C182&gt;TODAY(),"Còn "&amp;(C182-TODAY())&amp;" ngày",IF(IF(D182="",C182,D182)&gt;=TODAY(),"Đang diễn ra","Đã qua "&amp;(TODAY()-IF(D182="",C182,D182))&amp;" ngày")))</f>
        <v/>
      </c>
      <c r="X182" s="14">
        <f>IF(AND(A182&lt;&gt;"",P182="Có",ISNUMBER(C182)),IF(IF(D182="",C182,D182)&gt;=TODAY()-35,C182+ROW()/100000,""),"")</f>
        <v/>
      </c>
    </row>
    <row r="183">
      <c r="A183" s="46" t="n"/>
      <c r="B183" s="12" t="n"/>
      <c r="C183" s="13" t="n"/>
      <c r="D183" s="13" t="n"/>
      <c r="E183" s="14" t="n"/>
      <c r="F183" s="14" t="n"/>
      <c r="G183" s="14" t="n"/>
      <c r="H183" s="14" t="n"/>
      <c r="I183" s="46" t="n"/>
      <c r="J183" s="46" t="n"/>
      <c r="K183" s="47" t="n"/>
      <c r="L183" s="47" t="n"/>
      <c r="M183" s="47" t="n"/>
      <c r="N183" s="47" t="n"/>
      <c r="O183" s="47" t="n"/>
      <c r="P183" s="47" t="n"/>
      <c r="Q183" s="14">
        <f>IF(A183="","",COUNTIFS('Giao việc'!$O$5:$O$3004,A183,'Giao việc'!$J$5:$J$3004,"&lt;&gt;Bỏ qua"))</f>
        <v/>
      </c>
      <c r="R183" s="14">
        <f>IF(A183="","",COUNTIFS('Giao việc'!$O$5:$O$3004,A183,'Giao việc'!$J$5:$J$3004,"Xong"))</f>
        <v/>
      </c>
      <c r="S183" s="14">
        <f>IF(A183="","",COUNTIFS('Giao việc'!$O$5:$O$3004,A183,'Giao việc'!$M$5:$M$3004,"*QUÁ HẠN*"))</f>
        <v/>
      </c>
      <c r="T183" s="14">
        <f>IF(A183="","",COUNTIFS('Giao việc'!$O$5:$O$3004,A183,'Giao việc'!$M$5:$M$3004,"*CHƯA GIAO*"))</f>
        <v/>
      </c>
      <c r="U183" s="15">
        <f>IF(OR(A183="",N(Q183)=0),"",R183/Q183)</f>
        <v/>
      </c>
      <c r="V183" s="16">
        <f>IF(U183="","",REPT("█",ROUND(U183*10,0))&amp;REPT("░",10-ROUND(U183*10,0)))</f>
        <v/>
      </c>
      <c r="W183" s="14">
        <f>IF(C183="","Chưa có ngày",IF(C183&gt;TODAY(),"Còn "&amp;(C183-TODAY())&amp;" ngày",IF(IF(D183="",C183,D183)&gt;=TODAY(),"Đang diễn ra","Đã qua "&amp;(TODAY()-IF(D183="",C183,D183))&amp;" ngày")))</f>
        <v/>
      </c>
      <c r="X183" s="14">
        <f>IF(AND(A183&lt;&gt;"",P183="Có",ISNUMBER(C183)),IF(IF(D183="",C183,D183)&gt;=TODAY()-35,C183+ROW()/100000,""),"")</f>
        <v/>
      </c>
    </row>
    <row r="184">
      <c r="A184" s="46" t="n"/>
      <c r="B184" s="12" t="n"/>
      <c r="C184" s="13" t="n"/>
      <c r="D184" s="13" t="n"/>
      <c r="E184" s="14" t="n"/>
      <c r="F184" s="14" t="n"/>
      <c r="G184" s="14" t="n"/>
      <c r="H184" s="14" t="n"/>
      <c r="I184" s="46" t="n"/>
      <c r="J184" s="46" t="n"/>
      <c r="K184" s="47" t="n"/>
      <c r="L184" s="47" t="n"/>
      <c r="M184" s="47" t="n"/>
      <c r="N184" s="47" t="n"/>
      <c r="O184" s="47" t="n"/>
      <c r="P184" s="47" t="n"/>
      <c r="Q184" s="14">
        <f>IF(A184="","",COUNTIFS('Giao việc'!$O$5:$O$3004,A184,'Giao việc'!$J$5:$J$3004,"&lt;&gt;Bỏ qua"))</f>
        <v/>
      </c>
      <c r="R184" s="14">
        <f>IF(A184="","",COUNTIFS('Giao việc'!$O$5:$O$3004,A184,'Giao việc'!$J$5:$J$3004,"Xong"))</f>
        <v/>
      </c>
      <c r="S184" s="14">
        <f>IF(A184="","",COUNTIFS('Giao việc'!$O$5:$O$3004,A184,'Giao việc'!$M$5:$M$3004,"*QUÁ HẠN*"))</f>
        <v/>
      </c>
      <c r="T184" s="14">
        <f>IF(A184="","",COUNTIFS('Giao việc'!$O$5:$O$3004,A184,'Giao việc'!$M$5:$M$3004,"*CHƯA GIAO*"))</f>
        <v/>
      </c>
      <c r="U184" s="15">
        <f>IF(OR(A184="",N(Q184)=0),"",R184/Q184)</f>
        <v/>
      </c>
      <c r="V184" s="16">
        <f>IF(U184="","",REPT("█",ROUND(U184*10,0))&amp;REPT("░",10-ROUND(U184*10,0)))</f>
        <v/>
      </c>
      <c r="W184" s="14">
        <f>IF(C184="","Chưa có ngày",IF(C184&gt;TODAY(),"Còn "&amp;(C184-TODAY())&amp;" ngày",IF(IF(D184="",C184,D184)&gt;=TODAY(),"Đang diễn ra","Đã qua "&amp;(TODAY()-IF(D184="",C184,D184))&amp;" ngày")))</f>
        <v/>
      </c>
      <c r="X184" s="14">
        <f>IF(AND(A184&lt;&gt;"",P184="Có",ISNUMBER(C184)),IF(IF(D184="",C184,D184)&gt;=TODAY()-35,C184+ROW()/100000,""),"")</f>
        <v/>
      </c>
    </row>
    <row r="185">
      <c r="A185" s="46" t="n"/>
      <c r="B185" s="12" t="n"/>
      <c r="C185" s="13" t="n"/>
      <c r="D185" s="13" t="n"/>
      <c r="E185" s="14" t="n"/>
      <c r="F185" s="14" t="n"/>
      <c r="G185" s="14" t="n"/>
      <c r="H185" s="14" t="n"/>
      <c r="I185" s="46" t="n"/>
      <c r="J185" s="46" t="n"/>
      <c r="K185" s="47" t="n"/>
      <c r="L185" s="47" t="n"/>
      <c r="M185" s="47" t="n"/>
      <c r="N185" s="47" t="n"/>
      <c r="O185" s="47" t="n"/>
      <c r="P185" s="47" t="n"/>
      <c r="Q185" s="14">
        <f>IF(A185="","",COUNTIFS('Giao việc'!$O$5:$O$3004,A185,'Giao việc'!$J$5:$J$3004,"&lt;&gt;Bỏ qua"))</f>
        <v/>
      </c>
      <c r="R185" s="14">
        <f>IF(A185="","",COUNTIFS('Giao việc'!$O$5:$O$3004,A185,'Giao việc'!$J$5:$J$3004,"Xong"))</f>
        <v/>
      </c>
      <c r="S185" s="14">
        <f>IF(A185="","",COUNTIFS('Giao việc'!$O$5:$O$3004,A185,'Giao việc'!$M$5:$M$3004,"*QUÁ HẠN*"))</f>
        <v/>
      </c>
      <c r="T185" s="14">
        <f>IF(A185="","",COUNTIFS('Giao việc'!$O$5:$O$3004,A185,'Giao việc'!$M$5:$M$3004,"*CHƯA GIAO*"))</f>
        <v/>
      </c>
      <c r="U185" s="15">
        <f>IF(OR(A185="",N(Q185)=0),"",R185/Q185)</f>
        <v/>
      </c>
      <c r="V185" s="16">
        <f>IF(U185="","",REPT("█",ROUND(U185*10,0))&amp;REPT("░",10-ROUND(U185*10,0)))</f>
        <v/>
      </c>
      <c r="W185" s="14">
        <f>IF(C185="","Chưa có ngày",IF(C185&gt;TODAY(),"Còn "&amp;(C185-TODAY())&amp;" ngày",IF(IF(D185="",C185,D185)&gt;=TODAY(),"Đang diễn ra","Đã qua "&amp;(TODAY()-IF(D185="",C185,D185))&amp;" ngày")))</f>
        <v/>
      </c>
      <c r="X185" s="14">
        <f>IF(AND(A185&lt;&gt;"",P185="Có",ISNUMBER(C185)),IF(IF(D185="",C185,D185)&gt;=TODAY()-35,C185+ROW()/100000,""),"")</f>
        <v/>
      </c>
    </row>
    <row r="186">
      <c r="A186" s="46" t="n"/>
      <c r="B186" s="12" t="n"/>
      <c r="C186" s="13" t="n"/>
      <c r="D186" s="13" t="n"/>
      <c r="E186" s="14" t="n"/>
      <c r="F186" s="14" t="n"/>
      <c r="G186" s="14" t="n"/>
      <c r="H186" s="14" t="n"/>
      <c r="I186" s="46" t="n"/>
      <c r="J186" s="46" t="n"/>
      <c r="K186" s="47" t="n"/>
      <c r="L186" s="47" t="n"/>
      <c r="M186" s="47" t="n"/>
      <c r="N186" s="47" t="n"/>
      <c r="O186" s="47" t="n"/>
      <c r="P186" s="47" t="n"/>
      <c r="Q186" s="14">
        <f>IF(A186="","",COUNTIFS('Giao việc'!$O$5:$O$3004,A186,'Giao việc'!$J$5:$J$3004,"&lt;&gt;Bỏ qua"))</f>
        <v/>
      </c>
      <c r="R186" s="14">
        <f>IF(A186="","",COUNTIFS('Giao việc'!$O$5:$O$3004,A186,'Giao việc'!$J$5:$J$3004,"Xong"))</f>
        <v/>
      </c>
      <c r="S186" s="14">
        <f>IF(A186="","",COUNTIFS('Giao việc'!$O$5:$O$3004,A186,'Giao việc'!$M$5:$M$3004,"*QUÁ HẠN*"))</f>
        <v/>
      </c>
      <c r="T186" s="14">
        <f>IF(A186="","",COUNTIFS('Giao việc'!$O$5:$O$3004,A186,'Giao việc'!$M$5:$M$3004,"*CHƯA GIAO*"))</f>
        <v/>
      </c>
      <c r="U186" s="15">
        <f>IF(OR(A186="",N(Q186)=0),"",R186/Q186)</f>
        <v/>
      </c>
      <c r="V186" s="16">
        <f>IF(U186="","",REPT("█",ROUND(U186*10,0))&amp;REPT("░",10-ROUND(U186*10,0)))</f>
        <v/>
      </c>
      <c r="W186" s="14">
        <f>IF(C186="","Chưa có ngày",IF(C186&gt;TODAY(),"Còn "&amp;(C186-TODAY())&amp;" ngày",IF(IF(D186="",C186,D186)&gt;=TODAY(),"Đang diễn ra","Đã qua "&amp;(TODAY()-IF(D186="",C186,D186))&amp;" ngày")))</f>
        <v/>
      </c>
      <c r="X186" s="14">
        <f>IF(AND(A186&lt;&gt;"",P186="Có",ISNUMBER(C186)),IF(IF(D186="",C186,D186)&gt;=TODAY()-35,C186+ROW()/100000,""),"")</f>
        <v/>
      </c>
    </row>
    <row r="187">
      <c r="A187" s="46" t="n"/>
      <c r="B187" s="12" t="n"/>
      <c r="C187" s="13" t="n"/>
      <c r="D187" s="13" t="n"/>
      <c r="E187" s="14" t="n"/>
      <c r="F187" s="14" t="n"/>
      <c r="G187" s="14" t="n"/>
      <c r="H187" s="14" t="n"/>
      <c r="I187" s="46" t="n"/>
      <c r="J187" s="46" t="n"/>
      <c r="K187" s="47" t="n"/>
      <c r="L187" s="47" t="n"/>
      <c r="M187" s="47" t="n"/>
      <c r="N187" s="47" t="n"/>
      <c r="O187" s="47" t="n"/>
      <c r="P187" s="47" t="n"/>
      <c r="Q187" s="14">
        <f>IF(A187="","",COUNTIFS('Giao việc'!$O$5:$O$3004,A187,'Giao việc'!$J$5:$J$3004,"&lt;&gt;Bỏ qua"))</f>
        <v/>
      </c>
      <c r="R187" s="14">
        <f>IF(A187="","",COUNTIFS('Giao việc'!$O$5:$O$3004,A187,'Giao việc'!$J$5:$J$3004,"Xong"))</f>
        <v/>
      </c>
      <c r="S187" s="14">
        <f>IF(A187="","",COUNTIFS('Giao việc'!$O$5:$O$3004,A187,'Giao việc'!$M$5:$M$3004,"*QUÁ HẠN*"))</f>
        <v/>
      </c>
      <c r="T187" s="14">
        <f>IF(A187="","",COUNTIFS('Giao việc'!$O$5:$O$3004,A187,'Giao việc'!$M$5:$M$3004,"*CHƯA GIAO*"))</f>
        <v/>
      </c>
      <c r="U187" s="15">
        <f>IF(OR(A187="",N(Q187)=0),"",R187/Q187)</f>
        <v/>
      </c>
      <c r="V187" s="16">
        <f>IF(U187="","",REPT("█",ROUND(U187*10,0))&amp;REPT("░",10-ROUND(U187*10,0)))</f>
        <v/>
      </c>
      <c r="W187" s="14">
        <f>IF(C187="","Chưa có ngày",IF(C187&gt;TODAY(),"Còn "&amp;(C187-TODAY())&amp;" ngày",IF(IF(D187="",C187,D187)&gt;=TODAY(),"Đang diễn ra","Đã qua "&amp;(TODAY()-IF(D187="",C187,D187))&amp;" ngày")))</f>
        <v/>
      </c>
      <c r="X187" s="14">
        <f>IF(AND(A187&lt;&gt;"",P187="Có",ISNUMBER(C187)),IF(IF(D187="",C187,D187)&gt;=TODAY()-35,C187+ROW()/100000,""),"")</f>
        <v/>
      </c>
    </row>
    <row r="188">
      <c r="A188" s="46" t="n"/>
      <c r="B188" s="12" t="n"/>
      <c r="C188" s="13" t="n"/>
      <c r="D188" s="13" t="n"/>
      <c r="E188" s="14" t="n"/>
      <c r="F188" s="14" t="n"/>
      <c r="G188" s="14" t="n"/>
      <c r="H188" s="14" t="n"/>
      <c r="I188" s="46" t="n"/>
      <c r="J188" s="46" t="n"/>
      <c r="K188" s="47" t="n"/>
      <c r="L188" s="47" t="n"/>
      <c r="M188" s="47" t="n"/>
      <c r="N188" s="47" t="n"/>
      <c r="O188" s="47" t="n"/>
      <c r="P188" s="47" t="n"/>
      <c r="Q188" s="14">
        <f>IF(A188="","",COUNTIFS('Giao việc'!$O$5:$O$3004,A188,'Giao việc'!$J$5:$J$3004,"&lt;&gt;Bỏ qua"))</f>
        <v/>
      </c>
      <c r="R188" s="14">
        <f>IF(A188="","",COUNTIFS('Giao việc'!$O$5:$O$3004,A188,'Giao việc'!$J$5:$J$3004,"Xong"))</f>
        <v/>
      </c>
      <c r="S188" s="14">
        <f>IF(A188="","",COUNTIFS('Giao việc'!$O$5:$O$3004,A188,'Giao việc'!$M$5:$M$3004,"*QUÁ HẠN*"))</f>
        <v/>
      </c>
      <c r="T188" s="14">
        <f>IF(A188="","",COUNTIFS('Giao việc'!$O$5:$O$3004,A188,'Giao việc'!$M$5:$M$3004,"*CHƯA GIAO*"))</f>
        <v/>
      </c>
      <c r="U188" s="15">
        <f>IF(OR(A188="",N(Q188)=0),"",R188/Q188)</f>
        <v/>
      </c>
      <c r="V188" s="16">
        <f>IF(U188="","",REPT("█",ROUND(U188*10,0))&amp;REPT("░",10-ROUND(U188*10,0)))</f>
        <v/>
      </c>
      <c r="W188" s="14">
        <f>IF(C188="","Chưa có ngày",IF(C188&gt;TODAY(),"Còn "&amp;(C188-TODAY())&amp;" ngày",IF(IF(D188="",C188,D188)&gt;=TODAY(),"Đang diễn ra","Đã qua "&amp;(TODAY()-IF(D188="",C188,D188))&amp;" ngày")))</f>
        <v/>
      </c>
      <c r="X188" s="14">
        <f>IF(AND(A188&lt;&gt;"",P188="Có",ISNUMBER(C188)),IF(IF(D188="",C188,D188)&gt;=TODAY()-35,C188+ROW()/100000,""),"")</f>
        <v/>
      </c>
    </row>
    <row r="189">
      <c r="A189" s="46" t="n"/>
      <c r="B189" s="12" t="n"/>
      <c r="C189" s="13" t="n"/>
      <c r="D189" s="13" t="n"/>
      <c r="E189" s="14" t="n"/>
      <c r="F189" s="14" t="n"/>
      <c r="G189" s="14" t="n"/>
      <c r="H189" s="14" t="n"/>
      <c r="I189" s="46" t="n"/>
      <c r="J189" s="46" t="n"/>
      <c r="K189" s="47" t="n"/>
      <c r="L189" s="47" t="n"/>
      <c r="M189" s="47" t="n"/>
      <c r="N189" s="47" t="n"/>
      <c r="O189" s="47" t="n"/>
      <c r="P189" s="47" t="n"/>
      <c r="Q189" s="14">
        <f>IF(A189="","",COUNTIFS('Giao việc'!$O$5:$O$3004,A189,'Giao việc'!$J$5:$J$3004,"&lt;&gt;Bỏ qua"))</f>
        <v/>
      </c>
      <c r="R189" s="14">
        <f>IF(A189="","",COUNTIFS('Giao việc'!$O$5:$O$3004,A189,'Giao việc'!$J$5:$J$3004,"Xong"))</f>
        <v/>
      </c>
      <c r="S189" s="14">
        <f>IF(A189="","",COUNTIFS('Giao việc'!$O$5:$O$3004,A189,'Giao việc'!$M$5:$M$3004,"*QUÁ HẠN*"))</f>
        <v/>
      </c>
      <c r="T189" s="14">
        <f>IF(A189="","",COUNTIFS('Giao việc'!$O$5:$O$3004,A189,'Giao việc'!$M$5:$M$3004,"*CHƯA GIAO*"))</f>
        <v/>
      </c>
      <c r="U189" s="15">
        <f>IF(OR(A189="",N(Q189)=0),"",R189/Q189)</f>
        <v/>
      </c>
      <c r="V189" s="16">
        <f>IF(U189="","",REPT("█",ROUND(U189*10,0))&amp;REPT("░",10-ROUND(U189*10,0)))</f>
        <v/>
      </c>
      <c r="W189" s="14">
        <f>IF(C189="","Chưa có ngày",IF(C189&gt;TODAY(),"Còn "&amp;(C189-TODAY())&amp;" ngày",IF(IF(D189="",C189,D189)&gt;=TODAY(),"Đang diễn ra","Đã qua "&amp;(TODAY()-IF(D189="",C189,D189))&amp;" ngày")))</f>
        <v/>
      </c>
      <c r="X189" s="14">
        <f>IF(AND(A189&lt;&gt;"",P189="Có",ISNUMBER(C189)),IF(IF(D189="",C189,D189)&gt;=TODAY()-35,C189+ROW()/100000,""),"")</f>
        <v/>
      </c>
    </row>
    <row r="190">
      <c r="A190" s="46" t="n"/>
      <c r="B190" s="12" t="n"/>
      <c r="C190" s="13" t="n"/>
      <c r="D190" s="13" t="n"/>
      <c r="E190" s="14" t="n"/>
      <c r="F190" s="14" t="n"/>
      <c r="G190" s="14" t="n"/>
      <c r="H190" s="14" t="n"/>
      <c r="I190" s="46" t="n"/>
      <c r="J190" s="46" t="n"/>
      <c r="K190" s="47" t="n"/>
      <c r="L190" s="47" t="n"/>
      <c r="M190" s="47" t="n"/>
      <c r="N190" s="47" t="n"/>
      <c r="O190" s="47" t="n"/>
      <c r="P190" s="47" t="n"/>
      <c r="Q190" s="14">
        <f>IF(A190="","",COUNTIFS('Giao việc'!$O$5:$O$3004,A190,'Giao việc'!$J$5:$J$3004,"&lt;&gt;Bỏ qua"))</f>
        <v/>
      </c>
      <c r="R190" s="14">
        <f>IF(A190="","",COUNTIFS('Giao việc'!$O$5:$O$3004,A190,'Giao việc'!$J$5:$J$3004,"Xong"))</f>
        <v/>
      </c>
      <c r="S190" s="14">
        <f>IF(A190="","",COUNTIFS('Giao việc'!$O$5:$O$3004,A190,'Giao việc'!$M$5:$M$3004,"*QUÁ HẠN*"))</f>
        <v/>
      </c>
      <c r="T190" s="14">
        <f>IF(A190="","",COUNTIFS('Giao việc'!$O$5:$O$3004,A190,'Giao việc'!$M$5:$M$3004,"*CHƯA GIAO*"))</f>
        <v/>
      </c>
      <c r="U190" s="15">
        <f>IF(OR(A190="",N(Q190)=0),"",R190/Q190)</f>
        <v/>
      </c>
      <c r="V190" s="16">
        <f>IF(U190="","",REPT("█",ROUND(U190*10,0))&amp;REPT("░",10-ROUND(U190*10,0)))</f>
        <v/>
      </c>
      <c r="W190" s="14">
        <f>IF(C190="","Chưa có ngày",IF(C190&gt;TODAY(),"Còn "&amp;(C190-TODAY())&amp;" ngày",IF(IF(D190="",C190,D190)&gt;=TODAY(),"Đang diễn ra","Đã qua "&amp;(TODAY()-IF(D190="",C190,D190))&amp;" ngày")))</f>
        <v/>
      </c>
      <c r="X190" s="14">
        <f>IF(AND(A190&lt;&gt;"",P190="Có",ISNUMBER(C190)),IF(IF(D190="",C190,D190)&gt;=TODAY()-35,C190+ROW()/100000,""),"")</f>
        <v/>
      </c>
    </row>
    <row r="191">
      <c r="A191" s="46" t="n"/>
      <c r="B191" s="12" t="n"/>
      <c r="C191" s="13" t="n"/>
      <c r="D191" s="13" t="n"/>
      <c r="E191" s="14" t="n"/>
      <c r="F191" s="14" t="n"/>
      <c r="G191" s="14" t="n"/>
      <c r="H191" s="14" t="n"/>
      <c r="I191" s="46" t="n"/>
      <c r="J191" s="46" t="n"/>
      <c r="K191" s="47" t="n"/>
      <c r="L191" s="47" t="n"/>
      <c r="M191" s="47" t="n"/>
      <c r="N191" s="47" t="n"/>
      <c r="O191" s="47" t="n"/>
      <c r="P191" s="47" t="n"/>
      <c r="Q191" s="14">
        <f>IF(A191="","",COUNTIFS('Giao việc'!$O$5:$O$3004,A191,'Giao việc'!$J$5:$J$3004,"&lt;&gt;Bỏ qua"))</f>
        <v/>
      </c>
      <c r="R191" s="14">
        <f>IF(A191="","",COUNTIFS('Giao việc'!$O$5:$O$3004,A191,'Giao việc'!$J$5:$J$3004,"Xong"))</f>
        <v/>
      </c>
      <c r="S191" s="14">
        <f>IF(A191="","",COUNTIFS('Giao việc'!$O$5:$O$3004,A191,'Giao việc'!$M$5:$M$3004,"*QUÁ HẠN*"))</f>
        <v/>
      </c>
      <c r="T191" s="14">
        <f>IF(A191="","",COUNTIFS('Giao việc'!$O$5:$O$3004,A191,'Giao việc'!$M$5:$M$3004,"*CHƯA GIAO*"))</f>
        <v/>
      </c>
      <c r="U191" s="15">
        <f>IF(OR(A191="",N(Q191)=0),"",R191/Q191)</f>
        <v/>
      </c>
      <c r="V191" s="16">
        <f>IF(U191="","",REPT("█",ROUND(U191*10,0))&amp;REPT("░",10-ROUND(U191*10,0)))</f>
        <v/>
      </c>
      <c r="W191" s="14">
        <f>IF(C191="","Chưa có ngày",IF(C191&gt;TODAY(),"Còn "&amp;(C191-TODAY())&amp;" ngày",IF(IF(D191="",C191,D191)&gt;=TODAY(),"Đang diễn ra","Đã qua "&amp;(TODAY()-IF(D191="",C191,D191))&amp;" ngày")))</f>
        <v/>
      </c>
      <c r="X191" s="14">
        <f>IF(AND(A191&lt;&gt;"",P191="Có",ISNUMBER(C191)),IF(IF(D191="",C191,D191)&gt;=TODAY()-35,C191+ROW()/100000,""),"")</f>
        <v/>
      </c>
    </row>
    <row r="192">
      <c r="A192" s="46" t="n"/>
      <c r="B192" s="12" t="n"/>
      <c r="C192" s="13" t="n"/>
      <c r="D192" s="13" t="n"/>
      <c r="E192" s="14" t="n"/>
      <c r="F192" s="14" t="n"/>
      <c r="G192" s="14" t="n"/>
      <c r="H192" s="14" t="n"/>
      <c r="I192" s="46" t="n"/>
      <c r="J192" s="46" t="n"/>
      <c r="K192" s="47" t="n"/>
      <c r="L192" s="47" t="n"/>
      <c r="M192" s="47" t="n"/>
      <c r="N192" s="47" t="n"/>
      <c r="O192" s="47" t="n"/>
      <c r="P192" s="47" t="n"/>
      <c r="Q192" s="14">
        <f>IF(A192="","",COUNTIFS('Giao việc'!$O$5:$O$3004,A192,'Giao việc'!$J$5:$J$3004,"&lt;&gt;Bỏ qua"))</f>
        <v/>
      </c>
      <c r="R192" s="14">
        <f>IF(A192="","",COUNTIFS('Giao việc'!$O$5:$O$3004,A192,'Giao việc'!$J$5:$J$3004,"Xong"))</f>
        <v/>
      </c>
      <c r="S192" s="14">
        <f>IF(A192="","",COUNTIFS('Giao việc'!$O$5:$O$3004,A192,'Giao việc'!$M$5:$M$3004,"*QUÁ HẠN*"))</f>
        <v/>
      </c>
      <c r="T192" s="14">
        <f>IF(A192="","",COUNTIFS('Giao việc'!$O$5:$O$3004,A192,'Giao việc'!$M$5:$M$3004,"*CHƯA GIAO*"))</f>
        <v/>
      </c>
      <c r="U192" s="15">
        <f>IF(OR(A192="",N(Q192)=0),"",R192/Q192)</f>
        <v/>
      </c>
      <c r="V192" s="16">
        <f>IF(U192="","",REPT("█",ROUND(U192*10,0))&amp;REPT("░",10-ROUND(U192*10,0)))</f>
        <v/>
      </c>
      <c r="W192" s="14">
        <f>IF(C192="","Chưa có ngày",IF(C192&gt;TODAY(),"Còn "&amp;(C192-TODAY())&amp;" ngày",IF(IF(D192="",C192,D192)&gt;=TODAY(),"Đang diễn ra","Đã qua "&amp;(TODAY()-IF(D192="",C192,D192))&amp;" ngày")))</f>
        <v/>
      </c>
      <c r="X192" s="14">
        <f>IF(AND(A192&lt;&gt;"",P192="Có",ISNUMBER(C192)),IF(IF(D192="",C192,D192)&gt;=TODAY()-35,C192+ROW()/100000,""),"")</f>
        <v/>
      </c>
    </row>
    <row r="193">
      <c r="A193" s="46" t="n"/>
      <c r="B193" s="12" t="n"/>
      <c r="C193" s="13" t="n"/>
      <c r="D193" s="13" t="n"/>
      <c r="E193" s="14" t="n"/>
      <c r="F193" s="14" t="n"/>
      <c r="G193" s="14" t="n"/>
      <c r="H193" s="14" t="n"/>
      <c r="I193" s="46" t="n"/>
      <c r="J193" s="46" t="n"/>
      <c r="K193" s="47" t="n"/>
      <c r="L193" s="47" t="n"/>
      <c r="M193" s="47" t="n"/>
      <c r="N193" s="47" t="n"/>
      <c r="O193" s="47" t="n"/>
      <c r="P193" s="47" t="n"/>
      <c r="Q193" s="14">
        <f>IF(A193="","",COUNTIFS('Giao việc'!$O$5:$O$3004,A193,'Giao việc'!$J$5:$J$3004,"&lt;&gt;Bỏ qua"))</f>
        <v/>
      </c>
      <c r="R193" s="14">
        <f>IF(A193="","",COUNTIFS('Giao việc'!$O$5:$O$3004,A193,'Giao việc'!$J$5:$J$3004,"Xong"))</f>
        <v/>
      </c>
      <c r="S193" s="14">
        <f>IF(A193="","",COUNTIFS('Giao việc'!$O$5:$O$3004,A193,'Giao việc'!$M$5:$M$3004,"*QUÁ HẠN*"))</f>
        <v/>
      </c>
      <c r="T193" s="14">
        <f>IF(A193="","",COUNTIFS('Giao việc'!$O$5:$O$3004,A193,'Giao việc'!$M$5:$M$3004,"*CHƯA GIAO*"))</f>
        <v/>
      </c>
      <c r="U193" s="15">
        <f>IF(OR(A193="",N(Q193)=0),"",R193/Q193)</f>
        <v/>
      </c>
      <c r="V193" s="16">
        <f>IF(U193="","",REPT("█",ROUND(U193*10,0))&amp;REPT("░",10-ROUND(U193*10,0)))</f>
        <v/>
      </c>
      <c r="W193" s="14">
        <f>IF(C193="","Chưa có ngày",IF(C193&gt;TODAY(),"Còn "&amp;(C193-TODAY())&amp;" ngày",IF(IF(D193="",C193,D193)&gt;=TODAY(),"Đang diễn ra","Đã qua "&amp;(TODAY()-IF(D193="",C193,D193))&amp;" ngày")))</f>
        <v/>
      </c>
      <c r="X193" s="14">
        <f>IF(AND(A193&lt;&gt;"",P193="Có",ISNUMBER(C193)),IF(IF(D193="",C193,D193)&gt;=TODAY()-35,C193+ROW()/100000,""),"")</f>
        <v/>
      </c>
    </row>
    <row r="194">
      <c r="A194" s="46" t="n"/>
      <c r="B194" s="12" t="n"/>
      <c r="C194" s="13" t="n"/>
      <c r="D194" s="13" t="n"/>
      <c r="E194" s="14" t="n"/>
      <c r="F194" s="14" t="n"/>
      <c r="G194" s="14" t="n"/>
      <c r="H194" s="14" t="n"/>
      <c r="I194" s="46" t="n"/>
      <c r="J194" s="46" t="n"/>
      <c r="K194" s="47" t="n"/>
      <c r="L194" s="47" t="n"/>
      <c r="M194" s="47" t="n"/>
      <c r="N194" s="47" t="n"/>
      <c r="O194" s="47" t="n"/>
      <c r="P194" s="47" t="n"/>
      <c r="Q194" s="14">
        <f>IF(A194="","",COUNTIFS('Giao việc'!$O$5:$O$3004,A194,'Giao việc'!$J$5:$J$3004,"&lt;&gt;Bỏ qua"))</f>
        <v/>
      </c>
      <c r="R194" s="14">
        <f>IF(A194="","",COUNTIFS('Giao việc'!$O$5:$O$3004,A194,'Giao việc'!$J$5:$J$3004,"Xong"))</f>
        <v/>
      </c>
      <c r="S194" s="14">
        <f>IF(A194="","",COUNTIFS('Giao việc'!$O$5:$O$3004,A194,'Giao việc'!$M$5:$M$3004,"*QUÁ HẠN*"))</f>
        <v/>
      </c>
      <c r="T194" s="14">
        <f>IF(A194="","",COUNTIFS('Giao việc'!$O$5:$O$3004,A194,'Giao việc'!$M$5:$M$3004,"*CHƯA GIAO*"))</f>
        <v/>
      </c>
      <c r="U194" s="15">
        <f>IF(OR(A194="",N(Q194)=0),"",R194/Q194)</f>
        <v/>
      </c>
      <c r="V194" s="16">
        <f>IF(U194="","",REPT("█",ROUND(U194*10,0))&amp;REPT("░",10-ROUND(U194*10,0)))</f>
        <v/>
      </c>
      <c r="W194" s="14">
        <f>IF(C194="","Chưa có ngày",IF(C194&gt;TODAY(),"Còn "&amp;(C194-TODAY())&amp;" ngày",IF(IF(D194="",C194,D194)&gt;=TODAY(),"Đang diễn ra","Đã qua "&amp;(TODAY()-IF(D194="",C194,D194))&amp;" ngày")))</f>
        <v/>
      </c>
      <c r="X194" s="14">
        <f>IF(AND(A194&lt;&gt;"",P194="Có",ISNUMBER(C194)),IF(IF(D194="",C194,D194)&gt;=TODAY()-35,C194+ROW()/100000,""),"")</f>
        <v/>
      </c>
    </row>
    <row r="195">
      <c r="A195" s="46" t="n"/>
      <c r="B195" s="12" t="n"/>
      <c r="C195" s="13" t="n"/>
      <c r="D195" s="13" t="n"/>
      <c r="E195" s="14" t="n"/>
      <c r="F195" s="14" t="n"/>
      <c r="G195" s="14" t="n"/>
      <c r="H195" s="14" t="n"/>
      <c r="I195" s="46" t="n"/>
      <c r="J195" s="46" t="n"/>
      <c r="K195" s="47" t="n"/>
      <c r="L195" s="47" t="n"/>
      <c r="M195" s="47" t="n"/>
      <c r="N195" s="47" t="n"/>
      <c r="O195" s="47" t="n"/>
      <c r="P195" s="47" t="n"/>
      <c r="Q195" s="14">
        <f>IF(A195="","",COUNTIFS('Giao việc'!$O$5:$O$3004,A195,'Giao việc'!$J$5:$J$3004,"&lt;&gt;Bỏ qua"))</f>
        <v/>
      </c>
      <c r="R195" s="14">
        <f>IF(A195="","",COUNTIFS('Giao việc'!$O$5:$O$3004,A195,'Giao việc'!$J$5:$J$3004,"Xong"))</f>
        <v/>
      </c>
      <c r="S195" s="14">
        <f>IF(A195="","",COUNTIFS('Giao việc'!$O$5:$O$3004,A195,'Giao việc'!$M$5:$M$3004,"*QUÁ HẠN*"))</f>
        <v/>
      </c>
      <c r="T195" s="14">
        <f>IF(A195="","",COUNTIFS('Giao việc'!$O$5:$O$3004,A195,'Giao việc'!$M$5:$M$3004,"*CHƯA GIAO*"))</f>
        <v/>
      </c>
      <c r="U195" s="15">
        <f>IF(OR(A195="",N(Q195)=0),"",R195/Q195)</f>
        <v/>
      </c>
      <c r="V195" s="16">
        <f>IF(U195="","",REPT("█",ROUND(U195*10,0))&amp;REPT("░",10-ROUND(U195*10,0)))</f>
        <v/>
      </c>
      <c r="W195" s="14">
        <f>IF(C195="","Chưa có ngày",IF(C195&gt;TODAY(),"Còn "&amp;(C195-TODAY())&amp;" ngày",IF(IF(D195="",C195,D195)&gt;=TODAY(),"Đang diễn ra","Đã qua "&amp;(TODAY()-IF(D195="",C195,D195))&amp;" ngày")))</f>
        <v/>
      </c>
      <c r="X195" s="14">
        <f>IF(AND(A195&lt;&gt;"",P195="Có",ISNUMBER(C195)),IF(IF(D195="",C195,D195)&gt;=TODAY()-35,C195+ROW()/100000,""),"")</f>
        <v/>
      </c>
    </row>
    <row r="196">
      <c r="A196" s="46" t="n"/>
      <c r="B196" s="12" t="n"/>
      <c r="C196" s="13" t="n"/>
      <c r="D196" s="13" t="n"/>
      <c r="E196" s="14" t="n"/>
      <c r="F196" s="14" t="n"/>
      <c r="G196" s="14" t="n"/>
      <c r="H196" s="14" t="n"/>
      <c r="I196" s="46" t="n"/>
      <c r="J196" s="46" t="n"/>
      <c r="K196" s="47" t="n"/>
      <c r="L196" s="47" t="n"/>
      <c r="M196" s="47" t="n"/>
      <c r="N196" s="47" t="n"/>
      <c r="O196" s="47" t="n"/>
      <c r="P196" s="47" t="n"/>
      <c r="Q196" s="14">
        <f>IF(A196="","",COUNTIFS('Giao việc'!$O$5:$O$3004,A196,'Giao việc'!$J$5:$J$3004,"&lt;&gt;Bỏ qua"))</f>
        <v/>
      </c>
      <c r="R196" s="14">
        <f>IF(A196="","",COUNTIFS('Giao việc'!$O$5:$O$3004,A196,'Giao việc'!$J$5:$J$3004,"Xong"))</f>
        <v/>
      </c>
      <c r="S196" s="14">
        <f>IF(A196="","",COUNTIFS('Giao việc'!$O$5:$O$3004,A196,'Giao việc'!$M$5:$M$3004,"*QUÁ HẠN*"))</f>
        <v/>
      </c>
      <c r="T196" s="14">
        <f>IF(A196="","",COUNTIFS('Giao việc'!$O$5:$O$3004,A196,'Giao việc'!$M$5:$M$3004,"*CHƯA GIAO*"))</f>
        <v/>
      </c>
      <c r="U196" s="15">
        <f>IF(OR(A196="",N(Q196)=0),"",R196/Q196)</f>
        <v/>
      </c>
      <c r="V196" s="16">
        <f>IF(U196="","",REPT("█",ROUND(U196*10,0))&amp;REPT("░",10-ROUND(U196*10,0)))</f>
        <v/>
      </c>
      <c r="W196" s="14">
        <f>IF(C196="","Chưa có ngày",IF(C196&gt;TODAY(),"Còn "&amp;(C196-TODAY())&amp;" ngày",IF(IF(D196="",C196,D196)&gt;=TODAY(),"Đang diễn ra","Đã qua "&amp;(TODAY()-IF(D196="",C196,D196))&amp;" ngày")))</f>
        <v/>
      </c>
      <c r="X196" s="14">
        <f>IF(AND(A196&lt;&gt;"",P196="Có",ISNUMBER(C196)),IF(IF(D196="",C196,D196)&gt;=TODAY()-35,C196+ROW()/100000,""),"")</f>
        <v/>
      </c>
    </row>
    <row r="197">
      <c r="A197" s="46" t="n"/>
      <c r="B197" s="12" t="n"/>
      <c r="C197" s="13" t="n"/>
      <c r="D197" s="13" t="n"/>
      <c r="E197" s="14" t="n"/>
      <c r="F197" s="14" t="n"/>
      <c r="G197" s="14" t="n"/>
      <c r="H197" s="14" t="n"/>
      <c r="I197" s="46" t="n"/>
      <c r="J197" s="46" t="n"/>
      <c r="K197" s="47" t="n"/>
      <c r="L197" s="47" t="n"/>
      <c r="M197" s="47" t="n"/>
      <c r="N197" s="47" t="n"/>
      <c r="O197" s="47" t="n"/>
      <c r="P197" s="47" t="n"/>
      <c r="Q197" s="14">
        <f>IF(A197="","",COUNTIFS('Giao việc'!$O$5:$O$3004,A197,'Giao việc'!$J$5:$J$3004,"&lt;&gt;Bỏ qua"))</f>
        <v/>
      </c>
      <c r="R197" s="14">
        <f>IF(A197="","",COUNTIFS('Giao việc'!$O$5:$O$3004,A197,'Giao việc'!$J$5:$J$3004,"Xong"))</f>
        <v/>
      </c>
      <c r="S197" s="14">
        <f>IF(A197="","",COUNTIFS('Giao việc'!$O$5:$O$3004,A197,'Giao việc'!$M$5:$M$3004,"*QUÁ HẠN*"))</f>
        <v/>
      </c>
      <c r="T197" s="14">
        <f>IF(A197="","",COUNTIFS('Giao việc'!$O$5:$O$3004,A197,'Giao việc'!$M$5:$M$3004,"*CHƯA GIAO*"))</f>
        <v/>
      </c>
      <c r="U197" s="15">
        <f>IF(OR(A197="",N(Q197)=0),"",R197/Q197)</f>
        <v/>
      </c>
      <c r="V197" s="16">
        <f>IF(U197="","",REPT("█",ROUND(U197*10,0))&amp;REPT("░",10-ROUND(U197*10,0)))</f>
        <v/>
      </c>
      <c r="W197" s="14">
        <f>IF(C197="","Chưa có ngày",IF(C197&gt;TODAY(),"Còn "&amp;(C197-TODAY())&amp;" ngày",IF(IF(D197="",C197,D197)&gt;=TODAY(),"Đang diễn ra","Đã qua "&amp;(TODAY()-IF(D197="",C197,D197))&amp;" ngày")))</f>
        <v/>
      </c>
      <c r="X197" s="14">
        <f>IF(AND(A197&lt;&gt;"",P197="Có",ISNUMBER(C197)),IF(IF(D197="",C197,D197)&gt;=TODAY()-35,C197+ROW()/100000,""),"")</f>
        <v/>
      </c>
    </row>
    <row r="198">
      <c r="A198" s="46" t="n"/>
      <c r="B198" s="12" t="n"/>
      <c r="C198" s="13" t="n"/>
      <c r="D198" s="13" t="n"/>
      <c r="E198" s="14" t="n"/>
      <c r="F198" s="14" t="n"/>
      <c r="G198" s="14" t="n"/>
      <c r="H198" s="14" t="n"/>
      <c r="I198" s="46" t="n"/>
      <c r="J198" s="46" t="n"/>
      <c r="K198" s="47" t="n"/>
      <c r="L198" s="47" t="n"/>
      <c r="M198" s="47" t="n"/>
      <c r="N198" s="47" t="n"/>
      <c r="O198" s="47" t="n"/>
      <c r="P198" s="47" t="n"/>
      <c r="Q198" s="14">
        <f>IF(A198="","",COUNTIFS('Giao việc'!$O$5:$O$3004,A198,'Giao việc'!$J$5:$J$3004,"&lt;&gt;Bỏ qua"))</f>
        <v/>
      </c>
      <c r="R198" s="14">
        <f>IF(A198="","",COUNTIFS('Giao việc'!$O$5:$O$3004,A198,'Giao việc'!$J$5:$J$3004,"Xong"))</f>
        <v/>
      </c>
      <c r="S198" s="14">
        <f>IF(A198="","",COUNTIFS('Giao việc'!$O$5:$O$3004,A198,'Giao việc'!$M$5:$M$3004,"*QUÁ HẠN*"))</f>
        <v/>
      </c>
      <c r="T198" s="14">
        <f>IF(A198="","",COUNTIFS('Giao việc'!$O$5:$O$3004,A198,'Giao việc'!$M$5:$M$3004,"*CHƯA GIAO*"))</f>
        <v/>
      </c>
      <c r="U198" s="15">
        <f>IF(OR(A198="",N(Q198)=0),"",R198/Q198)</f>
        <v/>
      </c>
      <c r="V198" s="16">
        <f>IF(U198="","",REPT("█",ROUND(U198*10,0))&amp;REPT("░",10-ROUND(U198*10,0)))</f>
        <v/>
      </c>
      <c r="W198" s="14">
        <f>IF(C198="","Chưa có ngày",IF(C198&gt;TODAY(),"Còn "&amp;(C198-TODAY())&amp;" ngày",IF(IF(D198="",C198,D198)&gt;=TODAY(),"Đang diễn ra","Đã qua "&amp;(TODAY()-IF(D198="",C198,D198))&amp;" ngày")))</f>
        <v/>
      </c>
      <c r="X198" s="14">
        <f>IF(AND(A198&lt;&gt;"",P198="Có",ISNUMBER(C198)),IF(IF(D198="",C198,D198)&gt;=TODAY()-35,C198+ROW()/100000,""),"")</f>
        <v/>
      </c>
    </row>
    <row r="199">
      <c r="A199" s="46" t="n"/>
      <c r="B199" s="12" t="n"/>
      <c r="C199" s="13" t="n"/>
      <c r="D199" s="13" t="n"/>
      <c r="E199" s="14" t="n"/>
      <c r="F199" s="14" t="n"/>
      <c r="G199" s="14" t="n"/>
      <c r="H199" s="14" t="n"/>
      <c r="I199" s="46" t="n"/>
      <c r="J199" s="46" t="n"/>
      <c r="K199" s="47" t="n"/>
      <c r="L199" s="47" t="n"/>
      <c r="M199" s="47" t="n"/>
      <c r="N199" s="47" t="n"/>
      <c r="O199" s="47" t="n"/>
      <c r="P199" s="47" t="n"/>
      <c r="Q199" s="14">
        <f>IF(A199="","",COUNTIFS('Giao việc'!$O$5:$O$3004,A199,'Giao việc'!$J$5:$J$3004,"&lt;&gt;Bỏ qua"))</f>
        <v/>
      </c>
      <c r="R199" s="14">
        <f>IF(A199="","",COUNTIFS('Giao việc'!$O$5:$O$3004,A199,'Giao việc'!$J$5:$J$3004,"Xong"))</f>
        <v/>
      </c>
      <c r="S199" s="14">
        <f>IF(A199="","",COUNTIFS('Giao việc'!$O$5:$O$3004,A199,'Giao việc'!$M$5:$M$3004,"*QUÁ HẠN*"))</f>
        <v/>
      </c>
      <c r="T199" s="14">
        <f>IF(A199="","",COUNTIFS('Giao việc'!$O$5:$O$3004,A199,'Giao việc'!$M$5:$M$3004,"*CHƯA GIAO*"))</f>
        <v/>
      </c>
      <c r="U199" s="15">
        <f>IF(OR(A199="",N(Q199)=0),"",R199/Q199)</f>
        <v/>
      </c>
      <c r="V199" s="16">
        <f>IF(U199="","",REPT("█",ROUND(U199*10,0))&amp;REPT("░",10-ROUND(U199*10,0)))</f>
        <v/>
      </c>
      <c r="W199" s="14">
        <f>IF(C199="","Chưa có ngày",IF(C199&gt;TODAY(),"Còn "&amp;(C199-TODAY())&amp;" ngày",IF(IF(D199="",C199,D199)&gt;=TODAY(),"Đang diễn ra","Đã qua "&amp;(TODAY()-IF(D199="",C199,D199))&amp;" ngày")))</f>
        <v/>
      </c>
      <c r="X199" s="14">
        <f>IF(AND(A199&lt;&gt;"",P199="Có",ISNUMBER(C199)),IF(IF(D199="",C199,D199)&gt;=TODAY()-35,C199+ROW()/100000,""),"")</f>
        <v/>
      </c>
    </row>
    <row r="200">
      <c r="A200" s="46" t="n"/>
      <c r="B200" s="12" t="n"/>
      <c r="C200" s="13" t="n"/>
      <c r="D200" s="13" t="n"/>
      <c r="E200" s="14" t="n"/>
      <c r="F200" s="14" t="n"/>
      <c r="G200" s="14" t="n"/>
      <c r="H200" s="14" t="n"/>
      <c r="I200" s="46" t="n"/>
      <c r="J200" s="46" t="n"/>
      <c r="K200" s="47" t="n"/>
      <c r="L200" s="47" t="n"/>
      <c r="M200" s="47" t="n"/>
      <c r="N200" s="47" t="n"/>
      <c r="O200" s="47" t="n"/>
      <c r="P200" s="47" t="n"/>
      <c r="Q200" s="14">
        <f>IF(A200="","",COUNTIFS('Giao việc'!$O$5:$O$3004,A200,'Giao việc'!$J$5:$J$3004,"&lt;&gt;Bỏ qua"))</f>
        <v/>
      </c>
      <c r="R200" s="14">
        <f>IF(A200="","",COUNTIFS('Giao việc'!$O$5:$O$3004,A200,'Giao việc'!$J$5:$J$3004,"Xong"))</f>
        <v/>
      </c>
      <c r="S200" s="14">
        <f>IF(A200="","",COUNTIFS('Giao việc'!$O$5:$O$3004,A200,'Giao việc'!$M$5:$M$3004,"*QUÁ HẠN*"))</f>
        <v/>
      </c>
      <c r="T200" s="14">
        <f>IF(A200="","",COUNTIFS('Giao việc'!$O$5:$O$3004,A200,'Giao việc'!$M$5:$M$3004,"*CHƯA GIAO*"))</f>
        <v/>
      </c>
      <c r="U200" s="15">
        <f>IF(OR(A200="",N(Q200)=0),"",R200/Q200)</f>
        <v/>
      </c>
      <c r="V200" s="16">
        <f>IF(U200="","",REPT("█",ROUND(U200*10,0))&amp;REPT("░",10-ROUND(U200*10,0)))</f>
        <v/>
      </c>
      <c r="W200" s="14">
        <f>IF(C200="","Chưa có ngày",IF(C200&gt;TODAY(),"Còn "&amp;(C200-TODAY())&amp;" ngày",IF(IF(D200="",C200,D200)&gt;=TODAY(),"Đang diễn ra","Đã qua "&amp;(TODAY()-IF(D200="",C200,D200))&amp;" ngày")))</f>
        <v/>
      </c>
      <c r="X200" s="14">
        <f>IF(AND(A200&lt;&gt;"",P200="Có",ISNUMBER(C200)),IF(IF(D200="",C200,D200)&gt;=TODAY()-35,C200+ROW()/100000,""),"")</f>
        <v/>
      </c>
    </row>
    <row r="201">
      <c r="A201" s="46" t="n"/>
      <c r="B201" s="12" t="n"/>
      <c r="C201" s="13" t="n"/>
      <c r="D201" s="13" t="n"/>
      <c r="E201" s="14" t="n"/>
      <c r="F201" s="14" t="n"/>
      <c r="G201" s="14" t="n"/>
      <c r="H201" s="14" t="n"/>
      <c r="I201" s="46" t="n"/>
      <c r="J201" s="46" t="n"/>
      <c r="K201" s="47" t="n"/>
      <c r="L201" s="47" t="n"/>
      <c r="M201" s="47" t="n"/>
      <c r="N201" s="47" t="n"/>
      <c r="O201" s="47" t="n"/>
      <c r="P201" s="47" t="n"/>
      <c r="Q201" s="14">
        <f>IF(A201="","",COUNTIFS('Giao việc'!$O$5:$O$3004,A201,'Giao việc'!$J$5:$J$3004,"&lt;&gt;Bỏ qua"))</f>
        <v/>
      </c>
      <c r="R201" s="14">
        <f>IF(A201="","",COUNTIFS('Giao việc'!$O$5:$O$3004,A201,'Giao việc'!$J$5:$J$3004,"Xong"))</f>
        <v/>
      </c>
      <c r="S201" s="14">
        <f>IF(A201="","",COUNTIFS('Giao việc'!$O$5:$O$3004,A201,'Giao việc'!$M$5:$M$3004,"*QUÁ HẠN*"))</f>
        <v/>
      </c>
      <c r="T201" s="14">
        <f>IF(A201="","",COUNTIFS('Giao việc'!$O$5:$O$3004,A201,'Giao việc'!$M$5:$M$3004,"*CHƯA GIAO*"))</f>
        <v/>
      </c>
      <c r="U201" s="15">
        <f>IF(OR(A201="",N(Q201)=0),"",R201/Q201)</f>
        <v/>
      </c>
      <c r="V201" s="16">
        <f>IF(U201="","",REPT("█",ROUND(U201*10,0))&amp;REPT("░",10-ROUND(U201*10,0)))</f>
        <v/>
      </c>
      <c r="W201" s="14">
        <f>IF(C201="","Chưa có ngày",IF(C201&gt;TODAY(),"Còn "&amp;(C201-TODAY())&amp;" ngày",IF(IF(D201="",C201,D201)&gt;=TODAY(),"Đang diễn ra","Đã qua "&amp;(TODAY()-IF(D201="",C201,D201))&amp;" ngày")))</f>
        <v/>
      </c>
      <c r="X201" s="14">
        <f>IF(AND(A201&lt;&gt;"",P201="Có",ISNUMBER(C201)),IF(IF(D201="",C201,D201)&gt;=TODAY()-35,C201+ROW()/100000,""),"")</f>
        <v/>
      </c>
    </row>
    <row r="202">
      <c r="A202" s="46" t="n"/>
      <c r="B202" s="12" t="n"/>
      <c r="C202" s="13" t="n"/>
      <c r="D202" s="13" t="n"/>
      <c r="E202" s="14" t="n"/>
      <c r="F202" s="14" t="n"/>
      <c r="G202" s="14" t="n"/>
      <c r="H202" s="14" t="n"/>
      <c r="I202" s="46" t="n"/>
      <c r="J202" s="46" t="n"/>
      <c r="K202" s="47" t="n"/>
      <c r="L202" s="47" t="n"/>
      <c r="M202" s="47" t="n"/>
      <c r="N202" s="47" t="n"/>
      <c r="O202" s="47" t="n"/>
      <c r="P202" s="47" t="n"/>
      <c r="Q202" s="14">
        <f>IF(A202="","",COUNTIFS('Giao việc'!$O$5:$O$3004,A202,'Giao việc'!$J$5:$J$3004,"&lt;&gt;Bỏ qua"))</f>
        <v/>
      </c>
      <c r="R202" s="14">
        <f>IF(A202="","",COUNTIFS('Giao việc'!$O$5:$O$3004,A202,'Giao việc'!$J$5:$J$3004,"Xong"))</f>
        <v/>
      </c>
      <c r="S202" s="14">
        <f>IF(A202="","",COUNTIFS('Giao việc'!$O$5:$O$3004,A202,'Giao việc'!$M$5:$M$3004,"*QUÁ HẠN*"))</f>
        <v/>
      </c>
      <c r="T202" s="14">
        <f>IF(A202="","",COUNTIFS('Giao việc'!$O$5:$O$3004,A202,'Giao việc'!$M$5:$M$3004,"*CHƯA GIAO*"))</f>
        <v/>
      </c>
      <c r="U202" s="15">
        <f>IF(OR(A202="",N(Q202)=0),"",R202/Q202)</f>
        <v/>
      </c>
      <c r="V202" s="16">
        <f>IF(U202="","",REPT("█",ROUND(U202*10,0))&amp;REPT("░",10-ROUND(U202*10,0)))</f>
        <v/>
      </c>
      <c r="W202" s="14">
        <f>IF(C202="","Chưa có ngày",IF(C202&gt;TODAY(),"Còn "&amp;(C202-TODAY())&amp;" ngày",IF(IF(D202="",C202,D202)&gt;=TODAY(),"Đang diễn ra","Đã qua "&amp;(TODAY()-IF(D202="",C202,D202))&amp;" ngày")))</f>
        <v/>
      </c>
      <c r="X202" s="14">
        <f>IF(AND(A202&lt;&gt;"",P202="Có",ISNUMBER(C202)),IF(IF(D202="",C202,D202)&gt;=TODAY()-35,C202+ROW()/100000,""),"")</f>
        <v/>
      </c>
    </row>
    <row r="203">
      <c r="A203" s="46" t="n"/>
      <c r="B203" s="12" t="n"/>
      <c r="C203" s="13" t="n"/>
      <c r="D203" s="13" t="n"/>
      <c r="E203" s="14" t="n"/>
      <c r="F203" s="14" t="n"/>
      <c r="G203" s="14" t="n"/>
      <c r="H203" s="14" t="n"/>
      <c r="I203" s="46" t="n"/>
      <c r="J203" s="46" t="n"/>
      <c r="K203" s="47" t="n"/>
      <c r="L203" s="47" t="n"/>
      <c r="M203" s="47" t="n"/>
      <c r="N203" s="47" t="n"/>
      <c r="O203" s="47" t="n"/>
      <c r="P203" s="47" t="n"/>
      <c r="Q203" s="14">
        <f>IF(A203="","",COUNTIFS('Giao việc'!$O$5:$O$3004,A203,'Giao việc'!$J$5:$J$3004,"&lt;&gt;Bỏ qua"))</f>
        <v/>
      </c>
      <c r="R203" s="14">
        <f>IF(A203="","",COUNTIFS('Giao việc'!$O$5:$O$3004,A203,'Giao việc'!$J$5:$J$3004,"Xong"))</f>
        <v/>
      </c>
      <c r="S203" s="14">
        <f>IF(A203="","",COUNTIFS('Giao việc'!$O$5:$O$3004,A203,'Giao việc'!$M$5:$M$3004,"*QUÁ HẠN*"))</f>
        <v/>
      </c>
      <c r="T203" s="14">
        <f>IF(A203="","",COUNTIFS('Giao việc'!$O$5:$O$3004,A203,'Giao việc'!$M$5:$M$3004,"*CHƯA GIAO*"))</f>
        <v/>
      </c>
      <c r="U203" s="15">
        <f>IF(OR(A203="",N(Q203)=0),"",R203/Q203)</f>
        <v/>
      </c>
      <c r="V203" s="16">
        <f>IF(U203="","",REPT("█",ROUND(U203*10,0))&amp;REPT("░",10-ROUND(U203*10,0)))</f>
        <v/>
      </c>
      <c r="W203" s="14">
        <f>IF(C203="","Chưa có ngày",IF(C203&gt;TODAY(),"Còn "&amp;(C203-TODAY())&amp;" ngày",IF(IF(D203="",C203,D203)&gt;=TODAY(),"Đang diễn ra","Đã qua "&amp;(TODAY()-IF(D203="",C203,D203))&amp;" ngày")))</f>
        <v/>
      </c>
      <c r="X203" s="14">
        <f>IF(AND(A203&lt;&gt;"",P203="Có",ISNUMBER(C203)),IF(IF(D203="",C203,D203)&gt;=TODAY()-35,C203+ROW()/100000,""),"")</f>
        <v/>
      </c>
    </row>
    <row r="204">
      <c r="A204" s="46" t="n"/>
      <c r="B204" s="12" t="n"/>
      <c r="C204" s="13" t="n"/>
      <c r="D204" s="13" t="n"/>
      <c r="E204" s="14" t="n"/>
      <c r="F204" s="14" t="n"/>
      <c r="G204" s="14" t="n"/>
      <c r="H204" s="14" t="n"/>
      <c r="I204" s="46" t="n"/>
      <c r="J204" s="46" t="n"/>
      <c r="K204" s="47" t="n"/>
      <c r="L204" s="47" t="n"/>
      <c r="M204" s="47" t="n"/>
      <c r="N204" s="47" t="n"/>
      <c r="O204" s="47" t="n"/>
      <c r="P204" s="47" t="n"/>
      <c r="Q204" s="14">
        <f>IF(A204="","",COUNTIFS('Giao việc'!$O$5:$O$3004,A204,'Giao việc'!$J$5:$J$3004,"&lt;&gt;Bỏ qua"))</f>
        <v/>
      </c>
      <c r="R204" s="14">
        <f>IF(A204="","",COUNTIFS('Giao việc'!$O$5:$O$3004,A204,'Giao việc'!$J$5:$J$3004,"Xong"))</f>
        <v/>
      </c>
      <c r="S204" s="14">
        <f>IF(A204="","",COUNTIFS('Giao việc'!$O$5:$O$3004,A204,'Giao việc'!$M$5:$M$3004,"*QUÁ HẠN*"))</f>
        <v/>
      </c>
      <c r="T204" s="14">
        <f>IF(A204="","",COUNTIFS('Giao việc'!$O$5:$O$3004,A204,'Giao việc'!$M$5:$M$3004,"*CHƯA GIAO*"))</f>
        <v/>
      </c>
      <c r="U204" s="15">
        <f>IF(OR(A204="",N(Q204)=0),"",R204/Q204)</f>
        <v/>
      </c>
      <c r="V204" s="16">
        <f>IF(U204="","",REPT("█",ROUND(U204*10,0))&amp;REPT("░",10-ROUND(U204*10,0)))</f>
        <v/>
      </c>
      <c r="W204" s="14">
        <f>IF(C204="","Chưa có ngày",IF(C204&gt;TODAY(),"Còn "&amp;(C204-TODAY())&amp;" ngày",IF(IF(D204="",C204,D204)&gt;=TODAY(),"Đang diễn ra","Đã qua "&amp;(TODAY()-IF(D204="",C204,D204))&amp;" ngày")))</f>
        <v/>
      </c>
      <c r="X204" s="14">
        <f>IF(AND(A204&lt;&gt;"",P204="Có",ISNUMBER(C204)),IF(IF(D204="",C204,D204)&gt;=TODAY()-35,C204+ROW()/100000,""),"")</f>
        <v/>
      </c>
    </row>
    <row r="205">
      <c r="A205" s="46" t="n"/>
      <c r="B205" s="12" t="n"/>
      <c r="C205" s="13" t="n"/>
      <c r="D205" s="13" t="n"/>
      <c r="E205" s="14" t="n"/>
      <c r="F205" s="14" t="n"/>
      <c r="G205" s="14" t="n"/>
      <c r="H205" s="14" t="n"/>
      <c r="I205" s="46" t="n"/>
      <c r="J205" s="46" t="n"/>
      <c r="K205" s="47" t="n"/>
      <c r="L205" s="47" t="n"/>
      <c r="M205" s="47" t="n"/>
      <c r="N205" s="47" t="n"/>
      <c r="O205" s="47" t="n"/>
      <c r="P205" s="47" t="n"/>
      <c r="Q205" s="14">
        <f>IF(A205="","",COUNTIFS('Giao việc'!$O$5:$O$3004,A205,'Giao việc'!$J$5:$J$3004,"&lt;&gt;Bỏ qua"))</f>
        <v/>
      </c>
      <c r="R205" s="14">
        <f>IF(A205="","",COUNTIFS('Giao việc'!$O$5:$O$3004,A205,'Giao việc'!$J$5:$J$3004,"Xong"))</f>
        <v/>
      </c>
      <c r="S205" s="14">
        <f>IF(A205="","",COUNTIFS('Giao việc'!$O$5:$O$3004,A205,'Giao việc'!$M$5:$M$3004,"*QUÁ HẠN*"))</f>
        <v/>
      </c>
      <c r="T205" s="14">
        <f>IF(A205="","",COUNTIFS('Giao việc'!$O$5:$O$3004,A205,'Giao việc'!$M$5:$M$3004,"*CHƯA GIAO*"))</f>
        <v/>
      </c>
      <c r="U205" s="15">
        <f>IF(OR(A205="",N(Q205)=0),"",R205/Q205)</f>
        <v/>
      </c>
      <c r="V205" s="16">
        <f>IF(U205="","",REPT("█",ROUND(U205*10,0))&amp;REPT("░",10-ROUND(U205*10,0)))</f>
        <v/>
      </c>
      <c r="W205" s="14">
        <f>IF(C205="","Chưa có ngày",IF(C205&gt;TODAY(),"Còn "&amp;(C205-TODAY())&amp;" ngày",IF(IF(D205="",C205,D205)&gt;=TODAY(),"Đang diễn ra","Đã qua "&amp;(TODAY()-IF(D205="",C205,D205))&amp;" ngày")))</f>
        <v/>
      </c>
      <c r="X205" s="14">
        <f>IF(AND(A205&lt;&gt;"",P205="Có",ISNUMBER(C205)),IF(IF(D205="",C205,D205)&gt;=TODAY()-35,C205+ROW()/100000,""),"")</f>
        <v/>
      </c>
    </row>
    <row r="206">
      <c r="A206" s="46" t="n"/>
      <c r="B206" s="12" t="n"/>
      <c r="C206" s="13" t="n"/>
      <c r="D206" s="13" t="n"/>
      <c r="E206" s="14" t="n"/>
      <c r="F206" s="14" t="n"/>
      <c r="G206" s="14" t="n"/>
      <c r="H206" s="14" t="n"/>
      <c r="I206" s="46" t="n"/>
      <c r="J206" s="46" t="n"/>
      <c r="K206" s="47" t="n"/>
      <c r="L206" s="47" t="n"/>
      <c r="M206" s="47" t="n"/>
      <c r="N206" s="47" t="n"/>
      <c r="O206" s="47" t="n"/>
      <c r="P206" s="47" t="n"/>
      <c r="Q206" s="14">
        <f>IF(A206="","",COUNTIFS('Giao việc'!$O$5:$O$3004,A206,'Giao việc'!$J$5:$J$3004,"&lt;&gt;Bỏ qua"))</f>
        <v/>
      </c>
      <c r="R206" s="14">
        <f>IF(A206="","",COUNTIFS('Giao việc'!$O$5:$O$3004,A206,'Giao việc'!$J$5:$J$3004,"Xong"))</f>
        <v/>
      </c>
      <c r="S206" s="14">
        <f>IF(A206="","",COUNTIFS('Giao việc'!$O$5:$O$3004,A206,'Giao việc'!$M$5:$M$3004,"*QUÁ HẠN*"))</f>
        <v/>
      </c>
      <c r="T206" s="14">
        <f>IF(A206="","",COUNTIFS('Giao việc'!$O$5:$O$3004,A206,'Giao việc'!$M$5:$M$3004,"*CHƯA GIAO*"))</f>
        <v/>
      </c>
      <c r="U206" s="15">
        <f>IF(OR(A206="",N(Q206)=0),"",R206/Q206)</f>
        <v/>
      </c>
      <c r="V206" s="16">
        <f>IF(U206="","",REPT("█",ROUND(U206*10,0))&amp;REPT("░",10-ROUND(U206*10,0)))</f>
        <v/>
      </c>
      <c r="W206" s="14">
        <f>IF(C206="","Chưa có ngày",IF(C206&gt;TODAY(),"Còn "&amp;(C206-TODAY())&amp;" ngày",IF(IF(D206="",C206,D206)&gt;=TODAY(),"Đang diễn ra","Đã qua "&amp;(TODAY()-IF(D206="",C206,D206))&amp;" ngày")))</f>
        <v/>
      </c>
      <c r="X206" s="14">
        <f>IF(AND(A206&lt;&gt;"",P206="Có",ISNUMBER(C206)),IF(IF(D206="",C206,D206)&gt;=TODAY()-35,C206+ROW()/100000,""),"")</f>
        <v/>
      </c>
    </row>
    <row r="207">
      <c r="A207" s="46" t="n"/>
      <c r="B207" s="12" t="n"/>
      <c r="C207" s="13" t="n"/>
      <c r="D207" s="13" t="n"/>
      <c r="E207" s="14" t="n"/>
      <c r="F207" s="14" t="n"/>
      <c r="G207" s="14" t="n"/>
      <c r="H207" s="14" t="n"/>
      <c r="I207" s="46" t="n"/>
      <c r="J207" s="46" t="n"/>
      <c r="K207" s="47" t="n"/>
      <c r="L207" s="47" t="n"/>
      <c r="M207" s="47" t="n"/>
      <c r="N207" s="47" t="n"/>
      <c r="O207" s="47" t="n"/>
      <c r="P207" s="47" t="n"/>
      <c r="Q207" s="14">
        <f>IF(A207="","",COUNTIFS('Giao việc'!$O$5:$O$3004,A207,'Giao việc'!$J$5:$J$3004,"&lt;&gt;Bỏ qua"))</f>
        <v/>
      </c>
      <c r="R207" s="14">
        <f>IF(A207="","",COUNTIFS('Giao việc'!$O$5:$O$3004,A207,'Giao việc'!$J$5:$J$3004,"Xong"))</f>
        <v/>
      </c>
      <c r="S207" s="14">
        <f>IF(A207="","",COUNTIFS('Giao việc'!$O$5:$O$3004,A207,'Giao việc'!$M$5:$M$3004,"*QUÁ HẠN*"))</f>
        <v/>
      </c>
      <c r="T207" s="14">
        <f>IF(A207="","",COUNTIFS('Giao việc'!$O$5:$O$3004,A207,'Giao việc'!$M$5:$M$3004,"*CHƯA GIAO*"))</f>
        <v/>
      </c>
      <c r="U207" s="15">
        <f>IF(OR(A207="",N(Q207)=0),"",R207/Q207)</f>
        <v/>
      </c>
      <c r="V207" s="16">
        <f>IF(U207="","",REPT("█",ROUND(U207*10,0))&amp;REPT("░",10-ROUND(U207*10,0)))</f>
        <v/>
      </c>
      <c r="W207" s="14">
        <f>IF(C207="","Chưa có ngày",IF(C207&gt;TODAY(),"Còn "&amp;(C207-TODAY())&amp;" ngày",IF(IF(D207="",C207,D207)&gt;=TODAY(),"Đang diễn ra","Đã qua "&amp;(TODAY()-IF(D207="",C207,D207))&amp;" ngày")))</f>
        <v/>
      </c>
      <c r="X207" s="14">
        <f>IF(AND(A207&lt;&gt;"",P207="Có",ISNUMBER(C207)),IF(IF(D207="",C207,D207)&gt;=TODAY()-35,C207+ROW()/100000,""),"")</f>
        <v/>
      </c>
    </row>
    <row r="208">
      <c r="A208" s="46" t="n"/>
      <c r="B208" s="12" t="n"/>
      <c r="C208" s="13" t="n"/>
      <c r="D208" s="13" t="n"/>
      <c r="E208" s="14" t="n"/>
      <c r="F208" s="14" t="n"/>
      <c r="G208" s="14" t="n"/>
      <c r="H208" s="14" t="n"/>
      <c r="I208" s="46" t="n"/>
      <c r="J208" s="46" t="n"/>
      <c r="K208" s="47" t="n"/>
      <c r="L208" s="47" t="n"/>
      <c r="M208" s="47" t="n"/>
      <c r="N208" s="47" t="n"/>
      <c r="O208" s="47" t="n"/>
      <c r="P208" s="47" t="n"/>
      <c r="Q208" s="14">
        <f>IF(A208="","",COUNTIFS('Giao việc'!$O$5:$O$3004,A208,'Giao việc'!$J$5:$J$3004,"&lt;&gt;Bỏ qua"))</f>
        <v/>
      </c>
      <c r="R208" s="14">
        <f>IF(A208="","",COUNTIFS('Giao việc'!$O$5:$O$3004,A208,'Giao việc'!$J$5:$J$3004,"Xong"))</f>
        <v/>
      </c>
      <c r="S208" s="14">
        <f>IF(A208="","",COUNTIFS('Giao việc'!$O$5:$O$3004,A208,'Giao việc'!$M$5:$M$3004,"*QUÁ HẠN*"))</f>
        <v/>
      </c>
      <c r="T208" s="14">
        <f>IF(A208="","",COUNTIFS('Giao việc'!$O$5:$O$3004,A208,'Giao việc'!$M$5:$M$3004,"*CHƯA GIAO*"))</f>
        <v/>
      </c>
      <c r="U208" s="15">
        <f>IF(OR(A208="",N(Q208)=0),"",R208/Q208)</f>
        <v/>
      </c>
      <c r="V208" s="16">
        <f>IF(U208="","",REPT("█",ROUND(U208*10,0))&amp;REPT("░",10-ROUND(U208*10,0)))</f>
        <v/>
      </c>
      <c r="W208" s="14">
        <f>IF(C208="","Chưa có ngày",IF(C208&gt;TODAY(),"Còn "&amp;(C208-TODAY())&amp;" ngày",IF(IF(D208="",C208,D208)&gt;=TODAY(),"Đang diễn ra","Đã qua "&amp;(TODAY()-IF(D208="",C208,D208))&amp;" ngày")))</f>
        <v/>
      </c>
      <c r="X208" s="14">
        <f>IF(AND(A208&lt;&gt;"",P208="Có",ISNUMBER(C208)),IF(IF(D208="",C208,D208)&gt;=TODAY()-35,C208+ROW()/100000,""),"")</f>
        <v/>
      </c>
    </row>
    <row r="209">
      <c r="A209" s="46" t="n"/>
      <c r="B209" s="12" t="n"/>
      <c r="C209" s="13" t="n"/>
      <c r="D209" s="13" t="n"/>
      <c r="E209" s="14" t="n"/>
      <c r="F209" s="14" t="n"/>
      <c r="G209" s="14" t="n"/>
      <c r="H209" s="14" t="n"/>
      <c r="I209" s="46" t="n"/>
      <c r="J209" s="46" t="n"/>
      <c r="K209" s="47" t="n"/>
      <c r="L209" s="47" t="n"/>
      <c r="M209" s="47" t="n"/>
      <c r="N209" s="47" t="n"/>
      <c r="O209" s="47" t="n"/>
      <c r="P209" s="47" t="n"/>
      <c r="Q209" s="14">
        <f>IF(A209="","",COUNTIFS('Giao việc'!$O$5:$O$3004,A209,'Giao việc'!$J$5:$J$3004,"&lt;&gt;Bỏ qua"))</f>
        <v/>
      </c>
      <c r="R209" s="14">
        <f>IF(A209="","",COUNTIFS('Giao việc'!$O$5:$O$3004,A209,'Giao việc'!$J$5:$J$3004,"Xong"))</f>
        <v/>
      </c>
      <c r="S209" s="14">
        <f>IF(A209="","",COUNTIFS('Giao việc'!$O$5:$O$3004,A209,'Giao việc'!$M$5:$M$3004,"*QUÁ HẠN*"))</f>
        <v/>
      </c>
      <c r="T209" s="14">
        <f>IF(A209="","",COUNTIFS('Giao việc'!$O$5:$O$3004,A209,'Giao việc'!$M$5:$M$3004,"*CHƯA GIAO*"))</f>
        <v/>
      </c>
      <c r="U209" s="15">
        <f>IF(OR(A209="",N(Q209)=0),"",R209/Q209)</f>
        <v/>
      </c>
      <c r="V209" s="16">
        <f>IF(U209="","",REPT("█",ROUND(U209*10,0))&amp;REPT("░",10-ROUND(U209*10,0)))</f>
        <v/>
      </c>
      <c r="W209" s="14">
        <f>IF(C209="","Chưa có ngày",IF(C209&gt;TODAY(),"Còn "&amp;(C209-TODAY())&amp;" ngày",IF(IF(D209="",C209,D209)&gt;=TODAY(),"Đang diễn ra","Đã qua "&amp;(TODAY()-IF(D209="",C209,D209))&amp;" ngày")))</f>
        <v/>
      </c>
      <c r="X209" s="14">
        <f>IF(AND(A209&lt;&gt;"",P209="Có",ISNUMBER(C209)),IF(IF(D209="",C209,D209)&gt;=TODAY()-35,C209+ROW()/100000,""),"")</f>
        <v/>
      </c>
    </row>
    <row r="210">
      <c r="A210" s="46" t="n"/>
      <c r="B210" s="12" t="n"/>
      <c r="C210" s="13" t="n"/>
      <c r="D210" s="13" t="n"/>
      <c r="E210" s="14" t="n"/>
      <c r="F210" s="14" t="n"/>
      <c r="G210" s="14" t="n"/>
      <c r="H210" s="14" t="n"/>
      <c r="I210" s="46" t="n"/>
      <c r="J210" s="46" t="n"/>
      <c r="K210" s="47" t="n"/>
      <c r="L210" s="47" t="n"/>
      <c r="M210" s="47" t="n"/>
      <c r="N210" s="47" t="n"/>
      <c r="O210" s="47" t="n"/>
      <c r="P210" s="47" t="n"/>
      <c r="Q210" s="14">
        <f>IF(A210="","",COUNTIFS('Giao việc'!$O$5:$O$3004,A210,'Giao việc'!$J$5:$J$3004,"&lt;&gt;Bỏ qua"))</f>
        <v/>
      </c>
      <c r="R210" s="14">
        <f>IF(A210="","",COUNTIFS('Giao việc'!$O$5:$O$3004,A210,'Giao việc'!$J$5:$J$3004,"Xong"))</f>
        <v/>
      </c>
      <c r="S210" s="14">
        <f>IF(A210="","",COUNTIFS('Giao việc'!$O$5:$O$3004,A210,'Giao việc'!$M$5:$M$3004,"*QUÁ HẠN*"))</f>
        <v/>
      </c>
      <c r="T210" s="14">
        <f>IF(A210="","",COUNTIFS('Giao việc'!$O$5:$O$3004,A210,'Giao việc'!$M$5:$M$3004,"*CHƯA GIAO*"))</f>
        <v/>
      </c>
      <c r="U210" s="15">
        <f>IF(OR(A210="",N(Q210)=0),"",R210/Q210)</f>
        <v/>
      </c>
      <c r="V210" s="16">
        <f>IF(U210="","",REPT("█",ROUND(U210*10,0))&amp;REPT("░",10-ROUND(U210*10,0)))</f>
        <v/>
      </c>
      <c r="W210" s="14">
        <f>IF(C210="","Chưa có ngày",IF(C210&gt;TODAY(),"Còn "&amp;(C210-TODAY())&amp;" ngày",IF(IF(D210="",C210,D210)&gt;=TODAY(),"Đang diễn ra","Đã qua "&amp;(TODAY()-IF(D210="",C210,D210))&amp;" ngày")))</f>
        <v/>
      </c>
      <c r="X210" s="14">
        <f>IF(AND(A210&lt;&gt;"",P210="Có",ISNUMBER(C210)),IF(IF(D210="",C210,D210)&gt;=TODAY()-35,C210+ROW()/100000,""),"")</f>
        <v/>
      </c>
    </row>
    <row r="211">
      <c r="A211" s="46" t="n"/>
      <c r="B211" s="12" t="n"/>
      <c r="C211" s="13" t="n"/>
      <c r="D211" s="13" t="n"/>
      <c r="E211" s="14" t="n"/>
      <c r="F211" s="14" t="n"/>
      <c r="G211" s="14" t="n"/>
      <c r="H211" s="14" t="n"/>
      <c r="I211" s="46" t="n"/>
      <c r="J211" s="46" t="n"/>
      <c r="K211" s="47" t="n"/>
      <c r="L211" s="47" t="n"/>
      <c r="M211" s="47" t="n"/>
      <c r="N211" s="47" t="n"/>
      <c r="O211" s="47" t="n"/>
      <c r="P211" s="47" t="n"/>
      <c r="Q211" s="14">
        <f>IF(A211="","",COUNTIFS('Giao việc'!$O$5:$O$3004,A211,'Giao việc'!$J$5:$J$3004,"&lt;&gt;Bỏ qua"))</f>
        <v/>
      </c>
      <c r="R211" s="14">
        <f>IF(A211="","",COUNTIFS('Giao việc'!$O$5:$O$3004,A211,'Giao việc'!$J$5:$J$3004,"Xong"))</f>
        <v/>
      </c>
      <c r="S211" s="14">
        <f>IF(A211="","",COUNTIFS('Giao việc'!$O$5:$O$3004,A211,'Giao việc'!$M$5:$M$3004,"*QUÁ HẠN*"))</f>
        <v/>
      </c>
      <c r="T211" s="14">
        <f>IF(A211="","",COUNTIFS('Giao việc'!$O$5:$O$3004,A211,'Giao việc'!$M$5:$M$3004,"*CHƯA GIAO*"))</f>
        <v/>
      </c>
      <c r="U211" s="15">
        <f>IF(OR(A211="",N(Q211)=0),"",R211/Q211)</f>
        <v/>
      </c>
      <c r="V211" s="16">
        <f>IF(U211="","",REPT("█",ROUND(U211*10,0))&amp;REPT("░",10-ROUND(U211*10,0)))</f>
        <v/>
      </c>
      <c r="W211" s="14">
        <f>IF(C211="","Chưa có ngày",IF(C211&gt;TODAY(),"Còn "&amp;(C211-TODAY())&amp;" ngày",IF(IF(D211="",C211,D211)&gt;=TODAY(),"Đang diễn ra","Đã qua "&amp;(TODAY()-IF(D211="",C211,D211))&amp;" ngày")))</f>
        <v/>
      </c>
      <c r="X211" s="14">
        <f>IF(AND(A211&lt;&gt;"",P211="Có",ISNUMBER(C211)),IF(IF(D211="",C211,D211)&gt;=TODAY()-35,C211+ROW()/100000,""),"")</f>
        <v/>
      </c>
    </row>
    <row r="212">
      <c r="A212" s="46" t="n"/>
      <c r="B212" s="12" t="n"/>
      <c r="C212" s="13" t="n"/>
      <c r="D212" s="13" t="n"/>
      <c r="E212" s="14" t="n"/>
      <c r="F212" s="14" t="n"/>
      <c r="G212" s="14" t="n"/>
      <c r="H212" s="14" t="n"/>
      <c r="I212" s="46" t="n"/>
      <c r="J212" s="46" t="n"/>
      <c r="K212" s="47" t="n"/>
      <c r="L212" s="47" t="n"/>
      <c r="M212" s="47" t="n"/>
      <c r="N212" s="47" t="n"/>
      <c r="O212" s="47" t="n"/>
      <c r="P212" s="47" t="n"/>
      <c r="Q212" s="14">
        <f>IF(A212="","",COUNTIFS('Giao việc'!$O$5:$O$3004,A212,'Giao việc'!$J$5:$J$3004,"&lt;&gt;Bỏ qua"))</f>
        <v/>
      </c>
      <c r="R212" s="14">
        <f>IF(A212="","",COUNTIFS('Giao việc'!$O$5:$O$3004,A212,'Giao việc'!$J$5:$J$3004,"Xong"))</f>
        <v/>
      </c>
      <c r="S212" s="14">
        <f>IF(A212="","",COUNTIFS('Giao việc'!$O$5:$O$3004,A212,'Giao việc'!$M$5:$M$3004,"*QUÁ HẠN*"))</f>
        <v/>
      </c>
      <c r="T212" s="14">
        <f>IF(A212="","",COUNTIFS('Giao việc'!$O$5:$O$3004,A212,'Giao việc'!$M$5:$M$3004,"*CHƯA GIAO*"))</f>
        <v/>
      </c>
      <c r="U212" s="15">
        <f>IF(OR(A212="",N(Q212)=0),"",R212/Q212)</f>
        <v/>
      </c>
      <c r="V212" s="16">
        <f>IF(U212="","",REPT("█",ROUND(U212*10,0))&amp;REPT("░",10-ROUND(U212*10,0)))</f>
        <v/>
      </c>
      <c r="W212" s="14">
        <f>IF(C212="","Chưa có ngày",IF(C212&gt;TODAY(),"Còn "&amp;(C212-TODAY())&amp;" ngày",IF(IF(D212="",C212,D212)&gt;=TODAY(),"Đang diễn ra","Đã qua "&amp;(TODAY()-IF(D212="",C212,D212))&amp;" ngày")))</f>
        <v/>
      </c>
      <c r="X212" s="14">
        <f>IF(AND(A212&lt;&gt;"",P212="Có",ISNUMBER(C212)),IF(IF(D212="",C212,D212)&gt;=TODAY()-35,C212+ROW()/100000,""),"")</f>
        <v/>
      </c>
    </row>
    <row r="213">
      <c r="A213" s="46" t="n"/>
      <c r="B213" s="12" t="n"/>
      <c r="C213" s="13" t="n"/>
      <c r="D213" s="13" t="n"/>
      <c r="E213" s="14" t="n"/>
      <c r="F213" s="14" t="n"/>
      <c r="G213" s="14" t="n"/>
      <c r="H213" s="14" t="n"/>
      <c r="I213" s="46" t="n"/>
      <c r="J213" s="46" t="n"/>
      <c r="K213" s="47" t="n"/>
      <c r="L213" s="47" t="n"/>
      <c r="M213" s="47" t="n"/>
      <c r="N213" s="47" t="n"/>
      <c r="O213" s="47" t="n"/>
      <c r="P213" s="47" t="n"/>
      <c r="Q213" s="14">
        <f>IF(A213="","",COUNTIFS('Giao việc'!$O$5:$O$3004,A213,'Giao việc'!$J$5:$J$3004,"&lt;&gt;Bỏ qua"))</f>
        <v/>
      </c>
      <c r="R213" s="14">
        <f>IF(A213="","",COUNTIFS('Giao việc'!$O$5:$O$3004,A213,'Giao việc'!$J$5:$J$3004,"Xong"))</f>
        <v/>
      </c>
      <c r="S213" s="14">
        <f>IF(A213="","",COUNTIFS('Giao việc'!$O$5:$O$3004,A213,'Giao việc'!$M$5:$M$3004,"*QUÁ HẠN*"))</f>
        <v/>
      </c>
      <c r="T213" s="14">
        <f>IF(A213="","",COUNTIFS('Giao việc'!$O$5:$O$3004,A213,'Giao việc'!$M$5:$M$3004,"*CHƯA GIAO*"))</f>
        <v/>
      </c>
      <c r="U213" s="15">
        <f>IF(OR(A213="",N(Q213)=0),"",R213/Q213)</f>
        <v/>
      </c>
      <c r="V213" s="16">
        <f>IF(U213="","",REPT("█",ROUND(U213*10,0))&amp;REPT("░",10-ROUND(U213*10,0)))</f>
        <v/>
      </c>
      <c r="W213" s="14">
        <f>IF(C213="","Chưa có ngày",IF(C213&gt;TODAY(),"Còn "&amp;(C213-TODAY())&amp;" ngày",IF(IF(D213="",C213,D213)&gt;=TODAY(),"Đang diễn ra","Đã qua "&amp;(TODAY()-IF(D213="",C213,D213))&amp;" ngày")))</f>
        <v/>
      </c>
      <c r="X213" s="14">
        <f>IF(AND(A213&lt;&gt;"",P213="Có",ISNUMBER(C213)),IF(IF(D213="",C213,D213)&gt;=TODAY()-35,C213+ROW()/100000,""),"")</f>
        <v/>
      </c>
    </row>
    <row r="214">
      <c r="A214" s="46" t="n"/>
      <c r="B214" s="12" t="n"/>
      <c r="C214" s="13" t="n"/>
      <c r="D214" s="13" t="n"/>
      <c r="E214" s="14" t="n"/>
      <c r="F214" s="14" t="n"/>
      <c r="G214" s="14" t="n"/>
      <c r="H214" s="14" t="n"/>
      <c r="I214" s="46" t="n"/>
      <c r="J214" s="46" t="n"/>
      <c r="K214" s="47" t="n"/>
      <c r="L214" s="47" t="n"/>
      <c r="M214" s="47" t="n"/>
      <c r="N214" s="47" t="n"/>
      <c r="O214" s="47" t="n"/>
      <c r="P214" s="47" t="n"/>
      <c r="Q214" s="14">
        <f>IF(A214="","",COUNTIFS('Giao việc'!$O$5:$O$3004,A214,'Giao việc'!$J$5:$J$3004,"&lt;&gt;Bỏ qua"))</f>
        <v/>
      </c>
      <c r="R214" s="14">
        <f>IF(A214="","",COUNTIFS('Giao việc'!$O$5:$O$3004,A214,'Giao việc'!$J$5:$J$3004,"Xong"))</f>
        <v/>
      </c>
      <c r="S214" s="14">
        <f>IF(A214="","",COUNTIFS('Giao việc'!$O$5:$O$3004,A214,'Giao việc'!$M$5:$M$3004,"*QUÁ HẠN*"))</f>
        <v/>
      </c>
      <c r="T214" s="14">
        <f>IF(A214="","",COUNTIFS('Giao việc'!$O$5:$O$3004,A214,'Giao việc'!$M$5:$M$3004,"*CHƯA GIAO*"))</f>
        <v/>
      </c>
      <c r="U214" s="15">
        <f>IF(OR(A214="",N(Q214)=0),"",R214/Q214)</f>
        <v/>
      </c>
      <c r="V214" s="16">
        <f>IF(U214="","",REPT("█",ROUND(U214*10,0))&amp;REPT("░",10-ROUND(U214*10,0)))</f>
        <v/>
      </c>
      <c r="W214" s="14">
        <f>IF(C214="","Chưa có ngày",IF(C214&gt;TODAY(),"Còn "&amp;(C214-TODAY())&amp;" ngày",IF(IF(D214="",C214,D214)&gt;=TODAY(),"Đang diễn ra","Đã qua "&amp;(TODAY()-IF(D214="",C214,D214))&amp;" ngày")))</f>
        <v/>
      </c>
      <c r="X214" s="14">
        <f>IF(AND(A214&lt;&gt;"",P214="Có",ISNUMBER(C214)),IF(IF(D214="",C214,D214)&gt;=TODAY()-35,C214+ROW()/100000,""),"")</f>
        <v/>
      </c>
    </row>
    <row r="215">
      <c r="A215" s="46" t="n"/>
      <c r="B215" s="12" t="n"/>
      <c r="C215" s="13" t="n"/>
      <c r="D215" s="13" t="n"/>
      <c r="E215" s="14" t="n"/>
      <c r="F215" s="14" t="n"/>
      <c r="G215" s="14" t="n"/>
      <c r="H215" s="14" t="n"/>
      <c r="I215" s="46" t="n"/>
      <c r="J215" s="46" t="n"/>
      <c r="K215" s="47" t="n"/>
      <c r="L215" s="47" t="n"/>
      <c r="M215" s="47" t="n"/>
      <c r="N215" s="47" t="n"/>
      <c r="O215" s="47" t="n"/>
      <c r="P215" s="47" t="n"/>
      <c r="Q215" s="14">
        <f>IF(A215="","",COUNTIFS('Giao việc'!$O$5:$O$3004,A215,'Giao việc'!$J$5:$J$3004,"&lt;&gt;Bỏ qua"))</f>
        <v/>
      </c>
      <c r="R215" s="14">
        <f>IF(A215="","",COUNTIFS('Giao việc'!$O$5:$O$3004,A215,'Giao việc'!$J$5:$J$3004,"Xong"))</f>
        <v/>
      </c>
      <c r="S215" s="14">
        <f>IF(A215="","",COUNTIFS('Giao việc'!$O$5:$O$3004,A215,'Giao việc'!$M$5:$M$3004,"*QUÁ HẠN*"))</f>
        <v/>
      </c>
      <c r="T215" s="14">
        <f>IF(A215="","",COUNTIFS('Giao việc'!$O$5:$O$3004,A215,'Giao việc'!$M$5:$M$3004,"*CHƯA GIAO*"))</f>
        <v/>
      </c>
      <c r="U215" s="15">
        <f>IF(OR(A215="",N(Q215)=0),"",R215/Q215)</f>
        <v/>
      </c>
      <c r="V215" s="16">
        <f>IF(U215="","",REPT("█",ROUND(U215*10,0))&amp;REPT("░",10-ROUND(U215*10,0)))</f>
        <v/>
      </c>
      <c r="W215" s="14">
        <f>IF(C215="","Chưa có ngày",IF(C215&gt;TODAY(),"Còn "&amp;(C215-TODAY())&amp;" ngày",IF(IF(D215="",C215,D215)&gt;=TODAY(),"Đang diễn ra","Đã qua "&amp;(TODAY()-IF(D215="",C215,D215))&amp;" ngày")))</f>
        <v/>
      </c>
      <c r="X215" s="14">
        <f>IF(AND(A215&lt;&gt;"",P215="Có",ISNUMBER(C215)),IF(IF(D215="",C215,D215)&gt;=TODAY()-35,C215+ROW()/100000,""),"")</f>
        <v/>
      </c>
    </row>
    <row r="216">
      <c r="A216" s="46" t="n"/>
      <c r="B216" s="12" t="n"/>
      <c r="C216" s="13" t="n"/>
      <c r="D216" s="13" t="n"/>
      <c r="E216" s="14" t="n"/>
      <c r="F216" s="14" t="n"/>
      <c r="G216" s="14" t="n"/>
      <c r="H216" s="14" t="n"/>
      <c r="I216" s="46" t="n"/>
      <c r="J216" s="46" t="n"/>
      <c r="K216" s="47" t="n"/>
      <c r="L216" s="47" t="n"/>
      <c r="M216" s="47" t="n"/>
      <c r="N216" s="47" t="n"/>
      <c r="O216" s="47" t="n"/>
      <c r="P216" s="47" t="n"/>
      <c r="Q216" s="14">
        <f>IF(A216="","",COUNTIFS('Giao việc'!$O$5:$O$3004,A216,'Giao việc'!$J$5:$J$3004,"&lt;&gt;Bỏ qua"))</f>
        <v/>
      </c>
      <c r="R216" s="14">
        <f>IF(A216="","",COUNTIFS('Giao việc'!$O$5:$O$3004,A216,'Giao việc'!$J$5:$J$3004,"Xong"))</f>
        <v/>
      </c>
      <c r="S216" s="14">
        <f>IF(A216="","",COUNTIFS('Giao việc'!$O$5:$O$3004,A216,'Giao việc'!$M$5:$M$3004,"*QUÁ HẠN*"))</f>
        <v/>
      </c>
      <c r="T216" s="14">
        <f>IF(A216="","",COUNTIFS('Giao việc'!$O$5:$O$3004,A216,'Giao việc'!$M$5:$M$3004,"*CHƯA GIAO*"))</f>
        <v/>
      </c>
      <c r="U216" s="15">
        <f>IF(OR(A216="",N(Q216)=0),"",R216/Q216)</f>
        <v/>
      </c>
      <c r="V216" s="16">
        <f>IF(U216="","",REPT("█",ROUND(U216*10,0))&amp;REPT("░",10-ROUND(U216*10,0)))</f>
        <v/>
      </c>
      <c r="W216" s="14">
        <f>IF(C216="","Chưa có ngày",IF(C216&gt;TODAY(),"Còn "&amp;(C216-TODAY())&amp;" ngày",IF(IF(D216="",C216,D216)&gt;=TODAY(),"Đang diễn ra","Đã qua "&amp;(TODAY()-IF(D216="",C216,D216))&amp;" ngày")))</f>
        <v/>
      </c>
      <c r="X216" s="14">
        <f>IF(AND(A216&lt;&gt;"",P216="Có",ISNUMBER(C216)),IF(IF(D216="",C216,D216)&gt;=TODAY()-35,C216+ROW()/100000,""),"")</f>
        <v/>
      </c>
    </row>
    <row r="217">
      <c r="A217" s="46" t="n"/>
      <c r="B217" s="12" t="n"/>
      <c r="C217" s="13" t="n"/>
      <c r="D217" s="13" t="n"/>
      <c r="E217" s="14" t="n"/>
      <c r="F217" s="14" t="n"/>
      <c r="G217" s="14" t="n"/>
      <c r="H217" s="14" t="n"/>
      <c r="I217" s="46" t="n"/>
      <c r="J217" s="46" t="n"/>
      <c r="K217" s="47" t="n"/>
      <c r="L217" s="47" t="n"/>
      <c r="M217" s="47" t="n"/>
      <c r="N217" s="47" t="n"/>
      <c r="O217" s="47" t="n"/>
      <c r="P217" s="47" t="n"/>
      <c r="Q217" s="14">
        <f>IF(A217="","",COUNTIFS('Giao việc'!$O$5:$O$3004,A217,'Giao việc'!$J$5:$J$3004,"&lt;&gt;Bỏ qua"))</f>
        <v/>
      </c>
      <c r="R217" s="14">
        <f>IF(A217="","",COUNTIFS('Giao việc'!$O$5:$O$3004,A217,'Giao việc'!$J$5:$J$3004,"Xong"))</f>
        <v/>
      </c>
      <c r="S217" s="14">
        <f>IF(A217="","",COUNTIFS('Giao việc'!$O$5:$O$3004,A217,'Giao việc'!$M$5:$M$3004,"*QUÁ HẠN*"))</f>
        <v/>
      </c>
      <c r="T217" s="14">
        <f>IF(A217="","",COUNTIFS('Giao việc'!$O$5:$O$3004,A217,'Giao việc'!$M$5:$M$3004,"*CHƯA GIAO*"))</f>
        <v/>
      </c>
      <c r="U217" s="15">
        <f>IF(OR(A217="",N(Q217)=0),"",R217/Q217)</f>
        <v/>
      </c>
      <c r="V217" s="16">
        <f>IF(U217="","",REPT("█",ROUND(U217*10,0))&amp;REPT("░",10-ROUND(U217*10,0)))</f>
        <v/>
      </c>
      <c r="W217" s="14">
        <f>IF(C217="","Chưa có ngày",IF(C217&gt;TODAY(),"Còn "&amp;(C217-TODAY())&amp;" ngày",IF(IF(D217="",C217,D217)&gt;=TODAY(),"Đang diễn ra","Đã qua "&amp;(TODAY()-IF(D217="",C217,D217))&amp;" ngày")))</f>
        <v/>
      </c>
      <c r="X217" s="14">
        <f>IF(AND(A217&lt;&gt;"",P217="Có",ISNUMBER(C217)),IF(IF(D217="",C217,D217)&gt;=TODAY()-35,C217+ROW()/100000,""),"")</f>
        <v/>
      </c>
    </row>
    <row r="218">
      <c r="A218" s="46" t="n"/>
      <c r="B218" s="12" t="n"/>
      <c r="C218" s="13" t="n"/>
      <c r="D218" s="13" t="n"/>
      <c r="E218" s="14" t="n"/>
      <c r="F218" s="14" t="n"/>
      <c r="G218" s="14" t="n"/>
      <c r="H218" s="14" t="n"/>
      <c r="I218" s="46" t="n"/>
      <c r="J218" s="46" t="n"/>
      <c r="K218" s="47" t="n"/>
      <c r="L218" s="47" t="n"/>
      <c r="M218" s="47" t="n"/>
      <c r="N218" s="47" t="n"/>
      <c r="O218" s="47" t="n"/>
      <c r="P218" s="47" t="n"/>
      <c r="Q218" s="14">
        <f>IF(A218="","",COUNTIFS('Giao việc'!$O$5:$O$3004,A218,'Giao việc'!$J$5:$J$3004,"&lt;&gt;Bỏ qua"))</f>
        <v/>
      </c>
      <c r="R218" s="14">
        <f>IF(A218="","",COUNTIFS('Giao việc'!$O$5:$O$3004,A218,'Giao việc'!$J$5:$J$3004,"Xong"))</f>
        <v/>
      </c>
      <c r="S218" s="14">
        <f>IF(A218="","",COUNTIFS('Giao việc'!$O$5:$O$3004,A218,'Giao việc'!$M$5:$M$3004,"*QUÁ HẠN*"))</f>
        <v/>
      </c>
      <c r="T218" s="14">
        <f>IF(A218="","",COUNTIFS('Giao việc'!$O$5:$O$3004,A218,'Giao việc'!$M$5:$M$3004,"*CHƯA GIAO*"))</f>
        <v/>
      </c>
      <c r="U218" s="15">
        <f>IF(OR(A218="",N(Q218)=0),"",R218/Q218)</f>
        <v/>
      </c>
      <c r="V218" s="16">
        <f>IF(U218="","",REPT("█",ROUND(U218*10,0))&amp;REPT("░",10-ROUND(U218*10,0)))</f>
        <v/>
      </c>
      <c r="W218" s="14">
        <f>IF(C218="","Chưa có ngày",IF(C218&gt;TODAY(),"Còn "&amp;(C218-TODAY())&amp;" ngày",IF(IF(D218="",C218,D218)&gt;=TODAY(),"Đang diễn ra","Đã qua "&amp;(TODAY()-IF(D218="",C218,D218))&amp;" ngày")))</f>
        <v/>
      </c>
      <c r="X218" s="14">
        <f>IF(AND(A218&lt;&gt;"",P218="Có",ISNUMBER(C218)),IF(IF(D218="",C218,D218)&gt;=TODAY()-35,C218+ROW()/100000,""),"")</f>
        <v/>
      </c>
    </row>
    <row r="219">
      <c r="A219" s="46" t="n"/>
      <c r="B219" s="12" t="n"/>
      <c r="C219" s="13" t="n"/>
      <c r="D219" s="13" t="n"/>
      <c r="E219" s="14" t="n"/>
      <c r="F219" s="14" t="n"/>
      <c r="G219" s="14" t="n"/>
      <c r="H219" s="14" t="n"/>
      <c r="I219" s="46" t="n"/>
      <c r="J219" s="46" t="n"/>
      <c r="K219" s="47" t="n"/>
      <c r="L219" s="47" t="n"/>
      <c r="M219" s="47" t="n"/>
      <c r="N219" s="47" t="n"/>
      <c r="O219" s="47" t="n"/>
      <c r="P219" s="47" t="n"/>
      <c r="Q219" s="14">
        <f>IF(A219="","",COUNTIFS('Giao việc'!$O$5:$O$3004,A219,'Giao việc'!$J$5:$J$3004,"&lt;&gt;Bỏ qua"))</f>
        <v/>
      </c>
      <c r="R219" s="14">
        <f>IF(A219="","",COUNTIFS('Giao việc'!$O$5:$O$3004,A219,'Giao việc'!$J$5:$J$3004,"Xong"))</f>
        <v/>
      </c>
      <c r="S219" s="14">
        <f>IF(A219="","",COUNTIFS('Giao việc'!$O$5:$O$3004,A219,'Giao việc'!$M$5:$M$3004,"*QUÁ HẠN*"))</f>
        <v/>
      </c>
      <c r="T219" s="14">
        <f>IF(A219="","",COUNTIFS('Giao việc'!$O$5:$O$3004,A219,'Giao việc'!$M$5:$M$3004,"*CHƯA GIAO*"))</f>
        <v/>
      </c>
      <c r="U219" s="15">
        <f>IF(OR(A219="",N(Q219)=0),"",R219/Q219)</f>
        <v/>
      </c>
      <c r="V219" s="16">
        <f>IF(U219="","",REPT("█",ROUND(U219*10,0))&amp;REPT("░",10-ROUND(U219*10,0)))</f>
        <v/>
      </c>
      <c r="W219" s="14">
        <f>IF(C219="","Chưa có ngày",IF(C219&gt;TODAY(),"Còn "&amp;(C219-TODAY())&amp;" ngày",IF(IF(D219="",C219,D219)&gt;=TODAY(),"Đang diễn ra","Đã qua "&amp;(TODAY()-IF(D219="",C219,D219))&amp;" ngày")))</f>
        <v/>
      </c>
      <c r="X219" s="14">
        <f>IF(AND(A219&lt;&gt;"",P219="Có",ISNUMBER(C219)),IF(IF(D219="",C219,D219)&gt;=TODAY()-35,C219+ROW()/100000,""),"")</f>
        <v/>
      </c>
    </row>
    <row r="220">
      <c r="A220" s="46" t="n"/>
      <c r="B220" s="12" t="n"/>
      <c r="C220" s="13" t="n"/>
      <c r="D220" s="13" t="n"/>
      <c r="E220" s="14" t="n"/>
      <c r="F220" s="14" t="n"/>
      <c r="G220" s="14" t="n"/>
      <c r="H220" s="14" t="n"/>
      <c r="I220" s="46" t="n"/>
      <c r="J220" s="46" t="n"/>
      <c r="K220" s="47" t="n"/>
      <c r="L220" s="47" t="n"/>
      <c r="M220" s="47" t="n"/>
      <c r="N220" s="47" t="n"/>
      <c r="O220" s="47" t="n"/>
      <c r="P220" s="47" t="n"/>
      <c r="Q220" s="14">
        <f>IF(A220="","",COUNTIFS('Giao việc'!$O$5:$O$3004,A220,'Giao việc'!$J$5:$J$3004,"&lt;&gt;Bỏ qua"))</f>
        <v/>
      </c>
      <c r="R220" s="14">
        <f>IF(A220="","",COUNTIFS('Giao việc'!$O$5:$O$3004,A220,'Giao việc'!$J$5:$J$3004,"Xong"))</f>
        <v/>
      </c>
      <c r="S220" s="14">
        <f>IF(A220="","",COUNTIFS('Giao việc'!$O$5:$O$3004,A220,'Giao việc'!$M$5:$M$3004,"*QUÁ HẠN*"))</f>
        <v/>
      </c>
      <c r="T220" s="14">
        <f>IF(A220="","",COUNTIFS('Giao việc'!$O$5:$O$3004,A220,'Giao việc'!$M$5:$M$3004,"*CHƯA GIAO*"))</f>
        <v/>
      </c>
      <c r="U220" s="15">
        <f>IF(OR(A220="",N(Q220)=0),"",R220/Q220)</f>
        <v/>
      </c>
      <c r="V220" s="16">
        <f>IF(U220="","",REPT("█",ROUND(U220*10,0))&amp;REPT("░",10-ROUND(U220*10,0)))</f>
        <v/>
      </c>
      <c r="W220" s="14">
        <f>IF(C220="","Chưa có ngày",IF(C220&gt;TODAY(),"Còn "&amp;(C220-TODAY())&amp;" ngày",IF(IF(D220="",C220,D220)&gt;=TODAY(),"Đang diễn ra","Đã qua "&amp;(TODAY()-IF(D220="",C220,D220))&amp;" ngày")))</f>
        <v/>
      </c>
      <c r="X220" s="14">
        <f>IF(AND(A220&lt;&gt;"",P220="Có",ISNUMBER(C220)),IF(IF(D220="",C220,D220)&gt;=TODAY()-35,C220+ROW()/100000,""),"")</f>
        <v/>
      </c>
    </row>
    <row r="221">
      <c r="A221" s="46" t="n"/>
      <c r="B221" s="12" t="n"/>
      <c r="C221" s="13" t="n"/>
      <c r="D221" s="13" t="n"/>
      <c r="E221" s="14" t="n"/>
      <c r="F221" s="14" t="n"/>
      <c r="G221" s="14" t="n"/>
      <c r="H221" s="14" t="n"/>
      <c r="I221" s="46" t="n"/>
      <c r="J221" s="46" t="n"/>
      <c r="K221" s="47" t="n"/>
      <c r="L221" s="47" t="n"/>
      <c r="M221" s="47" t="n"/>
      <c r="N221" s="47" t="n"/>
      <c r="O221" s="47" t="n"/>
      <c r="P221" s="47" t="n"/>
      <c r="Q221" s="14">
        <f>IF(A221="","",COUNTIFS('Giao việc'!$O$5:$O$3004,A221,'Giao việc'!$J$5:$J$3004,"&lt;&gt;Bỏ qua"))</f>
        <v/>
      </c>
      <c r="R221" s="14">
        <f>IF(A221="","",COUNTIFS('Giao việc'!$O$5:$O$3004,A221,'Giao việc'!$J$5:$J$3004,"Xong"))</f>
        <v/>
      </c>
      <c r="S221" s="14">
        <f>IF(A221="","",COUNTIFS('Giao việc'!$O$5:$O$3004,A221,'Giao việc'!$M$5:$M$3004,"*QUÁ HẠN*"))</f>
        <v/>
      </c>
      <c r="T221" s="14">
        <f>IF(A221="","",COUNTIFS('Giao việc'!$O$5:$O$3004,A221,'Giao việc'!$M$5:$M$3004,"*CHƯA GIAO*"))</f>
        <v/>
      </c>
      <c r="U221" s="15">
        <f>IF(OR(A221="",N(Q221)=0),"",R221/Q221)</f>
        <v/>
      </c>
      <c r="V221" s="16">
        <f>IF(U221="","",REPT("█",ROUND(U221*10,0))&amp;REPT("░",10-ROUND(U221*10,0)))</f>
        <v/>
      </c>
      <c r="W221" s="14">
        <f>IF(C221="","Chưa có ngày",IF(C221&gt;TODAY(),"Còn "&amp;(C221-TODAY())&amp;" ngày",IF(IF(D221="",C221,D221)&gt;=TODAY(),"Đang diễn ra","Đã qua "&amp;(TODAY()-IF(D221="",C221,D221))&amp;" ngày")))</f>
        <v/>
      </c>
      <c r="X221" s="14">
        <f>IF(AND(A221&lt;&gt;"",P221="Có",ISNUMBER(C221)),IF(IF(D221="",C221,D221)&gt;=TODAY()-35,C221+ROW()/100000,""),"")</f>
        <v/>
      </c>
    </row>
    <row r="222">
      <c r="A222" s="46" t="n"/>
      <c r="B222" s="12" t="n"/>
      <c r="C222" s="13" t="n"/>
      <c r="D222" s="13" t="n"/>
      <c r="E222" s="14" t="n"/>
      <c r="F222" s="14" t="n"/>
      <c r="G222" s="14" t="n"/>
      <c r="H222" s="14" t="n"/>
      <c r="I222" s="46" t="n"/>
      <c r="J222" s="46" t="n"/>
      <c r="K222" s="47" t="n"/>
      <c r="L222" s="47" t="n"/>
      <c r="M222" s="47" t="n"/>
      <c r="N222" s="47" t="n"/>
      <c r="O222" s="47" t="n"/>
      <c r="P222" s="47" t="n"/>
      <c r="Q222" s="14">
        <f>IF(A222="","",COUNTIFS('Giao việc'!$O$5:$O$3004,A222,'Giao việc'!$J$5:$J$3004,"&lt;&gt;Bỏ qua"))</f>
        <v/>
      </c>
      <c r="R222" s="14">
        <f>IF(A222="","",COUNTIFS('Giao việc'!$O$5:$O$3004,A222,'Giao việc'!$J$5:$J$3004,"Xong"))</f>
        <v/>
      </c>
      <c r="S222" s="14">
        <f>IF(A222="","",COUNTIFS('Giao việc'!$O$5:$O$3004,A222,'Giao việc'!$M$5:$M$3004,"*QUÁ HẠN*"))</f>
        <v/>
      </c>
      <c r="T222" s="14">
        <f>IF(A222="","",COUNTIFS('Giao việc'!$O$5:$O$3004,A222,'Giao việc'!$M$5:$M$3004,"*CHƯA GIAO*"))</f>
        <v/>
      </c>
      <c r="U222" s="15">
        <f>IF(OR(A222="",N(Q222)=0),"",R222/Q222)</f>
        <v/>
      </c>
      <c r="V222" s="16">
        <f>IF(U222="","",REPT("█",ROUND(U222*10,0))&amp;REPT("░",10-ROUND(U222*10,0)))</f>
        <v/>
      </c>
      <c r="W222" s="14">
        <f>IF(C222="","Chưa có ngày",IF(C222&gt;TODAY(),"Còn "&amp;(C222-TODAY())&amp;" ngày",IF(IF(D222="",C222,D222)&gt;=TODAY(),"Đang diễn ra","Đã qua "&amp;(TODAY()-IF(D222="",C222,D222))&amp;" ngày")))</f>
        <v/>
      </c>
      <c r="X222" s="14">
        <f>IF(AND(A222&lt;&gt;"",P222="Có",ISNUMBER(C222)),IF(IF(D222="",C222,D222)&gt;=TODAY()-35,C222+ROW()/100000,""),"")</f>
        <v/>
      </c>
    </row>
    <row r="223">
      <c r="A223" s="46" t="n"/>
      <c r="B223" s="12" t="n"/>
      <c r="C223" s="13" t="n"/>
      <c r="D223" s="13" t="n"/>
      <c r="E223" s="14" t="n"/>
      <c r="F223" s="14" t="n"/>
      <c r="G223" s="14" t="n"/>
      <c r="H223" s="14" t="n"/>
      <c r="I223" s="46" t="n"/>
      <c r="J223" s="46" t="n"/>
      <c r="K223" s="47" t="n"/>
      <c r="L223" s="47" t="n"/>
      <c r="M223" s="47" t="n"/>
      <c r="N223" s="47" t="n"/>
      <c r="O223" s="47" t="n"/>
      <c r="P223" s="47" t="n"/>
      <c r="Q223" s="14">
        <f>IF(A223="","",COUNTIFS('Giao việc'!$O$5:$O$3004,A223,'Giao việc'!$J$5:$J$3004,"&lt;&gt;Bỏ qua"))</f>
        <v/>
      </c>
      <c r="R223" s="14">
        <f>IF(A223="","",COUNTIFS('Giao việc'!$O$5:$O$3004,A223,'Giao việc'!$J$5:$J$3004,"Xong"))</f>
        <v/>
      </c>
      <c r="S223" s="14">
        <f>IF(A223="","",COUNTIFS('Giao việc'!$O$5:$O$3004,A223,'Giao việc'!$M$5:$M$3004,"*QUÁ HẠN*"))</f>
        <v/>
      </c>
      <c r="T223" s="14">
        <f>IF(A223="","",COUNTIFS('Giao việc'!$O$5:$O$3004,A223,'Giao việc'!$M$5:$M$3004,"*CHƯA GIAO*"))</f>
        <v/>
      </c>
      <c r="U223" s="15">
        <f>IF(OR(A223="",N(Q223)=0),"",R223/Q223)</f>
        <v/>
      </c>
      <c r="V223" s="16">
        <f>IF(U223="","",REPT("█",ROUND(U223*10,0))&amp;REPT("░",10-ROUND(U223*10,0)))</f>
        <v/>
      </c>
      <c r="W223" s="14">
        <f>IF(C223="","Chưa có ngày",IF(C223&gt;TODAY(),"Còn "&amp;(C223-TODAY())&amp;" ngày",IF(IF(D223="",C223,D223)&gt;=TODAY(),"Đang diễn ra","Đã qua "&amp;(TODAY()-IF(D223="",C223,D223))&amp;" ngày")))</f>
        <v/>
      </c>
      <c r="X223" s="14">
        <f>IF(AND(A223&lt;&gt;"",P223="Có",ISNUMBER(C223)),IF(IF(D223="",C223,D223)&gt;=TODAY()-35,C223+ROW()/100000,""),"")</f>
        <v/>
      </c>
    </row>
    <row r="224">
      <c r="A224" s="46" t="n"/>
      <c r="B224" s="12" t="n"/>
      <c r="C224" s="13" t="n"/>
      <c r="D224" s="13" t="n"/>
      <c r="E224" s="14" t="n"/>
      <c r="F224" s="14" t="n"/>
      <c r="G224" s="14" t="n"/>
      <c r="H224" s="14" t="n"/>
      <c r="I224" s="46" t="n"/>
      <c r="J224" s="46" t="n"/>
      <c r="K224" s="47" t="n"/>
      <c r="L224" s="47" t="n"/>
      <c r="M224" s="47" t="n"/>
      <c r="N224" s="47" t="n"/>
      <c r="O224" s="47" t="n"/>
      <c r="P224" s="47" t="n"/>
      <c r="Q224" s="14">
        <f>IF(A224="","",COUNTIFS('Giao việc'!$O$5:$O$3004,A224,'Giao việc'!$J$5:$J$3004,"&lt;&gt;Bỏ qua"))</f>
        <v/>
      </c>
      <c r="R224" s="14">
        <f>IF(A224="","",COUNTIFS('Giao việc'!$O$5:$O$3004,A224,'Giao việc'!$J$5:$J$3004,"Xong"))</f>
        <v/>
      </c>
      <c r="S224" s="14">
        <f>IF(A224="","",COUNTIFS('Giao việc'!$O$5:$O$3004,A224,'Giao việc'!$M$5:$M$3004,"*QUÁ HẠN*"))</f>
        <v/>
      </c>
      <c r="T224" s="14">
        <f>IF(A224="","",COUNTIFS('Giao việc'!$O$5:$O$3004,A224,'Giao việc'!$M$5:$M$3004,"*CHƯA GIAO*"))</f>
        <v/>
      </c>
      <c r="U224" s="15">
        <f>IF(OR(A224="",N(Q224)=0),"",R224/Q224)</f>
        <v/>
      </c>
      <c r="V224" s="16">
        <f>IF(U224="","",REPT("█",ROUND(U224*10,0))&amp;REPT("░",10-ROUND(U224*10,0)))</f>
        <v/>
      </c>
      <c r="W224" s="14">
        <f>IF(C224="","Chưa có ngày",IF(C224&gt;TODAY(),"Còn "&amp;(C224-TODAY())&amp;" ngày",IF(IF(D224="",C224,D224)&gt;=TODAY(),"Đang diễn ra","Đã qua "&amp;(TODAY()-IF(D224="",C224,D224))&amp;" ngày")))</f>
        <v/>
      </c>
      <c r="X224" s="14">
        <f>IF(AND(A224&lt;&gt;"",P224="Có",ISNUMBER(C224)),IF(IF(D224="",C224,D224)&gt;=TODAY()-35,C224+ROW()/100000,""),"")</f>
        <v/>
      </c>
    </row>
    <row r="225">
      <c r="A225" s="46" t="n"/>
      <c r="B225" s="12" t="n"/>
      <c r="C225" s="13" t="n"/>
      <c r="D225" s="13" t="n"/>
      <c r="E225" s="14" t="n"/>
      <c r="F225" s="14" t="n"/>
      <c r="G225" s="14" t="n"/>
      <c r="H225" s="14" t="n"/>
      <c r="I225" s="46" t="n"/>
      <c r="J225" s="46" t="n"/>
      <c r="K225" s="47" t="n"/>
      <c r="L225" s="47" t="n"/>
      <c r="M225" s="47" t="n"/>
      <c r="N225" s="47" t="n"/>
      <c r="O225" s="47" t="n"/>
      <c r="P225" s="47" t="n"/>
      <c r="Q225" s="14">
        <f>IF(A225="","",COUNTIFS('Giao việc'!$O$5:$O$3004,A225,'Giao việc'!$J$5:$J$3004,"&lt;&gt;Bỏ qua"))</f>
        <v/>
      </c>
      <c r="R225" s="14">
        <f>IF(A225="","",COUNTIFS('Giao việc'!$O$5:$O$3004,A225,'Giao việc'!$J$5:$J$3004,"Xong"))</f>
        <v/>
      </c>
      <c r="S225" s="14">
        <f>IF(A225="","",COUNTIFS('Giao việc'!$O$5:$O$3004,A225,'Giao việc'!$M$5:$M$3004,"*QUÁ HẠN*"))</f>
        <v/>
      </c>
      <c r="T225" s="14">
        <f>IF(A225="","",COUNTIFS('Giao việc'!$O$5:$O$3004,A225,'Giao việc'!$M$5:$M$3004,"*CHƯA GIAO*"))</f>
        <v/>
      </c>
      <c r="U225" s="15">
        <f>IF(OR(A225="",N(Q225)=0),"",R225/Q225)</f>
        <v/>
      </c>
      <c r="V225" s="16">
        <f>IF(U225="","",REPT("█",ROUND(U225*10,0))&amp;REPT("░",10-ROUND(U225*10,0)))</f>
        <v/>
      </c>
      <c r="W225" s="14">
        <f>IF(C225="","Chưa có ngày",IF(C225&gt;TODAY(),"Còn "&amp;(C225-TODAY())&amp;" ngày",IF(IF(D225="",C225,D225)&gt;=TODAY(),"Đang diễn ra","Đã qua "&amp;(TODAY()-IF(D225="",C225,D225))&amp;" ngày")))</f>
        <v/>
      </c>
      <c r="X225" s="14">
        <f>IF(AND(A225&lt;&gt;"",P225="Có",ISNUMBER(C225)),IF(IF(D225="",C225,D225)&gt;=TODAY()-35,C225+ROW()/100000,""),"")</f>
        <v/>
      </c>
    </row>
    <row r="226">
      <c r="A226" s="46" t="n"/>
      <c r="B226" s="12" t="n"/>
      <c r="C226" s="13" t="n"/>
      <c r="D226" s="13" t="n"/>
      <c r="E226" s="14" t="n"/>
      <c r="F226" s="14" t="n"/>
      <c r="G226" s="14" t="n"/>
      <c r="H226" s="14" t="n"/>
      <c r="I226" s="46" t="n"/>
      <c r="J226" s="46" t="n"/>
      <c r="K226" s="47" t="n"/>
      <c r="L226" s="47" t="n"/>
      <c r="M226" s="47" t="n"/>
      <c r="N226" s="47" t="n"/>
      <c r="O226" s="47" t="n"/>
      <c r="P226" s="47" t="n"/>
      <c r="Q226" s="14">
        <f>IF(A226="","",COUNTIFS('Giao việc'!$O$5:$O$3004,A226,'Giao việc'!$J$5:$J$3004,"&lt;&gt;Bỏ qua"))</f>
        <v/>
      </c>
      <c r="R226" s="14">
        <f>IF(A226="","",COUNTIFS('Giao việc'!$O$5:$O$3004,A226,'Giao việc'!$J$5:$J$3004,"Xong"))</f>
        <v/>
      </c>
      <c r="S226" s="14">
        <f>IF(A226="","",COUNTIFS('Giao việc'!$O$5:$O$3004,A226,'Giao việc'!$M$5:$M$3004,"*QUÁ HẠN*"))</f>
        <v/>
      </c>
      <c r="T226" s="14">
        <f>IF(A226="","",COUNTIFS('Giao việc'!$O$5:$O$3004,A226,'Giao việc'!$M$5:$M$3004,"*CHƯA GIAO*"))</f>
        <v/>
      </c>
      <c r="U226" s="15">
        <f>IF(OR(A226="",N(Q226)=0),"",R226/Q226)</f>
        <v/>
      </c>
      <c r="V226" s="16">
        <f>IF(U226="","",REPT("█",ROUND(U226*10,0))&amp;REPT("░",10-ROUND(U226*10,0)))</f>
        <v/>
      </c>
      <c r="W226" s="14">
        <f>IF(C226="","Chưa có ngày",IF(C226&gt;TODAY(),"Còn "&amp;(C226-TODAY())&amp;" ngày",IF(IF(D226="",C226,D226)&gt;=TODAY(),"Đang diễn ra","Đã qua "&amp;(TODAY()-IF(D226="",C226,D226))&amp;" ngày")))</f>
        <v/>
      </c>
      <c r="X226" s="14">
        <f>IF(AND(A226&lt;&gt;"",P226="Có",ISNUMBER(C226)),IF(IF(D226="",C226,D226)&gt;=TODAY()-35,C226+ROW()/100000,""),"")</f>
        <v/>
      </c>
    </row>
    <row r="227">
      <c r="A227" s="46" t="n"/>
      <c r="B227" s="12" t="n"/>
      <c r="C227" s="13" t="n"/>
      <c r="D227" s="13" t="n"/>
      <c r="E227" s="14" t="n"/>
      <c r="F227" s="14" t="n"/>
      <c r="G227" s="14" t="n"/>
      <c r="H227" s="14" t="n"/>
      <c r="I227" s="46" t="n"/>
      <c r="J227" s="46" t="n"/>
      <c r="K227" s="47" t="n"/>
      <c r="L227" s="47" t="n"/>
      <c r="M227" s="47" t="n"/>
      <c r="N227" s="47" t="n"/>
      <c r="O227" s="47" t="n"/>
      <c r="P227" s="47" t="n"/>
      <c r="Q227" s="14">
        <f>IF(A227="","",COUNTIFS('Giao việc'!$O$5:$O$3004,A227,'Giao việc'!$J$5:$J$3004,"&lt;&gt;Bỏ qua"))</f>
        <v/>
      </c>
      <c r="R227" s="14">
        <f>IF(A227="","",COUNTIFS('Giao việc'!$O$5:$O$3004,A227,'Giao việc'!$J$5:$J$3004,"Xong"))</f>
        <v/>
      </c>
      <c r="S227" s="14">
        <f>IF(A227="","",COUNTIFS('Giao việc'!$O$5:$O$3004,A227,'Giao việc'!$M$5:$M$3004,"*QUÁ HẠN*"))</f>
        <v/>
      </c>
      <c r="T227" s="14">
        <f>IF(A227="","",COUNTIFS('Giao việc'!$O$5:$O$3004,A227,'Giao việc'!$M$5:$M$3004,"*CHƯA GIAO*"))</f>
        <v/>
      </c>
      <c r="U227" s="15">
        <f>IF(OR(A227="",N(Q227)=0),"",R227/Q227)</f>
        <v/>
      </c>
      <c r="V227" s="16">
        <f>IF(U227="","",REPT("█",ROUND(U227*10,0))&amp;REPT("░",10-ROUND(U227*10,0)))</f>
        <v/>
      </c>
      <c r="W227" s="14">
        <f>IF(C227="","Chưa có ngày",IF(C227&gt;TODAY(),"Còn "&amp;(C227-TODAY())&amp;" ngày",IF(IF(D227="",C227,D227)&gt;=TODAY(),"Đang diễn ra","Đã qua "&amp;(TODAY()-IF(D227="",C227,D227))&amp;" ngày")))</f>
        <v/>
      </c>
      <c r="X227" s="14">
        <f>IF(AND(A227&lt;&gt;"",P227="Có",ISNUMBER(C227)),IF(IF(D227="",C227,D227)&gt;=TODAY()-35,C227+ROW()/100000,""),"")</f>
        <v/>
      </c>
    </row>
    <row r="228">
      <c r="A228" s="46" t="n"/>
      <c r="B228" s="12" t="n"/>
      <c r="C228" s="13" t="n"/>
      <c r="D228" s="13" t="n"/>
      <c r="E228" s="14" t="n"/>
      <c r="F228" s="14" t="n"/>
      <c r="G228" s="14" t="n"/>
      <c r="H228" s="14" t="n"/>
      <c r="I228" s="46" t="n"/>
      <c r="J228" s="46" t="n"/>
      <c r="K228" s="47" t="n"/>
      <c r="L228" s="47" t="n"/>
      <c r="M228" s="47" t="n"/>
      <c r="N228" s="47" t="n"/>
      <c r="O228" s="47" t="n"/>
      <c r="P228" s="47" t="n"/>
      <c r="Q228" s="14">
        <f>IF(A228="","",COUNTIFS('Giao việc'!$O$5:$O$3004,A228,'Giao việc'!$J$5:$J$3004,"&lt;&gt;Bỏ qua"))</f>
        <v/>
      </c>
      <c r="R228" s="14">
        <f>IF(A228="","",COUNTIFS('Giao việc'!$O$5:$O$3004,A228,'Giao việc'!$J$5:$J$3004,"Xong"))</f>
        <v/>
      </c>
      <c r="S228" s="14">
        <f>IF(A228="","",COUNTIFS('Giao việc'!$O$5:$O$3004,A228,'Giao việc'!$M$5:$M$3004,"*QUÁ HẠN*"))</f>
        <v/>
      </c>
      <c r="T228" s="14">
        <f>IF(A228="","",COUNTIFS('Giao việc'!$O$5:$O$3004,A228,'Giao việc'!$M$5:$M$3004,"*CHƯA GIAO*"))</f>
        <v/>
      </c>
      <c r="U228" s="15">
        <f>IF(OR(A228="",N(Q228)=0),"",R228/Q228)</f>
        <v/>
      </c>
      <c r="V228" s="16">
        <f>IF(U228="","",REPT("█",ROUND(U228*10,0))&amp;REPT("░",10-ROUND(U228*10,0)))</f>
        <v/>
      </c>
      <c r="W228" s="14">
        <f>IF(C228="","Chưa có ngày",IF(C228&gt;TODAY(),"Còn "&amp;(C228-TODAY())&amp;" ngày",IF(IF(D228="",C228,D228)&gt;=TODAY(),"Đang diễn ra","Đã qua "&amp;(TODAY()-IF(D228="",C228,D228))&amp;" ngày")))</f>
        <v/>
      </c>
      <c r="X228" s="14">
        <f>IF(AND(A228&lt;&gt;"",P228="Có",ISNUMBER(C228)),IF(IF(D228="",C228,D228)&gt;=TODAY()-35,C228+ROW()/100000,""),"")</f>
        <v/>
      </c>
    </row>
    <row r="229">
      <c r="A229" s="46" t="n"/>
      <c r="B229" s="12" t="n"/>
      <c r="C229" s="13" t="n"/>
      <c r="D229" s="13" t="n"/>
      <c r="E229" s="14" t="n"/>
      <c r="F229" s="14" t="n"/>
      <c r="G229" s="14" t="n"/>
      <c r="H229" s="14" t="n"/>
      <c r="I229" s="46" t="n"/>
      <c r="J229" s="46" t="n"/>
      <c r="K229" s="47" t="n"/>
      <c r="L229" s="47" t="n"/>
      <c r="M229" s="47" t="n"/>
      <c r="N229" s="47" t="n"/>
      <c r="O229" s="47" t="n"/>
      <c r="P229" s="47" t="n"/>
      <c r="Q229" s="14">
        <f>IF(A229="","",COUNTIFS('Giao việc'!$O$5:$O$3004,A229,'Giao việc'!$J$5:$J$3004,"&lt;&gt;Bỏ qua"))</f>
        <v/>
      </c>
      <c r="R229" s="14">
        <f>IF(A229="","",COUNTIFS('Giao việc'!$O$5:$O$3004,A229,'Giao việc'!$J$5:$J$3004,"Xong"))</f>
        <v/>
      </c>
      <c r="S229" s="14">
        <f>IF(A229="","",COUNTIFS('Giao việc'!$O$5:$O$3004,A229,'Giao việc'!$M$5:$M$3004,"*QUÁ HẠN*"))</f>
        <v/>
      </c>
      <c r="T229" s="14">
        <f>IF(A229="","",COUNTIFS('Giao việc'!$O$5:$O$3004,A229,'Giao việc'!$M$5:$M$3004,"*CHƯA GIAO*"))</f>
        <v/>
      </c>
      <c r="U229" s="15">
        <f>IF(OR(A229="",N(Q229)=0),"",R229/Q229)</f>
        <v/>
      </c>
      <c r="V229" s="16">
        <f>IF(U229="","",REPT("█",ROUND(U229*10,0))&amp;REPT("░",10-ROUND(U229*10,0)))</f>
        <v/>
      </c>
      <c r="W229" s="14">
        <f>IF(C229="","Chưa có ngày",IF(C229&gt;TODAY(),"Còn "&amp;(C229-TODAY())&amp;" ngày",IF(IF(D229="",C229,D229)&gt;=TODAY(),"Đang diễn ra","Đã qua "&amp;(TODAY()-IF(D229="",C229,D229))&amp;" ngày")))</f>
        <v/>
      </c>
      <c r="X229" s="14">
        <f>IF(AND(A229&lt;&gt;"",P229="Có",ISNUMBER(C229)),IF(IF(D229="",C229,D229)&gt;=TODAY()-35,C229+ROW()/100000,""),"")</f>
        <v/>
      </c>
    </row>
    <row r="230">
      <c r="A230" s="46" t="n"/>
      <c r="B230" s="12" t="n"/>
      <c r="C230" s="13" t="n"/>
      <c r="D230" s="13" t="n"/>
      <c r="E230" s="14" t="n"/>
      <c r="F230" s="14" t="n"/>
      <c r="G230" s="14" t="n"/>
      <c r="H230" s="14" t="n"/>
      <c r="I230" s="46" t="n"/>
      <c r="J230" s="46" t="n"/>
      <c r="K230" s="47" t="n"/>
      <c r="L230" s="47" t="n"/>
      <c r="M230" s="47" t="n"/>
      <c r="N230" s="47" t="n"/>
      <c r="O230" s="47" t="n"/>
      <c r="P230" s="47" t="n"/>
      <c r="Q230" s="14">
        <f>IF(A230="","",COUNTIFS('Giao việc'!$O$5:$O$3004,A230,'Giao việc'!$J$5:$J$3004,"&lt;&gt;Bỏ qua"))</f>
        <v/>
      </c>
      <c r="R230" s="14">
        <f>IF(A230="","",COUNTIFS('Giao việc'!$O$5:$O$3004,A230,'Giao việc'!$J$5:$J$3004,"Xong"))</f>
        <v/>
      </c>
      <c r="S230" s="14">
        <f>IF(A230="","",COUNTIFS('Giao việc'!$O$5:$O$3004,A230,'Giao việc'!$M$5:$M$3004,"*QUÁ HẠN*"))</f>
        <v/>
      </c>
      <c r="T230" s="14">
        <f>IF(A230="","",COUNTIFS('Giao việc'!$O$5:$O$3004,A230,'Giao việc'!$M$5:$M$3004,"*CHƯA GIAO*"))</f>
        <v/>
      </c>
      <c r="U230" s="15">
        <f>IF(OR(A230="",N(Q230)=0),"",R230/Q230)</f>
        <v/>
      </c>
      <c r="V230" s="16">
        <f>IF(U230="","",REPT("█",ROUND(U230*10,0))&amp;REPT("░",10-ROUND(U230*10,0)))</f>
        <v/>
      </c>
      <c r="W230" s="14">
        <f>IF(C230="","Chưa có ngày",IF(C230&gt;TODAY(),"Còn "&amp;(C230-TODAY())&amp;" ngày",IF(IF(D230="",C230,D230)&gt;=TODAY(),"Đang diễn ra","Đã qua "&amp;(TODAY()-IF(D230="",C230,D230))&amp;" ngày")))</f>
        <v/>
      </c>
      <c r="X230" s="14">
        <f>IF(AND(A230&lt;&gt;"",P230="Có",ISNUMBER(C230)),IF(IF(D230="",C230,D230)&gt;=TODAY()-35,C230+ROW()/100000,""),"")</f>
        <v/>
      </c>
    </row>
    <row r="231">
      <c r="A231" s="46" t="n"/>
      <c r="B231" s="12" t="n"/>
      <c r="C231" s="13" t="n"/>
      <c r="D231" s="13" t="n"/>
      <c r="E231" s="14" t="n"/>
      <c r="F231" s="14" t="n"/>
      <c r="G231" s="14" t="n"/>
      <c r="H231" s="14" t="n"/>
      <c r="I231" s="46" t="n"/>
      <c r="J231" s="46" t="n"/>
      <c r="K231" s="47" t="n"/>
      <c r="L231" s="47" t="n"/>
      <c r="M231" s="47" t="n"/>
      <c r="N231" s="47" t="n"/>
      <c r="O231" s="47" t="n"/>
      <c r="P231" s="47" t="n"/>
      <c r="Q231" s="14">
        <f>IF(A231="","",COUNTIFS('Giao việc'!$O$5:$O$3004,A231,'Giao việc'!$J$5:$J$3004,"&lt;&gt;Bỏ qua"))</f>
        <v/>
      </c>
      <c r="R231" s="14">
        <f>IF(A231="","",COUNTIFS('Giao việc'!$O$5:$O$3004,A231,'Giao việc'!$J$5:$J$3004,"Xong"))</f>
        <v/>
      </c>
      <c r="S231" s="14">
        <f>IF(A231="","",COUNTIFS('Giao việc'!$O$5:$O$3004,A231,'Giao việc'!$M$5:$M$3004,"*QUÁ HẠN*"))</f>
        <v/>
      </c>
      <c r="T231" s="14">
        <f>IF(A231="","",COUNTIFS('Giao việc'!$O$5:$O$3004,A231,'Giao việc'!$M$5:$M$3004,"*CHƯA GIAO*"))</f>
        <v/>
      </c>
      <c r="U231" s="15">
        <f>IF(OR(A231="",N(Q231)=0),"",R231/Q231)</f>
        <v/>
      </c>
      <c r="V231" s="16">
        <f>IF(U231="","",REPT("█",ROUND(U231*10,0))&amp;REPT("░",10-ROUND(U231*10,0)))</f>
        <v/>
      </c>
      <c r="W231" s="14">
        <f>IF(C231="","Chưa có ngày",IF(C231&gt;TODAY(),"Còn "&amp;(C231-TODAY())&amp;" ngày",IF(IF(D231="",C231,D231)&gt;=TODAY(),"Đang diễn ra","Đã qua "&amp;(TODAY()-IF(D231="",C231,D231))&amp;" ngày")))</f>
        <v/>
      </c>
      <c r="X231" s="14">
        <f>IF(AND(A231&lt;&gt;"",P231="Có",ISNUMBER(C231)),IF(IF(D231="",C231,D231)&gt;=TODAY()-35,C231+ROW()/100000,""),"")</f>
        <v/>
      </c>
    </row>
    <row r="232">
      <c r="A232" s="46" t="n"/>
      <c r="B232" s="12" t="n"/>
      <c r="C232" s="13" t="n"/>
      <c r="D232" s="13" t="n"/>
      <c r="E232" s="14" t="n"/>
      <c r="F232" s="14" t="n"/>
      <c r="G232" s="14" t="n"/>
      <c r="H232" s="14" t="n"/>
      <c r="I232" s="46" t="n"/>
      <c r="J232" s="46" t="n"/>
      <c r="K232" s="47" t="n"/>
      <c r="L232" s="47" t="n"/>
      <c r="M232" s="47" t="n"/>
      <c r="N232" s="47" t="n"/>
      <c r="O232" s="47" t="n"/>
      <c r="P232" s="47" t="n"/>
      <c r="Q232" s="14">
        <f>IF(A232="","",COUNTIFS('Giao việc'!$O$5:$O$3004,A232,'Giao việc'!$J$5:$J$3004,"&lt;&gt;Bỏ qua"))</f>
        <v/>
      </c>
      <c r="R232" s="14">
        <f>IF(A232="","",COUNTIFS('Giao việc'!$O$5:$O$3004,A232,'Giao việc'!$J$5:$J$3004,"Xong"))</f>
        <v/>
      </c>
      <c r="S232" s="14">
        <f>IF(A232="","",COUNTIFS('Giao việc'!$O$5:$O$3004,A232,'Giao việc'!$M$5:$M$3004,"*QUÁ HẠN*"))</f>
        <v/>
      </c>
      <c r="T232" s="14">
        <f>IF(A232="","",COUNTIFS('Giao việc'!$O$5:$O$3004,A232,'Giao việc'!$M$5:$M$3004,"*CHƯA GIAO*"))</f>
        <v/>
      </c>
      <c r="U232" s="15">
        <f>IF(OR(A232="",N(Q232)=0),"",R232/Q232)</f>
        <v/>
      </c>
      <c r="V232" s="16">
        <f>IF(U232="","",REPT("█",ROUND(U232*10,0))&amp;REPT("░",10-ROUND(U232*10,0)))</f>
        <v/>
      </c>
      <c r="W232" s="14">
        <f>IF(C232="","Chưa có ngày",IF(C232&gt;TODAY(),"Còn "&amp;(C232-TODAY())&amp;" ngày",IF(IF(D232="",C232,D232)&gt;=TODAY(),"Đang diễn ra","Đã qua "&amp;(TODAY()-IF(D232="",C232,D232))&amp;" ngày")))</f>
        <v/>
      </c>
      <c r="X232" s="14">
        <f>IF(AND(A232&lt;&gt;"",P232="Có",ISNUMBER(C232)),IF(IF(D232="",C232,D232)&gt;=TODAY()-35,C232+ROW()/100000,""),"")</f>
        <v/>
      </c>
    </row>
    <row r="233">
      <c r="A233" s="46" t="n"/>
      <c r="B233" s="12" t="n"/>
      <c r="C233" s="13" t="n"/>
      <c r="D233" s="13" t="n"/>
      <c r="E233" s="14" t="n"/>
      <c r="F233" s="14" t="n"/>
      <c r="G233" s="14" t="n"/>
      <c r="H233" s="14" t="n"/>
      <c r="I233" s="46" t="n"/>
      <c r="J233" s="46" t="n"/>
      <c r="K233" s="47" t="n"/>
      <c r="L233" s="47" t="n"/>
      <c r="M233" s="47" t="n"/>
      <c r="N233" s="47" t="n"/>
      <c r="O233" s="47" t="n"/>
      <c r="P233" s="47" t="n"/>
      <c r="Q233" s="14">
        <f>IF(A233="","",COUNTIFS('Giao việc'!$O$5:$O$3004,A233,'Giao việc'!$J$5:$J$3004,"&lt;&gt;Bỏ qua"))</f>
        <v/>
      </c>
      <c r="R233" s="14">
        <f>IF(A233="","",COUNTIFS('Giao việc'!$O$5:$O$3004,A233,'Giao việc'!$J$5:$J$3004,"Xong"))</f>
        <v/>
      </c>
      <c r="S233" s="14">
        <f>IF(A233="","",COUNTIFS('Giao việc'!$O$5:$O$3004,A233,'Giao việc'!$M$5:$M$3004,"*QUÁ HẠN*"))</f>
        <v/>
      </c>
      <c r="T233" s="14">
        <f>IF(A233="","",COUNTIFS('Giao việc'!$O$5:$O$3004,A233,'Giao việc'!$M$5:$M$3004,"*CHƯA GIAO*"))</f>
        <v/>
      </c>
      <c r="U233" s="15">
        <f>IF(OR(A233="",N(Q233)=0),"",R233/Q233)</f>
        <v/>
      </c>
      <c r="V233" s="16">
        <f>IF(U233="","",REPT("█",ROUND(U233*10,0))&amp;REPT("░",10-ROUND(U233*10,0)))</f>
        <v/>
      </c>
      <c r="W233" s="14">
        <f>IF(C233="","Chưa có ngày",IF(C233&gt;TODAY(),"Còn "&amp;(C233-TODAY())&amp;" ngày",IF(IF(D233="",C233,D233)&gt;=TODAY(),"Đang diễn ra","Đã qua "&amp;(TODAY()-IF(D233="",C233,D233))&amp;" ngày")))</f>
        <v/>
      </c>
      <c r="X233" s="14">
        <f>IF(AND(A233&lt;&gt;"",P233="Có",ISNUMBER(C233)),IF(IF(D233="",C233,D233)&gt;=TODAY()-35,C233+ROW()/100000,""),"")</f>
        <v/>
      </c>
    </row>
    <row r="234">
      <c r="A234" s="46" t="n"/>
      <c r="B234" s="12" t="n"/>
      <c r="C234" s="13" t="n"/>
      <c r="D234" s="13" t="n"/>
      <c r="E234" s="14" t="n"/>
      <c r="F234" s="14" t="n"/>
      <c r="G234" s="14" t="n"/>
      <c r="H234" s="14" t="n"/>
      <c r="I234" s="46" t="n"/>
      <c r="J234" s="46" t="n"/>
      <c r="K234" s="47" t="n"/>
      <c r="L234" s="47" t="n"/>
      <c r="M234" s="47" t="n"/>
      <c r="N234" s="47" t="n"/>
      <c r="O234" s="47" t="n"/>
      <c r="P234" s="47" t="n"/>
      <c r="Q234" s="14">
        <f>IF(A234="","",COUNTIFS('Giao việc'!$O$5:$O$3004,A234,'Giao việc'!$J$5:$J$3004,"&lt;&gt;Bỏ qua"))</f>
        <v/>
      </c>
      <c r="R234" s="14">
        <f>IF(A234="","",COUNTIFS('Giao việc'!$O$5:$O$3004,A234,'Giao việc'!$J$5:$J$3004,"Xong"))</f>
        <v/>
      </c>
      <c r="S234" s="14">
        <f>IF(A234="","",COUNTIFS('Giao việc'!$O$5:$O$3004,A234,'Giao việc'!$M$5:$M$3004,"*QUÁ HẠN*"))</f>
        <v/>
      </c>
      <c r="T234" s="14">
        <f>IF(A234="","",COUNTIFS('Giao việc'!$O$5:$O$3004,A234,'Giao việc'!$M$5:$M$3004,"*CHƯA GIAO*"))</f>
        <v/>
      </c>
      <c r="U234" s="15">
        <f>IF(OR(A234="",N(Q234)=0),"",R234/Q234)</f>
        <v/>
      </c>
      <c r="V234" s="16">
        <f>IF(U234="","",REPT("█",ROUND(U234*10,0))&amp;REPT("░",10-ROUND(U234*10,0)))</f>
        <v/>
      </c>
      <c r="W234" s="14">
        <f>IF(C234="","Chưa có ngày",IF(C234&gt;TODAY(),"Còn "&amp;(C234-TODAY())&amp;" ngày",IF(IF(D234="",C234,D234)&gt;=TODAY(),"Đang diễn ra","Đã qua "&amp;(TODAY()-IF(D234="",C234,D234))&amp;" ngày")))</f>
        <v/>
      </c>
      <c r="X234" s="14">
        <f>IF(AND(A234&lt;&gt;"",P234="Có",ISNUMBER(C234)),IF(IF(D234="",C234,D234)&gt;=TODAY()-35,C234+ROW()/100000,""),"")</f>
        <v/>
      </c>
    </row>
    <row r="235">
      <c r="A235" s="46" t="n"/>
      <c r="B235" s="12" t="n"/>
      <c r="C235" s="13" t="n"/>
      <c r="D235" s="13" t="n"/>
      <c r="E235" s="14" t="n"/>
      <c r="F235" s="14" t="n"/>
      <c r="G235" s="14" t="n"/>
      <c r="H235" s="14" t="n"/>
      <c r="I235" s="46" t="n"/>
      <c r="J235" s="46" t="n"/>
      <c r="K235" s="47" t="n"/>
      <c r="L235" s="47" t="n"/>
      <c r="M235" s="47" t="n"/>
      <c r="N235" s="47" t="n"/>
      <c r="O235" s="47" t="n"/>
      <c r="P235" s="47" t="n"/>
      <c r="Q235" s="14">
        <f>IF(A235="","",COUNTIFS('Giao việc'!$O$5:$O$3004,A235,'Giao việc'!$J$5:$J$3004,"&lt;&gt;Bỏ qua"))</f>
        <v/>
      </c>
      <c r="R235" s="14">
        <f>IF(A235="","",COUNTIFS('Giao việc'!$O$5:$O$3004,A235,'Giao việc'!$J$5:$J$3004,"Xong"))</f>
        <v/>
      </c>
      <c r="S235" s="14">
        <f>IF(A235="","",COUNTIFS('Giao việc'!$O$5:$O$3004,A235,'Giao việc'!$M$5:$M$3004,"*QUÁ HẠN*"))</f>
        <v/>
      </c>
      <c r="T235" s="14">
        <f>IF(A235="","",COUNTIFS('Giao việc'!$O$5:$O$3004,A235,'Giao việc'!$M$5:$M$3004,"*CHƯA GIAO*"))</f>
        <v/>
      </c>
      <c r="U235" s="15">
        <f>IF(OR(A235="",N(Q235)=0),"",R235/Q235)</f>
        <v/>
      </c>
      <c r="V235" s="16">
        <f>IF(U235="","",REPT("█",ROUND(U235*10,0))&amp;REPT("░",10-ROUND(U235*10,0)))</f>
        <v/>
      </c>
      <c r="W235" s="14">
        <f>IF(C235="","Chưa có ngày",IF(C235&gt;TODAY(),"Còn "&amp;(C235-TODAY())&amp;" ngày",IF(IF(D235="",C235,D235)&gt;=TODAY(),"Đang diễn ra","Đã qua "&amp;(TODAY()-IF(D235="",C235,D235))&amp;" ngày")))</f>
        <v/>
      </c>
      <c r="X235" s="14">
        <f>IF(AND(A235&lt;&gt;"",P235="Có",ISNUMBER(C235)),IF(IF(D235="",C235,D235)&gt;=TODAY()-35,C235+ROW()/100000,""),"")</f>
        <v/>
      </c>
    </row>
    <row r="236">
      <c r="A236" s="46" t="n"/>
      <c r="B236" s="12" t="n"/>
      <c r="C236" s="13" t="n"/>
      <c r="D236" s="13" t="n"/>
      <c r="E236" s="14" t="n"/>
      <c r="F236" s="14" t="n"/>
      <c r="G236" s="14" t="n"/>
      <c r="H236" s="14" t="n"/>
      <c r="I236" s="46" t="n"/>
      <c r="J236" s="46" t="n"/>
      <c r="K236" s="47" t="n"/>
      <c r="L236" s="47" t="n"/>
      <c r="M236" s="47" t="n"/>
      <c r="N236" s="47" t="n"/>
      <c r="O236" s="47" t="n"/>
      <c r="P236" s="47" t="n"/>
      <c r="Q236" s="14">
        <f>IF(A236="","",COUNTIFS('Giao việc'!$O$5:$O$3004,A236,'Giao việc'!$J$5:$J$3004,"&lt;&gt;Bỏ qua"))</f>
        <v/>
      </c>
      <c r="R236" s="14">
        <f>IF(A236="","",COUNTIFS('Giao việc'!$O$5:$O$3004,A236,'Giao việc'!$J$5:$J$3004,"Xong"))</f>
        <v/>
      </c>
      <c r="S236" s="14">
        <f>IF(A236="","",COUNTIFS('Giao việc'!$O$5:$O$3004,A236,'Giao việc'!$M$5:$M$3004,"*QUÁ HẠN*"))</f>
        <v/>
      </c>
      <c r="T236" s="14">
        <f>IF(A236="","",COUNTIFS('Giao việc'!$O$5:$O$3004,A236,'Giao việc'!$M$5:$M$3004,"*CHƯA GIAO*"))</f>
        <v/>
      </c>
      <c r="U236" s="15">
        <f>IF(OR(A236="",N(Q236)=0),"",R236/Q236)</f>
        <v/>
      </c>
      <c r="V236" s="16">
        <f>IF(U236="","",REPT("█",ROUND(U236*10,0))&amp;REPT("░",10-ROUND(U236*10,0)))</f>
        <v/>
      </c>
      <c r="W236" s="14">
        <f>IF(C236="","Chưa có ngày",IF(C236&gt;TODAY(),"Còn "&amp;(C236-TODAY())&amp;" ngày",IF(IF(D236="",C236,D236)&gt;=TODAY(),"Đang diễn ra","Đã qua "&amp;(TODAY()-IF(D236="",C236,D236))&amp;" ngày")))</f>
        <v/>
      </c>
      <c r="X236" s="14">
        <f>IF(AND(A236&lt;&gt;"",P236="Có",ISNUMBER(C236)),IF(IF(D236="",C236,D236)&gt;=TODAY()-35,C236+ROW()/100000,""),"")</f>
        <v/>
      </c>
    </row>
    <row r="237">
      <c r="A237" s="46" t="n"/>
      <c r="B237" s="12" t="n"/>
      <c r="C237" s="13" t="n"/>
      <c r="D237" s="13" t="n"/>
      <c r="E237" s="14" t="n"/>
      <c r="F237" s="14" t="n"/>
      <c r="G237" s="14" t="n"/>
      <c r="H237" s="14" t="n"/>
      <c r="I237" s="46" t="n"/>
      <c r="J237" s="46" t="n"/>
      <c r="K237" s="47" t="n"/>
      <c r="L237" s="47" t="n"/>
      <c r="M237" s="47" t="n"/>
      <c r="N237" s="47" t="n"/>
      <c r="O237" s="47" t="n"/>
      <c r="P237" s="47" t="n"/>
      <c r="Q237" s="14">
        <f>IF(A237="","",COUNTIFS('Giao việc'!$O$5:$O$3004,A237,'Giao việc'!$J$5:$J$3004,"&lt;&gt;Bỏ qua"))</f>
        <v/>
      </c>
      <c r="R237" s="14">
        <f>IF(A237="","",COUNTIFS('Giao việc'!$O$5:$O$3004,A237,'Giao việc'!$J$5:$J$3004,"Xong"))</f>
        <v/>
      </c>
      <c r="S237" s="14">
        <f>IF(A237="","",COUNTIFS('Giao việc'!$O$5:$O$3004,A237,'Giao việc'!$M$5:$M$3004,"*QUÁ HẠN*"))</f>
        <v/>
      </c>
      <c r="T237" s="14">
        <f>IF(A237="","",COUNTIFS('Giao việc'!$O$5:$O$3004,A237,'Giao việc'!$M$5:$M$3004,"*CHƯA GIAO*"))</f>
        <v/>
      </c>
      <c r="U237" s="15">
        <f>IF(OR(A237="",N(Q237)=0),"",R237/Q237)</f>
        <v/>
      </c>
      <c r="V237" s="16">
        <f>IF(U237="","",REPT("█",ROUND(U237*10,0))&amp;REPT("░",10-ROUND(U237*10,0)))</f>
        <v/>
      </c>
      <c r="W237" s="14">
        <f>IF(C237="","Chưa có ngày",IF(C237&gt;TODAY(),"Còn "&amp;(C237-TODAY())&amp;" ngày",IF(IF(D237="",C237,D237)&gt;=TODAY(),"Đang diễn ra","Đã qua "&amp;(TODAY()-IF(D237="",C237,D237))&amp;" ngày")))</f>
        <v/>
      </c>
      <c r="X237" s="14">
        <f>IF(AND(A237&lt;&gt;"",P237="Có",ISNUMBER(C237)),IF(IF(D237="",C237,D237)&gt;=TODAY()-35,C237+ROW()/100000,""),"")</f>
        <v/>
      </c>
    </row>
    <row r="238">
      <c r="A238" s="46" t="n"/>
      <c r="B238" s="12" t="n"/>
      <c r="C238" s="13" t="n"/>
      <c r="D238" s="13" t="n"/>
      <c r="E238" s="14" t="n"/>
      <c r="F238" s="14" t="n"/>
      <c r="G238" s="14" t="n"/>
      <c r="H238" s="14" t="n"/>
      <c r="I238" s="46" t="n"/>
      <c r="J238" s="46" t="n"/>
      <c r="K238" s="47" t="n"/>
      <c r="L238" s="47" t="n"/>
      <c r="M238" s="47" t="n"/>
      <c r="N238" s="47" t="n"/>
      <c r="O238" s="47" t="n"/>
      <c r="P238" s="47" t="n"/>
      <c r="Q238" s="14">
        <f>IF(A238="","",COUNTIFS('Giao việc'!$O$5:$O$3004,A238,'Giao việc'!$J$5:$J$3004,"&lt;&gt;Bỏ qua"))</f>
        <v/>
      </c>
      <c r="R238" s="14">
        <f>IF(A238="","",COUNTIFS('Giao việc'!$O$5:$O$3004,A238,'Giao việc'!$J$5:$J$3004,"Xong"))</f>
        <v/>
      </c>
      <c r="S238" s="14">
        <f>IF(A238="","",COUNTIFS('Giao việc'!$O$5:$O$3004,A238,'Giao việc'!$M$5:$M$3004,"*QUÁ HẠN*"))</f>
        <v/>
      </c>
      <c r="T238" s="14">
        <f>IF(A238="","",COUNTIFS('Giao việc'!$O$5:$O$3004,A238,'Giao việc'!$M$5:$M$3004,"*CHƯA GIAO*"))</f>
        <v/>
      </c>
      <c r="U238" s="15">
        <f>IF(OR(A238="",N(Q238)=0),"",R238/Q238)</f>
        <v/>
      </c>
      <c r="V238" s="16">
        <f>IF(U238="","",REPT("█",ROUND(U238*10,0))&amp;REPT("░",10-ROUND(U238*10,0)))</f>
        <v/>
      </c>
      <c r="W238" s="14">
        <f>IF(C238="","Chưa có ngày",IF(C238&gt;TODAY(),"Còn "&amp;(C238-TODAY())&amp;" ngày",IF(IF(D238="",C238,D238)&gt;=TODAY(),"Đang diễn ra","Đã qua "&amp;(TODAY()-IF(D238="",C238,D238))&amp;" ngày")))</f>
        <v/>
      </c>
      <c r="X238" s="14">
        <f>IF(AND(A238&lt;&gt;"",P238="Có",ISNUMBER(C238)),IF(IF(D238="",C238,D238)&gt;=TODAY()-35,C238+ROW()/100000,""),"")</f>
        <v/>
      </c>
    </row>
    <row r="239">
      <c r="A239" s="46" t="n"/>
      <c r="B239" s="12" t="n"/>
      <c r="C239" s="13" t="n"/>
      <c r="D239" s="13" t="n"/>
      <c r="E239" s="14" t="n"/>
      <c r="F239" s="14" t="n"/>
      <c r="G239" s="14" t="n"/>
      <c r="H239" s="14" t="n"/>
      <c r="I239" s="46" t="n"/>
      <c r="J239" s="46" t="n"/>
      <c r="K239" s="47" t="n"/>
      <c r="L239" s="47" t="n"/>
      <c r="M239" s="47" t="n"/>
      <c r="N239" s="47" t="n"/>
      <c r="O239" s="47" t="n"/>
      <c r="P239" s="47" t="n"/>
      <c r="Q239" s="14">
        <f>IF(A239="","",COUNTIFS('Giao việc'!$O$5:$O$3004,A239,'Giao việc'!$J$5:$J$3004,"&lt;&gt;Bỏ qua"))</f>
        <v/>
      </c>
      <c r="R239" s="14">
        <f>IF(A239="","",COUNTIFS('Giao việc'!$O$5:$O$3004,A239,'Giao việc'!$J$5:$J$3004,"Xong"))</f>
        <v/>
      </c>
      <c r="S239" s="14">
        <f>IF(A239="","",COUNTIFS('Giao việc'!$O$5:$O$3004,A239,'Giao việc'!$M$5:$M$3004,"*QUÁ HẠN*"))</f>
        <v/>
      </c>
      <c r="T239" s="14">
        <f>IF(A239="","",COUNTIFS('Giao việc'!$O$5:$O$3004,A239,'Giao việc'!$M$5:$M$3004,"*CHƯA GIAO*"))</f>
        <v/>
      </c>
      <c r="U239" s="15">
        <f>IF(OR(A239="",N(Q239)=0),"",R239/Q239)</f>
        <v/>
      </c>
      <c r="V239" s="16">
        <f>IF(U239="","",REPT("█",ROUND(U239*10,0))&amp;REPT("░",10-ROUND(U239*10,0)))</f>
        <v/>
      </c>
      <c r="W239" s="14">
        <f>IF(C239="","Chưa có ngày",IF(C239&gt;TODAY(),"Còn "&amp;(C239-TODAY())&amp;" ngày",IF(IF(D239="",C239,D239)&gt;=TODAY(),"Đang diễn ra","Đã qua "&amp;(TODAY()-IF(D239="",C239,D239))&amp;" ngày")))</f>
        <v/>
      </c>
      <c r="X239" s="14">
        <f>IF(AND(A239&lt;&gt;"",P239="Có",ISNUMBER(C239)),IF(IF(D239="",C239,D239)&gt;=TODAY()-35,C239+ROW()/100000,""),"")</f>
        <v/>
      </c>
    </row>
    <row r="240">
      <c r="A240" s="46" t="n"/>
      <c r="B240" s="12" t="n"/>
      <c r="C240" s="13" t="n"/>
      <c r="D240" s="13" t="n"/>
      <c r="E240" s="14" t="n"/>
      <c r="F240" s="14" t="n"/>
      <c r="G240" s="14" t="n"/>
      <c r="H240" s="14" t="n"/>
      <c r="I240" s="46" t="n"/>
      <c r="J240" s="46" t="n"/>
      <c r="K240" s="47" t="n"/>
      <c r="L240" s="47" t="n"/>
      <c r="M240" s="47" t="n"/>
      <c r="N240" s="47" t="n"/>
      <c r="O240" s="47" t="n"/>
      <c r="P240" s="47" t="n"/>
      <c r="Q240" s="14">
        <f>IF(A240="","",COUNTIFS('Giao việc'!$O$5:$O$3004,A240,'Giao việc'!$J$5:$J$3004,"&lt;&gt;Bỏ qua"))</f>
        <v/>
      </c>
      <c r="R240" s="14">
        <f>IF(A240="","",COUNTIFS('Giao việc'!$O$5:$O$3004,A240,'Giao việc'!$J$5:$J$3004,"Xong"))</f>
        <v/>
      </c>
      <c r="S240" s="14">
        <f>IF(A240="","",COUNTIFS('Giao việc'!$O$5:$O$3004,A240,'Giao việc'!$M$5:$M$3004,"*QUÁ HẠN*"))</f>
        <v/>
      </c>
      <c r="T240" s="14">
        <f>IF(A240="","",COUNTIFS('Giao việc'!$O$5:$O$3004,A240,'Giao việc'!$M$5:$M$3004,"*CHƯA GIAO*"))</f>
        <v/>
      </c>
      <c r="U240" s="15">
        <f>IF(OR(A240="",N(Q240)=0),"",R240/Q240)</f>
        <v/>
      </c>
      <c r="V240" s="16">
        <f>IF(U240="","",REPT("█",ROUND(U240*10,0))&amp;REPT("░",10-ROUND(U240*10,0)))</f>
        <v/>
      </c>
      <c r="W240" s="14">
        <f>IF(C240="","Chưa có ngày",IF(C240&gt;TODAY(),"Còn "&amp;(C240-TODAY())&amp;" ngày",IF(IF(D240="",C240,D240)&gt;=TODAY(),"Đang diễn ra","Đã qua "&amp;(TODAY()-IF(D240="",C240,D240))&amp;" ngày")))</f>
        <v/>
      </c>
      <c r="X240" s="14">
        <f>IF(AND(A240&lt;&gt;"",P240="Có",ISNUMBER(C240)),IF(IF(D240="",C240,D240)&gt;=TODAY()-35,C240+ROW()/100000,""),"")</f>
        <v/>
      </c>
    </row>
    <row r="241">
      <c r="A241" s="46" t="n"/>
      <c r="B241" s="12" t="n"/>
      <c r="C241" s="13" t="n"/>
      <c r="D241" s="13" t="n"/>
      <c r="E241" s="14" t="n"/>
      <c r="F241" s="14" t="n"/>
      <c r="G241" s="14" t="n"/>
      <c r="H241" s="14" t="n"/>
      <c r="I241" s="46" t="n"/>
      <c r="J241" s="46" t="n"/>
      <c r="K241" s="47" t="n"/>
      <c r="L241" s="47" t="n"/>
      <c r="M241" s="47" t="n"/>
      <c r="N241" s="47" t="n"/>
      <c r="O241" s="47" t="n"/>
      <c r="P241" s="47" t="n"/>
      <c r="Q241" s="14">
        <f>IF(A241="","",COUNTIFS('Giao việc'!$O$5:$O$3004,A241,'Giao việc'!$J$5:$J$3004,"&lt;&gt;Bỏ qua"))</f>
        <v/>
      </c>
      <c r="R241" s="14">
        <f>IF(A241="","",COUNTIFS('Giao việc'!$O$5:$O$3004,A241,'Giao việc'!$J$5:$J$3004,"Xong"))</f>
        <v/>
      </c>
      <c r="S241" s="14">
        <f>IF(A241="","",COUNTIFS('Giao việc'!$O$5:$O$3004,A241,'Giao việc'!$M$5:$M$3004,"*QUÁ HẠN*"))</f>
        <v/>
      </c>
      <c r="T241" s="14">
        <f>IF(A241="","",COUNTIFS('Giao việc'!$O$5:$O$3004,A241,'Giao việc'!$M$5:$M$3004,"*CHƯA GIAO*"))</f>
        <v/>
      </c>
      <c r="U241" s="15">
        <f>IF(OR(A241="",N(Q241)=0),"",R241/Q241)</f>
        <v/>
      </c>
      <c r="V241" s="16">
        <f>IF(U241="","",REPT("█",ROUND(U241*10,0))&amp;REPT("░",10-ROUND(U241*10,0)))</f>
        <v/>
      </c>
      <c r="W241" s="14">
        <f>IF(C241="","Chưa có ngày",IF(C241&gt;TODAY(),"Còn "&amp;(C241-TODAY())&amp;" ngày",IF(IF(D241="",C241,D241)&gt;=TODAY(),"Đang diễn ra","Đã qua "&amp;(TODAY()-IF(D241="",C241,D241))&amp;" ngày")))</f>
        <v/>
      </c>
      <c r="X241" s="14">
        <f>IF(AND(A241&lt;&gt;"",P241="Có",ISNUMBER(C241)),IF(IF(D241="",C241,D241)&gt;=TODAY()-35,C241+ROW()/100000,""),"")</f>
        <v/>
      </c>
    </row>
    <row r="242">
      <c r="A242" s="46" t="n"/>
      <c r="B242" s="12" t="n"/>
      <c r="C242" s="13" t="n"/>
      <c r="D242" s="13" t="n"/>
      <c r="E242" s="14" t="n"/>
      <c r="F242" s="14" t="n"/>
      <c r="G242" s="14" t="n"/>
      <c r="H242" s="14" t="n"/>
      <c r="I242" s="46" t="n"/>
      <c r="J242" s="46" t="n"/>
      <c r="K242" s="47" t="n"/>
      <c r="L242" s="47" t="n"/>
      <c r="M242" s="47" t="n"/>
      <c r="N242" s="47" t="n"/>
      <c r="O242" s="47" t="n"/>
      <c r="P242" s="47" t="n"/>
      <c r="Q242" s="14">
        <f>IF(A242="","",COUNTIFS('Giao việc'!$O$5:$O$3004,A242,'Giao việc'!$J$5:$J$3004,"&lt;&gt;Bỏ qua"))</f>
        <v/>
      </c>
      <c r="R242" s="14">
        <f>IF(A242="","",COUNTIFS('Giao việc'!$O$5:$O$3004,A242,'Giao việc'!$J$5:$J$3004,"Xong"))</f>
        <v/>
      </c>
      <c r="S242" s="14">
        <f>IF(A242="","",COUNTIFS('Giao việc'!$O$5:$O$3004,A242,'Giao việc'!$M$5:$M$3004,"*QUÁ HẠN*"))</f>
        <v/>
      </c>
      <c r="T242" s="14">
        <f>IF(A242="","",COUNTIFS('Giao việc'!$O$5:$O$3004,A242,'Giao việc'!$M$5:$M$3004,"*CHƯA GIAO*"))</f>
        <v/>
      </c>
      <c r="U242" s="15">
        <f>IF(OR(A242="",N(Q242)=0),"",R242/Q242)</f>
        <v/>
      </c>
      <c r="V242" s="16">
        <f>IF(U242="","",REPT("█",ROUND(U242*10,0))&amp;REPT("░",10-ROUND(U242*10,0)))</f>
        <v/>
      </c>
      <c r="W242" s="14">
        <f>IF(C242="","Chưa có ngày",IF(C242&gt;TODAY(),"Còn "&amp;(C242-TODAY())&amp;" ngày",IF(IF(D242="",C242,D242)&gt;=TODAY(),"Đang diễn ra","Đã qua "&amp;(TODAY()-IF(D242="",C242,D242))&amp;" ngày")))</f>
        <v/>
      </c>
      <c r="X242" s="14">
        <f>IF(AND(A242&lt;&gt;"",P242="Có",ISNUMBER(C242)),IF(IF(D242="",C242,D242)&gt;=TODAY()-35,C242+ROW()/100000,""),"")</f>
        <v/>
      </c>
    </row>
    <row r="243">
      <c r="A243" s="46" t="n"/>
      <c r="B243" s="12" t="n"/>
      <c r="C243" s="13" t="n"/>
      <c r="D243" s="13" t="n"/>
      <c r="E243" s="14" t="n"/>
      <c r="F243" s="14" t="n"/>
      <c r="G243" s="14" t="n"/>
      <c r="H243" s="14" t="n"/>
      <c r="I243" s="46" t="n"/>
      <c r="J243" s="46" t="n"/>
      <c r="K243" s="47" t="n"/>
      <c r="L243" s="47" t="n"/>
      <c r="M243" s="47" t="n"/>
      <c r="N243" s="47" t="n"/>
      <c r="O243" s="47" t="n"/>
      <c r="P243" s="47" t="n"/>
      <c r="Q243" s="14">
        <f>IF(A243="","",COUNTIFS('Giao việc'!$O$5:$O$3004,A243,'Giao việc'!$J$5:$J$3004,"&lt;&gt;Bỏ qua"))</f>
        <v/>
      </c>
      <c r="R243" s="14">
        <f>IF(A243="","",COUNTIFS('Giao việc'!$O$5:$O$3004,A243,'Giao việc'!$J$5:$J$3004,"Xong"))</f>
        <v/>
      </c>
      <c r="S243" s="14">
        <f>IF(A243="","",COUNTIFS('Giao việc'!$O$5:$O$3004,A243,'Giao việc'!$M$5:$M$3004,"*QUÁ HẠN*"))</f>
        <v/>
      </c>
      <c r="T243" s="14">
        <f>IF(A243="","",COUNTIFS('Giao việc'!$O$5:$O$3004,A243,'Giao việc'!$M$5:$M$3004,"*CHƯA GIAO*"))</f>
        <v/>
      </c>
      <c r="U243" s="15">
        <f>IF(OR(A243="",N(Q243)=0),"",R243/Q243)</f>
        <v/>
      </c>
      <c r="V243" s="16">
        <f>IF(U243="","",REPT("█",ROUND(U243*10,0))&amp;REPT("░",10-ROUND(U243*10,0)))</f>
        <v/>
      </c>
      <c r="W243" s="14">
        <f>IF(C243="","Chưa có ngày",IF(C243&gt;TODAY(),"Còn "&amp;(C243-TODAY())&amp;" ngày",IF(IF(D243="",C243,D243)&gt;=TODAY(),"Đang diễn ra","Đã qua "&amp;(TODAY()-IF(D243="",C243,D243))&amp;" ngày")))</f>
        <v/>
      </c>
      <c r="X243" s="14">
        <f>IF(AND(A243&lt;&gt;"",P243="Có",ISNUMBER(C243)),IF(IF(D243="",C243,D243)&gt;=TODAY()-35,C243+ROW()/100000,""),"")</f>
        <v/>
      </c>
    </row>
    <row r="244">
      <c r="A244" s="46" t="n"/>
      <c r="B244" s="12" t="n"/>
      <c r="C244" s="13" t="n"/>
      <c r="D244" s="13" t="n"/>
      <c r="E244" s="14" t="n"/>
      <c r="F244" s="14" t="n"/>
      <c r="G244" s="14" t="n"/>
      <c r="H244" s="14" t="n"/>
      <c r="I244" s="46" t="n"/>
      <c r="J244" s="46" t="n"/>
      <c r="K244" s="47" t="n"/>
      <c r="L244" s="47" t="n"/>
      <c r="M244" s="47" t="n"/>
      <c r="N244" s="47" t="n"/>
      <c r="O244" s="47" t="n"/>
      <c r="P244" s="47" t="n"/>
      <c r="Q244" s="14">
        <f>IF(A244="","",COUNTIFS('Giao việc'!$O$5:$O$3004,A244,'Giao việc'!$J$5:$J$3004,"&lt;&gt;Bỏ qua"))</f>
        <v/>
      </c>
      <c r="R244" s="14">
        <f>IF(A244="","",COUNTIFS('Giao việc'!$O$5:$O$3004,A244,'Giao việc'!$J$5:$J$3004,"Xong"))</f>
        <v/>
      </c>
      <c r="S244" s="14">
        <f>IF(A244="","",COUNTIFS('Giao việc'!$O$5:$O$3004,A244,'Giao việc'!$M$5:$M$3004,"*QUÁ HẠN*"))</f>
        <v/>
      </c>
      <c r="T244" s="14">
        <f>IF(A244="","",COUNTIFS('Giao việc'!$O$5:$O$3004,A244,'Giao việc'!$M$5:$M$3004,"*CHƯA GIAO*"))</f>
        <v/>
      </c>
      <c r="U244" s="15">
        <f>IF(OR(A244="",N(Q244)=0),"",R244/Q244)</f>
        <v/>
      </c>
      <c r="V244" s="16">
        <f>IF(U244="","",REPT("█",ROUND(U244*10,0))&amp;REPT("░",10-ROUND(U244*10,0)))</f>
        <v/>
      </c>
      <c r="W244" s="14">
        <f>IF(C244="","Chưa có ngày",IF(C244&gt;TODAY(),"Còn "&amp;(C244-TODAY())&amp;" ngày",IF(IF(D244="",C244,D244)&gt;=TODAY(),"Đang diễn ra","Đã qua "&amp;(TODAY()-IF(D244="",C244,D244))&amp;" ngày")))</f>
        <v/>
      </c>
      <c r="X244" s="14">
        <f>IF(AND(A244&lt;&gt;"",P244="Có",ISNUMBER(C244)),IF(IF(D244="",C244,D244)&gt;=TODAY()-35,C244+ROW()/100000,""),"")</f>
        <v/>
      </c>
    </row>
    <row r="245">
      <c r="A245" s="46" t="n"/>
      <c r="B245" s="12" t="n"/>
      <c r="C245" s="13" t="n"/>
      <c r="D245" s="13" t="n"/>
      <c r="E245" s="14" t="n"/>
      <c r="F245" s="14" t="n"/>
      <c r="G245" s="14" t="n"/>
      <c r="H245" s="14" t="n"/>
      <c r="I245" s="46" t="n"/>
      <c r="J245" s="46" t="n"/>
      <c r="K245" s="47" t="n"/>
      <c r="L245" s="47" t="n"/>
      <c r="M245" s="47" t="n"/>
      <c r="N245" s="47" t="n"/>
      <c r="O245" s="47" t="n"/>
      <c r="P245" s="47" t="n"/>
      <c r="Q245" s="14">
        <f>IF(A245="","",COUNTIFS('Giao việc'!$O$5:$O$3004,A245,'Giao việc'!$J$5:$J$3004,"&lt;&gt;Bỏ qua"))</f>
        <v/>
      </c>
      <c r="R245" s="14">
        <f>IF(A245="","",COUNTIFS('Giao việc'!$O$5:$O$3004,A245,'Giao việc'!$J$5:$J$3004,"Xong"))</f>
        <v/>
      </c>
      <c r="S245" s="14">
        <f>IF(A245="","",COUNTIFS('Giao việc'!$O$5:$O$3004,A245,'Giao việc'!$M$5:$M$3004,"*QUÁ HẠN*"))</f>
        <v/>
      </c>
      <c r="T245" s="14">
        <f>IF(A245="","",COUNTIFS('Giao việc'!$O$5:$O$3004,A245,'Giao việc'!$M$5:$M$3004,"*CHƯA GIAO*"))</f>
        <v/>
      </c>
      <c r="U245" s="15">
        <f>IF(OR(A245="",N(Q245)=0),"",R245/Q245)</f>
        <v/>
      </c>
      <c r="V245" s="16">
        <f>IF(U245="","",REPT("█",ROUND(U245*10,0))&amp;REPT("░",10-ROUND(U245*10,0)))</f>
        <v/>
      </c>
      <c r="W245" s="14">
        <f>IF(C245="","Chưa có ngày",IF(C245&gt;TODAY(),"Còn "&amp;(C245-TODAY())&amp;" ngày",IF(IF(D245="",C245,D245)&gt;=TODAY(),"Đang diễn ra","Đã qua "&amp;(TODAY()-IF(D245="",C245,D245))&amp;" ngày")))</f>
        <v/>
      </c>
      <c r="X245" s="14">
        <f>IF(AND(A245&lt;&gt;"",P245="Có",ISNUMBER(C245)),IF(IF(D245="",C245,D245)&gt;=TODAY()-35,C245+ROW()/100000,""),"")</f>
        <v/>
      </c>
    </row>
    <row r="246">
      <c r="A246" s="46" t="n"/>
      <c r="B246" s="12" t="n"/>
      <c r="C246" s="13" t="n"/>
      <c r="D246" s="13" t="n"/>
      <c r="E246" s="14" t="n"/>
      <c r="F246" s="14" t="n"/>
      <c r="G246" s="14" t="n"/>
      <c r="H246" s="14" t="n"/>
      <c r="I246" s="46" t="n"/>
      <c r="J246" s="46" t="n"/>
      <c r="K246" s="47" t="n"/>
      <c r="L246" s="47" t="n"/>
      <c r="M246" s="47" t="n"/>
      <c r="N246" s="47" t="n"/>
      <c r="O246" s="47" t="n"/>
      <c r="P246" s="47" t="n"/>
      <c r="Q246" s="14">
        <f>IF(A246="","",COUNTIFS('Giao việc'!$O$5:$O$3004,A246,'Giao việc'!$J$5:$J$3004,"&lt;&gt;Bỏ qua"))</f>
        <v/>
      </c>
      <c r="R246" s="14">
        <f>IF(A246="","",COUNTIFS('Giao việc'!$O$5:$O$3004,A246,'Giao việc'!$J$5:$J$3004,"Xong"))</f>
        <v/>
      </c>
      <c r="S246" s="14">
        <f>IF(A246="","",COUNTIFS('Giao việc'!$O$5:$O$3004,A246,'Giao việc'!$M$5:$M$3004,"*QUÁ HẠN*"))</f>
        <v/>
      </c>
      <c r="T246" s="14">
        <f>IF(A246="","",COUNTIFS('Giao việc'!$O$5:$O$3004,A246,'Giao việc'!$M$5:$M$3004,"*CHƯA GIAO*"))</f>
        <v/>
      </c>
      <c r="U246" s="15">
        <f>IF(OR(A246="",N(Q246)=0),"",R246/Q246)</f>
        <v/>
      </c>
      <c r="V246" s="16">
        <f>IF(U246="","",REPT("█",ROUND(U246*10,0))&amp;REPT("░",10-ROUND(U246*10,0)))</f>
        <v/>
      </c>
      <c r="W246" s="14">
        <f>IF(C246="","Chưa có ngày",IF(C246&gt;TODAY(),"Còn "&amp;(C246-TODAY())&amp;" ngày",IF(IF(D246="",C246,D246)&gt;=TODAY(),"Đang diễn ra","Đã qua "&amp;(TODAY()-IF(D246="",C246,D246))&amp;" ngày")))</f>
        <v/>
      </c>
      <c r="X246" s="14">
        <f>IF(AND(A246&lt;&gt;"",P246="Có",ISNUMBER(C246)),IF(IF(D246="",C246,D246)&gt;=TODAY()-35,C246+ROW()/100000,""),"")</f>
        <v/>
      </c>
    </row>
    <row r="247">
      <c r="A247" s="46" t="n"/>
      <c r="B247" s="12" t="n"/>
      <c r="C247" s="13" t="n"/>
      <c r="D247" s="13" t="n"/>
      <c r="E247" s="14" t="n"/>
      <c r="F247" s="14" t="n"/>
      <c r="G247" s="14" t="n"/>
      <c r="H247" s="14" t="n"/>
      <c r="I247" s="46" t="n"/>
      <c r="J247" s="46" t="n"/>
      <c r="K247" s="47" t="n"/>
      <c r="L247" s="47" t="n"/>
      <c r="M247" s="47" t="n"/>
      <c r="N247" s="47" t="n"/>
      <c r="O247" s="47" t="n"/>
      <c r="P247" s="47" t="n"/>
      <c r="Q247" s="14">
        <f>IF(A247="","",COUNTIFS('Giao việc'!$O$5:$O$3004,A247,'Giao việc'!$J$5:$J$3004,"&lt;&gt;Bỏ qua"))</f>
        <v/>
      </c>
      <c r="R247" s="14">
        <f>IF(A247="","",COUNTIFS('Giao việc'!$O$5:$O$3004,A247,'Giao việc'!$J$5:$J$3004,"Xong"))</f>
        <v/>
      </c>
      <c r="S247" s="14">
        <f>IF(A247="","",COUNTIFS('Giao việc'!$O$5:$O$3004,A247,'Giao việc'!$M$5:$M$3004,"*QUÁ HẠN*"))</f>
        <v/>
      </c>
      <c r="T247" s="14">
        <f>IF(A247="","",COUNTIFS('Giao việc'!$O$5:$O$3004,A247,'Giao việc'!$M$5:$M$3004,"*CHƯA GIAO*"))</f>
        <v/>
      </c>
      <c r="U247" s="15">
        <f>IF(OR(A247="",N(Q247)=0),"",R247/Q247)</f>
        <v/>
      </c>
      <c r="V247" s="16">
        <f>IF(U247="","",REPT("█",ROUND(U247*10,0))&amp;REPT("░",10-ROUND(U247*10,0)))</f>
        <v/>
      </c>
      <c r="W247" s="14">
        <f>IF(C247="","Chưa có ngày",IF(C247&gt;TODAY(),"Còn "&amp;(C247-TODAY())&amp;" ngày",IF(IF(D247="",C247,D247)&gt;=TODAY(),"Đang diễn ra","Đã qua "&amp;(TODAY()-IF(D247="",C247,D247))&amp;" ngày")))</f>
        <v/>
      </c>
      <c r="X247" s="14">
        <f>IF(AND(A247&lt;&gt;"",P247="Có",ISNUMBER(C247)),IF(IF(D247="",C247,D247)&gt;=TODAY()-35,C247+ROW()/100000,""),"")</f>
        <v/>
      </c>
    </row>
    <row r="248">
      <c r="A248" s="46" t="n"/>
      <c r="B248" s="12" t="n"/>
      <c r="C248" s="13" t="n"/>
      <c r="D248" s="13" t="n"/>
      <c r="E248" s="14" t="n"/>
      <c r="F248" s="14" t="n"/>
      <c r="G248" s="14" t="n"/>
      <c r="H248" s="14" t="n"/>
      <c r="I248" s="46" t="n"/>
      <c r="J248" s="46" t="n"/>
      <c r="K248" s="47" t="n"/>
      <c r="L248" s="47" t="n"/>
      <c r="M248" s="47" t="n"/>
      <c r="N248" s="47" t="n"/>
      <c r="O248" s="47" t="n"/>
      <c r="P248" s="47" t="n"/>
      <c r="Q248" s="14">
        <f>IF(A248="","",COUNTIFS('Giao việc'!$O$5:$O$3004,A248,'Giao việc'!$J$5:$J$3004,"&lt;&gt;Bỏ qua"))</f>
        <v/>
      </c>
      <c r="R248" s="14">
        <f>IF(A248="","",COUNTIFS('Giao việc'!$O$5:$O$3004,A248,'Giao việc'!$J$5:$J$3004,"Xong"))</f>
        <v/>
      </c>
      <c r="S248" s="14">
        <f>IF(A248="","",COUNTIFS('Giao việc'!$O$5:$O$3004,A248,'Giao việc'!$M$5:$M$3004,"*QUÁ HẠN*"))</f>
        <v/>
      </c>
      <c r="T248" s="14">
        <f>IF(A248="","",COUNTIFS('Giao việc'!$O$5:$O$3004,A248,'Giao việc'!$M$5:$M$3004,"*CHƯA GIAO*"))</f>
        <v/>
      </c>
      <c r="U248" s="15">
        <f>IF(OR(A248="",N(Q248)=0),"",R248/Q248)</f>
        <v/>
      </c>
      <c r="V248" s="16">
        <f>IF(U248="","",REPT("█",ROUND(U248*10,0))&amp;REPT("░",10-ROUND(U248*10,0)))</f>
        <v/>
      </c>
      <c r="W248" s="14">
        <f>IF(C248="","Chưa có ngày",IF(C248&gt;TODAY(),"Còn "&amp;(C248-TODAY())&amp;" ngày",IF(IF(D248="",C248,D248)&gt;=TODAY(),"Đang diễn ra","Đã qua "&amp;(TODAY()-IF(D248="",C248,D248))&amp;" ngày")))</f>
        <v/>
      </c>
      <c r="X248" s="14">
        <f>IF(AND(A248&lt;&gt;"",P248="Có",ISNUMBER(C248)),IF(IF(D248="",C248,D248)&gt;=TODAY()-35,C248+ROW()/100000,""),"")</f>
        <v/>
      </c>
    </row>
    <row r="249">
      <c r="A249" s="46" t="n"/>
      <c r="B249" s="12" t="n"/>
      <c r="C249" s="13" t="n"/>
      <c r="D249" s="13" t="n"/>
      <c r="E249" s="14" t="n"/>
      <c r="F249" s="14" t="n"/>
      <c r="G249" s="14" t="n"/>
      <c r="H249" s="14" t="n"/>
      <c r="I249" s="46" t="n"/>
      <c r="J249" s="46" t="n"/>
      <c r="K249" s="47" t="n"/>
      <c r="L249" s="47" t="n"/>
      <c r="M249" s="47" t="n"/>
      <c r="N249" s="47" t="n"/>
      <c r="O249" s="47" t="n"/>
      <c r="P249" s="47" t="n"/>
      <c r="Q249" s="14">
        <f>IF(A249="","",COUNTIFS('Giao việc'!$O$5:$O$3004,A249,'Giao việc'!$J$5:$J$3004,"&lt;&gt;Bỏ qua"))</f>
        <v/>
      </c>
      <c r="R249" s="14">
        <f>IF(A249="","",COUNTIFS('Giao việc'!$O$5:$O$3004,A249,'Giao việc'!$J$5:$J$3004,"Xong"))</f>
        <v/>
      </c>
      <c r="S249" s="14">
        <f>IF(A249="","",COUNTIFS('Giao việc'!$O$5:$O$3004,A249,'Giao việc'!$M$5:$M$3004,"*QUÁ HẠN*"))</f>
        <v/>
      </c>
      <c r="T249" s="14">
        <f>IF(A249="","",COUNTIFS('Giao việc'!$O$5:$O$3004,A249,'Giao việc'!$M$5:$M$3004,"*CHƯA GIAO*"))</f>
        <v/>
      </c>
      <c r="U249" s="15">
        <f>IF(OR(A249="",N(Q249)=0),"",R249/Q249)</f>
        <v/>
      </c>
      <c r="V249" s="16">
        <f>IF(U249="","",REPT("█",ROUND(U249*10,0))&amp;REPT("░",10-ROUND(U249*10,0)))</f>
        <v/>
      </c>
      <c r="W249" s="14">
        <f>IF(C249="","Chưa có ngày",IF(C249&gt;TODAY(),"Còn "&amp;(C249-TODAY())&amp;" ngày",IF(IF(D249="",C249,D249)&gt;=TODAY(),"Đang diễn ra","Đã qua "&amp;(TODAY()-IF(D249="",C249,D249))&amp;" ngày")))</f>
        <v/>
      </c>
      <c r="X249" s="14">
        <f>IF(AND(A249&lt;&gt;"",P249="Có",ISNUMBER(C249)),IF(IF(D249="",C249,D249)&gt;=TODAY()-35,C249+ROW()/100000,""),"")</f>
        <v/>
      </c>
    </row>
    <row r="250">
      <c r="A250" s="46" t="n"/>
      <c r="B250" s="12" t="n"/>
      <c r="C250" s="13" t="n"/>
      <c r="D250" s="13" t="n"/>
      <c r="E250" s="14" t="n"/>
      <c r="F250" s="14" t="n"/>
      <c r="G250" s="14" t="n"/>
      <c r="H250" s="14" t="n"/>
      <c r="I250" s="46" t="n"/>
      <c r="J250" s="46" t="n"/>
      <c r="K250" s="47" t="n"/>
      <c r="L250" s="47" t="n"/>
      <c r="M250" s="47" t="n"/>
      <c r="N250" s="47" t="n"/>
      <c r="O250" s="47" t="n"/>
      <c r="P250" s="47" t="n"/>
      <c r="Q250" s="14">
        <f>IF(A250="","",COUNTIFS('Giao việc'!$O$5:$O$3004,A250,'Giao việc'!$J$5:$J$3004,"&lt;&gt;Bỏ qua"))</f>
        <v/>
      </c>
      <c r="R250" s="14">
        <f>IF(A250="","",COUNTIFS('Giao việc'!$O$5:$O$3004,A250,'Giao việc'!$J$5:$J$3004,"Xong"))</f>
        <v/>
      </c>
      <c r="S250" s="14">
        <f>IF(A250="","",COUNTIFS('Giao việc'!$O$5:$O$3004,A250,'Giao việc'!$M$5:$M$3004,"*QUÁ HẠN*"))</f>
        <v/>
      </c>
      <c r="T250" s="14">
        <f>IF(A250="","",COUNTIFS('Giao việc'!$O$5:$O$3004,A250,'Giao việc'!$M$5:$M$3004,"*CHƯA GIAO*"))</f>
        <v/>
      </c>
      <c r="U250" s="15">
        <f>IF(OR(A250="",N(Q250)=0),"",R250/Q250)</f>
        <v/>
      </c>
      <c r="V250" s="16">
        <f>IF(U250="","",REPT("█",ROUND(U250*10,0))&amp;REPT("░",10-ROUND(U250*10,0)))</f>
        <v/>
      </c>
      <c r="W250" s="14">
        <f>IF(C250="","Chưa có ngày",IF(C250&gt;TODAY(),"Còn "&amp;(C250-TODAY())&amp;" ngày",IF(IF(D250="",C250,D250)&gt;=TODAY(),"Đang diễn ra","Đã qua "&amp;(TODAY()-IF(D250="",C250,D250))&amp;" ngày")))</f>
        <v/>
      </c>
      <c r="X250" s="14">
        <f>IF(AND(A250&lt;&gt;"",P250="Có",ISNUMBER(C250)),IF(IF(D250="",C250,D250)&gt;=TODAY()-35,C250+ROW()/100000,""),"")</f>
        <v/>
      </c>
    </row>
    <row r="251">
      <c r="A251" s="46" t="n"/>
      <c r="B251" s="12" t="n"/>
      <c r="C251" s="13" t="n"/>
      <c r="D251" s="13" t="n"/>
      <c r="E251" s="14" t="n"/>
      <c r="F251" s="14" t="n"/>
      <c r="G251" s="14" t="n"/>
      <c r="H251" s="14" t="n"/>
      <c r="I251" s="46" t="n"/>
      <c r="J251" s="46" t="n"/>
      <c r="K251" s="47" t="n"/>
      <c r="L251" s="47" t="n"/>
      <c r="M251" s="47" t="n"/>
      <c r="N251" s="47" t="n"/>
      <c r="O251" s="47" t="n"/>
      <c r="P251" s="47" t="n"/>
      <c r="Q251" s="14">
        <f>IF(A251="","",COUNTIFS('Giao việc'!$O$5:$O$3004,A251,'Giao việc'!$J$5:$J$3004,"&lt;&gt;Bỏ qua"))</f>
        <v/>
      </c>
      <c r="R251" s="14">
        <f>IF(A251="","",COUNTIFS('Giao việc'!$O$5:$O$3004,A251,'Giao việc'!$J$5:$J$3004,"Xong"))</f>
        <v/>
      </c>
      <c r="S251" s="14">
        <f>IF(A251="","",COUNTIFS('Giao việc'!$O$5:$O$3004,A251,'Giao việc'!$M$5:$M$3004,"*QUÁ HẠN*"))</f>
        <v/>
      </c>
      <c r="T251" s="14">
        <f>IF(A251="","",COUNTIFS('Giao việc'!$O$5:$O$3004,A251,'Giao việc'!$M$5:$M$3004,"*CHƯA GIAO*"))</f>
        <v/>
      </c>
      <c r="U251" s="15">
        <f>IF(OR(A251="",N(Q251)=0),"",R251/Q251)</f>
        <v/>
      </c>
      <c r="V251" s="16">
        <f>IF(U251="","",REPT("█",ROUND(U251*10,0))&amp;REPT("░",10-ROUND(U251*10,0)))</f>
        <v/>
      </c>
      <c r="W251" s="14">
        <f>IF(C251="","Chưa có ngày",IF(C251&gt;TODAY(),"Còn "&amp;(C251-TODAY())&amp;" ngày",IF(IF(D251="",C251,D251)&gt;=TODAY(),"Đang diễn ra","Đã qua "&amp;(TODAY()-IF(D251="",C251,D251))&amp;" ngày")))</f>
        <v/>
      </c>
      <c r="X251" s="14">
        <f>IF(AND(A251&lt;&gt;"",P251="Có",ISNUMBER(C251)),IF(IF(D251="",C251,D251)&gt;=TODAY()-35,C251+ROW()/100000,""),"")</f>
        <v/>
      </c>
    </row>
    <row r="252">
      <c r="A252" s="46" t="n"/>
      <c r="B252" s="12" t="n"/>
      <c r="C252" s="13" t="n"/>
      <c r="D252" s="13" t="n"/>
      <c r="E252" s="14" t="n"/>
      <c r="F252" s="14" t="n"/>
      <c r="G252" s="14" t="n"/>
      <c r="H252" s="14" t="n"/>
      <c r="I252" s="46" t="n"/>
      <c r="J252" s="46" t="n"/>
      <c r="K252" s="47" t="n"/>
      <c r="L252" s="47" t="n"/>
      <c r="M252" s="47" t="n"/>
      <c r="N252" s="47" t="n"/>
      <c r="O252" s="47" t="n"/>
      <c r="P252" s="47" t="n"/>
      <c r="Q252" s="14">
        <f>IF(A252="","",COUNTIFS('Giao việc'!$O$5:$O$3004,A252,'Giao việc'!$J$5:$J$3004,"&lt;&gt;Bỏ qua"))</f>
        <v/>
      </c>
      <c r="R252" s="14">
        <f>IF(A252="","",COUNTIFS('Giao việc'!$O$5:$O$3004,A252,'Giao việc'!$J$5:$J$3004,"Xong"))</f>
        <v/>
      </c>
      <c r="S252" s="14">
        <f>IF(A252="","",COUNTIFS('Giao việc'!$O$5:$O$3004,A252,'Giao việc'!$M$5:$M$3004,"*QUÁ HẠN*"))</f>
        <v/>
      </c>
      <c r="T252" s="14">
        <f>IF(A252="","",COUNTIFS('Giao việc'!$O$5:$O$3004,A252,'Giao việc'!$M$5:$M$3004,"*CHƯA GIAO*"))</f>
        <v/>
      </c>
      <c r="U252" s="15">
        <f>IF(OR(A252="",N(Q252)=0),"",R252/Q252)</f>
        <v/>
      </c>
      <c r="V252" s="16">
        <f>IF(U252="","",REPT("█",ROUND(U252*10,0))&amp;REPT("░",10-ROUND(U252*10,0)))</f>
        <v/>
      </c>
      <c r="W252" s="14">
        <f>IF(C252="","Chưa có ngày",IF(C252&gt;TODAY(),"Còn "&amp;(C252-TODAY())&amp;" ngày",IF(IF(D252="",C252,D252)&gt;=TODAY(),"Đang diễn ra","Đã qua "&amp;(TODAY()-IF(D252="",C252,D252))&amp;" ngày")))</f>
        <v/>
      </c>
      <c r="X252" s="14">
        <f>IF(AND(A252&lt;&gt;"",P252="Có",ISNUMBER(C252)),IF(IF(D252="",C252,D252)&gt;=TODAY()-35,C252+ROW()/100000,""),"")</f>
        <v/>
      </c>
    </row>
    <row r="253">
      <c r="A253" s="46" t="n"/>
      <c r="B253" s="12" t="n"/>
      <c r="C253" s="13" t="n"/>
      <c r="D253" s="13" t="n"/>
      <c r="E253" s="14" t="n"/>
      <c r="F253" s="14" t="n"/>
      <c r="G253" s="14" t="n"/>
      <c r="H253" s="14" t="n"/>
      <c r="I253" s="46" t="n"/>
      <c r="J253" s="46" t="n"/>
      <c r="K253" s="47" t="n"/>
      <c r="L253" s="47" t="n"/>
      <c r="M253" s="47" t="n"/>
      <c r="N253" s="47" t="n"/>
      <c r="O253" s="47" t="n"/>
      <c r="P253" s="47" t="n"/>
      <c r="Q253" s="14">
        <f>IF(A253="","",COUNTIFS('Giao việc'!$O$5:$O$3004,A253,'Giao việc'!$J$5:$J$3004,"&lt;&gt;Bỏ qua"))</f>
        <v/>
      </c>
      <c r="R253" s="14">
        <f>IF(A253="","",COUNTIFS('Giao việc'!$O$5:$O$3004,A253,'Giao việc'!$J$5:$J$3004,"Xong"))</f>
        <v/>
      </c>
      <c r="S253" s="14">
        <f>IF(A253="","",COUNTIFS('Giao việc'!$O$5:$O$3004,A253,'Giao việc'!$M$5:$M$3004,"*QUÁ HẠN*"))</f>
        <v/>
      </c>
      <c r="T253" s="14">
        <f>IF(A253="","",COUNTIFS('Giao việc'!$O$5:$O$3004,A253,'Giao việc'!$M$5:$M$3004,"*CHƯA GIAO*"))</f>
        <v/>
      </c>
      <c r="U253" s="15">
        <f>IF(OR(A253="",N(Q253)=0),"",R253/Q253)</f>
        <v/>
      </c>
      <c r="V253" s="16">
        <f>IF(U253="","",REPT("█",ROUND(U253*10,0))&amp;REPT("░",10-ROUND(U253*10,0)))</f>
        <v/>
      </c>
      <c r="W253" s="14">
        <f>IF(C253="","Chưa có ngày",IF(C253&gt;TODAY(),"Còn "&amp;(C253-TODAY())&amp;" ngày",IF(IF(D253="",C253,D253)&gt;=TODAY(),"Đang diễn ra","Đã qua "&amp;(TODAY()-IF(D253="",C253,D253))&amp;" ngày")))</f>
        <v/>
      </c>
      <c r="X253" s="14">
        <f>IF(AND(A253&lt;&gt;"",P253="Có",ISNUMBER(C253)),IF(IF(D253="",C253,D253)&gt;=TODAY()-35,C253+ROW()/100000,""),"")</f>
        <v/>
      </c>
    </row>
    <row r="254">
      <c r="A254" s="46" t="n"/>
      <c r="B254" s="12" t="n"/>
      <c r="C254" s="13" t="n"/>
      <c r="D254" s="13" t="n"/>
      <c r="E254" s="14" t="n"/>
      <c r="F254" s="14" t="n"/>
      <c r="G254" s="14" t="n"/>
      <c r="H254" s="14" t="n"/>
      <c r="I254" s="46" t="n"/>
      <c r="J254" s="46" t="n"/>
      <c r="K254" s="47" t="n"/>
      <c r="L254" s="47" t="n"/>
      <c r="M254" s="47" t="n"/>
      <c r="N254" s="47" t="n"/>
      <c r="O254" s="47" t="n"/>
      <c r="P254" s="47" t="n"/>
      <c r="Q254" s="14">
        <f>IF(A254="","",COUNTIFS('Giao việc'!$O$5:$O$3004,A254,'Giao việc'!$J$5:$J$3004,"&lt;&gt;Bỏ qua"))</f>
        <v/>
      </c>
      <c r="R254" s="14">
        <f>IF(A254="","",COUNTIFS('Giao việc'!$O$5:$O$3004,A254,'Giao việc'!$J$5:$J$3004,"Xong"))</f>
        <v/>
      </c>
      <c r="S254" s="14">
        <f>IF(A254="","",COUNTIFS('Giao việc'!$O$5:$O$3004,A254,'Giao việc'!$M$5:$M$3004,"*QUÁ HẠN*"))</f>
        <v/>
      </c>
      <c r="T254" s="14">
        <f>IF(A254="","",COUNTIFS('Giao việc'!$O$5:$O$3004,A254,'Giao việc'!$M$5:$M$3004,"*CHƯA GIAO*"))</f>
        <v/>
      </c>
      <c r="U254" s="15">
        <f>IF(OR(A254="",N(Q254)=0),"",R254/Q254)</f>
        <v/>
      </c>
      <c r="V254" s="16">
        <f>IF(U254="","",REPT("█",ROUND(U254*10,0))&amp;REPT("░",10-ROUND(U254*10,0)))</f>
        <v/>
      </c>
      <c r="W254" s="14">
        <f>IF(C254="","Chưa có ngày",IF(C254&gt;TODAY(),"Còn "&amp;(C254-TODAY())&amp;" ngày",IF(IF(D254="",C254,D254)&gt;=TODAY(),"Đang diễn ra","Đã qua "&amp;(TODAY()-IF(D254="",C254,D254))&amp;" ngày")))</f>
        <v/>
      </c>
      <c r="X254" s="14">
        <f>IF(AND(A254&lt;&gt;"",P254="Có",ISNUMBER(C254)),IF(IF(D254="",C254,D254)&gt;=TODAY()-35,C254+ROW()/100000,""),"")</f>
        <v/>
      </c>
    </row>
    <row r="255">
      <c r="A255" s="46" t="n"/>
      <c r="B255" s="12" t="n"/>
      <c r="C255" s="13" t="n"/>
      <c r="D255" s="13" t="n"/>
      <c r="E255" s="14" t="n"/>
      <c r="F255" s="14" t="n"/>
      <c r="G255" s="14" t="n"/>
      <c r="H255" s="14" t="n"/>
      <c r="I255" s="46" t="n"/>
      <c r="J255" s="46" t="n"/>
      <c r="K255" s="47" t="n"/>
      <c r="L255" s="47" t="n"/>
      <c r="M255" s="47" t="n"/>
      <c r="N255" s="47" t="n"/>
      <c r="O255" s="47" t="n"/>
      <c r="P255" s="47" t="n"/>
      <c r="Q255" s="14">
        <f>IF(A255="","",COUNTIFS('Giao việc'!$O$5:$O$3004,A255,'Giao việc'!$J$5:$J$3004,"&lt;&gt;Bỏ qua"))</f>
        <v/>
      </c>
      <c r="R255" s="14">
        <f>IF(A255="","",COUNTIFS('Giao việc'!$O$5:$O$3004,A255,'Giao việc'!$J$5:$J$3004,"Xong"))</f>
        <v/>
      </c>
      <c r="S255" s="14">
        <f>IF(A255="","",COUNTIFS('Giao việc'!$O$5:$O$3004,A255,'Giao việc'!$M$5:$M$3004,"*QUÁ HẠN*"))</f>
        <v/>
      </c>
      <c r="T255" s="14">
        <f>IF(A255="","",COUNTIFS('Giao việc'!$O$5:$O$3004,A255,'Giao việc'!$M$5:$M$3004,"*CHƯA GIAO*"))</f>
        <v/>
      </c>
      <c r="U255" s="15">
        <f>IF(OR(A255="",N(Q255)=0),"",R255/Q255)</f>
        <v/>
      </c>
      <c r="V255" s="16">
        <f>IF(U255="","",REPT("█",ROUND(U255*10,0))&amp;REPT("░",10-ROUND(U255*10,0)))</f>
        <v/>
      </c>
      <c r="W255" s="14">
        <f>IF(C255="","Chưa có ngày",IF(C255&gt;TODAY(),"Còn "&amp;(C255-TODAY())&amp;" ngày",IF(IF(D255="",C255,D255)&gt;=TODAY(),"Đang diễn ra","Đã qua "&amp;(TODAY()-IF(D255="",C255,D255))&amp;" ngày")))</f>
        <v/>
      </c>
      <c r="X255" s="14">
        <f>IF(AND(A255&lt;&gt;"",P255="Có",ISNUMBER(C255)),IF(IF(D255="",C255,D255)&gt;=TODAY()-35,C255+ROW()/100000,""),"")</f>
        <v/>
      </c>
    </row>
    <row r="256">
      <c r="A256" s="46" t="n"/>
      <c r="B256" s="12" t="n"/>
      <c r="C256" s="13" t="n"/>
      <c r="D256" s="13" t="n"/>
      <c r="E256" s="14" t="n"/>
      <c r="F256" s="14" t="n"/>
      <c r="G256" s="14" t="n"/>
      <c r="H256" s="14" t="n"/>
      <c r="I256" s="46" t="n"/>
      <c r="J256" s="46" t="n"/>
      <c r="K256" s="47" t="n"/>
      <c r="L256" s="47" t="n"/>
      <c r="M256" s="47" t="n"/>
      <c r="N256" s="47" t="n"/>
      <c r="O256" s="47" t="n"/>
      <c r="P256" s="47" t="n"/>
      <c r="Q256" s="14">
        <f>IF(A256="","",COUNTIFS('Giao việc'!$O$5:$O$3004,A256,'Giao việc'!$J$5:$J$3004,"&lt;&gt;Bỏ qua"))</f>
        <v/>
      </c>
      <c r="R256" s="14">
        <f>IF(A256="","",COUNTIFS('Giao việc'!$O$5:$O$3004,A256,'Giao việc'!$J$5:$J$3004,"Xong"))</f>
        <v/>
      </c>
      <c r="S256" s="14">
        <f>IF(A256="","",COUNTIFS('Giao việc'!$O$5:$O$3004,A256,'Giao việc'!$M$5:$M$3004,"*QUÁ HẠN*"))</f>
        <v/>
      </c>
      <c r="T256" s="14">
        <f>IF(A256="","",COUNTIFS('Giao việc'!$O$5:$O$3004,A256,'Giao việc'!$M$5:$M$3004,"*CHƯA GIAO*"))</f>
        <v/>
      </c>
      <c r="U256" s="15">
        <f>IF(OR(A256="",N(Q256)=0),"",R256/Q256)</f>
        <v/>
      </c>
      <c r="V256" s="16">
        <f>IF(U256="","",REPT("█",ROUND(U256*10,0))&amp;REPT("░",10-ROUND(U256*10,0)))</f>
        <v/>
      </c>
      <c r="W256" s="14">
        <f>IF(C256="","Chưa có ngày",IF(C256&gt;TODAY(),"Còn "&amp;(C256-TODAY())&amp;" ngày",IF(IF(D256="",C256,D256)&gt;=TODAY(),"Đang diễn ra","Đã qua "&amp;(TODAY()-IF(D256="",C256,D256))&amp;" ngày")))</f>
        <v/>
      </c>
      <c r="X256" s="14">
        <f>IF(AND(A256&lt;&gt;"",P256="Có",ISNUMBER(C256)),IF(IF(D256="",C256,D256)&gt;=TODAY()-35,C256+ROW()/100000,""),"")</f>
        <v/>
      </c>
    </row>
    <row r="257">
      <c r="A257" s="46" t="n"/>
      <c r="B257" s="12" t="n"/>
      <c r="C257" s="13" t="n"/>
      <c r="D257" s="13" t="n"/>
      <c r="E257" s="14" t="n"/>
      <c r="F257" s="14" t="n"/>
      <c r="G257" s="14" t="n"/>
      <c r="H257" s="14" t="n"/>
      <c r="I257" s="46" t="n"/>
      <c r="J257" s="46" t="n"/>
      <c r="K257" s="47" t="n"/>
      <c r="L257" s="47" t="n"/>
      <c r="M257" s="47" t="n"/>
      <c r="N257" s="47" t="n"/>
      <c r="O257" s="47" t="n"/>
      <c r="P257" s="47" t="n"/>
      <c r="Q257" s="14">
        <f>IF(A257="","",COUNTIFS('Giao việc'!$O$5:$O$3004,A257,'Giao việc'!$J$5:$J$3004,"&lt;&gt;Bỏ qua"))</f>
        <v/>
      </c>
      <c r="R257" s="14">
        <f>IF(A257="","",COUNTIFS('Giao việc'!$O$5:$O$3004,A257,'Giao việc'!$J$5:$J$3004,"Xong"))</f>
        <v/>
      </c>
      <c r="S257" s="14">
        <f>IF(A257="","",COUNTIFS('Giao việc'!$O$5:$O$3004,A257,'Giao việc'!$M$5:$M$3004,"*QUÁ HẠN*"))</f>
        <v/>
      </c>
      <c r="T257" s="14">
        <f>IF(A257="","",COUNTIFS('Giao việc'!$O$5:$O$3004,A257,'Giao việc'!$M$5:$M$3004,"*CHƯA GIAO*"))</f>
        <v/>
      </c>
      <c r="U257" s="15">
        <f>IF(OR(A257="",N(Q257)=0),"",R257/Q257)</f>
        <v/>
      </c>
      <c r="V257" s="16">
        <f>IF(U257="","",REPT("█",ROUND(U257*10,0))&amp;REPT("░",10-ROUND(U257*10,0)))</f>
        <v/>
      </c>
      <c r="W257" s="14">
        <f>IF(C257="","Chưa có ngày",IF(C257&gt;TODAY(),"Còn "&amp;(C257-TODAY())&amp;" ngày",IF(IF(D257="",C257,D257)&gt;=TODAY(),"Đang diễn ra","Đã qua "&amp;(TODAY()-IF(D257="",C257,D257))&amp;" ngày")))</f>
        <v/>
      </c>
      <c r="X257" s="14">
        <f>IF(AND(A257&lt;&gt;"",P257="Có",ISNUMBER(C257)),IF(IF(D257="",C257,D257)&gt;=TODAY()-35,C257+ROW()/100000,""),"")</f>
        <v/>
      </c>
    </row>
    <row r="258">
      <c r="A258" s="46" t="n"/>
      <c r="B258" s="12" t="n"/>
      <c r="C258" s="13" t="n"/>
      <c r="D258" s="13" t="n"/>
      <c r="E258" s="14" t="n"/>
      <c r="F258" s="14" t="n"/>
      <c r="G258" s="14" t="n"/>
      <c r="H258" s="14" t="n"/>
      <c r="I258" s="46" t="n"/>
      <c r="J258" s="46" t="n"/>
      <c r="K258" s="47" t="n"/>
      <c r="L258" s="47" t="n"/>
      <c r="M258" s="47" t="n"/>
      <c r="N258" s="47" t="n"/>
      <c r="O258" s="47" t="n"/>
      <c r="P258" s="47" t="n"/>
      <c r="Q258" s="14">
        <f>IF(A258="","",COUNTIFS('Giao việc'!$O$5:$O$3004,A258,'Giao việc'!$J$5:$J$3004,"&lt;&gt;Bỏ qua"))</f>
        <v/>
      </c>
      <c r="R258" s="14">
        <f>IF(A258="","",COUNTIFS('Giao việc'!$O$5:$O$3004,A258,'Giao việc'!$J$5:$J$3004,"Xong"))</f>
        <v/>
      </c>
      <c r="S258" s="14">
        <f>IF(A258="","",COUNTIFS('Giao việc'!$O$5:$O$3004,A258,'Giao việc'!$M$5:$M$3004,"*QUÁ HẠN*"))</f>
        <v/>
      </c>
      <c r="T258" s="14">
        <f>IF(A258="","",COUNTIFS('Giao việc'!$O$5:$O$3004,A258,'Giao việc'!$M$5:$M$3004,"*CHƯA GIAO*"))</f>
        <v/>
      </c>
      <c r="U258" s="15">
        <f>IF(OR(A258="",N(Q258)=0),"",R258/Q258)</f>
        <v/>
      </c>
      <c r="V258" s="16">
        <f>IF(U258="","",REPT("█",ROUND(U258*10,0))&amp;REPT("░",10-ROUND(U258*10,0)))</f>
        <v/>
      </c>
      <c r="W258" s="14">
        <f>IF(C258="","Chưa có ngày",IF(C258&gt;TODAY(),"Còn "&amp;(C258-TODAY())&amp;" ngày",IF(IF(D258="",C258,D258)&gt;=TODAY(),"Đang diễn ra","Đã qua "&amp;(TODAY()-IF(D258="",C258,D258))&amp;" ngày")))</f>
        <v/>
      </c>
      <c r="X258" s="14">
        <f>IF(AND(A258&lt;&gt;"",P258="Có",ISNUMBER(C258)),IF(IF(D258="",C258,D258)&gt;=TODAY()-35,C258+ROW()/100000,""),"")</f>
        <v/>
      </c>
    </row>
    <row r="259">
      <c r="A259" s="46" t="n"/>
      <c r="B259" s="12" t="n"/>
      <c r="C259" s="13" t="n"/>
      <c r="D259" s="13" t="n"/>
      <c r="E259" s="14" t="n"/>
      <c r="F259" s="14" t="n"/>
      <c r="G259" s="14" t="n"/>
      <c r="H259" s="14" t="n"/>
      <c r="I259" s="46" t="n"/>
      <c r="J259" s="46" t="n"/>
      <c r="K259" s="47" t="n"/>
      <c r="L259" s="47" t="n"/>
      <c r="M259" s="47" t="n"/>
      <c r="N259" s="47" t="n"/>
      <c r="O259" s="47" t="n"/>
      <c r="P259" s="47" t="n"/>
      <c r="Q259" s="14">
        <f>IF(A259="","",COUNTIFS('Giao việc'!$O$5:$O$3004,A259,'Giao việc'!$J$5:$J$3004,"&lt;&gt;Bỏ qua"))</f>
        <v/>
      </c>
      <c r="R259" s="14">
        <f>IF(A259="","",COUNTIFS('Giao việc'!$O$5:$O$3004,A259,'Giao việc'!$J$5:$J$3004,"Xong"))</f>
        <v/>
      </c>
      <c r="S259" s="14">
        <f>IF(A259="","",COUNTIFS('Giao việc'!$O$5:$O$3004,A259,'Giao việc'!$M$5:$M$3004,"*QUÁ HẠN*"))</f>
        <v/>
      </c>
      <c r="T259" s="14">
        <f>IF(A259="","",COUNTIFS('Giao việc'!$O$5:$O$3004,A259,'Giao việc'!$M$5:$M$3004,"*CHƯA GIAO*"))</f>
        <v/>
      </c>
      <c r="U259" s="15">
        <f>IF(OR(A259="",N(Q259)=0),"",R259/Q259)</f>
        <v/>
      </c>
      <c r="V259" s="16">
        <f>IF(U259="","",REPT("█",ROUND(U259*10,0))&amp;REPT("░",10-ROUND(U259*10,0)))</f>
        <v/>
      </c>
      <c r="W259" s="14">
        <f>IF(C259="","Chưa có ngày",IF(C259&gt;TODAY(),"Còn "&amp;(C259-TODAY())&amp;" ngày",IF(IF(D259="",C259,D259)&gt;=TODAY(),"Đang diễn ra","Đã qua "&amp;(TODAY()-IF(D259="",C259,D259))&amp;" ngày")))</f>
        <v/>
      </c>
      <c r="X259" s="14">
        <f>IF(AND(A259&lt;&gt;"",P259="Có",ISNUMBER(C259)),IF(IF(D259="",C259,D259)&gt;=TODAY()-35,C259+ROW()/100000,""),"")</f>
        <v/>
      </c>
    </row>
    <row r="260">
      <c r="A260" s="46" t="n"/>
      <c r="B260" s="12" t="n"/>
      <c r="C260" s="13" t="n"/>
      <c r="D260" s="13" t="n"/>
      <c r="E260" s="14" t="n"/>
      <c r="F260" s="14" t="n"/>
      <c r="G260" s="14" t="n"/>
      <c r="H260" s="14" t="n"/>
      <c r="I260" s="46" t="n"/>
      <c r="J260" s="46" t="n"/>
      <c r="K260" s="47" t="n"/>
      <c r="L260" s="47" t="n"/>
      <c r="M260" s="47" t="n"/>
      <c r="N260" s="47" t="n"/>
      <c r="O260" s="47" t="n"/>
      <c r="P260" s="47" t="n"/>
      <c r="Q260" s="14">
        <f>IF(A260="","",COUNTIFS('Giao việc'!$O$5:$O$3004,A260,'Giao việc'!$J$5:$J$3004,"&lt;&gt;Bỏ qua"))</f>
        <v/>
      </c>
      <c r="R260" s="14">
        <f>IF(A260="","",COUNTIFS('Giao việc'!$O$5:$O$3004,A260,'Giao việc'!$J$5:$J$3004,"Xong"))</f>
        <v/>
      </c>
      <c r="S260" s="14">
        <f>IF(A260="","",COUNTIFS('Giao việc'!$O$5:$O$3004,A260,'Giao việc'!$M$5:$M$3004,"*QUÁ HẠN*"))</f>
        <v/>
      </c>
      <c r="T260" s="14">
        <f>IF(A260="","",COUNTIFS('Giao việc'!$O$5:$O$3004,A260,'Giao việc'!$M$5:$M$3004,"*CHƯA GIAO*"))</f>
        <v/>
      </c>
      <c r="U260" s="15">
        <f>IF(OR(A260="",N(Q260)=0),"",R260/Q260)</f>
        <v/>
      </c>
      <c r="V260" s="16">
        <f>IF(U260="","",REPT("█",ROUND(U260*10,0))&amp;REPT("░",10-ROUND(U260*10,0)))</f>
        <v/>
      </c>
      <c r="W260" s="14">
        <f>IF(C260="","Chưa có ngày",IF(C260&gt;TODAY(),"Còn "&amp;(C260-TODAY())&amp;" ngày",IF(IF(D260="",C260,D260)&gt;=TODAY(),"Đang diễn ra","Đã qua "&amp;(TODAY()-IF(D260="",C260,D260))&amp;" ngày")))</f>
        <v/>
      </c>
      <c r="X260" s="14">
        <f>IF(AND(A260&lt;&gt;"",P260="Có",ISNUMBER(C260)),IF(IF(D260="",C260,D260)&gt;=TODAY()-35,C260+ROW()/100000,""),"")</f>
        <v/>
      </c>
    </row>
    <row r="261">
      <c r="A261" s="46" t="n"/>
      <c r="B261" s="12" t="n"/>
      <c r="C261" s="13" t="n"/>
      <c r="D261" s="13" t="n"/>
      <c r="E261" s="14" t="n"/>
      <c r="F261" s="14" t="n"/>
      <c r="G261" s="14" t="n"/>
      <c r="H261" s="14" t="n"/>
      <c r="I261" s="46" t="n"/>
      <c r="J261" s="46" t="n"/>
      <c r="K261" s="47" t="n"/>
      <c r="L261" s="47" t="n"/>
      <c r="M261" s="47" t="n"/>
      <c r="N261" s="47" t="n"/>
      <c r="O261" s="47" t="n"/>
      <c r="P261" s="47" t="n"/>
      <c r="Q261" s="14">
        <f>IF(A261="","",COUNTIFS('Giao việc'!$O$5:$O$3004,A261,'Giao việc'!$J$5:$J$3004,"&lt;&gt;Bỏ qua"))</f>
        <v/>
      </c>
      <c r="R261" s="14">
        <f>IF(A261="","",COUNTIFS('Giao việc'!$O$5:$O$3004,A261,'Giao việc'!$J$5:$J$3004,"Xong"))</f>
        <v/>
      </c>
      <c r="S261" s="14">
        <f>IF(A261="","",COUNTIFS('Giao việc'!$O$5:$O$3004,A261,'Giao việc'!$M$5:$M$3004,"*QUÁ HẠN*"))</f>
        <v/>
      </c>
      <c r="T261" s="14">
        <f>IF(A261="","",COUNTIFS('Giao việc'!$O$5:$O$3004,A261,'Giao việc'!$M$5:$M$3004,"*CHƯA GIAO*"))</f>
        <v/>
      </c>
      <c r="U261" s="15">
        <f>IF(OR(A261="",N(Q261)=0),"",R261/Q261)</f>
        <v/>
      </c>
      <c r="V261" s="16">
        <f>IF(U261="","",REPT("█",ROUND(U261*10,0))&amp;REPT("░",10-ROUND(U261*10,0)))</f>
        <v/>
      </c>
      <c r="W261" s="14">
        <f>IF(C261="","Chưa có ngày",IF(C261&gt;TODAY(),"Còn "&amp;(C261-TODAY())&amp;" ngày",IF(IF(D261="",C261,D261)&gt;=TODAY(),"Đang diễn ra","Đã qua "&amp;(TODAY()-IF(D261="",C261,D261))&amp;" ngày")))</f>
        <v/>
      </c>
      <c r="X261" s="14">
        <f>IF(AND(A261&lt;&gt;"",P261="Có",ISNUMBER(C261)),IF(IF(D261="",C261,D261)&gt;=TODAY()-35,C261+ROW()/100000,""),"")</f>
        <v/>
      </c>
    </row>
    <row r="262">
      <c r="A262" s="46" t="n"/>
      <c r="B262" s="12" t="n"/>
      <c r="C262" s="13" t="n"/>
      <c r="D262" s="13" t="n"/>
      <c r="E262" s="14" t="n"/>
      <c r="F262" s="14" t="n"/>
      <c r="G262" s="14" t="n"/>
      <c r="H262" s="14" t="n"/>
      <c r="I262" s="46" t="n"/>
      <c r="J262" s="46" t="n"/>
      <c r="K262" s="47" t="n"/>
      <c r="L262" s="47" t="n"/>
      <c r="M262" s="47" t="n"/>
      <c r="N262" s="47" t="n"/>
      <c r="O262" s="47" t="n"/>
      <c r="P262" s="47" t="n"/>
      <c r="Q262" s="14">
        <f>IF(A262="","",COUNTIFS('Giao việc'!$O$5:$O$3004,A262,'Giao việc'!$J$5:$J$3004,"&lt;&gt;Bỏ qua"))</f>
        <v/>
      </c>
      <c r="R262" s="14">
        <f>IF(A262="","",COUNTIFS('Giao việc'!$O$5:$O$3004,A262,'Giao việc'!$J$5:$J$3004,"Xong"))</f>
        <v/>
      </c>
      <c r="S262" s="14">
        <f>IF(A262="","",COUNTIFS('Giao việc'!$O$5:$O$3004,A262,'Giao việc'!$M$5:$M$3004,"*QUÁ HẠN*"))</f>
        <v/>
      </c>
      <c r="T262" s="14">
        <f>IF(A262="","",COUNTIFS('Giao việc'!$O$5:$O$3004,A262,'Giao việc'!$M$5:$M$3004,"*CHƯA GIAO*"))</f>
        <v/>
      </c>
      <c r="U262" s="15">
        <f>IF(OR(A262="",N(Q262)=0),"",R262/Q262)</f>
        <v/>
      </c>
      <c r="V262" s="16">
        <f>IF(U262="","",REPT("█",ROUND(U262*10,0))&amp;REPT("░",10-ROUND(U262*10,0)))</f>
        <v/>
      </c>
      <c r="W262" s="14">
        <f>IF(C262="","Chưa có ngày",IF(C262&gt;TODAY(),"Còn "&amp;(C262-TODAY())&amp;" ngày",IF(IF(D262="",C262,D262)&gt;=TODAY(),"Đang diễn ra","Đã qua "&amp;(TODAY()-IF(D262="",C262,D262))&amp;" ngày")))</f>
        <v/>
      </c>
      <c r="X262" s="14">
        <f>IF(AND(A262&lt;&gt;"",P262="Có",ISNUMBER(C262)),IF(IF(D262="",C262,D262)&gt;=TODAY()-35,C262+ROW()/100000,""),"")</f>
        <v/>
      </c>
    </row>
    <row r="263">
      <c r="A263" s="46" t="n"/>
      <c r="B263" s="12" t="n"/>
      <c r="C263" s="13" t="n"/>
      <c r="D263" s="13" t="n"/>
      <c r="E263" s="14" t="n"/>
      <c r="F263" s="14" t="n"/>
      <c r="G263" s="14" t="n"/>
      <c r="H263" s="14" t="n"/>
      <c r="I263" s="46" t="n"/>
      <c r="J263" s="46" t="n"/>
      <c r="K263" s="47" t="n"/>
      <c r="L263" s="47" t="n"/>
      <c r="M263" s="47" t="n"/>
      <c r="N263" s="47" t="n"/>
      <c r="O263" s="47" t="n"/>
      <c r="P263" s="47" t="n"/>
      <c r="Q263" s="14">
        <f>IF(A263="","",COUNTIFS('Giao việc'!$O$5:$O$3004,A263,'Giao việc'!$J$5:$J$3004,"&lt;&gt;Bỏ qua"))</f>
        <v/>
      </c>
      <c r="R263" s="14">
        <f>IF(A263="","",COUNTIFS('Giao việc'!$O$5:$O$3004,A263,'Giao việc'!$J$5:$J$3004,"Xong"))</f>
        <v/>
      </c>
      <c r="S263" s="14">
        <f>IF(A263="","",COUNTIFS('Giao việc'!$O$5:$O$3004,A263,'Giao việc'!$M$5:$M$3004,"*QUÁ HẠN*"))</f>
        <v/>
      </c>
      <c r="T263" s="14">
        <f>IF(A263="","",COUNTIFS('Giao việc'!$O$5:$O$3004,A263,'Giao việc'!$M$5:$M$3004,"*CHƯA GIAO*"))</f>
        <v/>
      </c>
      <c r="U263" s="15">
        <f>IF(OR(A263="",N(Q263)=0),"",R263/Q263)</f>
        <v/>
      </c>
      <c r="V263" s="16">
        <f>IF(U263="","",REPT("█",ROUND(U263*10,0))&amp;REPT("░",10-ROUND(U263*10,0)))</f>
        <v/>
      </c>
      <c r="W263" s="14">
        <f>IF(C263="","Chưa có ngày",IF(C263&gt;TODAY(),"Còn "&amp;(C263-TODAY())&amp;" ngày",IF(IF(D263="",C263,D263)&gt;=TODAY(),"Đang diễn ra","Đã qua "&amp;(TODAY()-IF(D263="",C263,D263))&amp;" ngày")))</f>
        <v/>
      </c>
      <c r="X263" s="14">
        <f>IF(AND(A263&lt;&gt;"",P263="Có",ISNUMBER(C263)),IF(IF(D263="",C263,D263)&gt;=TODAY()-35,C263+ROW()/100000,""),"")</f>
        <v/>
      </c>
    </row>
    <row r="264">
      <c r="A264" s="46" t="n"/>
      <c r="B264" s="12" t="n"/>
      <c r="C264" s="13" t="n"/>
      <c r="D264" s="13" t="n"/>
      <c r="E264" s="14" t="n"/>
      <c r="F264" s="14" t="n"/>
      <c r="G264" s="14" t="n"/>
      <c r="H264" s="14" t="n"/>
      <c r="I264" s="46" t="n"/>
      <c r="J264" s="46" t="n"/>
      <c r="K264" s="47" t="n"/>
      <c r="L264" s="47" t="n"/>
      <c r="M264" s="47" t="n"/>
      <c r="N264" s="47" t="n"/>
      <c r="O264" s="47" t="n"/>
      <c r="P264" s="47" t="n"/>
      <c r="Q264" s="14">
        <f>IF(A264="","",COUNTIFS('Giao việc'!$O$5:$O$3004,A264,'Giao việc'!$J$5:$J$3004,"&lt;&gt;Bỏ qua"))</f>
        <v/>
      </c>
      <c r="R264" s="14">
        <f>IF(A264="","",COUNTIFS('Giao việc'!$O$5:$O$3004,A264,'Giao việc'!$J$5:$J$3004,"Xong"))</f>
        <v/>
      </c>
      <c r="S264" s="14">
        <f>IF(A264="","",COUNTIFS('Giao việc'!$O$5:$O$3004,A264,'Giao việc'!$M$5:$M$3004,"*QUÁ HẠN*"))</f>
        <v/>
      </c>
      <c r="T264" s="14">
        <f>IF(A264="","",COUNTIFS('Giao việc'!$O$5:$O$3004,A264,'Giao việc'!$M$5:$M$3004,"*CHƯA GIAO*"))</f>
        <v/>
      </c>
      <c r="U264" s="15">
        <f>IF(OR(A264="",N(Q264)=0),"",R264/Q264)</f>
        <v/>
      </c>
      <c r="V264" s="16">
        <f>IF(U264="","",REPT("█",ROUND(U264*10,0))&amp;REPT("░",10-ROUND(U264*10,0)))</f>
        <v/>
      </c>
      <c r="W264" s="14">
        <f>IF(C264="","Chưa có ngày",IF(C264&gt;TODAY(),"Còn "&amp;(C264-TODAY())&amp;" ngày",IF(IF(D264="",C264,D264)&gt;=TODAY(),"Đang diễn ra","Đã qua "&amp;(TODAY()-IF(D264="",C264,D264))&amp;" ngày")))</f>
        <v/>
      </c>
      <c r="X264" s="14">
        <f>IF(AND(A264&lt;&gt;"",P264="Có",ISNUMBER(C264)),IF(IF(D264="",C264,D264)&gt;=TODAY()-35,C264+ROW()/100000,""),"")</f>
        <v/>
      </c>
    </row>
    <row r="265">
      <c r="A265" s="46" t="n"/>
      <c r="B265" s="12" t="n"/>
      <c r="C265" s="13" t="n"/>
      <c r="D265" s="13" t="n"/>
      <c r="E265" s="14" t="n"/>
      <c r="F265" s="14" t="n"/>
      <c r="G265" s="14" t="n"/>
      <c r="H265" s="14" t="n"/>
      <c r="I265" s="46" t="n"/>
      <c r="J265" s="46" t="n"/>
      <c r="K265" s="47" t="n"/>
      <c r="L265" s="47" t="n"/>
      <c r="M265" s="47" t="n"/>
      <c r="N265" s="47" t="n"/>
      <c r="O265" s="47" t="n"/>
      <c r="P265" s="47" t="n"/>
      <c r="Q265" s="14">
        <f>IF(A265="","",COUNTIFS('Giao việc'!$O$5:$O$3004,A265,'Giao việc'!$J$5:$J$3004,"&lt;&gt;Bỏ qua"))</f>
        <v/>
      </c>
      <c r="R265" s="14">
        <f>IF(A265="","",COUNTIFS('Giao việc'!$O$5:$O$3004,A265,'Giao việc'!$J$5:$J$3004,"Xong"))</f>
        <v/>
      </c>
      <c r="S265" s="14">
        <f>IF(A265="","",COUNTIFS('Giao việc'!$O$5:$O$3004,A265,'Giao việc'!$M$5:$M$3004,"*QUÁ HẠN*"))</f>
        <v/>
      </c>
      <c r="T265" s="14">
        <f>IF(A265="","",COUNTIFS('Giao việc'!$O$5:$O$3004,A265,'Giao việc'!$M$5:$M$3004,"*CHƯA GIAO*"))</f>
        <v/>
      </c>
      <c r="U265" s="15">
        <f>IF(OR(A265="",N(Q265)=0),"",R265/Q265)</f>
        <v/>
      </c>
      <c r="V265" s="16">
        <f>IF(U265="","",REPT("█",ROUND(U265*10,0))&amp;REPT("░",10-ROUND(U265*10,0)))</f>
        <v/>
      </c>
      <c r="W265" s="14">
        <f>IF(C265="","Chưa có ngày",IF(C265&gt;TODAY(),"Còn "&amp;(C265-TODAY())&amp;" ngày",IF(IF(D265="",C265,D265)&gt;=TODAY(),"Đang diễn ra","Đã qua "&amp;(TODAY()-IF(D265="",C265,D265))&amp;" ngày")))</f>
        <v/>
      </c>
      <c r="X265" s="14">
        <f>IF(AND(A265&lt;&gt;"",P265="Có",ISNUMBER(C265)),IF(IF(D265="",C265,D265)&gt;=TODAY()-35,C265+ROW()/100000,""),"")</f>
        <v/>
      </c>
    </row>
    <row r="266">
      <c r="A266" s="46" t="n"/>
      <c r="B266" s="12" t="n"/>
      <c r="C266" s="13" t="n"/>
      <c r="D266" s="13" t="n"/>
      <c r="E266" s="14" t="n"/>
      <c r="F266" s="14" t="n"/>
      <c r="G266" s="14" t="n"/>
      <c r="H266" s="14" t="n"/>
      <c r="I266" s="46" t="n"/>
      <c r="J266" s="46" t="n"/>
      <c r="K266" s="47" t="n"/>
      <c r="L266" s="47" t="n"/>
      <c r="M266" s="47" t="n"/>
      <c r="N266" s="47" t="n"/>
      <c r="O266" s="47" t="n"/>
      <c r="P266" s="47" t="n"/>
      <c r="Q266" s="14">
        <f>IF(A266="","",COUNTIFS('Giao việc'!$O$5:$O$3004,A266,'Giao việc'!$J$5:$J$3004,"&lt;&gt;Bỏ qua"))</f>
        <v/>
      </c>
      <c r="R266" s="14">
        <f>IF(A266="","",COUNTIFS('Giao việc'!$O$5:$O$3004,A266,'Giao việc'!$J$5:$J$3004,"Xong"))</f>
        <v/>
      </c>
      <c r="S266" s="14">
        <f>IF(A266="","",COUNTIFS('Giao việc'!$O$5:$O$3004,A266,'Giao việc'!$M$5:$M$3004,"*QUÁ HẠN*"))</f>
        <v/>
      </c>
      <c r="T266" s="14">
        <f>IF(A266="","",COUNTIFS('Giao việc'!$O$5:$O$3004,A266,'Giao việc'!$M$5:$M$3004,"*CHƯA GIAO*"))</f>
        <v/>
      </c>
      <c r="U266" s="15">
        <f>IF(OR(A266="",N(Q266)=0),"",R266/Q266)</f>
        <v/>
      </c>
      <c r="V266" s="16">
        <f>IF(U266="","",REPT("█",ROUND(U266*10,0))&amp;REPT("░",10-ROUND(U266*10,0)))</f>
        <v/>
      </c>
      <c r="W266" s="14">
        <f>IF(C266="","Chưa có ngày",IF(C266&gt;TODAY(),"Còn "&amp;(C266-TODAY())&amp;" ngày",IF(IF(D266="",C266,D266)&gt;=TODAY(),"Đang diễn ra","Đã qua "&amp;(TODAY()-IF(D266="",C266,D266))&amp;" ngày")))</f>
        <v/>
      </c>
      <c r="X266" s="14">
        <f>IF(AND(A266&lt;&gt;"",P266="Có",ISNUMBER(C266)),IF(IF(D266="",C266,D266)&gt;=TODAY()-35,C266+ROW()/100000,""),"")</f>
        <v/>
      </c>
    </row>
    <row r="267">
      <c r="A267" s="46" t="n"/>
      <c r="B267" s="12" t="n"/>
      <c r="C267" s="13" t="n"/>
      <c r="D267" s="13" t="n"/>
      <c r="E267" s="14" t="n"/>
      <c r="F267" s="14" t="n"/>
      <c r="G267" s="14" t="n"/>
      <c r="H267" s="14" t="n"/>
      <c r="I267" s="46" t="n"/>
      <c r="J267" s="46" t="n"/>
      <c r="K267" s="47" t="n"/>
      <c r="L267" s="47" t="n"/>
      <c r="M267" s="47" t="n"/>
      <c r="N267" s="47" t="n"/>
      <c r="O267" s="47" t="n"/>
      <c r="P267" s="47" t="n"/>
      <c r="Q267" s="14">
        <f>IF(A267="","",COUNTIFS('Giao việc'!$O$5:$O$3004,A267,'Giao việc'!$J$5:$J$3004,"&lt;&gt;Bỏ qua"))</f>
        <v/>
      </c>
      <c r="R267" s="14">
        <f>IF(A267="","",COUNTIFS('Giao việc'!$O$5:$O$3004,A267,'Giao việc'!$J$5:$J$3004,"Xong"))</f>
        <v/>
      </c>
      <c r="S267" s="14">
        <f>IF(A267="","",COUNTIFS('Giao việc'!$O$5:$O$3004,A267,'Giao việc'!$M$5:$M$3004,"*QUÁ HẠN*"))</f>
        <v/>
      </c>
      <c r="T267" s="14">
        <f>IF(A267="","",COUNTIFS('Giao việc'!$O$5:$O$3004,A267,'Giao việc'!$M$5:$M$3004,"*CHƯA GIAO*"))</f>
        <v/>
      </c>
      <c r="U267" s="15">
        <f>IF(OR(A267="",N(Q267)=0),"",R267/Q267)</f>
        <v/>
      </c>
      <c r="V267" s="16">
        <f>IF(U267="","",REPT("█",ROUND(U267*10,0))&amp;REPT("░",10-ROUND(U267*10,0)))</f>
        <v/>
      </c>
      <c r="W267" s="14">
        <f>IF(C267="","Chưa có ngày",IF(C267&gt;TODAY(),"Còn "&amp;(C267-TODAY())&amp;" ngày",IF(IF(D267="",C267,D267)&gt;=TODAY(),"Đang diễn ra","Đã qua "&amp;(TODAY()-IF(D267="",C267,D267))&amp;" ngày")))</f>
        <v/>
      </c>
      <c r="X267" s="14">
        <f>IF(AND(A267&lt;&gt;"",P267="Có",ISNUMBER(C267)),IF(IF(D267="",C267,D267)&gt;=TODAY()-35,C267+ROW()/100000,""),"")</f>
        <v/>
      </c>
    </row>
    <row r="268">
      <c r="A268" s="46" t="n"/>
      <c r="B268" s="12" t="n"/>
      <c r="C268" s="13" t="n"/>
      <c r="D268" s="13" t="n"/>
      <c r="E268" s="14" t="n"/>
      <c r="F268" s="14" t="n"/>
      <c r="G268" s="14" t="n"/>
      <c r="H268" s="14" t="n"/>
      <c r="I268" s="46" t="n"/>
      <c r="J268" s="46" t="n"/>
      <c r="K268" s="47" t="n"/>
      <c r="L268" s="47" t="n"/>
      <c r="M268" s="47" t="n"/>
      <c r="N268" s="47" t="n"/>
      <c r="O268" s="47" t="n"/>
      <c r="P268" s="47" t="n"/>
      <c r="Q268" s="14">
        <f>IF(A268="","",COUNTIFS('Giao việc'!$O$5:$O$3004,A268,'Giao việc'!$J$5:$J$3004,"&lt;&gt;Bỏ qua"))</f>
        <v/>
      </c>
      <c r="R268" s="14">
        <f>IF(A268="","",COUNTIFS('Giao việc'!$O$5:$O$3004,A268,'Giao việc'!$J$5:$J$3004,"Xong"))</f>
        <v/>
      </c>
      <c r="S268" s="14">
        <f>IF(A268="","",COUNTIFS('Giao việc'!$O$5:$O$3004,A268,'Giao việc'!$M$5:$M$3004,"*QUÁ HẠN*"))</f>
        <v/>
      </c>
      <c r="T268" s="14">
        <f>IF(A268="","",COUNTIFS('Giao việc'!$O$5:$O$3004,A268,'Giao việc'!$M$5:$M$3004,"*CHƯA GIAO*"))</f>
        <v/>
      </c>
      <c r="U268" s="15">
        <f>IF(OR(A268="",N(Q268)=0),"",R268/Q268)</f>
        <v/>
      </c>
      <c r="V268" s="16">
        <f>IF(U268="","",REPT("█",ROUND(U268*10,0))&amp;REPT("░",10-ROUND(U268*10,0)))</f>
        <v/>
      </c>
      <c r="W268" s="14">
        <f>IF(C268="","Chưa có ngày",IF(C268&gt;TODAY(),"Còn "&amp;(C268-TODAY())&amp;" ngày",IF(IF(D268="",C268,D268)&gt;=TODAY(),"Đang diễn ra","Đã qua "&amp;(TODAY()-IF(D268="",C268,D268))&amp;" ngày")))</f>
        <v/>
      </c>
      <c r="X268" s="14">
        <f>IF(AND(A268&lt;&gt;"",P268="Có",ISNUMBER(C268)),IF(IF(D268="",C268,D268)&gt;=TODAY()-35,C268+ROW()/100000,""),"")</f>
        <v/>
      </c>
    </row>
    <row r="269">
      <c r="A269" s="46" t="n"/>
      <c r="B269" s="12" t="n"/>
      <c r="C269" s="13" t="n"/>
      <c r="D269" s="13" t="n"/>
      <c r="E269" s="14" t="n"/>
      <c r="F269" s="14" t="n"/>
      <c r="G269" s="14" t="n"/>
      <c r="H269" s="14" t="n"/>
      <c r="I269" s="46" t="n"/>
      <c r="J269" s="46" t="n"/>
      <c r="K269" s="47" t="n"/>
      <c r="L269" s="47" t="n"/>
      <c r="M269" s="47" t="n"/>
      <c r="N269" s="47" t="n"/>
      <c r="O269" s="47" t="n"/>
      <c r="P269" s="47" t="n"/>
      <c r="Q269" s="14">
        <f>IF(A269="","",COUNTIFS('Giao việc'!$O$5:$O$3004,A269,'Giao việc'!$J$5:$J$3004,"&lt;&gt;Bỏ qua"))</f>
        <v/>
      </c>
      <c r="R269" s="14">
        <f>IF(A269="","",COUNTIFS('Giao việc'!$O$5:$O$3004,A269,'Giao việc'!$J$5:$J$3004,"Xong"))</f>
        <v/>
      </c>
      <c r="S269" s="14">
        <f>IF(A269="","",COUNTIFS('Giao việc'!$O$5:$O$3004,A269,'Giao việc'!$M$5:$M$3004,"*QUÁ HẠN*"))</f>
        <v/>
      </c>
      <c r="T269" s="14">
        <f>IF(A269="","",COUNTIFS('Giao việc'!$O$5:$O$3004,A269,'Giao việc'!$M$5:$M$3004,"*CHƯA GIAO*"))</f>
        <v/>
      </c>
      <c r="U269" s="15">
        <f>IF(OR(A269="",N(Q269)=0),"",R269/Q269)</f>
        <v/>
      </c>
      <c r="V269" s="16">
        <f>IF(U269="","",REPT("█",ROUND(U269*10,0))&amp;REPT("░",10-ROUND(U269*10,0)))</f>
        <v/>
      </c>
      <c r="W269" s="14">
        <f>IF(C269="","Chưa có ngày",IF(C269&gt;TODAY(),"Còn "&amp;(C269-TODAY())&amp;" ngày",IF(IF(D269="",C269,D269)&gt;=TODAY(),"Đang diễn ra","Đã qua "&amp;(TODAY()-IF(D269="",C269,D269))&amp;" ngày")))</f>
        <v/>
      </c>
      <c r="X269" s="14">
        <f>IF(AND(A269&lt;&gt;"",P269="Có",ISNUMBER(C269)),IF(IF(D269="",C269,D269)&gt;=TODAY()-35,C269+ROW()/100000,""),"")</f>
        <v/>
      </c>
    </row>
    <row r="270">
      <c r="A270" s="46" t="n"/>
      <c r="B270" s="12" t="n"/>
      <c r="C270" s="13" t="n"/>
      <c r="D270" s="13" t="n"/>
      <c r="E270" s="14" t="n"/>
      <c r="F270" s="14" t="n"/>
      <c r="G270" s="14" t="n"/>
      <c r="H270" s="14" t="n"/>
      <c r="I270" s="46" t="n"/>
      <c r="J270" s="46" t="n"/>
      <c r="K270" s="47" t="n"/>
      <c r="L270" s="47" t="n"/>
      <c r="M270" s="47" t="n"/>
      <c r="N270" s="47" t="n"/>
      <c r="O270" s="47" t="n"/>
      <c r="P270" s="47" t="n"/>
      <c r="Q270" s="14">
        <f>IF(A270="","",COUNTIFS('Giao việc'!$O$5:$O$3004,A270,'Giao việc'!$J$5:$J$3004,"&lt;&gt;Bỏ qua"))</f>
        <v/>
      </c>
      <c r="R270" s="14">
        <f>IF(A270="","",COUNTIFS('Giao việc'!$O$5:$O$3004,A270,'Giao việc'!$J$5:$J$3004,"Xong"))</f>
        <v/>
      </c>
      <c r="S270" s="14">
        <f>IF(A270="","",COUNTIFS('Giao việc'!$O$5:$O$3004,A270,'Giao việc'!$M$5:$M$3004,"*QUÁ HẠN*"))</f>
        <v/>
      </c>
      <c r="T270" s="14">
        <f>IF(A270="","",COUNTIFS('Giao việc'!$O$5:$O$3004,A270,'Giao việc'!$M$5:$M$3004,"*CHƯA GIAO*"))</f>
        <v/>
      </c>
      <c r="U270" s="15">
        <f>IF(OR(A270="",N(Q270)=0),"",R270/Q270)</f>
        <v/>
      </c>
      <c r="V270" s="16">
        <f>IF(U270="","",REPT("█",ROUND(U270*10,0))&amp;REPT("░",10-ROUND(U270*10,0)))</f>
        <v/>
      </c>
      <c r="W270" s="14">
        <f>IF(C270="","Chưa có ngày",IF(C270&gt;TODAY(),"Còn "&amp;(C270-TODAY())&amp;" ngày",IF(IF(D270="",C270,D270)&gt;=TODAY(),"Đang diễn ra","Đã qua "&amp;(TODAY()-IF(D270="",C270,D270))&amp;" ngày")))</f>
        <v/>
      </c>
      <c r="X270" s="14">
        <f>IF(AND(A270&lt;&gt;"",P270="Có",ISNUMBER(C270)),IF(IF(D270="",C270,D270)&gt;=TODAY()-35,C270+ROW()/100000,""),"")</f>
        <v/>
      </c>
    </row>
    <row r="271">
      <c r="A271" s="46" t="n"/>
      <c r="B271" s="12" t="n"/>
      <c r="C271" s="13" t="n"/>
      <c r="D271" s="13" t="n"/>
      <c r="E271" s="14" t="n"/>
      <c r="F271" s="14" t="n"/>
      <c r="G271" s="14" t="n"/>
      <c r="H271" s="14" t="n"/>
      <c r="I271" s="46" t="n"/>
      <c r="J271" s="46" t="n"/>
      <c r="K271" s="47" t="n"/>
      <c r="L271" s="47" t="n"/>
      <c r="M271" s="47" t="n"/>
      <c r="N271" s="47" t="n"/>
      <c r="O271" s="47" t="n"/>
      <c r="P271" s="47" t="n"/>
      <c r="Q271" s="14">
        <f>IF(A271="","",COUNTIFS('Giao việc'!$O$5:$O$3004,A271,'Giao việc'!$J$5:$J$3004,"&lt;&gt;Bỏ qua"))</f>
        <v/>
      </c>
      <c r="R271" s="14">
        <f>IF(A271="","",COUNTIFS('Giao việc'!$O$5:$O$3004,A271,'Giao việc'!$J$5:$J$3004,"Xong"))</f>
        <v/>
      </c>
      <c r="S271" s="14">
        <f>IF(A271="","",COUNTIFS('Giao việc'!$O$5:$O$3004,A271,'Giao việc'!$M$5:$M$3004,"*QUÁ HẠN*"))</f>
        <v/>
      </c>
      <c r="T271" s="14">
        <f>IF(A271="","",COUNTIFS('Giao việc'!$O$5:$O$3004,A271,'Giao việc'!$M$5:$M$3004,"*CHƯA GIAO*"))</f>
        <v/>
      </c>
      <c r="U271" s="15">
        <f>IF(OR(A271="",N(Q271)=0),"",R271/Q271)</f>
        <v/>
      </c>
      <c r="V271" s="16">
        <f>IF(U271="","",REPT("█",ROUND(U271*10,0))&amp;REPT("░",10-ROUND(U271*10,0)))</f>
        <v/>
      </c>
      <c r="W271" s="14">
        <f>IF(C271="","Chưa có ngày",IF(C271&gt;TODAY(),"Còn "&amp;(C271-TODAY())&amp;" ngày",IF(IF(D271="",C271,D271)&gt;=TODAY(),"Đang diễn ra","Đã qua "&amp;(TODAY()-IF(D271="",C271,D271))&amp;" ngày")))</f>
        <v/>
      </c>
      <c r="X271" s="14">
        <f>IF(AND(A271&lt;&gt;"",P271="Có",ISNUMBER(C271)),IF(IF(D271="",C271,D271)&gt;=TODAY()-35,C271+ROW()/100000,""),"")</f>
        <v/>
      </c>
    </row>
    <row r="272">
      <c r="A272" s="46" t="n"/>
      <c r="B272" s="12" t="n"/>
      <c r="C272" s="13" t="n"/>
      <c r="D272" s="13" t="n"/>
      <c r="E272" s="14" t="n"/>
      <c r="F272" s="14" t="n"/>
      <c r="G272" s="14" t="n"/>
      <c r="H272" s="14" t="n"/>
      <c r="I272" s="46" t="n"/>
      <c r="J272" s="46" t="n"/>
      <c r="K272" s="47" t="n"/>
      <c r="L272" s="47" t="n"/>
      <c r="M272" s="47" t="n"/>
      <c r="N272" s="47" t="n"/>
      <c r="O272" s="47" t="n"/>
      <c r="P272" s="47" t="n"/>
      <c r="Q272" s="14">
        <f>IF(A272="","",COUNTIFS('Giao việc'!$O$5:$O$3004,A272,'Giao việc'!$J$5:$J$3004,"&lt;&gt;Bỏ qua"))</f>
        <v/>
      </c>
      <c r="R272" s="14">
        <f>IF(A272="","",COUNTIFS('Giao việc'!$O$5:$O$3004,A272,'Giao việc'!$J$5:$J$3004,"Xong"))</f>
        <v/>
      </c>
      <c r="S272" s="14">
        <f>IF(A272="","",COUNTIFS('Giao việc'!$O$5:$O$3004,A272,'Giao việc'!$M$5:$M$3004,"*QUÁ HẠN*"))</f>
        <v/>
      </c>
      <c r="T272" s="14">
        <f>IF(A272="","",COUNTIFS('Giao việc'!$O$5:$O$3004,A272,'Giao việc'!$M$5:$M$3004,"*CHƯA GIAO*"))</f>
        <v/>
      </c>
      <c r="U272" s="15">
        <f>IF(OR(A272="",N(Q272)=0),"",R272/Q272)</f>
        <v/>
      </c>
      <c r="V272" s="16">
        <f>IF(U272="","",REPT("█",ROUND(U272*10,0))&amp;REPT("░",10-ROUND(U272*10,0)))</f>
        <v/>
      </c>
      <c r="W272" s="14">
        <f>IF(C272="","Chưa có ngày",IF(C272&gt;TODAY(),"Còn "&amp;(C272-TODAY())&amp;" ngày",IF(IF(D272="",C272,D272)&gt;=TODAY(),"Đang diễn ra","Đã qua "&amp;(TODAY()-IF(D272="",C272,D272))&amp;" ngày")))</f>
        <v/>
      </c>
      <c r="X272" s="14">
        <f>IF(AND(A272&lt;&gt;"",P272="Có",ISNUMBER(C272)),IF(IF(D272="",C272,D272)&gt;=TODAY()-35,C272+ROW()/100000,""),"")</f>
        <v/>
      </c>
    </row>
    <row r="273">
      <c r="A273" s="46" t="n"/>
      <c r="B273" s="12" t="n"/>
      <c r="C273" s="13" t="n"/>
      <c r="D273" s="13" t="n"/>
      <c r="E273" s="14" t="n"/>
      <c r="F273" s="14" t="n"/>
      <c r="G273" s="14" t="n"/>
      <c r="H273" s="14" t="n"/>
      <c r="I273" s="46" t="n"/>
      <c r="J273" s="46" t="n"/>
      <c r="K273" s="47" t="n"/>
      <c r="L273" s="47" t="n"/>
      <c r="M273" s="47" t="n"/>
      <c r="N273" s="47" t="n"/>
      <c r="O273" s="47" t="n"/>
      <c r="P273" s="47" t="n"/>
      <c r="Q273" s="14">
        <f>IF(A273="","",COUNTIFS('Giao việc'!$O$5:$O$3004,A273,'Giao việc'!$J$5:$J$3004,"&lt;&gt;Bỏ qua"))</f>
        <v/>
      </c>
      <c r="R273" s="14">
        <f>IF(A273="","",COUNTIFS('Giao việc'!$O$5:$O$3004,A273,'Giao việc'!$J$5:$J$3004,"Xong"))</f>
        <v/>
      </c>
      <c r="S273" s="14">
        <f>IF(A273="","",COUNTIFS('Giao việc'!$O$5:$O$3004,A273,'Giao việc'!$M$5:$M$3004,"*QUÁ HẠN*"))</f>
        <v/>
      </c>
      <c r="T273" s="14">
        <f>IF(A273="","",COUNTIFS('Giao việc'!$O$5:$O$3004,A273,'Giao việc'!$M$5:$M$3004,"*CHƯA GIAO*"))</f>
        <v/>
      </c>
      <c r="U273" s="15">
        <f>IF(OR(A273="",N(Q273)=0),"",R273/Q273)</f>
        <v/>
      </c>
      <c r="V273" s="16">
        <f>IF(U273="","",REPT("█",ROUND(U273*10,0))&amp;REPT("░",10-ROUND(U273*10,0)))</f>
        <v/>
      </c>
      <c r="W273" s="14">
        <f>IF(C273="","Chưa có ngày",IF(C273&gt;TODAY(),"Còn "&amp;(C273-TODAY())&amp;" ngày",IF(IF(D273="",C273,D273)&gt;=TODAY(),"Đang diễn ra","Đã qua "&amp;(TODAY()-IF(D273="",C273,D273))&amp;" ngày")))</f>
        <v/>
      </c>
      <c r="X273" s="14">
        <f>IF(AND(A273&lt;&gt;"",P273="Có",ISNUMBER(C273)),IF(IF(D273="",C273,D273)&gt;=TODAY()-35,C273+ROW()/100000,""),"")</f>
        <v/>
      </c>
    </row>
    <row r="274">
      <c r="A274" s="46" t="n"/>
      <c r="B274" s="12" t="n"/>
      <c r="C274" s="13" t="n"/>
      <c r="D274" s="13" t="n"/>
      <c r="E274" s="14" t="n"/>
      <c r="F274" s="14" t="n"/>
      <c r="G274" s="14" t="n"/>
      <c r="H274" s="14" t="n"/>
      <c r="I274" s="46" t="n"/>
      <c r="J274" s="46" t="n"/>
      <c r="K274" s="47" t="n"/>
      <c r="L274" s="47" t="n"/>
      <c r="M274" s="47" t="n"/>
      <c r="N274" s="47" t="n"/>
      <c r="O274" s="47" t="n"/>
      <c r="P274" s="47" t="n"/>
      <c r="Q274" s="14">
        <f>IF(A274="","",COUNTIFS('Giao việc'!$O$5:$O$3004,A274,'Giao việc'!$J$5:$J$3004,"&lt;&gt;Bỏ qua"))</f>
        <v/>
      </c>
      <c r="R274" s="14">
        <f>IF(A274="","",COUNTIFS('Giao việc'!$O$5:$O$3004,A274,'Giao việc'!$J$5:$J$3004,"Xong"))</f>
        <v/>
      </c>
      <c r="S274" s="14">
        <f>IF(A274="","",COUNTIFS('Giao việc'!$O$5:$O$3004,A274,'Giao việc'!$M$5:$M$3004,"*QUÁ HẠN*"))</f>
        <v/>
      </c>
      <c r="T274" s="14">
        <f>IF(A274="","",COUNTIFS('Giao việc'!$O$5:$O$3004,A274,'Giao việc'!$M$5:$M$3004,"*CHƯA GIAO*"))</f>
        <v/>
      </c>
      <c r="U274" s="15">
        <f>IF(OR(A274="",N(Q274)=0),"",R274/Q274)</f>
        <v/>
      </c>
      <c r="V274" s="16">
        <f>IF(U274="","",REPT("█",ROUND(U274*10,0))&amp;REPT("░",10-ROUND(U274*10,0)))</f>
        <v/>
      </c>
      <c r="W274" s="14">
        <f>IF(C274="","Chưa có ngày",IF(C274&gt;TODAY(),"Còn "&amp;(C274-TODAY())&amp;" ngày",IF(IF(D274="",C274,D274)&gt;=TODAY(),"Đang diễn ra","Đã qua "&amp;(TODAY()-IF(D274="",C274,D274))&amp;" ngày")))</f>
        <v/>
      </c>
      <c r="X274" s="14">
        <f>IF(AND(A274&lt;&gt;"",P274="Có",ISNUMBER(C274)),IF(IF(D274="",C274,D274)&gt;=TODAY()-35,C274+ROW()/100000,""),"")</f>
        <v/>
      </c>
    </row>
    <row r="275">
      <c r="A275" s="46" t="n"/>
      <c r="B275" s="12" t="n"/>
      <c r="C275" s="13" t="n"/>
      <c r="D275" s="13" t="n"/>
      <c r="E275" s="14" t="n"/>
      <c r="F275" s="14" t="n"/>
      <c r="G275" s="14" t="n"/>
      <c r="H275" s="14" t="n"/>
      <c r="I275" s="46" t="n"/>
      <c r="J275" s="46" t="n"/>
      <c r="K275" s="47" t="n"/>
      <c r="L275" s="47" t="n"/>
      <c r="M275" s="47" t="n"/>
      <c r="N275" s="47" t="n"/>
      <c r="O275" s="47" t="n"/>
      <c r="P275" s="47" t="n"/>
      <c r="Q275" s="14">
        <f>IF(A275="","",COUNTIFS('Giao việc'!$O$5:$O$3004,A275,'Giao việc'!$J$5:$J$3004,"&lt;&gt;Bỏ qua"))</f>
        <v/>
      </c>
      <c r="R275" s="14">
        <f>IF(A275="","",COUNTIFS('Giao việc'!$O$5:$O$3004,A275,'Giao việc'!$J$5:$J$3004,"Xong"))</f>
        <v/>
      </c>
      <c r="S275" s="14">
        <f>IF(A275="","",COUNTIFS('Giao việc'!$O$5:$O$3004,A275,'Giao việc'!$M$5:$M$3004,"*QUÁ HẠN*"))</f>
        <v/>
      </c>
      <c r="T275" s="14">
        <f>IF(A275="","",COUNTIFS('Giao việc'!$O$5:$O$3004,A275,'Giao việc'!$M$5:$M$3004,"*CHƯA GIAO*"))</f>
        <v/>
      </c>
      <c r="U275" s="15">
        <f>IF(OR(A275="",N(Q275)=0),"",R275/Q275)</f>
        <v/>
      </c>
      <c r="V275" s="16">
        <f>IF(U275="","",REPT("█",ROUND(U275*10,0))&amp;REPT("░",10-ROUND(U275*10,0)))</f>
        <v/>
      </c>
      <c r="W275" s="14">
        <f>IF(C275="","Chưa có ngày",IF(C275&gt;TODAY(),"Còn "&amp;(C275-TODAY())&amp;" ngày",IF(IF(D275="",C275,D275)&gt;=TODAY(),"Đang diễn ra","Đã qua "&amp;(TODAY()-IF(D275="",C275,D275))&amp;" ngày")))</f>
        <v/>
      </c>
      <c r="X275" s="14">
        <f>IF(AND(A275&lt;&gt;"",P275="Có",ISNUMBER(C275)),IF(IF(D275="",C275,D275)&gt;=TODAY()-35,C275+ROW()/100000,""),"")</f>
        <v/>
      </c>
    </row>
    <row r="276">
      <c r="A276" s="46" t="n"/>
      <c r="B276" s="12" t="n"/>
      <c r="C276" s="13" t="n"/>
      <c r="D276" s="13" t="n"/>
      <c r="E276" s="14" t="n"/>
      <c r="F276" s="14" t="n"/>
      <c r="G276" s="14" t="n"/>
      <c r="H276" s="14" t="n"/>
      <c r="I276" s="46" t="n"/>
      <c r="J276" s="46" t="n"/>
      <c r="K276" s="47" t="n"/>
      <c r="L276" s="47" t="n"/>
      <c r="M276" s="47" t="n"/>
      <c r="N276" s="47" t="n"/>
      <c r="O276" s="47" t="n"/>
      <c r="P276" s="47" t="n"/>
      <c r="Q276" s="14">
        <f>IF(A276="","",COUNTIFS('Giao việc'!$O$5:$O$3004,A276,'Giao việc'!$J$5:$J$3004,"&lt;&gt;Bỏ qua"))</f>
        <v/>
      </c>
      <c r="R276" s="14">
        <f>IF(A276="","",COUNTIFS('Giao việc'!$O$5:$O$3004,A276,'Giao việc'!$J$5:$J$3004,"Xong"))</f>
        <v/>
      </c>
      <c r="S276" s="14">
        <f>IF(A276="","",COUNTIFS('Giao việc'!$O$5:$O$3004,A276,'Giao việc'!$M$5:$M$3004,"*QUÁ HẠN*"))</f>
        <v/>
      </c>
      <c r="T276" s="14">
        <f>IF(A276="","",COUNTIFS('Giao việc'!$O$5:$O$3004,A276,'Giao việc'!$M$5:$M$3004,"*CHƯA GIAO*"))</f>
        <v/>
      </c>
      <c r="U276" s="15">
        <f>IF(OR(A276="",N(Q276)=0),"",R276/Q276)</f>
        <v/>
      </c>
      <c r="V276" s="16">
        <f>IF(U276="","",REPT("█",ROUND(U276*10,0))&amp;REPT("░",10-ROUND(U276*10,0)))</f>
        <v/>
      </c>
      <c r="W276" s="14">
        <f>IF(C276="","Chưa có ngày",IF(C276&gt;TODAY(),"Còn "&amp;(C276-TODAY())&amp;" ngày",IF(IF(D276="",C276,D276)&gt;=TODAY(),"Đang diễn ra","Đã qua "&amp;(TODAY()-IF(D276="",C276,D276))&amp;" ngày")))</f>
        <v/>
      </c>
      <c r="X276" s="14">
        <f>IF(AND(A276&lt;&gt;"",P276="Có",ISNUMBER(C276)),IF(IF(D276="",C276,D276)&gt;=TODAY()-35,C276+ROW()/100000,""),"")</f>
        <v/>
      </c>
    </row>
    <row r="277">
      <c r="A277" s="46" t="n"/>
      <c r="B277" s="12" t="n"/>
      <c r="C277" s="13" t="n"/>
      <c r="D277" s="13" t="n"/>
      <c r="E277" s="14" t="n"/>
      <c r="F277" s="14" t="n"/>
      <c r="G277" s="14" t="n"/>
      <c r="H277" s="14" t="n"/>
      <c r="I277" s="46" t="n"/>
      <c r="J277" s="46" t="n"/>
      <c r="K277" s="47" t="n"/>
      <c r="L277" s="47" t="n"/>
      <c r="M277" s="47" t="n"/>
      <c r="N277" s="47" t="n"/>
      <c r="O277" s="47" t="n"/>
      <c r="P277" s="47" t="n"/>
      <c r="Q277" s="14">
        <f>IF(A277="","",COUNTIFS('Giao việc'!$O$5:$O$3004,A277,'Giao việc'!$J$5:$J$3004,"&lt;&gt;Bỏ qua"))</f>
        <v/>
      </c>
      <c r="R277" s="14">
        <f>IF(A277="","",COUNTIFS('Giao việc'!$O$5:$O$3004,A277,'Giao việc'!$J$5:$J$3004,"Xong"))</f>
        <v/>
      </c>
      <c r="S277" s="14">
        <f>IF(A277="","",COUNTIFS('Giao việc'!$O$5:$O$3004,A277,'Giao việc'!$M$5:$M$3004,"*QUÁ HẠN*"))</f>
        <v/>
      </c>
      <c r="T277" s="14">
        <f>IF(A277="","",COUNTIFS('Giao việc'!$O$5:$O$3004,A277,'Giao việc'!$M$5:$M$3004,"*CHƯA GIAO*"))</f>
        <v/>
      </c>
      <c r="U277" s="15">
        <f>IF(OR(A277="",N(Q277)=0),"",R277/Q277)</f>
        <v/>
      </c>
      <c r="V277" s="16">
        <f>IF(U277="","",REPT("█",ROUND(U277*10,0))&amp;REPT("░",10-ROUND(U277*10,0)))</f>
        <v/>
      </c>
      <c r="W277" s="14">
        <f>IF(C277="","Chưa có ngày",IF(C277&gt;TODAY(),"Còn "&amp;(C277-TODAY())&amp;" ngày",IF(IF(D277="",C277,D277)&gt;=TODAY(),"Đang diễn ra","Đã qua "&amp;(TODAY()-IF(D277="",C277,D277))&amp;" ngày")))</f>
        <v/>
      </c>
      <c r="X277" s="14">
        <f>IF(AND(A277&lt;&gt;"",P277="Có",ISNUMBER(C277)),IF(IF(D277="",C277,D277)&gt;=TODAY()-35,C277+ROW()/100000,""),"")</f>
        <v/>
      </c>
    </row>
    <row r="278">
      <c r="A278" s="46" t="n"/>
      <c r="B278" s="12" t="n"/>
      <c r="C278" s="13" t="n"/>
      <c r="D278" s="13" t="n"/>
      <c r="E278" s="14" t="n"/>
      <c r="F278" s="14" t="n"/>
      <c r="G278" s="14" t="n"/>
      <c r="H278" s="14" t="n"/>
      <c r="I278" s="46" t="n"/>
      <c r="J278" s="46" t="n"/>
      <c r="K278" s="47" t="n"/>
      <c r="L278" s="47" t="n"/>
      <c r="M278" s="47" t="n"/>
      <c r="N278" s="47" t="n"/>
      <c r="O278" s="47" t="n"/>
      <c r="P278" s="47" t="n"/>
      <c r="Q278" s="14">
        <f>IF(A278="","",COUNTIFS('Giao việc'!$O$5:$O$3004,A278,'Giao việc'!$J$5:$J$3004,"&lt;&gt;Bỏ qua"))</f>
        <v/>
      </c>
      <c r="R278" s="14">
        <f>IF(A278="","",COUNTIFS('Giao việc'!$O$5:$O$3004,A278,'Giao việc'!$J$5:$J$3004,"Xong"))</f>
        <v/>
      </c>
      <c r="S278" s="14">
        <f>IF(A278="","",COUNTIFS('Giao việc'!$O$5:$O$3004,A278,'Giao việc'!$M$5:$M$3004,"*QUÁ HẠN*"))</f>
        <v/>
      </c>
      <c r="T278" s="14">
        <f>IF(A278="","",COUNTIFS('Giao việc'!$O$5:$O$3004,A278,'Giao việc'!$M$5:$M$3004,"*CHƯA GIAO*"))</f>
        <v/>
      </c>
      <c r="U278" s="15">
        <f>IF(OR(A278="",N(Q278)=0),"",R278/Q278)</f>
        <v/>
      </c>
      <c r="V278" s="16">
        <f>IF(U278="","",REPT("█",ROUND(U278*10,0))&amp;REPT("░",10-ROUND(U278*10,0)))</f>
        <v/>
      </c>
      <c r="W278" s="14">
        <f>IF(C278="","Chưa có ngày",IF(C278&gt;TODAY(),"Còn "&amp;(C278-TODAY())&amp;" ngày",IF(IF(D278="",C278,D278)&gt;=TODAY(),"Đang diễn ra","Đã qua "&amp;(TODAY()-IF(D278="",C278,D278))&amp;" ngày")))</f>
        <v/>
      </c>
      <c r="X278" s="14">
        <f>IF(AND(A278&lt;&gt;"",P278="Có",ISNUMBER(C278)),IF(IF(D278="",C278,D278)&gt;=TODAY()-35,C278+ROW()/100000,""),"")</f>
        <v/>
      </c>
    </row>
    <row r="279">
      <c r="A279" s="46" t="n"/>
      <c r="B279" s="12" t="n"/>
      <c r="C279" s="13" t="n"/>
      <c r="D279" s="13" t="n"/>
      <c r="E279" s="14" t="n"/>
      <c r="F279" s="14" t="n"/>
      <c r="G279" s="14" t="n"/>
      <c r="H279" s="14" t="n"/>
      <c r="I279" s="46" t="n"/>
      <c r="J279" s="46" t="n"/>
      <c r="K279" s="47" t="n"/>
      <c r="L279" s="47" t="n"/>
      <c r="M279" s="47" t="n"/>
      <c r="N279" s="47" t="n"/>
      <c r="O279" s="47" t="n"/>
      <c r="P279" s="47" t="n"/>
      <c r="Q279" s="14">
        <f>IF(A279="","",COUNTIFS('Giao việc'!$O$5:$O$3004,A279,'Giao việc'!$J$5:$J$3004,"&lt;&gt;Bỏ qua"))</f>
        <v/>
      </c>
      <c r="R279" s="14">
        <f>IF(A279="","",COUNTIFS('Giao việc'!$O$5:$O$3004,A279,'Giao việc'!$J$5:$J$3004,"Xong"))</f>
        <v/>
      </c>
      <c r="S279" s="14">
        <f>IF(A279="","",COUNTIFS('Giao việc'!$O$5:$O$3004,A279,'Giao việc'!$M$5:$M$3004,"*QUÁ HẠN*"))</f>
        <v/>
      </c>
      <c r="T279" s="14">
        <f>IF(A279="","",COUNTIFS('Giao việc'!$O$5:$O$3004,A279,'Giao việc'!$M$5:$M$3004,"*CHƯA GIAO*"))</f>
        <v/>
      </c>
      <c r="U279" s="15">
        <f>IF(OR(A279="",N(Q279)=0),"",R279/Q279)</f>
        <v/>
      </c>
      <c r="V279" s="16">
        <f>IF(U279="","",REPT("█",ROUND(U279*10,0))&amp;REPT("░",10-ROUND(U279*10,0)))</f>
        <v/>
      </c>
      <c r="W279" s="14">
        <f>IF(C279="","Chưa có ngày",IF(C279&gt;TODAY(),"Còn "&amp;(C279-TODAY())&amp;" ngày",IF(IF(D279="",C279,D279)&gt;=TODAY(),"Đang diễn ra","Đã qua "&amp;(TODAY()-IF(D279="",C279,D279))&amp;" ngày")))</f>
        <v/>
      </c>
      <c r="X279" s="14">
        <f>IF(AND(A279&lt;&gt;"",P279="Có",ISNUMBER(C279)),IF(IF(D279="",C279,D279)&gt;=TODAY()-35,C279+ROW()/100000,""),"")</f>
        <v/>
      </c>
    </row>
    <row r="280">
      <c r="A280" s="46" t="n"/>
      <c r="B280" s="12" t="n"/>
      <c r="C280" s="13" t="n"/>
      <c r="D280" s="13" t="n"/>
      <c r="E280" s="14" t="n"/>
      <c r="F280" s="14" t="n"/>
      <c r="G280" s="14" t="n"/>
      <c r="H280" s="14" t="n"/>
      <c r="I280" s="46" t="n"/>
      <c r="J280" s="46" t="n"/>
      <c r="K280" s="47" t="n"/>
      <c r="L280" s="47" t="n"/>
      <c r="M280" s="47" t="n"/>
      <c r="N280" s="47" t="n"/>
      <c r="O280" s="47" t="n"/>
      <c r="P280" s="47" t="n"/>
      <c r="Q280" s="14">
        <f>IF(A280="","",COUNTIFS('Giao việc'!$O$5:$O$3004,A280,'Giao việc'!$J$5:$J$3004,"&lt;&gt;Bỏ qua"))</f>
        <v/>
      </c>
      <c r="R280" s="14">
        <f>IF(A280="","",COUNTIFS('Giao việc'!$O$5:$O$3004,A280,'Giao việc'!$J$5:$J$3004,"Xong"))</f>
        <v/>
      </c>
      <c r="S280" s="14">
        <f>IF(A280="","",COUNTIFS('Giao việc'!$O$5:$O$3004,A280,'Giao việc'!$M$5:$M$3004,"*QUÁ HẠN*"))</f>
        <v/>
      </c>
      <c r="T280" s="14">
        <f>IF(A280="","",COUNTIFS('Giao việc'!$O$5:$O$3004,A280,'Giao việc'!$M$5:$M$3004,"*CHƯA GIAO*"))</f>
        <v/>
      </c>
      <c r="U280" s="15">
        <f>IF(OR(A280="",N(Q280)=0),"",R280/Q280)</f>
        <v/>
      </c>
      <c r="V280" s="16">
        <f>IF(U280="","",REPT("█",ROUND(U280*10,0))&amp;REPT("░",10-ROUND(U280*10,0)))</f>
        <v/>
      </c>
      <c r="W280" s="14">
        <f>IF(C280="","Chưa có ngày",IF(C280&gt;TODAY(),"Còn "&amp;(C280-TODAY())&amp;" ngày",IF(IF(D280="",C280,D280)&gt;=TODAY(),"Đang diễn ra","Đã qua "&amp;(TODAY()-IF(D280="",C280,D280))&amp;" ngày")))</f>
        <v/>
      </c>
      <c r="X280" s="14">
        <f>IF(AND(A280&lt;&gt;"",P280="Có",ISNUMBER(C280)),IF(IF(D280="",C280,D280)&gt;=TODAY()-35,C280+ROW()/100000,""),"")</f>
        <v/>
      </c>
    </row>
    <row r="281">
      <c r="A281" s="46" t="n"/>
      <c r="B281" s="12" t="n"/>
      <c r="C281" s="13" t="n"/>
      <c r="D281" s="13" t="n"/>
      <c r="E281" s="14" t="n"/>
      <c r="F281" s="14" t="n"/>
      <c r="G281" s="14" t="n"/>
      <c r="H281" s="14" t="n"/>
      <c r="I281" s="46" t="n"/>
      <c r="J281" s="46" t="n"/>
      <c r="K281" s="47" t="n"/>
      <c r="L281" s="47" t="n"/>
      <c r="M281" s="47" t="n"/>
      <c r="N281" s="47" t="n"/>
      <c r="O281" s="47" t="n"/>
      <c r="P281" s="47" t="n"/>
      <c r="Q281" s="14">
        <f>IF(A281="","",COUNTIFS('Giao việc'!$O$5:$O$3004,A281,'Giao việc'!$J$5:$J$3004,"&lt;&gt;Bỏ qua"))</f>
        <v/>
      </c>
      <c r="R281" s="14">
        <f>IF(A281="","",COUNTIFS('Giao việc'!$O$5:$O$3004,A281,'Giao việc'!$J$5:$J$3004,"Xong"))</f>
        <v/>
      </c>
      <c r="S281" s="14">
        <f>IF(A281="","",COUNTIFS('Giao việc'!$O$5:$O$3004,A281,'Giao việc'!$M$5:$M$3004,"*QUÁ HẠN*"))</f>
        <v/>
      </c>
      <c r="T281" s="14">
        <f>IF(A281="","",COUNTIFS('Giao việc'!$O$5:$O$3004,A281,'Giao việc'!$M$5:$M$3004,"*CHƯA GIAO*"))</f>
        <v/>
      </c>
      <c r="U281" s="15">
        <f>IF(OR(A281="",N(Q281)=0),"",R281/Q281)</f>
        <v/>
      </c>
      <c r="V281" s="16">
        <f>IF(U281="","",REPT("█",ROUND(U281*10,0))&amp;REPT("░",10-ROUND(U281*10,0)))</f>
        <v/>
      </c>
      <c r="W281" s="14">
        <f>IF(C281="","Chưa có ngày",IF(C281&gt;TODAY(),"Còn "&amp;(C281-TODAY())&amp;" ngày",IF(IF(D281="",C281,D281)&gt;=TODAY(),"Đang diễn ra","Đã qua "&amp;(TODAY()-IF(D281="",C281,D281))&amp;" ngày")))</f>
        <v/>
      </c>
      <c r="X281" s="14">
        <f>IF(AND(A281&lt;&gt;"",P281="Có",ISNUMBER(C281)),IF(IF(D281="",C281,D281)&gt;=TODAY()-35,C281+ROW()/100000,""),"")</f>
        <v/>
      </c>
    </row>
    <row r="282">
      <c r="A282" s="46" t="n"/>
      <c r="B282" s="12" t="n"/>
      <c r="C282" s="13" t="n"/>
      <c r="D282" s="13" t="n"/>
      <c r="E282" s="14" t="n"/>
      <c r="F282" s="14" t="n"/>
      <c r="G282" s="14" t="n"/>
      <c r="H282" s="14" t="n"/>
      <c r="I282" s="46" t="n"/>
      <c r="J282" s="46" t="n"/>
      <c r="K282" s="47" t="n"/>
      <c r="L282" s="47" t="n"/>
      <c r="M282" s="47" t="n"/>
      <c r="N282" s="47" t="n"/>
      <c r="O282" s="47" t="n"/>
      <c r="P282" s="47" t="n"/>
      <c r="Q282" s="14">
        <f>IF(A282="","",COUNTIFS('Giao việc'!$O$5:$O$3004,A282,'Giao việc'!$J$5:$J$3004,"&lt;&gt;Bỏ qua"))</f>
        <v/>
      </c>
      <c r="R282" s="14">
        <f>IF(A282="","",COUNTIFS('Giao việc'!$O$5:$O$3004,A282,'Giao việc'!$J$5:$J$3004,"Xong"))</f>
        <v/>
      </c>
      <c r="S282" s="14">
        <f>IF(A282="","",COUNTIFS('Giao việc'!$O$5:$O$3004,A282,'Giao việc'!$M$5:$M$3004,"*QUÁ HẠN*"))</f>
        <v/>
      </c>
      <c r="T282" s="14">
        <f>IF(A282="","",COUNTIFS('Giao việc'!$O$5:$O$3004,A282,'Giao việc'!$M$5:$M$3004,"*CHƯA GIAO*"))</f>
        <v/>
      </c>
      <c r="U282" s="15">
        <f>IF(OR(A282="",N(Q282)=0),"",R282/Q282)</f>
        <v/>
      </c>
      <c r="V282" s="16">
        <f>IF(U282="","",REPT("█",ROUND(U282*10,0))&amp;REPT("░",10-ROUND(U282*10,0)))</f>
        <v/>
      </c>
      <c r="W282" s="14">
        <f>IF(C282="","Chưa có ngày",IF(C282&gt;TODAY(),"Còn "&amp;(C282-TODAY())&amp;" ngày",IF(IF(D282="",C282,D282)&gt;=TODAY(),"Đang diễn ra","Đã qua "&amp;(TODAY()-IF(D282="",C282,D282))&amp;" ngày")))</f>
        <v/>
      </c>
      <c r="X282" s="14">
        <f>IF(AND(A282&lt;&gt;"",P282="Có",ISNUMBER(C282)),IF(IF(D282="",C282,D282)&gt;=TODAY()-35,C282+ROW()/100000,""),"")</f>
        <v/>
      </c>
    </row>
    <row r="283">
      <c r="A283" s="46" t="n"/>
      <c r="B283" s="12" t="n"/>
      <c r="C283" s="13" t="n"/>
      <c r="D283" s="13" t="n"/>
      <c r="E283" s="14" t="n"/>
      <c r="F283" s="14" t="n"/>
      <c r="G283" s="14" t="n"/>
      <c r="H283" s="14" t="n"/>
      <c r="I283" s="46" t="n"/>
      <c r="J283" s="46" t="n"/>
      <c r="K283" s="47" t="n"/>
      <c r="L283" s="47" t="n"/>
      <c r="M283" s="47" t="n"/>
      <c r="N283" s="47" t="n"/>
      <c r="O283" s="47" t="n"/>
      <c r="P283" s="47" t="n"/>
      <c r="Q283" s="14">
        <f>IF(A283="","",COUNTIFS('Giao việc'!$O$5:$O$3004,A283,'Giao việc'!$J$5:$J$3004,"&lt;&gt;Bỏ qua"))</f>
        <v/>
      </c>
      <c r="R283" s="14">
        <f>IF(A283="","",COUNTIFS('Giao việc'!$O$5:$O$3004,A283,'Giao việc'!$J$5:$J$3004,"Xong"))</f>
        <v/>
      </c>
      <c r="S283" s="14">
        <f>IF(A283="","",COUNTIFS('Giao việc'!$O$5:$O$3004,A283,'Giao việc'!$M$5:$M$3004,"*QUÁ HẠN*"))</f>
        <v/>
      </c>
      <c r="T283" s="14">
        <f>IF(A283="","",COUNTIFS('Giao việc'!$O$5:$O$3004,A283,'Giao việc'!$M$5:$M$3004,"*CHƯA GIAO*"))</f>
        <v/>
      </c>
      <c r="U283" s="15">
        <f>IF(OR(A283="",N(Q283)=0),"",R283/Q283)</f>
        <v/>
      </c>
      <c r="V283" s="16">
        <f>IF(U283="","",REPT("█",ROUND(U283*10,0))&amp;REPT("░",10-ROUND(U283*10,0)))</f>
        <v/>
      </c>
      <c r="W283" s="14">
        <f>IF(C283="","Chưa có ngày",IF(C283&gt;TODAY(),"Còn "&amp;(C283-TODAY())&amp;" ngày",IF(IF(D283="",C283,D283)&gt;=TODAY(),"Đang diễn ra","Đã qua "&amp;(TODAY()-IF(D283="",C283,D283))&amp;" ngày")))</f>
        <v/>
      </c>
      <c r="X283" s="14">
        <f>IF(AND(A283&lt;&gt;"",P283="Có",ISNUMBER(C283)),IF(IF(D283="",C283,D283)&gt;=TODAY()-35,C283+ROW()/100000,""),"")</f>
        <v/>
      </c>
    </row>
    <row r="284">
      <c r="A284" s="46" t="n"/>
      <c r="B284" s="12" t="n"/>
      <c r="C284" s="13" t="n"/>
      <c r="D284" s="13" t="n"/>
      <c r="E284" s="14" t="n"/>
      <c r="F284" s="14" t="n"/>
      <c r="G284" s="14" t="n"/>
      <c r="H284" s="14" t="n"/>
      <c r="I284" s="46" t="n"/>
      <c r="J284" s="46" t="n"/>
      <c r="K284" s="47" t="n"/>
      <c r="L284" s="47" t="n"/>
      <c r="M284" s="47" t="n"/>
      <c r="N284" s="47" t="n"/>
      <c r="O284" s="47" t="n"/>
      <c r="P284" s="47" t="n"/>
      <c r="Q284" s="14">
        <f>IF(A284="","",COUNTIFS('Giao việc'!$O$5:$O$3004,A284,'Giao việc'!$J$5:$J$3004,"&lt;&gt;Bỏ qua"))</f>
        <v/>
      </c>
      <c r="R284" s="14">
        <f>IF(A284="","",COUNTIFS('Giao việc'!$O$5:$O$3004,A284,'Giao việc'!$J$5:$J$3004,"Xong"))</f>
        <v/>
      </c>
      <c r="S284" s="14">
        <f>IF(A284="","",COUNTIFS('Giao việc'!$O$5:$O$3004,A284,'Giao việc'!$M$5:$M$3004,"*QUÁ HẠN*"))</f>
        <v/>
      </c>
      <c r="T284" s="14">
        <f>IF(A284="","",COUNTIFS('Giao việc'!$O$5:$O$3004,A284,'Giao việc'!$M$5:$M$3004,"*CHƯA GIAO*"))</f>
        <v/>
      </c>
      <c r="U284" s="15">
        <f>IF(OR(A284="",N(Q284)=0),"",R284/Q284)</f>
        <v/>
      </c>
      <c r="V284" s="16">
        <f>IF(U284="","",REPT("█",ROUND(U284*10,0))&amp;REPT("░",10-ROUND(U284*10,0)))</f>
        <v/>
      </c>
      <c r="W284" s="14">
        <f>IF(C284="","Chưa có ngày",IF(C284&gt;TODAY(),"Còn "&amp;(C284-TODAY())&amp;" ngày",IF(IF(D284="",C284,D284)&gt;=TODAY(),"Đang diễn ra","Đã qua "&amp;(TODAY()-IF(D284="",C284,D284))&amp;" ngày")))</f>
        <v/>
      </c>
      <c r="X284" s="14">
        <f>IF(AND(A284&lt;&gt;"",P284="Có",ISNUMBER(C284)),IF(IF(D284="",C284,D284)&gt;=TODAY()-35,C284+ROW()/100000,""),"")</f>
        <v/>
      </c>
    </row>
    <row r="285">
      <c r="A285" s="46" t="n"/>
      <c r="B285" s="12" t="n"/>
      <c r="C285" s="13" t="n"/>
      <c r="D285" s="13" t="n"/>
      <c r="E285" s="14" t="n"/>
      <c r="F285" s="14" t="n"/>
      <c r="G285" s="14" t="n"/>
      <c r="H285" s="14" t="n"/>
      <c r="I285" s="46" t="n"/>
      <c r="J285" s="46" t="n"/>
      <c r="K285" s="47" t="n"/>
      <c r="L285" s="47" t="n"/>
      <c r="M285" s="47" t="n"/>
      <c r="N285" s="47" t="n"/>
      <c r="O285" s="47" t="n"/>
      <c r="P285" s="47" t="n"/>
      <c r="Q285" s="14">
        <f>IF(A285="","",COUNTIFS('Giao việc'!$O$5:$O$3004,A285,'Giao việc'!$J$5:$J$3004,"&lt;&gt;Bỏ qua"))</f>
        <v/>
      </c>
      <c r="R285" s="14">
        <f>IF(A285="","",COUNTIFS('Giao việc'!$O$5:$O$3004,A285,'Giao việc'!$J$5:$J$3004,"Xong"))</f>
        <v/>
      </c>
      <c r="S285" s="14">
        <f>IF(A285="","",COUNTIFS('Giao việc'!$O$5:$O$3004,A285,'Giao việc'!$M$5:$M$3004,"*QUÁ HẠN*"))</f>
        <v/>
      </c>
      <c r="T285" s="14">
        <f>IF(A285="","",COUNTIFS('Giao việc'!$O$5:$O$3004,A285,'Giao việc'!$M$5:$M$3004,"*CHƯA GIAO*"))</f>
        <v/>
      </c>
      <c r="U285" s="15">
        <f>IF(OR(A285="",N(Q285)=0),"",R285/Q285)</f>
        <v/>
      </c>
      <c r="V285" s="16">
        <f>IF(U285="","",REPT("█",ROUND(U285*10,0))&amp;REPT("░",10-ROUND(U285*10,0)))</f>
        <v/>
      </c>
      <c r="W285" s="14">
        <f>IF(C285="","Chưa có ngày",IF(C285&gt;TODAY(),"Còn "&amp;(C285-TODAY())&amp;" ngày",IF(IF(D285="",C285,D285)&gt;=TODAY(),"Đang diễn ra","Đã qua "&amp;(TODAY()-IF(D285="",C285,D285))&amp;" ngày")))</f>
        <v/>
      </c>
      <c r="X285" s="14">
        <f>IF(AND(A285&lt;&gt;"",P285="Có",ISNUMBER(C285)),IF(IF(D285="",C285,D285)&gt;=TODAY()-35,C285+ROW()/100000,""),"")</f>
        <v/>
      </c>
    </row>
    <row r="286">
      <c r="A286" s="46" t="n"/>
      <c r="B286" s="12" t="n"/>
      <c r="C286" s="13" t="n"/>
      <c r="D286" s="13" t="n"/>
      <c r="E286" s="14" t="n"/>
      <c r="F286" s="14" t="n"/>
      <c r="G286" s="14" t="n"/>
      <c r="H286" s="14" t="n"/>
      <c r="I286" s="46" t="n"/>
      <c r="J286" s="46" t="n"/>
      <c r="K286" s="47" t="n"/>
      <c r="L286" s="47" t="n"/>
      <c r="M286" s="47" t="n"/>
      <c r="N286" s="47" t="n"/>
      <c r="O286" s="47" t="n"/>
      <c r="P286" s="47" t="n"/>
      <c r="Q286" s="14">
        <f>IF(A286="","",COUNTIFS('Giao việc'!$O$5:$O$3004,A286,'Giao việc'!$J$5:$J$3004,"&lt;&gt;Bỏ qua"))</f>
        <v/>
      </c>
      <c r="R286" s="14">
        <f>IF(A286="","",COUNTIFS('Giao việc'!$O$5:$O$3004,A286,'Giao việc'!$J$5:$J$3004,"Xong"))</f>
        <v/>
      </c>
      <c r="S286" s="14">
        <f>IF(A286="","",COUNTIFS('Giao việc'!$O$5:$O$3004,A286,'Giao việc'!$M$5:$M$3004,"*QUÁ HẠN*"))</f>
        <v/>
      </c>
      <c r="T286" s="14">
        <f>IF(A286="","",COUNTIFS('Giao việc'!$O$5:$O$3004,A286,'Giao việc'!$M$5:$M$3004,"*CHƯA GIAO*"))</f>
        <v/>
      </c>
      <c r="U286" s="15">
        <f>IF(OR(A286="",N(Q286)=0),"",R286/Q286)</f>
        <v/>
      </c>
      <c r="V286" s="16">
        <f>IF(U286="","",REPT("█",ROUND(U286*10,0))&amp;REPT("░",10-ROUND(U286*10,0)))</f>
        <v/>
      </c>
      <c r="W286" s="14">
        <f>IF(C286="","Chưa có ngày",IF(C286&gt;TODAY(),"Còn "&amp;(C286-TODAY())&amp;" ngày",IF(IF(D286="",C286,D286)&gt;=TODAY(),"Đang diễn ra","Đã qua "&amp;(TODAY()-IF(D286="",C286,D286))&amp;" ngày")))</f>
        <v/>
      </c>
      <c r="X286" s="14">
        <f>IF(AND(A286&lt;&gt;"",P286="Có",ISNUMBER(C286)),IF(IF(D286="",C286,D286)&gt;=TODAY()-35,C286+ROW()/100000,""),"")</f>
        <v/>
      </c>
    </row>
    <row r="287">
      <c r="A287" s="46" t="n"/>
      <c r="B287" s="12" t="n"/>
      <c r="C287" s="13" t="n"/>
      <c r="D287" s="13" t="n"/>
      <c r="E287" s="14" t="n"/>
      <c r="F287" s="14" t="n"/>
      <c r="G287" s="14" t="n"/>
      <c r="H287" s="14" t="n"/>
      <c r="I287" s="46" t="n"/>
      <c r="J287" s="46" t="n"/>
      <c r="K287" s="47" t="n"/>
      <c r="L287" s="47" t="n"/>
      <c r="M287" s="47" t="n"/>
      <c r="N287" s="47" t="n"/>
      <c r="O287" s="47" t="n"/>
      <c r="P287" s="47" t="n"/>
      <c r="Q287" s="14">
        <f>IF(A287="","",COUNTIFS('Giao việc'!$O$5:$O$3004,A287,'Giao việc'!$J$5:$J$3004,"&lt;&gt;Bỏ qua"))</f>
        <v/>
      </c>
      <c r="R287" s="14">
        <f>IF(A287="","",COUNTIFS('Giao việc'!$O$5:$O$3004,A287,'Giao việc'!$J$5:$J$3004,"Xong"))</f>
        <v/>
      </c>
      <c r="S287" s="14">
        <f>IF(A287="","",COUNTIFS('Giao việc'!$O$5:$O$3004,A287,'Giao việc'!$M$5:$M$3004,"*QUÁ HẠN*"))</f>
        <v/>
      </c>
      <c r="T287" s="14">
        <f>IF(A287="","",COUNTIFS('Giao việc'!$O$5:$O$3004,A287,'Giao việc'!$M$5:$M$3004,"*CHƯA GIAO*"))</f>
        <v/>
      </c>
      <c r="U287" s="15">
        <f>IF(OR(A287="",N(Q287)=0),"",R287/Q287)</f>
        <v/>
      </c>
      <c r="V287" s="16">
        <f>IF(U287="","",REPT("█",ROUND(U287*10,0))&amp;REPT("░",10-ROUND(U287*10,0)))</f>
        <v/>
      </c>
      <c r="W287" s="14">
        <f>IF(C287="","Chưa có ngày",IF(C287&gt;TODAY(),"Còn "&amp;(C287-TODAY())&amp;" ngày",IF(IF(D287="",C287,D287)&gt;=TODAY(),"Đang diễn ra","Đã qua "&amp;(TODAY()-IF(D287="",C287,D287))&amp;" ngày")))</f>
        <v/>
      </c>
      <c r="X287" s="14">
        <f>IF(AND(A287&lt;&gt;"",P287="Có",ISNUMBER(C287)),IF(IF(D287="",C287,D287)&gt;=TODAY()-35,C287+ROW()/100000,""),"")</f>
        <v/>
      </c>
    </row>
    <row r="288">
      <c r="A288" s="46" t="n"/>
      <c r="B288" s="12" t="n"/>
      <c r="C288" s="13" t="n"/>
      <c r="D288" s="13" t="n"/>
      <c r="E288" s="14" t="n"/>
      <c r="F288" s="14" t="n"/>
      <c r="G288" s="14" t="n"/>
      <c r="H288" s="14" t="n"/>
      <c r="I288" s="46" t="n"/>
      <c r="J288" s="46" t="n"/>
      <c r="K288" s="47" t="n"/>
      <c r="L288" s="47" t="n"/>
      <c r="M288" s="47" t="n"/>
      <c r="N288" s="47" t="n"/>
      <c r="O288" s="47" t="n"/>
      <c r="P288" s="47" t="n"/>
      <c r="Q288" s="14">
        <f>IF(A288="","",COUNTIFS('Giao việc'!$O$5:$O$3004,A288,'Giao việc'!$J$5:$J$3004,"&lt;&gt;Bỏ qua"))</f>
        <v/>
      </c>
      <c r="R288" s="14">
        <f>IF(A288="","",COUNTIFS('Giao việc'!$O$5:$O$3004,A288,'Giao việc'!$J$5:$J$3004,"Xong"))</f>
        <v/>
      </c>
      <c r="S288" s="14">
        <f>IF(A288="","",COUNTIFS('Giao việc'!$O$5:$O$3004,A288,'Giao việc'!$M$5:$M$3004,"*QUÁ HẠN*"))</f>
        <v/>
      </c>
      <c r="T288" s="14">
        <f>IF(A288="","",COUNTIFS('Giao việc'!$O$5:$O$3004,A288,'Giao việc'!$M$5:$M$3004,"*CHƯA GIAO*"))</f>
        <v/>
      </c>
      <c r="U288" s="15">
        <f>IF(OR(A288="",N(Q288)=0),"",R288/Q288)</f>
        <v/>
      </c>
      <c r="V288" s="16">
        <f>IF(U288="","",REPT("█",ROUND(U288*10,0))&amp;REPT("░",10-ROUND(U288*10,0)))</f>
        <v/>
      </c>
      <c r="W288" s="14">
        <f>IF(C288="","Chưa có ngày",IF(C288&gt;TODAY(),"Còn "&amp;(C288-TODAY())&amp;" ngày",IF(IF(D288="",C288,D288)&gt;=TODAY(),"Đang diễn ra","Đã qua "&amp;(TODAY()-IF(D288="",C288,D288))&amp;" ngày")))</f>
        <v/>
      </c>
      <c r="X288" s="14">
        <f>IF(AND(A288&lt;&gt;"",P288="Có",ISNUMBER(C288)),IF(IF(D288="",C288,D288)&gt;=TODAY()-35,C288+ROW()/100000,""),"")</f>
        <v/>
      </c>
    </row>
    <row r="289">
      <c r="A289" s="46" t="n"/>
      <c r="B289" s="12" t="n"/>
      <c r="C289" s="13" t="n"/>
      <c r="D289" s="13" t="n"/>
      <c r="E289" s="14" t="n"/>
      <c r="F289" s="14" t="n"/>
      <c r="G289" s="14" t="n"/>
      <c r="H289" s="14" t="n"/>
      <c r="I289" s="46" t="n"/>
      <c r="J289" s="46" t="n"/>
      <c r="K289" s="47" t="n"/>
      <c r="L289" s="47" t="n"/>
      <c r="M289" s="47" t="n"/>
      <c r="N289" s="47" t="n"/>
      <c r="O289" s="47" t="n"/>
      <c r="P289" s="47" t="n"/>
      <c r="Q289" s="14">
        <f>IF(A289="","",COUNTIFS('Giao việc'!$O$5:$O$3004,A289,'Giao việc'!$J$5:$J$3004,"&lt;&gt;Bỏ qua"))</f>
        <v/>
      </c>
      <c r="R289" s="14">
        <f>IF(A289="","",COUNTIFS('Giao việc'!$O$5:$O$3004,A289,'Giao việc'!$J$5:$J$3004,"Xong"))</f>
        <v/>
      </c>
      <c r="S289" s="14">
        <f>IF(A289="","",COUNTIFS('Giao việc'!$O$5:$O$3004,A289,'Giao việc'!$M$5:$M$3004,"*QUÁ HẠN*"))</f>
        <v/>
      </c>
      <c r="T289" s="14">
        <f>IF(A289="","",COUNTIFS('Giao việc'!$O$5:$O$3004,A289,'Giao việc'!$M$5:$M$3004,"*CHƯA GIAO*"))</f>
        <v/>
      </c>
      <c r="U289" s="15">
        <f>IF(OR(A289="",N(Q289)=0),"",R289/Q289)</f>
        <v/>
      </c>
      <c r="V289" s="16">
        <f>IF(U289="","",REPT("█",ROUND(U289*10,0))&amp;REPT("░",10-ROUND(U289*10,0)))</f>
        <v/>
      </c>
      <c r="W289" s="14">
        <f>IF(C289="","Chưa có ngày",IF(C289&gt;TODAY(),"Còn "&amp;(C289-TODAY())&amp;" ngày",IF(IF(D289="",C289,D289)&gt;=TODAY(),"Đang diễn ra","Đã qua "&amp;(TODAY()-IF(D289="",C289,D289))&amp;" ngày")))</f>
        <v/>
      </c>
      <c r="X289" s="14">
        <f>IF(AND(A289&lt;&gt;"",P289="Có",ISNUMBER(C289)),IF(IF(D289="",C289,D289)&gt;=TODAY()-35,C289+ROW()/100000,""),"")</f>
        <v/>
      </c>
    </row>
    <row r="290">
      <c r="A290" s="46" t="n"/>
      <c r="B290" s="12" t="n"/>
      <c r="C290" s="13" t="n"/>
      <c r="D290" s="13" t="n"/>
      <c r="E290" s="14" t="n"/>
      <c r="F290" s="14" t="n"/>
      <c r="G290" s="14" t="n"/>
      <c r="H290" s="14" t="n"/>
      <c r="I290" s="46" t="n"/>
      <c r="J290" s="46" t="n"/>
      <c r="K290" s="47" t="n"/>
      <c r="L290" s="47" t="n"/>
      <c r="M290" s="47" t="n"/>
      <c r="N290" s="47" t="n"/>
      <c r="O290" s="47" t="n"/>
      <c r="P290" s="47" t="n"/>
      <c r="Q290" s="14">
        <f>IF(A290="","",COUNTIFS('Giao việc'!$O$5:$O$3004,A290,'Giao việc'!$J$5:$J$3004,"&lt;&gt;Bỏ qua"))</f>
        <v/>
      </c>
      <c r="R290" s="14">
        <f>IF(A290="","",COUNTIFS('Giao việc'!$O$5:$O$3004,A290,'Giao việc'!$J$5:$J$3004,"Xong"))</f>
        <v/>
      </c>
      <c r="S290" s="14">
        <f>IF(A290="","",COUNTIFS('Giao việc'!$O$5:$O$3004,A290,'Giao việc'!$M$5:$M$3004,"*QUÁ HẠN*"))</f>
        <v/>
      </c>
      <c r="T290" s="14">
        <f>IF(A290="","",COUNTIFS('Giao việc'!$O$5:$O$3004,A290,'Giao việc'!$M$5:$M$3004,"*CHƯA GIAO*"))</f>
        <v/>
      </c>
      <c r="U290" s="15">
        <f>IF(OR(A290="",N(Q290)=0),"",R290/Q290)</f>
        <v/>
      </c>
      <c r="V290" s="16">
        <f>IF(U290="","",REPT("█",ROUND(U290*10,0))&amp;REPT("░",10-ROUND(U290*10,0)))</f>
        <v/>
      </c>
      <c r="W290" s="14">
        <f>IF(C290="","Chưa có ngày",IF(C290&gt;TODAY(),"Còn "&amp;(C290-TODAY())&amp;" ngày",IF(IF(D290="",C290,D290)&gt;=TODAY(),"Đang diễn ra","Đã qua "&amp;(TODAY()-IF(D290="",C290,D290))&amp;" ngày")))</f>
        <v/>
      </c>
      <c r="X290" s="14">
        <f>IF(AND(A290&lt;&gt;"",P290="Có",ISNUMBER(C290)),IF(IF(D290="",C290,D290)&gt;=TODAY()-35,C290+ROW()/100000,""),"")</f>
        <v/>
      </c>
    </row>
    <row r="291">
      <c r="A291" s="46" t="n"/>
      <c r="B291" s="12" t="n"/>
      <c r="C291" s="13" t="n"/>
      <c r="D291" s="13" t="n"/>
      <c r="E291" s="14" t="n"/>
      <c r="F291" s="14" t="n"/>
      <c r="G291" s="14" t="n"/>
      <c r="H291" s="14" t="n"/>
      <c r="I291" s="46" t="n"/>
      <c r="J291" s="46" t="n"/>
      <c r="K291" s="47" t="n"/>
      <c r="L291" s="47" t="n"/>
      <c r="M291" s="47" t="n"/>
      <c r="N291" s="47" t="n"/>
      <c r="O291" s="47" t="n"/>
      <c r="P291" s="47" t="n"/>
      <c r="Q291" s="14">
        <f>IF(A291="","",COUNTIFS('Giao việc'!$O$5:$O$3004,A291,'Giao việc'!$J$5:$J$3004,"&lt;&gt;Bỏ qua"))</f>
        <v/>
      </c>
      <c r="R291" s="14">
        <f>IF(A291="","",COUNTIFS('Giao việc'!$O$5:$O$3004,A291,'Giao việc'!$J$5:$J$3004,"Xong"))</f>
        <v/>
      </c>
      <c r="S291" s="14">
        <f>IF(A291="","",COUNTIFS('Giao việc'!$O$5:$O$3004,A291,'Giao việc'!$M$5:$M$3004,"*QUÁ HẠN*"))</f>
        <v/>
      </c>
      <c r="T291" s="14">
        <f>IF(A291="","",COUNTIFS('Giao việc'!$O$5:$O$3004,A291,'Giao việc'!$M$5:$M$3004,"*CHƯA GIAO*"))</f>
        <v/>
      </c>
      <c r="U291" s="15">
        <f>IF(OR(A291="",N(Q291)=0),"",R291/Q291)</f>
        <v/>
      </c>
      <c r="V291" s="16">
        <f>IF(U291="","",REPT("█",ROUND(U291*10,0))&amp;REPT("░",10-ROUND(U291*10,0)))</f>
        <v/>
      </c>
      <c r="W291" s="14">
        <f>IF(C291="","Chưa có ngày",IF(C291&gt;TODAY(),"Còn "&amp;(C291-TODAY())&amp;" ngày",IF(IF(D291="",C291,D291)&gt;=TODAY(),"Đang diễn ra","Đã qua "&amp;(TODAY()-IF(D291="",C291,D291))&amp;" ngày")))</f>
        <v/>
      </c>
      <c r="X291" s="14">
        <f>IF(AND(A291&lt;&gt;"",P291="Có",ISNUMBER(C291)),IF(IF(D291="",C291,D291)&gt;=TODAY()-35,C291+ROW()/100000,""),"")</f>
        <v/>
      </c>
    </row>
    <row r="292">
      <c r="A292" s="46" t="n"/>
      <c r="B292" s="12" t="n"/>
      <c r="C292" s="13" t="n"/>
      <c r="D292" s="13" t="n"/>
      <c r="E292" s="14" t="n"/>
      <c r="F292" s="14" t="n"/>
      <c r="G292" s="14" t="n"/>
      <c r="H292" s="14" t="n"/>
      <c r="I292" s="46" t="n"/>
      <c r="J292" s="46" t="n"/>
      <c r="K292" s="47" t="n"/>
      <c r="L292" s="47" t="n"/>
      <c r="M292" s="47" t="n"/>
      <c r="N292" s="47" t="n"/>
      <c r="O292" s="47" t="n"/>
      <c r="P292" s="47" t="n"/>
      <c r="Q292" s="14">
        <f>IF(A292="","",COUNTIFS('Giao việc'!$O$5:$O$3004,A292,'Giao việc'!$J$5:$J$3004,"&lt;&gt;Bỏ qua"))</f>
        <v/>
      </c>
      <c r="R292" s="14">
        <f>IF(A292="","",COUNTIFS('Giao việc'!$O$5:$O$3004,A292,'Giao việc'!$J$5:$J$3004,"Xong"))</f>
        <v/>
      </c>
      <c r="S292" s="14">
        <f>IF(A292="","",COUNTIFS('Giao việc'!$O$5:$O$3004,A292,'Giao việc'!$M$5:$M$3004,"*QUÁ HẠN*"))</f>
        <v/>
      </c>
      <c r="T292" s="14">
        <f>IF(A292="","",COUNTIFS('Giao việc'!$O$5:$O$3004,A292,'Giao việc'!$M$5:$M$3004,"*CHƯA GIAO*"))</f>
        <v/>
      </c>
      <c r="U292" s="15">
        <f>IF(OR(A292="",N(Q292)=0),"",R292/Q292)</f>
        <v/>
      </c>
      <c r="V292" s="16">
        <f>IF(U292="","",REPT("█",ROUND(U292*10,0))&amp;REPT("░",10-ROUND(U292*10,0)))</f>
        <v/>
      </c>
      <c r="W292" s="14">
        <f>IF(C292="","Chưa có ngày",IF(C292&gt;TODAY(),"Còn "&amp;(C292-TODAY())&amp;" ngày",IF(IF(D292="",C292,D292)&gt;=TODAY(),"Đang diễn ra","Đã qua "&amp;(TODAY()-IF(D292="",C292,D292))&amp;" ngày")))</f>
        <v/>
      </c>
      <c r="X292" s="14">
        <f>IF(AND(A292&lt;&gt;"",P292="Có",ISNUMBER(C292)),IF(IF(D292="",C292,D292)&gt;=TODAY()-35,C292+ROW()/100000,""),"")</f>
        <v/>
      </c>
    </row>
    <row r="293">
      <c r="A293" s="46" t="n"/>
      <c r="B293" s="12" t="n"/>
      <c r="C293" s="13" t="n"/>
      <c r="D293" s="13" t="n"/>
      <c r="E293" s="14" t="n"/>
      <c r="F293" s="14" t="n"/>
      <c r="G293" s="14" t="n"/>
      <c r="H293" s="14" t="n"/>
      <c r="I293" s="46" t="n"/>
      <c r="J293" s="46" t="n"/>
      <c r="K293" s="47" t="n"/>
      <c r="L293" s="47" t="n"/>
      <c r="M293" s="47" t="n"/>
      <c r="N293" s="47" t="n"/>
      <c r="O293" s="47" t="n"/>
      <c r="P293" s="47" t="n"/>
      <c r="Q293" s="14">
        <f>IF(A293="","",COUNTIFS('Giao việc'!$O$5:$O$3004,A293,'Giao việc'!$J$5:$J$3004,"&lt;&gt;Bỏ qua"))</f>
        <v/>
      </c>
      <c r="R293" s="14">
        <f>IF(A293="","",COUNTIFS('Giao việc'!$O$5:$O$3004,A293,'Giao việc'!$J$5:$J$3004,"Xong"))</f>
        <v/>
      </c>
      <c r="S293" s="14">
        <f>IF(A293="","",COUNTIFS('Giao việc'!$O$5:$O$3004,A293,'Giao việc'!$M$5:$M$3004,"*QUÁ HẠN*"))</f>
        <v/>
      </c>
      <c r="T293" s="14">
        <f>IF(A293="","",COUNTIFS('Giao việc'!$O$5:$O$3004,A293,'Giao việc'!$M$5:$M$3004,"*CHƯA GIAO*"))</f>
        <v/>
      </c>
      <c r="U293" s="15">
        <f>IF(OR(A293="",N(Q293)=0),"",R293/Q293)</f>
        <v/>
      </c>
      <c r="V293" s="16">
        <f>IF(U293="","",REPT("█",ROUND(U293*10,0))&amp;REPT("░",10-ROUND(U293*10,0)))</f>
        <v/>
      </c>
      <c r="W293" s="14">
        <f>IF(C293="","Chưa có ngày",IF(C293&gt;TODAY(),"Còn "&amp;(C293-TODAY())&amp;" ngày",IF(IF(D293="",C293,D293)&gt;=TODAY(),"Đang diễn ra","Đã qua "&amp;(TODAY()-IF(D293="",C293,D293))&amp;" ngày")))</f>
        <v/>
      </c>
      <c r="X293" s="14">
        <f>IF(AND(A293&lt;&gt;"",P293="Có",ISNUMBER(C293)),IF(IF(D293="",C293,D293)&gt;=TODAY()-35,C293+ROW()/100000,""),"")</f>
        <v/>
      </c>
    </row>
    <row r="294">
      <c r="A294" s="46" t="n"/>
      <c r="B294" s="12" t="n"/>
      <c r="C294" s="13" t="n"/>
      <c r="D294" s="13" t="n"/>
      <c r="E294" s="14" t="n"/>
      <c r="F294" s="14" t="n"/>
      <c r="G294" s="14" t="n"/>
      <c r="H294" s="14" t="n"/>
      <c r="I294" s="46" t="n"/>
      <c r="J294" s="46" t="n"/>
      <c r="K294" s="47" t="n"/>
      <c r="L294" s="47" t="n"/>
      <c r="M294" s="47" t="n"/>
      <c r="N294" s="47" t="n"/>
      <c r="O294" s="47" t="n"/>
      <c r="P294" s="47" t="n"/>
      <c r="Q294" s="14">
        <f>IF(A294="","",COUNTIFS('Giao việc'!$O$5:$O$3004,A294,'Giao việc'!$J$5:$J$3004,"&lt;&gt;Bỏ qua"))</f>
        <v/>
      </c>
      <c r="R294" s="14">
        <f>IF(A294="","",COUNTIFS('Giao việc'!$O$5:$O$3004,A294,'Giao việc'!$J$5:$J$3004,"Xong"))</f>
        <v/>
      </c>
      <c r="S294" s="14">
        <f>IF(A294="","",COUNTIFS('Giao việc'!$O$5:$O$3004,A294,'Giao việc'!$M$5:$M$3004,"*QUÁ HẠN*"))</f>
        <v/>
      </c>
      <c r="T294" s="14">
        <f>IF(A294="","",COUNTIFS('Giao việc'!$O$5:$O$3004,A294,'Giao việc'!$M$5:$M$3004,"*CHƯA GIAO*"))</f>
        <v/>
      </c>
      <c r="U294" s="15">
        <f>IF(OR(A294="",N(Q294)=0),"",R294/Q294)</f>
        <v/>
      </c>
      <c r="V294" s="16">
        <f>IF(U294="","",REPT("█",ROUND(U294*10,0))&amp;REPT("░",10-ROUND(U294*10,0)))</f>
        <v/>
      </c>
      <c r="W294" s="14">
        <f>IF(C294="","Chưa có ngày",IF(C294&gt;TODAY(),"Còn "&amp;(C294-TODAY())&amp;" ngày",IF(IF(D294="",C294,D294)&gt;=TODAY(),"Đang diễn ra","Đã qua "&amp;(TODAY()-IF(D294="",C294,D294))&amp;" ngày")))</f>
        <v/>
      </c>
      <c r="X294" s="14">
        <f>IF(AND(A294&lt;&gt;"",P294="Có",ISNUMBER(C294)),IF(IF(D294="",C294,D294)&gt;=TODAY()-35,C294+ROW()/100000,""),"")</f>
        <v/>
      </c>
    </row>
    <row r="295">
      <c r="A295" s="46" t="n"/>
      <c r="B295" s="12" t="n"/>
      <c r="C295" s="13" t="n"/>
      <c r="D295" s="13" t="n"/>
      <c r="E295" s="14" t="n"/>
      <c r="F295" s="14" t="n"/>
      <c r="G295" s="14" t="n"/>
      <c r="H295" s="14" t="n"/>
      <c r="I295" s="46" t="n"/>
      <c r="J295" s="46" t="n"/>
      <c r="K295" s="47" t="n"/>
      <c r="L295" s="47" t="n"/>
      <c r="M295" s="47" t="n"/>
      <c r="N295" s="47" t="n"/>
      <c r="O295" s="47" t="n"/>
      <c r="P295" s="47" t="n"/>
      <c r="Q295" s="14">
        <f>IF(A295="","",COUNTIFS('Giao việc'!$O$5:$O$3004,A295,'Giao việc'!$J$5:$J$3004,"&lt;&gt;Bỏ qua"))</f>
        <v/>
      </c>
      <c r="R295" s="14">
        <f>IF(A295="","",COUNTIFS('Giao việc'!$O$5:$O$3004,A295,'Giao việc'!$J$5:$J$3004,"Xong"))</f>
        <v/>
      </c>
      <c r="S295" s="14">
        <f>IF(A295="","",COUNTIFS('Giao việc'!$O$5:$O$3004,A295,'Giao việc'!$M$5:$M$3004,"*QUÁ HẠN*"))</f>
        <v/>
      </c>
      <c r="T295" s="14">
        <f>IF(A295="","",COUNTIFS('Giao việc'!$O$5:$O$3004,A295,'Giao việc'!$M$5:$M$3004,"*CHƯA GIAO*"))</f>
        <v/>
      </c>
      <c r="U295" s="15">
        <f>IF(OR(A295="",N(Q295)=0),"",R295/Q295)</f>
        <v/>
      </c>
      <c r="V295" s="16">
        <f>IF(U295="","",REPT("█",ROUND(U295*10,0))&amp;REPT("░",10-ROUND(U295*10,0)))</f>
        <v/>
      </c>
      <c r="W295" s="14">
        <f>IF(C295="","Chưa có ngày",IF(C295&gt;TODAY(),"Còn "&amp;(C295-TODAY())&amp;" ngày",IF(IF(D295="",C295,D295)&gt;=TODAY(),"Đang diễn ra","Đã qua "&amp;(TODAY()-IF(D295="",C295,D295))&amp;" ngày")))</f>
        <v/>
      </c>
      <c r="X295" s="14">
        <f>IF(AND(A295&lt;&gt;"",P295="Có",ISNUMBER(C295)),IF(IF(D295="",C295,D295)&gt;=TODAY()-35,C295+ROW()/100000,""),"")</f>
        <v/>
      </c>
    </row>
    <row r="296">
      <c r="A296" s="46" t="n"/>
      <c r="B296" s="12" t="n"/>
      <c r="C296" s="13" t="n"/>
      <c r="D296" s="13" t="n"/>
      <c r="E296" s="14" t="n"/>
      <c r="F296" s="14" t="n"/>
      <c r="G296" s="14" t="n"/>
      <c r="H296" s="14" t="n"/>
      <c r="I296" s="46" t="n"/>
      <c r="J296" s="46" t="n"/>
      <c r="K296" s="47" t="n"/>
      <c r="L296" s="47" t="n"/>
      <c r="M296" s="47" t="n"/>
      <c r="N296" s="47" t="n"/>
      <c r="O296" s="47" t="n"/>
      <c r="P296" s="47" t="n"/>
      <c r="Q296" s="14">
        <f>IF(A296="","",COUNTIFS('Giao việc'!$O$5:$O$3004,A296,'Giao việc'!$J$5:$J$3004,"&lt;&gt;Bỏ qua"))</f>
        <v/>
      </c>
      <c r="R296" s="14">
        <f>IF(A296="","",COUNTIFS('Giao việc'!$O$5:$O$3004,A296,'Giao việc'!$J$5:$J$3004,"Xong"))</f>
        <v/>
      </c>
      <c r="S296" s="14">
        <f>IF(A296="","",COUNTIFS('Giao việc'!$O$5:$O$3004,A296,'Giao việc'!$M$5:$M$3004,"*QUÁ HẠN*"))</f>
        <v/>
      </c>
      <c r="T296" s="14">
        <f>IF(A296="","",COUNTIFS('Giao việc'!$O$5:$O$3004,A296,'Giao việc'!$M$5:$M$3004,"*CHƯA GIAO*"))</f>
        <v/>
      </c>
      <c r="U296" s="15">
        <f>IF(OR(A296="",N(Q296)=0),"",R296/Q296)</f>
        <v/>
      </c>
      <c r="V296" s="16">
        <f>IF(U296="","",REPT("█",ROUND(U296*10,0))&amp;REPT("░",10-ROUND(U296*10,0)))</f>
        <v/>
      </c>
      <c r="W296" s="14">
        <f>IF(C296="","Chưa có ngày",IF(C296&gt;TODAY(),"Còn "&amp;(C296-TODAY())&amp;" ngày",IF(IF(D296="",C296,D296)&gt;=TODAY(),"Đang diễn ra","Đã qua "&amp;(TODAY()-IF(D296="",C296,D296))&amp;" ngày")))</f>
        <v/>
      </c>
      <c r="X296" s="14">
        <f>IF(AND(A296&lt;&gt;"",P296="Có",ISNUMBER(C296)),IF(IF(D296="",C296,D296)&gt;=TODAY()-35,C296+ROW()/100000,""),"")</f>
        <v/>
      </c>
    </row>
    <row r="297">
      <c r="A297" s="46" t="n"/>
      <c r="B297" s="12" t="n"/>
      <c r="C297" s="13" t="n"/>
      <c r="D297" s="13" t="n"/>
      <c r="E297" s="14" t="n"/>
      <c r="F297" s="14" t="n"/>
      <c r="G297" s="14" t="n"/>
      <c r="H297" s="14" t="n"/>
      <c r="I297" s="46" t="n"/>
      <c r="J297" s="46" t="n"/>
      <c r="K297" s="47" t="n"/>
      <c r="L297" s="47" t="n"/>
      <c r="M297" s="47" t="n"/>
      <c r="N297" s="47" t="n"/>
      <c r="O297" s="47" t="n"/>
      <c r="P297" s="47" t="n"/>
      <c r="Q297" s="14">
        <f>IF(A297="","",COUNTIFS('Giao việc'!$O$5:$O$3004,A297,'Giao việc'!$J$5:$J$3004,"&lt;&gt;Bỏ qua"))</f>
        <v/>
      </c>
      <c r="R297" s="14">
        <f>IF(A297="","",COUNTIFS('Giao việc'!$O$5:$O$3004,A297,'Giao việc'!$J$5:$J$3004,"Xong"))</f>
        <v/>
      </c>
      <c r="S297" s="14">
        <f>IF(A297="","",COUNTIFS('Giao việc'!$O$5:$O$3004,A297,'Giao việc'!$M$5:$M$3004,"*QUÁ HẠN*"))</f>
        <v/>
      </c>
      <c r="T297" s="14">
        <f>IF(A297="","",COUNTIFS('Giao việc'!$O$5:$O$3004,A297,'Giao việc'!$M$5:$M$3004,"*CHƯA GIAO*"))</f>
        <v/>
      </c>
      <c r="U297" s="15">
        <f>IF(OR(A297="",N(Q297)=0),"",R297/Q297)</f>
        <v/>
      </c>
      <c r="V297" s="16">
        <f>IF(U297="","",REPT("█",ROUND(U297*10,0))&amp;REPT("░",10-ROUND(U297*10,0)))</f>
        <v/>
      </c>
      <c r="W297" s="14">
        <f>IF(C297="","Chưa có ngày",IF(C297&gt;TODAY(),"Còn "&amp;(C297-TODAY())&amp;" ngày",IF(IF(D297="",C297,D297)&gt;=TODAY(),"Đang diễn ra","Đã qua "&amp;(TODAY()-IF(D297="",C297,D297))&amp;" ngày")))</f>
        <v/>
      </c>
      <c r="X297" s="14">
        <f>IF(AND(A297&lt;&gt;"",P297="Có",ISNUMBER(C297)),IF(IF(D297="",C297,D297)&gt;=TODAY()-35,C297+ROW()/100000,""),"")</f>
        <v/>
      </c>
    </row>
    <row r="298">
      <c r="A298" s="46" t="n"/>
      <c r="B298" s="12" t="n"/>
      <c r="C298" s="13" t="n"/>
      <c r="D298" s="13" t="n"/>
      <c r="E298" s="14" t="n"/>
      <c r="F298" s="14" t="n"/>
      <c r="G298" s="14" t="n"/>
      <c r="H298" s="14" t="n"/>
      <c r="I298" s="46" t="n"/>
      <c r="J298" s="46" t="n"/>
      <c r="K298" s="47" t="n"/>
      <c r="L298" s="47" t="n"/>
      <c r="M298" s="47" t="n"/>
      <c r="N298" s="47" t="n"/>
      <c r="O298" s="47" t="n"/>
      <c r="P298" s="47" t="n"/>
      <c r="Q298" s="14">
        <f>IF(A298="","",COUNTIFS('Giao việc'!$O$5:$O$3004,A298,'Giao việc'!$J$5:$J$3004,"&lt;&gt;Bỏ qua"))</f>
        <v/>
      </c>
      <c r="R298" s="14">
        <f>IF(A298="","",COUNTIFS('Giao việc'!$O$5:$O$3004,A298,'Giao việc'!$J$5:$J$3004,"Xong"))</f>
        <v/>
      </c>
      <c r="S298" s="14">
        <f>IF(A298="","",COUNTIFS('Giao việc'!$O$5:$O$3004,A298,'Giao việc'!$M$5:$M$3004,"*QUÁ HẠN*"))</f>
        <v/>
      </c>
      <c r="T298" s="14">
        <f>IF(A298="","",COUNTIFS('Giao việc'!$O$5:$O$3004,A298,'Giao việc'!$M$5:$M$3004,"*CHƯA GIAO*"))</f>
        <v/>
      </c>
      <c r="U298" s="15">
        <f>IF(OR(A298="",N(Q298)=0),"",R298/Q298)</f>
        <v/>
      </c>
      <c r="V298" s="16">
        <f>IF(U298="","",REPT("█",ROUND(U298*10,0))&amp;REPT("░",10-ROUND(U298*10,0)))</f>
        <v/>
      </c>
      <c r="W298" s="14">
        <f>IF(C298="","Chưa có ngày",IF(C298&gt;TODAY(),"Còn "&amp;(C298-TODAY())&amp;" ngày",IF(IF(D298="",C298,D298)&gt;=TODAY(),"Đang diễn ra","Đã qua "&amp;(TODAY()-IF(D298="",C298,D298))&amp;" ngày")))</f>
        <v/>
      </c>
      <c r="X298" s="14">
        <f>IF(AND(A298&lt;&gt;"",P298="Có",ISNUMBER(C298)),IF(IF(D298="",C298,D298)&gt;=TODAY()-35,C298+ROW()/100000,""),"")</f>
        <v/>
      </c>
    </row>
    <row r="299">
      <c r="A299" s="46" t="n"/>
      <c r="B299" s="12" t="n"/>
      <c r="C299" s="13" t="n"/>
      <c r="D299" s="13" t="n"/>
      <c r="E299" s="14" t="n"/>
      <c r="F299" s="14" t="n"/>
      <c r="G299" s="14" t="n"/>
      <c r="H299" s="14" t="n"/>
      <c r="I299" s="46" t="n"/>
      <c r="J299" s="46" t="n"/>
      <c r="K299" s="47" t="n"/>
      <c r="L299" s="47" t="n"/>
      <c r="M299" s="47" t="n"/>
      <c r="N299" s="47" t="n"/>
      <c r="O299" s="47" t="n"/>
      <c r="P299" s="47" t="n"/>
      <c r="Q299" s="14">
        <f>IF(A299="","",COUNTIFS('Giao việc'!$O$5:$O$3004,A299,'Giao việc'!$J$5:$J$3004,"&lt;&gt;Bỏ qua"))</f>
        <v/>
      </c>
      <c r="R299" s="14">
        <f>IF(A299="","",COUNTIFS('Giao việc'!$O$5:$O$3004,A299,'Giao việc'!$J$5:$J$3004,"Xong"))</f>
        <v/>
      </c>
      <c r="S299" s="14">
        <f>IF(A299="","",COUNTIFS('Giao việc'!$O$5:$O$3004,A299,'Giao việc'!$M$5:$M$3004,"*QUÁ HẠN*"))</f>
        <v/>
      </c>
      <c r="T299" s="14">
        <f>IF(A299="","",COUNTIFS('Giao việc'!$O$5:$O$3004,A299,'Giao việc'!$M$5:$M$3004,"*CHƯA GIAO*"))</f>
        <v/>
      </c>
      <c r="U299" s="15">
        <f>IF(OR(A299="",N(Q299)=0),"",R299/Q299)</f>
        <v/>
      </c>
      <c r="V299" s="16">
        <f>IF(U299="","",REPT("█",ROUND(U299*10,0))&amp;REPT("░",10-ROUND(U299*10,0)))</f>
        <v/>
      </c>
      <c r="W299" s="14">
        <f>IF(C299="","Chưa có ngày",IF(C299&gt;TODAY(),"Còn "&amp;(C299-TODAY())&amp;" ngày",IF(IF(D299="",C299,D299)&gt;=TODAY(),"Đang diễn ra","Đã qua "&amp;(TODAY()-IF(D299="",C299,D299))&amp;" ngày")))</f>
        <v/>
      </c>
      <c r="X299" s="14">
        <f>IF(AND(A299&lt;&gt;"",P299="Có",ISNUMBER(C299)),IF(IF(D299="",C299,D299)&gt;=TODAY()-35,C299+ROW()/100000,""),"")</f>
        <v/>
      </c>
    </row>
    <row r="300">
      <c r="A300" s="46" t="n"/>
      <c r="B300" s="12" t="n"/>
      <c r="C300" s="13" t="n"/>
      <c r="D300" s="13" t="n"/>
      <c r="E300" s="14" t="n"/>
      <c r="F300" s="14" t="n"/>
      <c r="G300" s="14" t="n"/>
      <c r="H300" s="14" t="n"/>
      <c r="I300" s="46" t="n"/>
      <c r="J300" s="46" t="n"/>
      <c r="K300" s="47" t="n"/>
      <c r="L300" s="47" t="n"/>
      <c r="M300" s="47" t="n"/>
      <c r="N300" s="47" t="n"/>
      <c r="O300" s="47" t="n"/>
      <c r="P300" s="47" t="n"/>
      <c r="Q300" s="14">
        <f>IF(A300="","",COUNTIFS('Giao việc'!$O$5:$O$3004,A300,'Giao việc'!$J$5:$J$3004,"&lt;&gt;Bỏ qua"))</f>
        <v/>
      </c>
      <c r="R300" s="14">
        <f>IF(A300="","",COUNTIFS('Giao việc'!$O$5:$O$3004,A300,'Giao việc'!$J$5:$J$3004,"Xong"))</f>
        <v/>
      </c>
      <c r="S300" s="14">
        <f>IF(A300="","",COUNTIFS('Giao việc'!$O$5:$O$3004,A300,'Giao việc'!$M$5:$M$3004,"*QUÁ HẠN*"))</f>
        <v/>
      </c>
      <c r="T300" s="14">
        <f>IF(A300="","",COUNTIFS('Giao việc'!$O$5:$O$3004,A300,'Giao việc'!$M$5:$M$3004,"*CHƯA GIAO*"))</f>
        <v/>
      </c>
      <c r="U300" s="15">
        <f>IF(OR(A300="",N(Q300)=0),"",R300/Q300)</f>
        <v/>
      </c>
      <c r="V300" s="16">
        <f>IF(U300="","",REPT("█",ROUND(U300*10,0))&amp;REPT("░",10-ROUND(U300*10,0)))</f>
        <v/>
      </c>
      <c r="W300" s="14">
        <f>IF(C300="","Chưa có ngày",IF(C300&gt;TODAY(),"Còn "&amp;(C300-TODAY())&amp;" ngày",IF(IF(D300="",C300,D300)&gt;=TODAY(),"Đang diễn ra","Đã qua "&amp;(TODAY()-IF(D300="",C300,D300))&amp;" ngày")))</f>
        <v/>
      </c>
      <c r="X300" s="14">
        <f>IF(AND(A300&lt;&gt;"",P300="Có",ISNUMBER(C300)),IF(IF(D300="",C300,D300)&gt;=TODAY()-35,C300+ROW()/100000,""),"")</f>
        <v/>
      </c>
    </row>
    <row r="301">
      <c r="A301" s="46" t="n"/>
      <c r="B301" s="12" t="n"/>
      <c r="C301" s="13" t="n"/>
      <c r="D301" s="13" t="n"/>
      <c r="E301" s="14" t="n"/>
      <c r="F301" s="14" t="n"/>
      <c r="G301" s="14" t="n"/>
      <c r="H301" s="14" t="n"/>
      <c r="I301" s="46" t="n"/>
      <c r="J301" s="46" t="n"/>
      <c r="K301" s="47" t="n"/>
      <c r="L301" s="47" t="n"/>
      <c r="M301" s="47" t="n"/>
      <c r="N301" s="47" t="n"/>
      <c r="O301" s="47" t="n"/>
      <c r="P301" s="47" t="n"/>
      <c r="Q301" s="14">
        <f>IF(A301="","",COUNTIFS('Giao việc'!$O$5:$O$3004,A301,'Giao việc'!$J$5:$J$3004,"&lt;&gt;Bỏ qua"))</f>
        <v/>
      </c>
      <c r="R301" s="14">
        <f>IF(A301="","",COUNTIFS('Giao việc'!$O$5:$O$3004,A301,'Giao việc'!$J$5:$J$3004,"Xong"))</f>
        <v/>
      </c>
      <c r="S301" s="14">
        <f>IF(A301="","",COUNTIFS('Giao việc'!$O$5:$O$3004,A301,'Giao việc'!$M$5:$M$3004,"*QUÁ HẠN*"))</f>
        <v/>
      </c>
      <c r="T301" s="14">
        <f>IF(A301="","",COUNTIFS('Giao việc'!$O$5:$O$3004,A301,'Giao việc'!$M$5:$M$3004,"*CHƯA GIAO*"))</f>
        <v/>
      </c>
      <c r="U301" s="15">
        <f>IF(OR(A301="",N(Q301)=0),"",R301/Q301)</f>
        <v/>
      </c>
      <c r="V301" s="16">
        <f>IF(U301="","",REPT("█",ROUND(U301*10,0))&amp;REPT("░",10-ROUND(U301*10,0)))</f>
        <v/>
      </c>
      <c r="W301" s="14">
        <f>IF(C301="","Chưa có ngày",IF(C301&gt;TODAY(),"Còn "&amp;(C301-TODAY())&amp;" ngày",IF(IF(D301="",C301,D301)&gt;=TODAY(),"Đang diễn ra","Đã qua "&amp;(TODAY()-IF(D301="",C301,D301))&amp;" ngày")))</f>
        <v/>
      </c>
      <c r="X301" s="14">
        <f>IF(AND(A301&lt;&gt;"",P301="Có",ISNUMBER(C301)),IF(IF(D301="",C301,D301)&gt;=TODAY()-35,C301+ROW()/100000,""),"")</f>
        <v/>
      </c>
    </row>
    <row r="302">
      <c r="A302" s="46" t="n"/>
      <c r="B302" s="12" t="n"/>
      <c r="C302" s="13" t="n"/>
      <c r="D302" s="13" t="n"/>
      <c r="E302" s="14" t="n"/>
      <c r="F302" s="14" t="n"/>
      <c r="G302" s="14" t="n"/>
      <c r="H302" s="14" t="n"/>
      <c r="I302" s="46" t="n"/>
      <c r="J302" s="46" t="n"/>
      <c r="K302" s="47" t="n"/>
      <c r="L302" s="47" t="n"/>
      <c r="M302" s="47" t="n"/>
      <c r="N302" s="47" t="n"/>
      <c r="O302" s="47" t="n"/>
      <c r="P302" s="47" t="n"/>
      <c r="Q302" s="14">
        <f>IF(A302="","",COUNTIFS('Giao việc'!$O$5:$O$3004,A302,'Giao việc'!$J$5:$J$3004,"&lt;&gt;Bỏ qua"))</f>
        <v/>
      </c>
      <c r="R302" s="14">
        <f>IF(A302="","",COUNTIFS('Giao việc'!$O$5:$O$3004,A302,'Giao việc'!$J$5:$J$3004,"Xong"))</f>
        <v/>
      </c>
      <c r="S302" s="14">
        <f>IF(A302="","",COUNTIFS('Giao việc'!$O$5:$O$3004,A302,'Giao việc'!$M$5:$M$3004,"*QUÁ HẠN*"))</f>
        <v/>
      </c>
      <c r="T302" s="14">
        <f>IF(A302="","",COUNTIFS('Giao việc'!$O$5:$O$3004,A302,'Giao việc'!$M$5:$M$3004,"*CHƯA GIAO*"))</f>
        <v/>
      </c>
      <c r="U302" s="15">
        <f>IF(OR(A302="",N(Q302)=0),"",R302/Q302)</f>
        <v/>
      </c>
      <c r="V302" s="16">
        <f>IF(U302="","",REPT("█",ROUND(U302*10,0))&amp;REPT("░",10-ROUND(U302*10,0)))</f>
        <v/>
      </c>
      <c r="W302" s="14">
        <f>IF(C302="","Chưa có ngày",IF(C302&gt;TODAY(),"Còn "&amp;(C302-TODAY())&amp;" ngày",IF(IF(D302="",C302,D302)&gt;=TODAY(),"Đang diễn ra","Đã qua "&amp;(TODAY()-IF(D302="",C302,D302))&amp;" ngày")))</f>
        <v/>
      </c>
      <c r="X302" s="14">
        <f>IF(AND(A302&lt;&gt;"",P302="Có",ISNUMBER(C302)),IF(IF(D302="",C302,D302)&gt;=TODAY()-35,C302+ROW()/100000,""),"")</f>
        <v/>
      </c>
    </row>
    <row r="303">
      <c r="A303" s="46" t="n"/>
      <c r="B303" s="12" t="n"/>
      <c r="C303" s="13" t="n"/>
      <c r="D303" s="13" t="n"/>
      <c r="E303" s="14" t="n"/>
      <c r="F303" s="14" t="n"/>
      <c r="G303" s="14" t="n"/>
      <c r="H303" s="14" t="n"/>
      <c r="I303" s="46" t="n"/>
      <c r="J303" s="46" t="n"/>
      <c r="K303" s="47" t="n"/>
      <c r="L303" s="47" t="n"/>
      <c r="M303" s="47" t="n"/>
      <c r="N303" s="47" t="n"/>
      <c r="O303" s="47" t="n"/>
      <c r="P303" s="47" t="n"/>
      <c r="Q303" s="14">
        <f>IF(A303="","",COUNTIFS('Giao việc'!$O$5:$O$3004,A303,'Giao việc'!$J$5:$J$3004,"&lt;&gt;Bỏ qua"))</f>
        <v/>
      </c>
      <c r="R303" s="14">
        <f>IF(A303="","",COUNTIFS('Giao việc'!$O$5:$O$3004,A303,'Giao việc'!$J$5:$J$3004,"Xong"))</f>
        <v/>
      </c>
      <c r="S303" s="14">
        <f>IF(A303="","",COUNTIFS('Giao việc'!$O$5:$O$3004,A303,'Giao việc'!$M$5:$M$3004,"*QUÁ HẠN*"))</f>
        <v/>
      </c>
      <c r="T303" s="14">
        <f>IF(A303="","",COUNTIFS('Giao việc'!$O$5:$O$3004,A303,'Giao việc'!$M$5:$M$3004,"*CHƯA GIAO*"))</f>
        <v/>
      </c>
      <c r="U303" s="15">
        <f>IF(OR(A303="",N(Q303)=0),"",R303/Q303)</f>
        <v/>
      </c>
      <c r="V303" s="16">
        <f>IF(U303="","",REPT("█",ROUND(U303*10,0))&amp;REPT("░",10-ROUND(U303*10,0)))</f>
        <v/>
      </c>
      <c r="W303" s="14">
        <f>IF(C303="","Chưa có ngày",IF(C303&gt;TODAY(),"Còn "&amp;(C303-TODAY())&amp;" ngày",IF(IF(D303="",C303,D303)&gt;=TODAY(),"Đang diễn ra","Đã qua "&amp;(TODAY()-IF(D303="",C303,D303))&amp;" ngày")))</f>
        <v/>
      </c>
      <c r="X303" s="14">
        <f>IF(AND(A303&lt;&gt;"",P303="Có",ISNUMBER(C303)),IF(IF(D303="",C303,D303)&gt;=TODAY()-35,C303+ROW()/100000,""),"")</f>
        <v/>
      </c>
    </row>
    <row r="304">
      <c r="A304" s="46" t="n"/>
      <c r="B304" s="12" t="n"/>
      <c r="C304" s="13" t="n"/>
      <c r="D304" s="13" t="n"/>
      <c r="E304" s="14" t="n"/>
      <c r="F304" s="14" t="n"/>
      <c r="G304" s="14" t="n"/>
      <c r="H304" s="14" t="n"/>
      <c r="I304" s="46" t="n"/>
      <c r="J304" s="46" t="n"/>
      <c r="K304" s="47" t="n"/>
      <c r="L304" s="47" t="n"/>
      <c r="M304" s="47" t="n"/>
      <c r="N304" s="47" t="n"/>
      <c r="O304" s="47" t="n"/>
      <c r="P304" s="47" t="n"/>
      <c r="Q304" s="14">
        <f>IF(A304="","",COUNTIFS('Giao việc'!$O$5:$O$3004,A304,'Giao việc'!$J$5:$J$3004,"&lt;&gt;Bỏ qua"))</f>
        <v/>
      </c>
      <c r="R304" s="14">
        <f>IF(A304="","",COUNTIFS('Giao việc'!$O$5:$O$3004,A304,'Giao việc'!$J$5:$J$3004,"Xong"))</f>
        <v/>
      </c>
      <c r="S304" s="14">
        <f>IF(A304="","",COUNTIFS('Giao việc'!$O$5:$O$3004,A304,'Giao việc'!$M$5:$M$3004,"*QUÁ HẠN*"))</f>
        <v/>
      </c>
      <c r="T304" s="14">
        <f>IF(A304="","",COUNTIFS('Giao việc'!$O$5:$O$3004,A304,'Giao việc'!$M$5:$M$3004,"*CHƯA GIAO*"))</f>
        <v/>
      </c>
      <c r="U304" s="15">
        <f>IF(OR(A304="",N(Q304)=0),"",R304/Q304)</f>
        <v/>
      </c>
      <c r="V304" s="16">
        <f>IF(U304="","",REPT("█",ROUND(U304*10,0))&amp;REPT("░",10-ROUND(U304*10,0)))</f>
        <v/>
      </c>
      <c r="W304" s="14">
        <f>IF(C304="","Chưa có ngày",IF(C304&gt;TODAY(),"Còn "&amp;(C304-TODAY())&amp;" ngày",IF(IF(D304="",C304,D304)&gt;=TODAY(),"Đang diễn ra","Đã qua "&amp;(TODAY()-IF(D304="",C304,D304))&amp;" ngày")))</f>
        <v/>
      </c>
      <c r="X304" s="14">
        <f>IF(AND(A304&lt;&gt;"",P304="Có",ISNUMBER(C304)),IF(IF(D304="",C304,D304)&gt;=TODAY()-35,C304+ROW()/100000,""),"")</f>
        <v/>
      </c>
    </row>
  </sheetData>
  <autoFilter ref="A4:W304"/>
  <conditionalFormatting sqref="A5:W304">
    <cfRule type="expression" priority="1" dxfId="15">
      <formula>$P5="Không"</formula>
    </cfRule>
  </conditionalFormatting>
  <conditionalFormatting sqref="K5:O304">
    <cfRule type="expression" priority="2" dxfId="13">
      <formula>AND($A5&lt;&gt;"",$P5="Có",K5="")</formula>
    </cfRule>
  </conditionalFormatting>
  <conditionalFormatting sqref="S5:S304">
    <cfRule type="expression" priority="3" dxfId="0">
      <formula>N(S5)&gt;0</formula>
    </cfRule>
  </conditionalFormatting>
  <conditionalFormatting sqref="T5:T304">
    <cfRule type="expression" priority="4" dxfId="1">
      <formula>N(T5)&gt;0</formula>
    </cfRule>
  </conditionalFormatting>
  <dataValidations count="2">
    <dataValidation sqref="K5:O304" showDropDown="0" showInputMessage="0" showErrorMessage="0" allowBlank="1" type="list" errorStyle="warning">
      <formula1>PEOPLE</formula1>
    </dataValidation>
    <dataValidation sqref="P5:P304" showDropDown="0" showInputMessage="0" showErrorMessage="0" allowBlank="1" type="list">
      <formula1>"Có,Không"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4FA0"/>
    <outlinePr summaryBelow="1" summaryRight="1"/>
    <pageSetUpPr/>
  </sheetPr>
  <dimension ref="A1:J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46" customWidth="1" min="4" max="4"/>
    <col width="16" customWidth="1" min="5" max="5"/>
    <col width="14" customWidth="1" min="6" max="6"/>
    <col width="30" customWidth="1" min="7" max="7"/>
    <col width="10" customWidth="1" min="8" max="8"/>
    <col width="10" customWidth="1" min="9" max="9"/>
    <col hidden="1" width="4" customWidth="1" min="10" max="10"/>
  </cols>
  <sheetData>
    <row r="1" ht="26" customHeight="1">
      <c r="A1" s="1" t="inlineStr">
        <is>
          <t>NHẬT KÝ TRAO ĐỔI · QUYẾT ĐỊNH · THAY ĐỔI</t>
        </is>
      </c>
    </row>
    <row r="2">
      <c r="A2" s="2" t="inlineStr">
        <is>
          <t>Owner ghi lại mọi điều đã thống nhất với đối tác (NPP, Viện, KOL, địa điểm), quyết định, thay đổi, vướng mắc — 1 dòng / lần. Hiện ở tab Điều phối của sự kiện.</t>
        </is>
      </c>
    </row>
    <row r="4" ht="32" customHeight="1">
      <c r="A4" s="44" t="inlineStr">
        <is>
          <t>Ngày</t>
        </is>
      </c>
      <c r="B4" s="44" t="inlineStr">
        <is>
          <t>Sự kiện</t>
        </is>
      </c>
      <c r="C4" s="44" t="inlineStr">
        <is>
          <t>Loại</t>
        </is>
      </c>
      <c r="D4" s="44" t="inlineStr">
        <is>
          <t>Nội dung</t>
        </is>
      </c>
      <c r="E4" s="44" t="inlineStr">
        <is>
          <t>Với ai</t>
        </is>
      </c>
      <c r="F4" s="44" t="inlineStr">
        <is>
          <t>Người ghi</t>
        </is>
      </c>
      <c r="G4" s="44" t="inlineStr">
        <is>
          <t>Việc tiếp theo · ai làm</t>
        </is>
      </c>
      <c r="H4" s="44" t="inlineStr">
        <is>
          <t>Hạn</t>
        </is>
      </c>
      <c r="I4" s="44" t="inlineStr">
        <is>
          <t>Trạng thái</t>
        </is>
      </c>
      <c r="J4" s="11" t="inlineStr">
        <is>
          <t>_sel</t>
        </is>
      </c>
    </row>
    <row r="5">
      <c r="A5" s="13" t="n">
        <v>46315</v>
      </c>
      <c r="B5" s="12" t="inlineStr">
        <is>
          <t>Khoá học nội nha thực hành – Hà Nội (ví dụ)</t>
        </is>
      </c>
      <c r="C5" s="14" t="inlineStr">
        <is>
          <t>Thống nhất với đối tác</t>
        </is>
      </c>
      <c r="D5" s="12" t="inlineStr">
        <is>
          <t>NPP nhận tuyển 20 khách + cử 2 người hỗ trợ thực hành</t>
        </is>
      </c>
      <c r="E5" s="14" t="inlineStr">
        <is>
          <t>NPP (ví dụ)</t>
        </is>
      </c>
      <c r="F5" s="14" t="inlineStr">
        <is>
          <t>Leader MKT (ví dụ)</t>
        </is>
      </c>
      <c r="G5" s="12" t="inlineStr">
        <is>
          <t>Gửi NPP link form · Digital</t>
        </is>
      </c>
      <c r="H5" s="13" t="n">
        <v>46317</v>
      </c>
      <c r="I5" s="14" t="inlineStr">
        <is>
          <t>Xong</t>
        </is>
      </c>
      <c r="J5">
        <f>IF(AND(B5&lt;&gt;"",B5=SEL_N,ISNUMBER(A5)),A5+ROW()/100000,"")</f>
        <v/>
      </c>
    </row>
    <row r="6">
      <c r="A6" s="13" t="n">
        <v>46319</v>
      </c>
      <c r="B6" s="12" t="inlineStr">
        <is>
          <t>Khoá học nội nha thực hành – Hà Nội (ví dụ)</t>
        </is>
      </c>
      <c r="C6" s="14" t="inlineStr">
        <is>
          <t>Vướng mắc</t>
        </is>
      </c>
      <c r="D6" s="12" t="inlineStr">
        <is>
          <t>Địa điểm chưa xác nhận số suất ăn trưa</t>
        </is>
      </c>
      <c r="E6" s="14" t="inlineStr">
        <is>
          <t>Khách sạn</t>
        </is>
      </c>
      <c r="F6" s="14" t="inlineStr">
        <is>
          <t>Trade (ví dụ)</t>
        </is>
      </c>
      <c r="G6" s="12" t="inlineStr">
        <is>
          <t>Gọi lại chốt số suất · Trade</t>
        </is>
      </c>
      <c r="H6" s="13" t="n">
        <v>46326</v>
      </c>
      <c r="I6" s="14" t="inlineStr">
        <is>
          <t>Mở</t>
        </is>
      </c>
      <c r="J6">
        <f>IF(AND(B6&lt;&gt;"",B6=SEL_N,ISNUMBER(A6)),A6+ROW()/100000,"")</f>
        <v/>
      </c>
    </row>
    <row r="7">
      <c r="A7" s="13" t="n">
        <v>46322</v>
      </c>
      <c r="B7" s="12" t="inlineStr">
        <is>
          <t>Khoá học nội nha thực hành – Hà Nội (ví dụ)</t>
        </is>
      </c>
      <c r="C7" s="14" t="inlineStr">
        <is>
          <t>Thay đổi</t>
        </is>
      </c>
      <c r="D7" s="12" t="inlineStr">
        <is>
          <t>KOL đổi giờ bài giảng chiều sang 13:30</t>
        </is>
      </c>
      <c r="E7" s="14" t="inlineStr">
        <is>
          <t>KOL B</t>
        </is>
      </c>
      <c r="F7" s="14" t="inlineStr">
        <is>
          <t>Leader MKT (ví dụ)</t>
        </is>
      </c>
      <c r="G7" s="12" t="inlineStr">
        <is>
          <t>Sửa timeline + kịch bản MC · Digital</t>
        </is>
      </c>
      <c r="H7" s="13" t="n">
        <v>46327</v>
      </c>
      <c r="I7" s="14" t="inlineStr">
        <is>
          <t>Mở</t>
        </is>
      </c>
      <c r="J7">
        <f>IF(AND(B7&lt;&gt;"",B7=SEL_N,ISNUMBER(A7)),A7+ROW()/100000,"")</f>
        <v/>
      </c>
    </row>
    <row r="8">
      <c r="A8" s="13" t="n">
        <v>46323</v>
      </c>
      <c r="B8" s="12" t="inlineStr">
        <is>
          <t>Khoá học nội nha thực hành – Hà Nội (ví dụ)</t>
        </is>
      </c>
      <c r="C8" s="14" t="inlineStr">
        <is>
          <t>Quyết định</t>
        </is>
      </c>
      <c r="D8" s="12" t="inlineStr">
        <is>
          <t>Giám đốc duyệt thêm 5 suất FOC cho Viện</t>
        </is>
      </c>
      <c r="E8" s="14" t="inlineStr">
        <is>
          <t>Giám đốc</t>
        </is>
      </c>
      <c r="F8" s="14" t="inlineStr">
        <is>
          <t>Leader MKT (ví dụ)</t>
        </is>
      </c>
      <c r="G8" s="12" t="inlineStr"/>
      <c r="H8" s="13" t="n"/>
      <c r="I8" s="14" t="inlineStr">
        <is>
          <t>Xong</t>
        </is>
      </c>
      <c r="J8">
        <f>IF(AND(B8&lt;&gt;"",B8=SEL_N,ISNUMBER(A8)),A8+ROW()/100000,"")</f>
        <v/>
      </c>
    </row>
    <row r="9">
      <c r="A9" s="13" t="n">
        <v>46324</v>
      </c>
      <c r="B9" s="12" t="inlineStr">
        <is>
          <t>Webinar phục hồi Composite (ví dụ)</t>
        </is>
      </c>
      <c r="C9" s="14" t="inlineStr">
        <is>
          <t>Thống nhất với đối tác</t>
        </is>
      </c>
      <c r="D9" s="12" t="inlineStr">
        <is>
          <t>KOL gửi slide trước 10/11</t>
        </is>
      </c>
      <c r="E9" s="14" t="inlineStr">
        <is>
          <t>KOL C</t>
        </is>
      </c>
      <c r="F9" s="14" t="inlineStr">
        <is>
          <t>Leader MKT (ví dụ)</t>
        </is>
      </c>
      <c r="G9" s="12" t="inlineStr">
        <is>
          <t>Nhắc KOL ngày 08/11 · Leader</t>
        </is>
      </c>
      <c r="H9" s="13" t="n">
        <v>46334</v>
      </c>
      <c r="I9" s="14" t="inlineStr">
        <is>
          <t>Mở</t>
        </is>
      </c>
      <c r="J9">
        <f>IF(AND(B9&lt;&gt;"",B9=SEL_N,ISNUMBER(A9)),A9+ROW()/100000,"")</f>
        <v/>
      </c>
    </row>
    <row r="10">
      <c r="A10" s="13" t="n"/>
      <c r="B10" s="12" t="n"/>
      <c r="C10" s="14" t="n"/>
      <c r="D10" s="12" t="n"/>
      <c r="E10" s="14" t="n"/>
      <c r="F10" s="14" t="n"/>
      <c r="G10" s="12" t="n"/>
      <c r="H10" s="13" t="n"/>
      <c r="I10" s="14" t="n"/>
      <c r="J10">
        <f>IF(AND(B10&lt;&gt;"",B10=SEL_N,ISNUMBER(A10)),A10+ROW()/100000,"")</f>
        <v/>
      </c>
    </row>
    <row r="11">
      <c r="A11" s="13" t="n"/>
      <c r="B11" s="12" t="n"/>
      <c r="C11" s="14" t="n"/>
      <c r="D11" s="12" t="n"/>
      <c r="E11" s="14" t="n"/>
      <c r="F11" s="14" t="n"/>
      <c r="G11" s="12" t="n"/>
      <c r="H11" s="13" t="n"/>
      <c r="I11" s="14" t="n"/>
      <c r="J11">
        <f>IF(AND(B11&lt;&gt;"",B11=SEL_N,ISNUMBER(A11)),A11+ROW()/100000,"")</f>
        <v/>
      </c>
    </row>
    <row r="12">
      <c r="A12" s="13" t="n"/>
      <c r="B12" s="12" t="n"/>
      <c r="C12" s="14" t="n"/>
      <c r="D12" s="12" t="n"/>
      <c r="E12" s="14" t="n"/>
      <c r="F12" s="14" t="n"/>
      <c r="G12" s="12" t="n"/>
      <c r="H12" s="13" t="n"/>
      <c r="I12" s="14" t="n"/>
      <c r="J12">
        <f>IF(AND(B12&lt;&gt;"",B12=SEL_N,ISNUMBER(A12)),A12+ROW()/100000,"")</f>
        <v/>
      </c>
    </row>
    <row r="13">
      <c r="A13" s="13" t="n"/>
      <c r="B13" s="12" t="n"/>
      <c r="C13" s="14" t="n"/>
      <c r="D13" s="12" t="n"/>
      <c r="E13" s="14" t="n"/>
      <c r="F13" s="14" t="n"/>
      <c r="G13" s="12" t="n"/>
      <c r="H13" s="13" t="n"/>
      <c r="I13" s="14" t="n"/>
      <c r="J13">
        <f>IF(AND(B13&lt;&gt;"",B13=SEL_N,ISNUMBER(A13)),A13+ROW()/100000,"")</f>
        <v/>
      </c>
    </row>
    <row r="14">
      <c r="A14" s="13" t="n"/>
      <c r="B14" s="12" t="n"/>
      <c r="C14" s="14" t="n"/>
      <c r="D14" s="12" t="n"/>
      <c r="E14" s="14" t="n"/>
      <c r="F14" s="14" t="n"/>
      <c r="G14" s="12" t="n"/>
      <c r="H14" s="13" t="n"/>
      <c r="I14" s="14" t="n"/>
      <c r="J14">
        <f>IF(AND(B14&lt;&gt;"",B14=SEL_N,ISNUMBER(A14)),A14+ROW()/100000,"")</f>
        <v/>
      </c>
    </row>
    <row r="15">
      <c r="A15" s="13" t="n"/>
      <c r="B15" s="12" t="n"/>
      <c r="C15" s="14" t="n"/>
      <c r="D15" s="12" t="n"/>
      <c r="E15" s="14" t="n"/>
      <c r="F15" s="14" t="n"/>
      <c r="G15" s="12" t="n"/>
      <c r="H15" s="13" t="n"/>
      <c r="I15" s="14" t="n"/>
      <c r="J15">
        <f>IF(AND(B15&lt;&gt;"",B15=SEL_N,ISNUMBER(A15)),A15+ROW()/100000,"")</f>
        <v/>
      </c>
    </row>
    <row r="16">
      <c r="A16" s="13" t="n"/>
      <c r="B16" s="12" t="n"/>
      <c r="C16" s="14" t="n"/>
      <c r="D16" s="12" t="n"/>
      <c r="E16" s="14" t="n"/>
      <c r="F16" s="14" t="n"/>
      <c r="G16" s="12" t="n"/>
      <c r="H16" s="13" t="n"/>
      <c r="I16" s="14" t="n"/>
      <c r="J16">
        <f>IF(AND(B16&lt;&gt;"",B16=SEL_N,ISNUMBER(A16)),A16+ROW()/100000,"")</f>
        <v/>
      </c>
    </row>
    <row r="17">
      <c r="A17" s="13" t="n"/>
      <c r="B17" s="12" t="n"/>
      <c r="C17" s="14" t="n"/>
      <c r="D17" s="12" t="n"/>
      <c r="E17" s="14" t="n"/>
      <c r="F17" s="14" t="n"/>
      <c r="G17" s="12" t="n"/>
      <c r="H17" s="13" t="n"/>
      <c r="I17" s="14" t="n"/>
      <c r="J17">
        <f>IF(AND(B17&lt;&gt;"",B17=SEL_N,ISNUMBER(A17)),A17+ROW()/100000,"")</f>
        <v/>
      </c>
    </row>
    <row r="18">
      <c r="A18" s="13" t="n"/>
      <c r="B18" s="12" t="n"/>
      <c r="C18" s="14" t="n"/>
      <c r="D18" s="12" t="n"/>
      <c r="E18" s="14" t="n"/>
      <c r="F18" s="14" t="n"/>
      <c r="G18" s="12" t="n"/>
      <c r="H18" s="13" t="n"/>
      <c r="I18" s="14" t="n"/>
      <c r="J18">
        <f>IF(AND(B18&lt;&gt;"",B18=SEL_N,ISNUMBER(A18)),A18+ROW()/100000,"")</f>
        <v/>
      </c>
    </row>
    <row r="19">
      <c r="A19" s="13" t="n"/>
      <c r="B19" s="12" t="n"/>
      <c r="C19" s="14" t="n"/>
      <c r="D19" s="12" t="n"/>
      <c r="E19" s="14" t="n"/>
      <c r="F19" s="14" t="n"/>
      <c r="G19" s="12" t="n"/>
      <c r="H19" s="13" t="n"/>
      <c r="I19" s="14" t="n"/>
      <c r="J19">
        <f>IF(AND(B19&lt;&gt;"",B19=SEL_N,ISNUMBER(A19)),A19+ROW()/100000,"")</f>
        <v/>
      </c>
    </row>
    <row r="20">
      <c r="A20" s="13" t="n"/>
      <c r="B20" s="12" t="n"/>
      <c r="C20" s="14" t="n"/>
      <c r="D20" s="12" t="n"/>
      <c r="E20" s="14" t="n"/>
      <c r="F20" s="14" t="n"/>
      <c r="G20" s="12" t="n"/>
      <c r="H20" s="13" t="n"/>
      <c r="I20" s="14" t="n"/>
      <c r="J20">
        <f>IF(AND(B20&lt;&gt;"",B20=SEL_N,ISNUMBER(A20)),A20+ROW()/100000,"")</f>
        <v/>
      </c>
    </row>
    <row r="21">
      <c r="A21" s="13" t="n"/>
      <c r="B21" s="12" t="n"/>
      <c r="C21" s="14" t="n"/>
      <c r="D21" s="12" t="n"/>
      <c r="E21" s="14" t="n"/>
      <c r="F21" s="14" t="n"/>
      <c r="G21" s="12" t="n"/>
      <c r="H21" s="13" t="n"/>
      <c r="I21" s="14" t="n"/>
      <c r="J21">
        <f>IF(AND(B21&lt;&gt;"",B21=SEL_N,ISNUMBER(A21)),A21+ROW()/100000,"")</f>
        <v/>
      </c>
    </row>
    <row r="22">
      <c r="A22" s="13" t="n"/>
      <c r="B22" s="12" t="n"/>
      <c r="C22" s="14" t="n"/>
      <c r="D22" s="12" t="n"/>
      <c r="E22" s="14" t="n"/>
      <c r="F22" s="14" t="n"/>
      <c r="G22" s="12" t="n"/>
      <c r="H22" s="13" t="n"/>
      <c r="I22" s="14" t="n"/>
      <c r="J22">
        <f>IF(AND(B22&lt;&gt;"",B22=SEL_N,ISNUMBER(A22)),A22+ROW()/100000,"")</f>
        <v/>
      </c>
    </row>
    <row r="23">
      <c r="A23" s="13" t="n"/>
      <c r="B23" s="12" t="n"/>
      <c r="C23" s="14" t="n"/>
      <c r="D23" s="12" t="n"/>
      <c r="E23" s="14" t="n"/>
      <c r="F23" s="14" t="n"/>
      <c r="G23" s="12" t="n"/>
      <c r="H23" s="13" t="n"/>
      <c r="I23" s="14" t="n"/>
      <c r="J23">
        <f>IF(AND(B23&lt;&gt;"",B23=SEL_N,ISNUMBER(A23)),A23+ROW()/100000,"")</f>
        <v/>
      </c>
    </row>
    <row r="24">
      <c r="A24" s="13" t="n"/>
      <c r="B24" s="12" t="n"/>
      <c r="C24" s="14" t="n"/>
      <c r="D24" s="12" t="n"/>
      <c r="E24" s="14" t="n"/>
      <c r="F24" s="14" t="n"/>
      <c r="G24" s="12" t="n"/>
      <c r="H24" s="13" t="n"/>
      <c r="I24" s="14" t="n"/>
      <c r="J24">
        <f>IF(AND(B24&lt;&gt;"",B24=SEL_N,ISNUMBER(A24)),A24+ROW()/100000,"")</f>
        <v/>
      </c>
    </row>
    <row r="25">
      <c r="A25" s="13" t="n"/>
      <c r="B25" s="12" t="n"/>
      <c r="C25" s="14" t="n"/>
      <c r="D25" s="12" t="n"/>
      <c r="E25" s="14" t="n"/>
      <c r="F25" s="14" t="n"/>
      <c r="G25" s="12" t="n"/>
      <c r="H25" s="13" t="n"/>
      <c r="I25" s="14" t="n"/>
      <c r="J25">
        <f>IF(AND(B25&lt;&gt;"",B25=SEL_N,ISNUMBER(A25)),A25+ROW()/100000,"")</f>
        <v/>
      </c>
    </row>
    <row r="26">
      <c r="A26" s="13" t="n"/>
      <c r="B26" s="12" t="n"/>
      <c r="C26" s="14" t="n"/>
      <c r="D26" s="12" t="n"/>
      <c r="E26" s="14" t="n"/>
      <c r="F26" s="14" t="n"/>
      <c r="G26" s="12" t="n"/>
      <c r="H26" s="13" t="n"/>
      <c r="I26" s="14" t="n"/>
      <c r="J26">
        <f>IF(AND(B26&lt;&gt;"",B26=SEL_N,ISNUMBER(A26)),A26+ROW()/100000,"")</f>
        <v/>
      </c>
    </row>
    <row r="27">
      <c r="A27" s="13" t="n"/>
      <c r="B27" s="12" t="n"/>
      <c r="C27" s="14" t="n"/>
      <c r="D27" s="12" t="n"/>
      <c r="E27" s="14" t="n"/>
      <c r="F27" s="14" t="n"/>
      <c r="G27" s="12" t="n"/>
      <c r="H27" s="13" t="n"/>
      <c r="I27" s="14" t="n"/>
      <c r="J27">
        <f>IF(AND(B27&lt;&gt;"",B27=SEL_N,ISNUMBER(A27)),A27+ROW()/100000,"")</f>
        <v/>
      </c>
    </row>
    <row r="28">
      <c r="A28" s="13" t="n"/>
      <c r="B28" s="12" t="n"/>
      <c r="C28" s="14" t="n"/>
      <c r="D28" s="12" t="n"/>
      <c r="E28" s="14" t="n"/>
      <c r="F28" s="14" t="n"/>
      <c r="G28" s="12" t="n"/>
      <c r="H28" s="13" t="n"/>
      <c r="I28" s="14" t="n"/>
      <c r="J28">
        <f>IF(AND(B28&lt;&gt;"",B28=SEL_N,ISNUMBER(A28)),A28+ROW()/100000,"")</f>
        <v/>
      </c>
    </row>
    <row r="29">
      <c r="A29" s="13" t="n"/>
      <c r="B29" s="12" t="n"/>
      <c r="C29" s="14" t="n"/>
      <c r="D29" s="12" t="n"/>
      <c r="E29" s="14" t="n"/>
      <c r="F29" s="14" t="n"/>
      <c r="G29" s="12" t="n"/>
      <c r="H29" s="13" t="n"/>
      <c r="I29" s="14" t="n"/>
      <c r="J29">
        <f>IF(AND(B29&lt;&gt;"",B29=SEL_N,ISNUMBER(A29)),A29+ROW()/100000,"")</f>
        <v/>
      </c>
    </row>
    <row r="30">
      <c r="A30" s="13" t="n"/>
      <c r="B30" s="12" t="n"/>
      <c r="C30" s="14" t="n"/>
      <c r="D30" s="12" t="n"/>
      <c r="E30" s="14" t="n"/>
      <c r="F30" s="14" t="n"/>
      <c r="G30" s="12" t="n"/>
      <c r="H30" s="13" t="n"/>
      <c r="I30" s="14" t="n"/>
      <c r="J30">
        <f>IF(AND(B30&lt;&gt;"",B30=SEL_N,ISNUMBER(A30)),A30+ROW()/100000,"")</f>
        <v/>
      </c>
    </row>
    <row r="31">
      <c r="A31" s="13" t="n"/>
      <c r="B31" s="12" t="n"/>
      <c r="C31" s="14" t="n"/>
      <c r="D31" s="12" t="n"/>
      <c r="E31" s="14" t="n"/>
      <c r="F31" s="14" t="n"/>
      <c r="G31" s="12" t="n"/>
      <c r="H31" s="13" t="n"/>
      <c r="I31" s="14" t="n"/>
      <c r="J31">
        <f>IF(AND(B31&lt;&gt;"",B31=SEL_N,ISNUMBER(A31)),A31+ROW()/100000,"")</f>
        <v/>
      </c>
    </row>
    <row r="32">
      <c r="A32" s="13" t="n"/>
      <c r="B32" s="12" t="n"/>
      <c r="C32" s="14" t="n"/>
      <c r="D32" s="12" t="n"/>
      <c r="E32" s="14" t="n"/>
      <c r="F32" s="14" t="n"/>
      <c r="G32" s="12" t="n"/>
      <c r="H32" s="13" t="n"/>
      <c r="I32" s="14" t="n"/>
      <c r="J32">
        <f>IF(AND(B32&lt;&gt;"",B32=SEL_N,ISNUMBER(A32)),A32+ROW()/100000,"")</f>
        <v/>
      </c>
    </row>
    <row r="33">
      <c r="A33" s="13" t="n"/>
      <c r="B33" s="12" t="n"/>
      <c r="C33" s="14" t="n"/>
      <c r="D33" s="12" t="n"/>
      <c r="E33" s="14" t="n"/>
      <c r="F33" s="14" t="n"/>
      <c r="G33" s="12" t="n"/>
      <c r="H33" s="13" t="n"/>
      <c r="I33" s="14" t="n"/>
      <c r="J33">
        <f>IF(AND(B33&lt;&gt;"",B33=SEL_N,ISNUMBER(A33)),A33+ROW()/100000,"")</f>
        <v/>
      </c>
    </row>
    <row r="34">
      <c r="A34" s="13" t="n"/>
      <c r="B34" s="12" t="n"/>
      <c r="C34" s="14" t="n"/>
      <c r="D34" s="12" t="n"/>
      <c r="E34" s="14" t="n"/>
      <c r="F34" s="14" t="n"/>
      <c r="G34" s="12" t="n"/>
      <c r="H34" s="13" t="n"/>
      <c r="I34" s="14" t="n"/>
      <c r="J34">
        <f>IF(AND(B34&lt;&gt;"",B34=SEL_N,ISNUMBER(A34)),A34+ROW()/100000,"")</f>
        <v/>
      </c>
    </row>
    <row r="35">
      <c r="A35" s="13" t="n"/>
      <c r="B35" s="12" t="n"/>
      <c r="C35" s="14" t="n"/>
      <c r="D35" s="12" t="n"/>
      <c r="E35" s="14" t="n"/>
      <c r="F35" s="14" t="n"/>
      <c r="G35" s="12" t="n"/>
      <c r="H35" s="13" t="n"/>
      <c r="I35" s="14" t="n"/>
      <c r="J35">
        <f>IF(AND(B35&lt;&gt;"",B35=SEL_N,ISNUMBER(A35)),A35+ROW()/100000,"")</f>
        <v/>
      </c>
    </row>
    <row r="36">
      <c r="A36" s="13" t="n"/>
      <c r="B36" s="12" t="n"/>
      <c r="C36" s="14" t="n"/>
      <c r="D36" s="12" t="n"/>
      <c r="E36" s="14" t="n"/>
      <c r="F36" s="14" t="n"/>
      <c r="G36" s="12" t="n"/>
      <c r="H36" s="13" t="n"/>
      <c r="I36" s="14" t="n"/>
      <c r="J36">
        <f>IF(AND(B36&lt;&gt;"",B36=SEL_N,ISNUMBER(A36)),A36+ROW()/100000,"")</f>
        <v/>
      </c>
    </row>
    <row r="37">
      <c r="A37" s="13" t="n"/>
      <c r="B37" s="12" t="n"/>
      <c r="C37" s="14" t="n"/>
      <c r="D37" s="12" t="n"/>
      <c r="E37" s="14" t="n"/>
      <c r="F37" s="14" t="n"/>
      <c r="G37" s="12" t="n"/>
      <c r="H37" s="13" t="n"/>
      <c r="I37" s="14" t="n"/>
      <c r="J37">
        <f>IF(AND(B37&lt;&gt;"",B37=SEL_N,ISNUMBER(A37)),A37+ROW()/100000,"")</f>
        <v/>
      </c>
    </row>
    <row r="38">
      <c r="A38" s="13" t="n"/>
      <c r="B38" s="12" t="n"/>
      <c r="C38" s="14" t="n"/>
      <c r="D38" s="12" t="n"/>
      <c r="E38" s="14" t="n"/>
      <c r="F38" s="14" t="n"/>
      <c r="G38" s="12" t="n"/>
      <c r="H38" s="13" t="n"/>
      <c r="I38" s="14" t="n"/>
      <c r="J38">
        <f>IF(AND(B38&lt;&gt;"",B38=SEL_N,ISNUMBER(A38)),A38+ROW()/100000,"")</f>
        <v/>
      </c>
    </row>
    <row r="39">
      <c r="A39" s="13" t="n"/>
      <c r="B39" s="12" t="n"/>
      <c r="C39" s="14" t="n"/>
      <c r="D39" s="12" t="n"/>
      <c r="E39" s="14" t="n"/>
      <c r="F39" s="14" t="n"/>
      <c r="G39" s="12" t="n"/>
      <c r="H39" s="13" t="n"/>
      <c r="I39" s="14" t="n"/>
      <c r="J39">
        <f>IF(AND(B39&lt;&gt;"",B39=SEL_N,ISNUMBER(A39)),A39+ROW()/100000,"")</f>
        <v/>
      </c>
    </row>
    <row r="40">
      <c r="A40" s="13" t="n"/>
      <c r="B40" s="12" t="n"/>
      <c r="C40" s="14" t="n"/>
      <c r="D40" s="12" t="n"/>
      <c r="E40" s="14" t="n"/>
      <c r="F40" s="14" t="n"/>
      <c r="G40" s="12" t="n"/>
      <c r="H40" s="13" t="n"/>
      <c r="I40" s="14" t="n"/>
      <c r="J40">
        <f>IF(AND(B40&lt;&gt;"",B40=SEL_N,ISNUMBER(A40)),A40+ROW()/100000,"")</f>
        <v/>
      </c>
    </row>
    <row r="41">
      <c r="A41" s="13" t="n"/>
      <c r="B41" s="12" t="n"/>
      <c r="C41" s="14" t="n"/>
      <c r="D41" s="12" t="n"/>
      <c r="E41" s="14" t="n"/>
      <c r="F41" s="14" t="n"/>
      <c r="G41" s="12" t="n"/>
      <c r="H41" s="13" t="n"/>
      <c r="I41" s="14" t="n"/>
      <c r="J41">
        <f>IF(AND(B41&lt;&gt;"",B41=SEL_N,ISNUMBER(A41)),A41+ROW()/100000,"")</f>
        <v/>
      </c>
    </row>
    <row r="42">
      <c r="A42" s="13" t="n"/>
      <c r="B42" s="12" t="n"/>
      <c r="C42" s="14" t="n"/>
      <c r="D42" s="12" t="n"/>
      <c r="E42" s="14" t="n"/>
      <c r="F42" s="14" t="n"/>
      <c r="G42" s="12" t="n"/>
      <c r="H42" s="13" t="n"/>
      <c r="I42" s="14" t="n"/>
      <c r="J42">
        <f>IF(AND(B42&lt;&gt;"",B42=SEL_N,ISNUMBER(A42)),A42+ROW()/100000,"")</f>
        <v/>
      </c>
    </row>
    <row r="43">
      <c r="A43" s="13" t="n"/>
      <c r="B43" s="12" t="n"/>
      <c r="C43" s="14" t="n"/>
      <c r="D43" s="12" t="n"/>
      <c r="E43" s="14" t="n"/>
      <c r="F43" s="14" t="n"/>
      <c r="G43" s="12" t="n"/>
      <c r="H43" s="13" t="n"/>
      <c r="I43" s="14" t="n"/>
      <c r="J43">
        <f>IF(AND(B43&lt;&gt;"",B43=SEL_N,ISNUMBER(A43)),A43+ROW()/100000,"")</f>
        <v/>
      </c>
    </row>
    <row r="44">
      <c r="A44" s="13" t="n"/>
      <c r="B44" s="12" t="n"/>
      <c r="C44" s="14" t="n"/>
      <c r="D44" s="12" t="n"/>
      <c r="E44" s="14" t="n"/>
      <c r="F44" s="14" t="n"/>
      <c r="G44" s="12" t="n"/>
      <c r="H44" s="13" t="n"/>
      <c r="I44" s="14" t="n"/>
      <c r="J44">
        <f>IF(AND(B44&lt;&gt;"",B44=SEL_N,ISNUMBER(A44)),A44+ROW()/100000,"")</f>
        <v/>
      </c>
    </row>
    <row r="45">
      <c r="A45" s="13" t="n"/>
      <c r="B45" s="12" t="n"/>
      <c r="C45" s="14" t="n"/>
      <c r="D45" s="12" t="n"/>
      <c r="E45" s="14" t="n"/>
      <c r="F45" s="14" t="n"/>
      <c r="G45" s="12" t="n"/>
      <c r="H45" s="13" t="n"/>
      <c r="I45" s="14" t="n"/>
      <c r="J45">
        <f>IF(AND(B45&lt;&gt;"",B45=SEL_N,ISNUMBER(A45)),A45+ROW()/100000,"")</f>
        <v/>
      </c>
    </row>
    <row r="46">
      <c r="A46" s="13" t="n"/>
      <c r="B46" s="12" t="n"/>
      <c r="C46" s="14" t="n"/>
      <c r="D46" s="12" t="n"/>
      <c r="E46" s="14" t="n"/>
      <c r="F46" s="14" t="n"/>
      <c r="G46" s="12" t="n"/>
      <c r="H46" s="13" t="n"/>
      <c r="I46" s="14" t="n"/>
      <c r="J46">
        <f>IF(AND(B46&lt;&gt;"",B46=SEL_N,ISNUMBER(A46)),A46+ROW()/100000,"")</f>
        <v/>
      </c>
    </row>
    <row r="47">
      <c r="A47" s="13" t="n"/>
      <c r="B47" s="12" t="n"/>
      <c r="C47" s="14" t="n"/>
      <c r="D47" s="12" t="n"/>
      <c r="E47" s="14" t="n"/>
      <c r="F47" s="14" t="n"/>
      <c r="G47" s="12" t="n"/>
      <c r="H47" s="13" t="n"/>
      <c r="I47" s="14" t="n"/>
      <c r="J47">
        <f>IF(AND(B47&lt;&gt;"",B47=SEL_N,ISNUMBER(A47)),A47+ROW()/100000,"")</f>
        <v/>
      </c>
    </row>
    <row r="48">
      <c r="A48" s="13" t="n"/>
      <c r="B48" s="12" t="n"/>
      <c r="C48" s="14" t="n"/>
      <c r="D48" s="12" t="n"/>
      <c r="E48" s="14" t="n"/>
      <c r="F48" s="14" t="n"/>
      <c r="G48" s="12" t="n"/>
      <c r="H48" s="13" t="n"/>
      <c r="I48" s="14" t="n"/>
      <c r="J48">
        <f>IF(AND(B48&lt;&gt;"",B48=SEL_N,ISNUMBER(A48)),A48+ROW()/100000,"")</f>
        <v/>
      </c>
    </row>
    <row r="49">
      <c r="A49" s="13" t="n"/>
      <c r="B49" s="12" t="n"/>
      <c r="C49" s="14" t="n"/>
      <c r="D49" s="12" t="n"/>
      <c r="E49" s="14" t="n"/>
      <c r="F49" s="14" t="n"/>
      <c r="G49" s="12" t="n"/>
      <c r="H49" s="13" t="n"/>
      <c r="I49" s="14" t="n"/>
      <c r="J49">
        <f>IF(AND(B49&lt;&gt;"",B49=SEL_N,ISNUMBER(A49)),A49+ROW()/100000,"")</f>
        <v/>
      </c>
    </row>
    <row r="50">
      <c r="A50" s="13" t="n"/>
      <c r="B50" s="12" t="n"/>
      <c r="C50" s="14" t="n"/>
      <c r="D50" s="12" t="n"/>
      <c r="E50" s="14" t="n"/>
      <c r="F50" s="14" t="n"/>
      <c r="G50" s="12" t="n"/>
      <c r="H50" s="13" t="n"/>
      <c r="I50" s="14" t="n"/>
      <c r="J50">
        <f>IF(AND(B50&lt;&gt;"",B50=SEL_N,ISNUMBER(A50)),A50+ROW()/100000,"")</f>
        <v/>
      </c>
    </row>
    <row r="51">
      <c r="A51" s="13" t="n"/>
      <c r="B51" s="12" t="n"/>
      <c r="C51" s="14" t="n"/>
      <c r="D51" s="12" t="n"/>
      <c r="E51" s="14" t="n"/>
      <c r="F51" s="14" t="n"/>
      <c r="G51" s="12" t="n"/>
      <c r="H51" s="13" t="n"/>
      <c r="I51" s="14" t="n"/>
      <c r="J51">
        <f>IF(AND(B51&lt;&gt;"",B51=SEL_N,ISNUMBER(A51)),A51+ROW()/100000,"")</f>
        <v/>
      </c>
    </row>
    <row r="52">
      <c r="A52" s="13" t="n"/>
      <c r="B52" s="12" t="n"/>
      <c r="C52" s="14" t="n"/>
      <c r="D52" s="12" t="n"/>
      <c r="E52" s="14" t="n"/>
      <c r="F52" s="14" t="n"/>
      <c r="G52" s="12" t="n"/>
      <c r="H52" s="13" t="n"/>
      <c r="I52" s="14" t="n"/>
      <c r="J52">
        <f>IF(AND(B52&lt;&gt;"",B52=SEL_N,ISNUMBER(A52)),A52+ROW()/100000,"")</f>
        <v/>
      </c>
    </row>
    <row r="53">
      <c r="A53" s="13" t="n"/>
      <c r="B53" s="12" t="n"/>
      <c r="C53" s="14" t="n"/>
      <c r="D53" s="12" t="n"/>
      <c r="E53" s="14" t="n"/>
      <c r="F53" s="14" t="n"/>
      <c r="G53" s="12" t="n"/>
      <c r="H53" s="13" t="n"/>
      <c r="I53" s="14" t="n"/>
      <c r="J53">
        <f>IF(AND(B53&lt;&gt;"",B53=SEL_N,ISNUMBER(A53)),A53+ROW()/100000,"")</f>
        <v/>
      </c>
    </row>
    <row r="54">
      <c r="A54" s="13" t="n"/>
      <c r="B54" s="12" t="n"/>
      <c r="C54" s="14" t="n"/>
      <c r="D54" s="12" t="n"/>
      <c r="E54" s="14" t="n"/>
      <c r="F54" s="14" t="n"/>
      <c r="G54" s="12" t="n"/>
      <c r="H54" s="13" t="n"/>
      <c r="I54" s="14" t="n"/>
      <c r="J54">
        <f>IF(AND(B54&lt;&gt;"",B54=SEL_N,ISNUMBER(A54)),A54+ROW()/100000,"")</f>
        <v/>
      </c>
    </row>
    <row r="55">
      <c r="A55" s="13" t="n"/>
      <c r="B55" s="12" t="n"/>
      <c r="C55" s="14" t="n"/>
      <c r="D55" s="12" t="n"/>
      <c r="E55" s="14" t="n"/>
      <c r="F55" s="14" t="n"/>
      <c r="G55" s="12" t="n"/>
      <c r="H55" s="13" t="n"/>
      <c r="I55" s="14" t="n"/>
      <c r="J55">
        <f>IF(AND(B55&lt;&gt;"",B55=SEL_N,ISNUMBER(A55)),A55+ROW()/100000,"")</f>
        <v/>
      </c>
    </row>
    <row r="56">
      <c r="A56" s="13" t="n"/>
      <c r="B56" s="12" t="n"/>
      <c r="C56" s="14" t="n"/>
      <c r="D56" s="12" t="n"/>
      <c r="E56" s="14" t="n"/>
      <c r="F56" s="14" t="n"/>
      <c r="G56" s="12" t="n"/>
      <c r="H56" s="13" t="n"/>
      <c r="I56" s="14" t="n"/>
      <c r="J56">
        <f>IF(AND(B56&lt;&gt;"",B56=SEL_N,ISNUMBER(A56)),A56+ROW()/100000,"")</f>
        <v/>
      </c>
    </row>
    <row r="57">
      <c r="A57" s="13" t="n"/>
      <c r="B57" s="12" t="n"/>
      <c r="C57" s="14" t="n"/>
      <c r="D57" s="12" t="n"/>
      <c r="E57" s="14" t="n"/>
      <c r="F57" s="14" t="n"/>
      <c r="G57" s="12" t="n"/>
      <c r="H57" s="13" t="n"/>
      <c r="I57" s="14" t="n"/>
      <c r="J57">
        <f>IF(AND(B57&lt;&gt;"",B57=SEL_N,ISNUMBER(A57)),A57+ROW()/100000,"")</f>
        <v/>
      </c>
    </row>
    <row r="58">
      <c r="A58" s="13" t="n"/>
      <c r="B58" s="12" t="n"/>
      <c r="C58" s="14" t="n"/>
      <c r="D58" s="12" t="n"/>
      <c r="E58" s="14" t="n"/>
      <c r="F58" s="14" t="n"/>
      <c r="G58" s="12" t="n"/>
      <c r="H58" s="13" t="n"/>
      <c r="I58" s="14" t="n"/>
      <c r="J58">
        <f>IF(AND(B58&lt;&gt;"",B58=SEL_N,ISNUMBER(A58)),A58+ROW()/100000,"")</f>
        <v/>
      </c>
    </row>
    <row r="59">
      <c r="A59" s="13" t="n"/>
      <c r="B59" s="12" t="n"/>
      <c r="C59" s="14" t="n"/>
      <c r="D59" s="12" t="n"/>
      <c r="E59" s="14" t="n"/>
      <c r="F59" s="14" t="n"/>
      <c r="G59" s="12" t="n"/>
      <c r="H59" s="13" t="n"/>
      <c r="I59" s="14" t="n"/>
      <c r="J59">
        <f>IF(AND(B59&lt;&gt;"",B59=SEL_N,ISNUMBER(A59)),A59+ROW()/100000,"")</f>
        <v/>
      </c>
    </row>
    <row r="60">
      <c r="A60" s="13" t="n"/>
      <c r="B60" s="12" t="n"/>
      <c r="C60" s="14" t="n"/>
      <c r="D60" s="12" t="n"/>
      <c r="E60" s="14" t="n"/>
      <c r="F60" s="14" t="n"/>
      <c r="G60" s="12" t="n"/>
      <c r="H60" s="13" t="n"/>
      <c r="I60" s="14" t="n"/>
      <c r="J60">
        <f>IF(AND(B60&lt;&gt;"",B60=SEL_N,ISNUMBER(A60)),A60+ROW()/100000,"")</f>
        <v/>
      </c>
    </row>
    <row r="61">
      <c r="A61" s="13" t="n"/>
      <c r="B61" s="12" t="n"/>
      <c r="C61" s="14" t="n"/>
      <c r="D61" s="12" t="n"/>
      <c r="E61" s="14" t="n"/>
      <c r="F61" s="14" t="n"/>
      <c r="G61" s="12" t="n"/>
      <c r="H61" s="13" t="n"/>
      <c r="I61" s="14" t="n"/>
      <c r="J61">
        <f>IF(AND(B61&lt;&gt;"",B61=SEL_N,ISNUMBER(A61)),A61+ROW()/100000,"")</f>
        <v/>
      </c>
    </row>
    <row r="62">
      <c r="A62" s="13" t="n"/>
      <c r="B62" s="12" t="n"/>
      <c r="C62" s="14" t="n"/>
      <c r="D62" s="12" t="n"/>
      <c r="E62" s="14" t="n"/>
      <c r="F62" s="14" t="n"/>
      <c r="G62" s="12" t="n"/>
      <c r="H62" s="13" t="n"/>
      <c r="I62" s="14" t="n"/>
      <c r="J62">
        <f>IF(AND(B62&lt;&gt;"",B62=SEL_N,ISNUMBER(A62)),A62+ROW()/100000,"")</f>
        <v/>
      </c>
    </row>
    <row r="63">
      <c r="A63" s="13" t="n"/>
      <c r="B63" s="12" t="n"/>
      <c r="C63" s="14" t="n"/>
      <c r="D63" s="12" t="n"/>
      <c r="E63" s="14" t="n"/>
      <c r="F63" s="14" t="n"/>
      <c r="G63" s="12" t="n"/>
      <c r="H63" s="13" t="n"/>
      <c r="I63" s="14" t="n"/>
      <c r="J63">
        <f>IF(AND(B63&lt;&gt;"",B63=SEL_N,ISNUMBER(A63)),A63+ROW()/100000,"")</f>
        <v/>
      </c>
    </row>
    <row r="64">
      <c r="A64" s="13" t="n"/>
      <c r="B64" s="12" t="n"/>
      <c r="C64" s="14" t="n"/>
      <c r="D64" s="12" t="n"/>
      <c r="E64" s="14" t="n"/>
      <c r="F64" s="14" t="n"/>
      <c r="G64" s="12" t="n"/>
      <c r="H64" s="13" t="n"/>
      <c r="I64" s="14" t="n"/>
      <c r="J64">
        <f>IF(AND(B64&lt;&gt;"",B64=SEL_N,ISNUMBER(A64)),A64+ROW()/100000,"")</f>
        <v/>
      </c>
    </row>
    <row r="65">
      <c r="A65" s="13" t="n"/>
      <c r="B65" s="12" t="n"/>
      <c r="C65" s="14" t="n"/>
      <c r="D65" s="12" t="n"/>
      <c r="E65" s="14" t="n"/>
      <c r="F65" s="14" t="n"/>
      <c r="G65" s="12" t="n"/>
      <c r="H65" s="13" t="n"/>
      <c r="I65" s="14" t="n"/>
      <c r="J65">
        <f>IF(AND(B65&lt;&gt;"",B65=SEL_N,ISNUMBER(A65)),A65+ROW()/100000,"")</f>
        <v/>
      </c>
    </row>
    <row r="66">
      <c r="A66" s="13" t="n"/>
      <c r="B66" s="12" t="n"/>
      <c r="C66" s="14" t="n"/>
      <c r="D66" s="12" t="n"/>
      <c r="E66" s="14" t="n"/>
      <c r="F66" s="14" t="n"/>
      <c r="G66" s="12" t="n"/>
      <c r="H66" s="13" t="n"/>
      <c r="I66" s="14" t="n"/>
      <c r="J66">
        <f>IF(AND(B66&lt;&gt;"",B66=SEL_N,ISNUMBER(A66)),A66+ROW()/100000,"")</f>
        <v/>
      </c>
    </row>
    <row r="67">
      <c r="A67" s="13" t="n"/>
      <c r="B67" s="12" t="n"/>
      <c r="C67" s="14" t="n"/>
      <c r="D67" s="12" t="n"/>
      <c r="E67" s="14" t="n"/>
      <c r="F67" s="14" t="n"/>
      <c r="G67" s="12" t="n"/>
      <c r="H67" s="13" t="n"/>
      <c r="I67" s="14" t="n"/>
      <c r="J67">
        <f>IF(AND(B67&lt;&gt;"",B67=SEL_N,ISNUMBER(A67)),A67+ROW()/100000,"")</f>
        <v/>
      </c>
    </row>
    <row r="68">
      <c r="A68" s="13" t="n"/>
      <c r="B68" s="12" t="n"/>
      <c r="C68" s="14" t="n"/>
      <c r="D68" s="12" t="n"/>
      <c r="E68" s="14" t="n"/>
      <c r="F68" s="14" t="n"/>
      <c r="G68" s="12" t="n"/>
      <c r="H68" s="13" t="n"/>
      <c r="I68" s="14" t="n"/>
      <c r="J68">
        <f>IF(AND(B68&lt;&gt;"",B68=SEL_N,ISNUMBER(A68)),A68+ROW()/100000,"")</f>
        <v/>
      </c>
    </row>
    <row r="69">
      <c r="A69" s="13" t="n"/>
      <c r="B69" s="12" t="n"/>
      <c r="C69" s="14" t="n"/>
      <c r="D69" s="12" t="n"/>
      <c r="E69" s="14" t="n"/>
      <c r="F69" s="14" t="n"/>
      <c r="G69" s="12" t="n"/>
      <c r="H69" s="13" t="n"/>
      <c r="I69" s="14" t="n"/>
      <c r="J69">
        <f>IF(AND(B69&lt;&gt;"",B69=SEL_N,ISNUMBER(A69)),A69+ROW()/100000,"")</f>
        <v/>
      </c>
    </row>
    <row r="70">
      <c r="A70" s="13" t="n"/>
      <c r="B70" s="12" t="n"/>
      <c r="C70" s="14" t="n"/>
      <c r="D70" s="12" t="n"/>
      <c r="E70" s="14" t="n"/>
      <c r="F70" s="14" t="n"/>
      <c r="G70" s="12" t="n"/>
      <c r="H70" s="13" t="n"/>
      <c r="I70" s="14" t="n"/>
      <c r="J70">
        <f>IF(AND(B70&lt;&gt;"",B70=SEL_N,ISNUMBER(A70)),A70+ROW()/100000,"")</f>
        <v/>
      </c>
    </row>
    <row r="71">
      <c r="A71" s="13" t="n"/>
      <c r="B71" s="12" t="n"/>
      <c r="C71" s="14" t="n"/>
      <c r="D71" s="12" t="n"/>
      <c r="E71" s="14" t="n"/>
      <c r="F71" s="14" t="n"/>
      <c r="G71" s="12" t="n"/>
      <c r="H71" s="13" t="n"/>
      <c r="I71" s="14" t="n"/>
      <c r="J71">
        <f>IF(AND(B71&lt;&gt;"",B71=SEL_N,ISNUMBER(A71)),A71+ROW()/100000,"")</f>
        <v/>
      </c>
    </row>
    <row r="72">
      <c r="A72" s="13" t="n"/>
      <c r="B72" s="12" t="n"/>
      <c r="C72" s="14" t="n"/>
      <c r="D72" s="12" t="n"/>
      <c r="E72" s="14" t="n"/>
      <c r="F72" s="14" t="n"/>
      <c r="G72" s="12" t="n"/>
      <c r="H72" s="13" t="n"/>
      <c r="I72" s="14" t="n"/>
      <c r="J72">
        <f>IF(AND(B72&lt;&gt;"",B72=SEL_N,ISNUMBER(A72)),A72+ROW()/100000,"")</f>
        <v/>
      </c>
    </row>
    <row r="73">
      <c r="A73" s="13" t="n"/>
      <c r="B73" s="12" t="n"/>
      <c r="C73" s="14" t="n"/>
      <c r="D73" s="12" t="n"/>
      <c r="E73" s="14" t="n"/>
      <c r="F73" s="14" t="n"/>
      <c r="G73" s="12" t="n"/>
      <c r="H73" s="13" t="n"/>
      <c r="I73" s="14" t="n"/>
      <c r="J73">
        <f>IF(AND(B73&lt;&gt;"",B73=SEL_N,ISNUMBER(A73)),A73+ROW()/100000,"")</f>
        <v/>
      </c>
    </row>
    <row r="74">
      <c r="A74" s="13" t="n"/>
      <c r="B74" s="12" t="n"/>
      <c r="C74" s="14" t="n"/>
      <c r="D74" s="12" t="n"/>
      <c r="E74" s="14" t="n"/>
      <c r="F74" s="14" t="n"/>
      <c r="G74" s="12" t="n"/>
      <c r="H74" s="13" t="n"/>
      <c r="I74" s="14" t="n"/>
      <c r="J74">
        <f>IF(AND(B74&lt;&gt;"",B74=SEL_N,ISNUMBER(A74)),A74+ROW()/100000,"")</f>
        <v/>
      </c>
    </row>
    <row r="75">
      <c r="A75" s="13" t="n"/>
      <c r="B75" s="12" t="n"/>
      <c r="C75" s="14" t="n"/>
      <c r="D75" s="12" t="n"/>
      <c r="E75" s="14" t="n"/>
      <c r="F75" s="14" t="n"/>
      <c r="G75" s="12" t="n"/>
      <c r="H75" s="13" t="n"/>
      <c r="I75" s="14" t="n"/>
      <c r="J75">
        <f>IF(AND(B75&lt;&gt;"",B75=SEL_N,ISNUMBER(A75)),A75+ROW()/100000,"")</f>
        <v/>
      </c>
    </row>
    <row r="76">
      <c r="A76" s="13" t="n"/>
      <c r="B76" s="12" t="n"/>
      <c r="C76" s="14" t="n"/>
      <c r="D76" s="12" t="n"/>
      <c r="E76" s="14" t="n"/>
      <c r="F76" s="14" t="n"/>
      <c r="G76" s="12" t="n"/>
      <c r="H76" s="13" t="n"/>
      <c r="I76" s="14" t="n"/>
      <c r="J76">
        <f>IF(AND(B76&lt;&gt;"",B76=SEL_N,ISNUMBER(A76)),A76+ROW()/100000,"")</f>
        <v/>
      </c>
    </row>
    <row r="77">
      <c r="A77" s="13" t="n"/>
      <c r="B77" s="12" t="n"/>
      <c r="C77" s="14" t="n"/>
      <c r="D77" s="12" t="n"/>
      <c r="E77" s="14" t="n"/>
      <c r="F77" s="14" t="n"/>
      <c r="G77" s="12" t="n"/>
      <c r="H77" s="13" t="n"/>
      <c r="I77" s="14" t="n"/>
      <c r="J77">
        <f>IF(AND(B77&lt;&gt;"",B77=SEL_N,ISNUMBER(A77)),A77+ROW()/100000,"")</f>
        <v/>
      </c>
    </row>
    <row r="78">
      <c r="A78" s="13" t="n"/>
      <c r="B78" s="12" t="n"/>
      <c r="C78" s="14" t="n"/>
      <c r="D78" s="12" t="n"/>
      <c r="E78" s="14" t="n"/>
      <c r="F78" s="14" t="n"/>
      <c r="G78" s="12" t="n"/>
      <c r="H78" s="13" t="n"/>
      <c r="I78" s="14" t="n"/>
      <c r="J78">
        <f>IF(AND(B78&lt;&gt;"",B78=SEL_N,ISNUMBER(A78)),A78+ROW()/100000,"")</f>
        <v/>
      </c>
    </row>
    <row r="79">
      <c r="A79" s="13" t="n"/>
      <c r="B79" s="12" t="n"/>
      <c r="C79" s="14" t="n"/>
      <c r="D79" s="12" t="n"/>
      <c r="E79" s="14" t="n"/>
      <c r="F79" s="14" t="n"/>
      <c r="G79" s="12" t="n"/>
      <c r="H79" s="13" t="n"/>
      <c r="I79" s="14" t="n"/>
      <c r="J79">
        <f>IF(AND(B79&lt;&gt;"",B79=SEL_N,ISNUMBER(A79)),A79+ROW()/100000,"")</f>
        <v/>
      </c>
    </row>
    <row r="80">
      <c r="A80" s="13" t="n"/>
      <c r="B80" s="12" t="n"/>
      <c r="C80" s="14" t="n"/>
      <c r="D80" s="12" t="n"/>
      <c r="E80" s="14" t="n"/>
      <c r="F80" s="14" t="n"/>
      <c r="G80" s="12" t="n"/>
      <c r="H80" s="13" t="n"/>
      <c r="I80" s="14" t="n"/>
      <c r="J80">
        <f>IF(AND(B80&lt;&gt;"",B80=SEL_N,ISNUMBER(A80)),A80+ROW()/100000,"")</f>
        <v/>
      </c>
    </row>
    <row r="81">
      <c r="A81" s="13" t="n"/>
      <c r="B81" s="12" t="n"/>
      <c r="C81" s="14" t="n"/>
      <c r="D81" s="12" t="n"/>
      <c r="E81" s="14" t="n"/>
      <c r="F81" s="14" t="n"/>
      <c r="G81" s="12" t="n"/>
      <c r="H81" s="13" t="n"/>
      <c r="I81" s="14" t="n"/>
      <c r="J81">
        <f>IF(AND(B81&lt;&gt;"",B81=SEL_N,ISNUMBER(A81)),A81+ROW()/100000,"")</f>
        <v/>
      </c>
    </row>
    <row r="82">
      <c r="A82" s="13" t="n"/>
      <c r="B82" s="12" t="n"/>
      <c r="C82" s="14" t="n"/>
      <c r="D82" s="12" t="n"/>
      <c r="E82" s="14" t="n"/>
      <c r="F82" s="14" t="n"/>
      <c r="G82" s="12" t="n"/>
      <c r="H82" s="13" t="n"/>
      <c r="I82" s="14" t="n"/>
      <c r="J82">
        <f>IF(AND(B82&lt;&gt;"",B82=SEL_N,ISNUMBER(A82)),A82+ROW()/100000,"")</f>
        <v/>
      </c>
    </row>
    <row r="83">
      <c r="A83" s="13" t="n"/>
      <c r="B83" s="12" t="n"/>
      <c r="C83" s="14" t="n"/>
      <c r="D83" s="12" t="n"/>
      <c r="E83" s="14" t="n"/>
      <c r="F83" s="14" t="n"/>
      <c r="G83" s="12" t="n"/>
      <c r="H83" s="13" t="n"/>
      <c r="I83" s="14" t="n"/>
      <c r="J83">
        <f>IF(AND(B83&lt;&gt;"",B83=SEL_N,ISNUMBER(A83)),A83+ROW()/100000,"")</f>
        <v/>
      </c>
    </row>
    <row r="84">
      <c r="A84" s="13" t="n"/>
      <c r="B84" s="12" t="n"/>
      <c r="C84" s="14" t="n"/>
      <c r="D84" s="12" t="n"/>
      <c r="E84" s="14" t="n"/>
      <c r="F84" s="14" t="n"/>
      <c r="G84" s="12" t="n"/>
      <c r="H84" s="13" t="n"/>
      <c r="I84" s="14" t="n"/>
      <c r="J84">
        <f>IF(AND(B84&lt;&gt;"",B84=SEL_N,ISNUMBER(A84)),A84+ROW()/100000,"")</f>
        <v/>
      </c>
    </row>
    <row r="85">
      <c r="A85" s="13" t="n"/>
      <c r="B85" s="12" t="n"/>
      <c r="C85" s="14" t="n"/>
      <c r="D85" s="12" t="n"/>
      <c r="E85" s="14" t="n"/>
      <c r="F85" s="14" t="n"/>
      <c r="G85" s="12" t="n"/>
      <c r="H85" s="13" t="n"/>
      <c r="I85" s="14" t="n"/>
      <c r="J85">
        <f>IF(AND(B85&lt;&gt;"",B85=SEL_N,ISNUMBER(A85)),A85+ROW()/100000,"")</f>
        <v/>
      </c>
    </row>
    <row r="86">
      <c r="A86" s="13" t="n"/>
      <c r="B86" s="12" t="n"/>
      <c r="C86" s="14" t="n"/>
      <c r="D86" s="12" t="n"/>
      <c r="E86" s="14" t="n"/>
      <c r="F86" s="14" t="n"/>
      <c r="G86" s="12" t="n"/>
      <c r="H86" s="13" t="n"/>
      <c r="I86" s="14" t="n"/>
      <c r="J86">
        <f>IF(AND(B86&lt;&gt;"",B86=SEL_N,ISNUMBER(A86)),A86+ROW()/100000,"")</f>
        <v/>
      </c>
    </row>
    <row r="87">
      <c r="A87" s="13" t="n"/>
      <c r="B87" s="12" t="n"/>
      <c r="C87" s="14" t="n"/>
      <c r="D87" s="12" t="n"/>
      <c r="E87" s="14" t="n"/>
      <c r="F87" s="14" t="n"/>
      <c r="G87" s="12" t="n"/>
      <c r="H87" s="13" t="n"/>
      <c r="I87" s="14" t="n"/>
      <c r="J87">
        <f>IF(AND(B87&lt;&gt;"",B87=SEL_N,ISNUMBER(A87)),A87+ROW()/100000,"")</f>
        <v/>
      </c>
    </row>
    <row r="88">
      <c r="A88" s="13" t="n"/>
      <c r="B88" s="12" t="n"/>
      <c r="C88" s="14" t="n"/>
      <c r="D88" s="12" t="n"/>
      <c r="E88" s="14" t="n"/>
      <c r="F88" s="14" t="n"/>
      <c r="G88" s="12" t="n"/>
      <c r="H88" s="13" t="n"/>
      <c r="I88" s="14" t="n"/>
      <c r="J88">
        <f>IF(AND(B88&lt;&gt;"",B88=SEL_N,ISNUMBER(A88)),A88+ROW()/100000,"")</f>
        <v/>
      </c>
    </row>
    <row r="89">
      <c r="A89" s="13" t="n"/>
      <c r="B89" s="12" t="n"/>
      <c r="C89" s="14" t="n"/>
      <c r="D89" s="12" t="n"/>
      <c r="E89" s="14" t="n"/>
      <c r="F89" s="14" t="n"/>
      <c r="G89" s="12" t="n"/>
      <c r="H89" s="13" t="n"/>
      <c r="I89" s="14" t="n"/>
      <c r="J89">
        <f>IF(AND(B89&lt;&gt;"",B89=SEL_N,ISNUMBER(A89)),A89+ROW()/100000,"")</f>
        <v/>
      </c>
    </row>
    <row r="90">
      <c r="A90" s="13" t="n"/>
      <c r="B90" s="12" t="n"/>
      <c r="C90" s="14" t="n"/>
      <c r="D90" s="12" t="n"/>
      <c r="E90" s="14" t="n"/>
      <c r="F90" s="14" t="n"/>
      <c r="G90" s="12" t="n"/>
      <c r="H90" s="13" t="n"/>
      <c r="I90" s="14" t="n"/>
      <c r="J90">
        <f>IF(AND(B90&lt;&gt;"",B90=SEL_N,ISNUMBER(A90)),A90+ROW()/100000,"")</f>
        <v/>
      </c>
    </row>
    <row r="91">
      <c r="A91" s="13" t="n"/>
      <c r="B91" s="12" t="n"/>
      <c r="C91" s="14" t="n"/>
      <c r="D91" s="12" t="n"/>
      <c r="E91" s="14" t="n"/>
      <c r="F91" s="14" t="n"/>
      <c r="G91" s="12" t="n"/>
      <c r="H91" s="13" t="n"/>
      <c r="I91" s="14" t="n"/>
      <c r="J91">
        <f>IF(AND(B91&lt;&gt;"",B91=SEL_N,ISNUMBER(A91)),A91+ROW()/100000,"")</f>
        <v/>
      </c>
    </row>
    <row r="92">
      <c r="A92" s="13" t="n"/>
      <c r="B92" s="12" t="n"/>
      <c r="C92" s="14" t="n"/>
      <c r="D92" s="12" t="n"/>
      <c r="E92" s="14" t="n"/>
      <c r="F92" s="14" t="n"/>
      <c r="G92" s="12" t="n"/>
      <c r="H92" s="13" t="n"/>
      <c r="I92" s="14" t="n"/>
      <c r="J92">
        <f>IF(AND(B92&lt;&gt;"",B92=SEL_N,ISNUMBER(A92)),A92+ROW()/100000,"")</f>
        <v/>
      </c>
    </row>
    <row r="93">
      <c r="A93" s="13" t="n"/>
      <c r="B93" s="12" t="n"/>
      <c r="C93" s="14" t="n"/>
      <c r="D93" s="12" t="n"/>
      <c r="E93" s="14" t="n"/>
      <c r="F93" s="14" t="n"/>
      <c r="G93" s="12" t="n"/>
      <c r="H93" s="13" t="n"/>
      <c r="I93" s="14" t="n"/>
      <c r="J93">
        <f>IF(AND(B93&lt;&gt;"",B93=SEL_N,ISNUMBER(A93)),A93+ROW()/100000,"")</f>
        <v/>
      </c>
    </row>
    <row r="94">
      <c r="A94" s="13" t="n"/>
      <c r="B94" s="12" t="n"/>
      <c r="C94" s="14" t="n"/>
      <c r="D94" s="12" t="n"/>
      <c r="E94" s="14" t="n"/>
      <c r="F94" s="14" t="n"/>
      <c r="G94" s="12" t="n"/>
      <c r="H94" s="13" t="n"/>
      <c r="I94" s="14" t="n"/>
      <c r="J94">
        <f>IF(AND(B94&lt;&gt;"",B94=SEL_N,ISNUMBER(A94)),A94+ROW()/100000,"")</f>
        <v/>
      </c>
    </row>
    <row r="95">
      <c r="A95" s="13" t="n"/>
      <c r="B95" s="12" t="n"/>
      <c r="C95" s="14" t="n"/>
      <c r="D95" s="12" t="n"/>
      <c r="E95" s="14" t="n"/>
      <c r="F95" s="14" t="n"/>
      <c r="G95" s="12" t="n"/>
      <c r="H95" s="13" t="n"/>
      <c r="I95" s="14" t="n"/>
      <c r="J95">
        <f>IF(AND(B95&lt;&gt;"",B95=SEL_N,ISNUMBER(A95)),A95+ROW()/100000,"")</f>
        <v/>
      </c>
    </row>
    <row r="96">
      <c r="A96" s="13" t="n"/>
      <c r="B96" s="12" t="n"/>
      <c r="C96" s="14" t="n"/>
      <c r="D96" s="12" t="n"/>
      <c r="E96" s="14" t="n"/>
      <c r="F96" s="14" t="n"/>
      <c r="G96" s="12" t="n"/>
      <c r="H96" s="13" t="n"/>
      <c r="I96" s="14" t="n"/>
      <c r="J96">
        <f>IF(AND(B96&lt;&gt;"",B96=SEL_N,ISNUMBER(A96)),A96+ROW()/100000,"")</f>
        <v/>
      </c>
    </row>
    <row r="97">
      <c r="A97" s="13" t="n"/>
      <c r="B97" s="12" t="n"/>
      <c r="C97" s="14" t="n"/>
      <c r="D97" s="12" t="n"/>
      <c r="E97" s="14" t="n"/>
      <c r="F97" s="14" t="n"/>
      <c r="G97" s="12" t="n"/>
      <c r="H97" s="13" t="n"/>
      <c r="I97" s="14" t="n"/>
      <c r="J97">
        <f>IF(AND(B97&lt;&gt;"",B97=SEL_N,ISNUMBER(A97)),A97+ROW()/100000,"")</f>
        <v/>
      </c>
    </row>
    <row r="98">
      <c r="A98" s="13" t="n"/>
      <c r="B98" s="12" t="n"/>
      <c r="C98" s="14" t="n"/>
      <c r="D98" s="12" t="n"/>
      <c r="E98" s="14" t="n"/>
      <c r="F98" s="14" t="n"/>
      <c r="G98" s="12" t="n"/>
      <c r="H98" s="13" t="n"/>
      <c r="I98" s="14" t="n"/>
      <c r="J98">
        <f>IF(AND(B98&lt;&gt;"",B98=SEL_N,ISNUMBER(A98)),A98+ROW()/100000,"")</f>
        <v/>
      </c>
    </row>
    <row r="99">
      <c r="A99" s="13" t="n"/>
      <c r="B99" s="12" t="n"/>
      <c r="C99" s="14" t="n"/>
      <c r="D99" s="12" t="n"/>
      <c r="E99" s="14" t="n"/>
      <c r="F99" s="14" t="n"/>
      <c r="G99" s="12" t="n"/>
      <c r="H99" s="13" t="n"/>
      <c r="I99" s="14" t="n"/>
      <c r="J99">
        <f>IF(AND(B99&lt;&gt;"",B99=SEL_N,ISNUMBER(A99)),A99+ROW()/100000,"")</f>
        <v/>
      </c>
    </row>
    <row r="100">
      <c r="A100" s="13" t="n"/>
      <c r="B100" s="12" t="n"/>
      <c r="C100" s="14" t="n"/>
      <c r="D100" s="12" t="n"/>
      <c r="E100" s="14" t="n"/>
      <c r="F100" s="14" t="n"/>
      <c r="G100" s="12" t="n"/>
      <c r="H100" s="13" t="n"/>
      <c r="I100" s="14" t="n"/>
      <c r="J100">
        <f>IF(AND(B100&lt;&gt;"",B100=SEL_N,ISNUMBER(A100)),A100+ROW()/100000,"")</f>
        <v/>
      </c>
    </row>
    <row r="101">
      <c r="A101" s="13" t="n"/>
      <c r="B101" s="12" t="n"/>
      <c r="C101" s="14" t="n"/>
      <c r="D101" s="12" t="n"/>
      <c r="E101" s="14" t="n"/>
      <c r="F101" s="14" t="n"/>
      <c r="G101" s="12" t="n"/>
      <c r="H101" s="13" t="n"/>
      <c r="I101" s="14" t="n"/>
      <c r="J101">
        <f>IF(AND(B101&lt;&gt;"",B101=SEL_N,ISNUMBER(A101)),A101+ROW()/100000,"")</f>
        <v/>
      </c>
    </row>
    <row r="102">
      <c r="A102" s="13" t="n"/>
      <c r="B102" s="12" t="n"/>
      <c r="C102" s="14" t="n"/>
      <c r="D102" s="12" t="n"/>
      <c r="E102" s="14" t="n"/>
      <c r="F102" s="14" t="n"/>
      <c r="G102" s="12" t="n"/>
      <c r="H102" s="13" t="n"/>
      <c r="I102" s="14" t="n"/>
      <c r="J102">
        <f>IF(AND(B102&lt;&gt;"",B102=SEL_N,ISNUMBER(A102)),A102+ROW()/100000,"")</f>
        <v/>
      </c>
    </row>
    <row r="103">
      <c r="A103" s="13" t="n"/>
      <c r="B103" s="12" t="n"/>
      <c r="C103" s="14" t="n"/>
      <c r="D103" s="12" t="n"/>
      <c r="E103" s="14" t="n"/>
      <c r="F103" s="14" t="n"/>
      <c r="G103" s="12" t="n"/>
      <c r="H103" s="13" t="n"/>
      <c r="I103" s="14" t="n"/>
      <c r="J103">
        <f>IF(AND(B103&lt;&gt;"",B103=SEL_N,ISNUMBER(A103)),A103+ROW()/100000,"")</f>
        <v/>
      </c>
    </row>
    <row r="104">
      <c r="A104" s="13" t="n"/>
      <c r="B104" s="12" t="n"/>
      <c r="C104" s="14" t="n"/>
      <c r="D104" s="12" t="n"/>
      <c r="E104" s="14" t="n"/>
      <c r="F104" s="14" t="n"/>
      <c r="G104" s="12" t="n"/>
      <c r="H104" s="13" t="n"/>
      <c r="I104" s="14" t="n"/>
      <c r="J104">
        <f>IF(AND(B104&lt;&gt;"",B104=SEL_N,ISNUMBER(A104)),A104+ROW()/100000,"")</f>
        <v/>
      </c>
    </row>
    <row r="105">
      <c r="A105" s="13" t="n"/>
      <c r="B105" s="12" t="n"/>
      <c r="C105" s="14" t="n"/>
      <c r="D105" s="12" t="n"/>
      <c r="E105" s="14" t="n"/>
      <c r="F105" s="14" t="n"/>
      <c r="G105" s="12" t="n"/>
      <c r="H105" s="13" t="n"/>
      <c r="I105" s="14" t="n"/>
      <c r="J105">
        <f>IF(AND(B105&lt;&gt;"",B105=SEL_N,ISNUMBER(A105)),A105+ROW()/100000,"")</f>
        <v/>
      </c>
    </row>
    <row r="106">
      <c r="A106" s="13" t="n"/>
      <c r="B106" s="12" t="n"/>
      <c r="C106" s="14" t="n"/>
      <c r="D106" s="12" t="n"/>
      <c r="E106" s="14" t="n"/>
      <c r="F106" s="14" t="n"/>
      <c r="G106" s="12" t="n"/>
      <c r="H106" s="13" t="n"/>
      <c r="I106" s="14" t="n"/>
      <c r="J106">
        <f>IF(AND(B106&lt;&gt;"",B106=SEL_N,ISNUMBER(A106)),A106+ROW()/100000,"")</f>
        <v/>
      </c>
    </row>
    <row r="107">
      <c r="A107" s="13" t="n"/>
      <c r="B107" s="12" t="n"/>
      <c r="C107" s="14" t="n"/>
      <c r="D107" s="12" t="n"/>
      <c r="E107" s="14" t="n"/>
      <c r="F107" s="14" t="n"/>
      <c r="G107" s="12" t="n"/>
      <c r="H107" s="13" t="n"/>
      <c r="I107" s="14" t="n"/>
      <c r="J107">
        <f>IF(AND(B107&lt;&gt;"",B107=SEL_N,ISNUMBER(A107)),A107+ROW()/100000,"")</f>
        <v/>
      </c>
    </row>
    <row r="108">
      <c r="A108" s="13" t="n"/>
      <c r="B108" s="12" t="n"/>
      <c r="C108" s="14" t="n"/>
      <c r="D108" s="12" t="n"/>
      <c r="E108" s="14" t="n"/>
      <c r="F108" s="14" t="n"/>
      <c r="G108" s="12" t="n"/>
      <c r="H108" s="13" t="n"/>
      <c r="I108" s="14" t="n"/>
      <c r="J108">
        <f>IF(AND(B108&lt;&gt;"",B108=SEL_N,ISNUMBER(A108)),A108+ROW()/100000,"")</f>
        <v/>
      </c>
    </row>
    <row r="109">
      <c r="A109" s="13" t="n"/>
      <c r="B109" s="12" t="n"/>
      <c r="C109" s="14" t="n"/>
      <c r="D109" s="12" t="n"/>
      <c r="E109" s="14" t="n"/>
      <c r="F109" s="14" t="n"/>
      <c r="G109" s="12" t="n"/>
      <c r="H109" s="13" t="n"/>
      <c r="I109" s="14" t="n"/>
      <c r="J109">
        <f>IF(AND(B109&lt;&gt;"",B109=SEL_N,ISNUMBER(A109)),A109+ROW()/100000,"")</f>
        <v/>
      </c>
    </row>
    <row r="110">
      <c r="A110" s="13" t="n"/>
      <c r="B110" s="12" t="n"/>
      <c r="C110" s="14" t="n"/>
      <c r="D110" s="12" t="n"/>
      <c r="E110" s="14" t="n"/>
      <c r="F110" s="14" t="n"/>
      <c r="G110" s="12" t="n"/>
      <c r="H110" s="13" t="n"/>
      <c r="I110" s="14" t="n"/>
      <c r="J110">
        <f>IF(AND(B110&lt;&gt;"",B110=SEL_N,ISNUMBER(A110)),A110+ROW()/100000,"")</f>
        <v/>
      </c>
    </row>
    <row r="111">
      <c r="A111" s="13" t="n"/>
      <c r="B111" s="12" t="n"/>
      <c r="C111" s="14" t="n"/>
      <c r="D111" s="12" t="n"/>
      <c r="E111" s="14" t="n"/>
      <c r="F111" s="14" t="n"/>
      <c r="G111" s="12" t="n"/>
      <c r="H111" s="13" t="n"/>
      <c r="I111" s="14" t="n"/>
      <c r="J111">
        <f>IF(AND(B111&lt;&gt;"",B111=SEL_N,ISNUMBER(A111)),A111+ROW()/100000,"")</f>
        <v/>
      </c>
    </row>
    <row r="112">
      <c r="A112" s="13" t="n"/>
      <c r="B112" s="12" t="n"/>
      <c r="C112" s="14" t="n"/>
      <c r="D112" s="12" t="n"/>
      <c r="E112" s="14" t="n"/>
      <c r="F112" s="14" t="n"/>
      <c r="G112" s="12" t="n"/>
      <c r="H112" s="13" t="n"/>
      <c r="I112" s="14" t="n"/>
      <c r="J112">
        <f>IF(AND(B112&lt;&gt;"",B112=SEL_N,ISNUMBER(A112)),A112+ROW()/100000,"")</f>
        <v/>
      </c>
    </row>
    <row r="113">
      <c r="A113" s="13" t="n"/>
      <c r="B113" s="12" t="n"/>
      <c r="C113" s="14" t="n"/>
      <c r="D113" s="12" t="n"/>
      <c r="E113" s="14" t="n"/>
      <c r="F113" s="14" t="n"/>
      <c r="G113" s="12" t="n"/>
      <c r="H113" s="13" t="n"/>
      <c r="I113" s="14" t="n"/>
      <c r="J113">
        <f>IF(AND(B113&lt;&gt;"",B113=SEL_N,ISNUMBER(A113)),A113+ROW()/100000,"")</f>
        <v/>
      </c>
    </row>
    <row r="114">
      <c r="A114" s="13" t="n"/>
      <c r="B114" s="12" t="n"/>
      <c r="C114" s="14" t="n"/>
      <c r="D114" s="12" t="n"/>
      <c r="E114" s="14" t="n"/>
      <c r="F114" s="14" t="n"/>
      <c r="G114" s="12" t="n"/>
      <c r="H114" s="13" t="n"/>
      <c r="I114" s="14" t="n"/>
      <c r="J114">
        <f>IF(AND(B114&lt;&gt;"",B114=SEL_N,ISNUMBER(A114)),A114+ROW()/100000,"")</f>
        <v/>
      </c>
    </row>
    <row r="115">
      <c r="A115" s="13" t="n"/>
      <c r="B115" s="12" t="n"/>
      <c r="C115" s="14" t="n"/>
      <c r="D115" s="12" t="n"/>
      <c r="E115" s="14" t="n"/>
      <c r="F115" s="14" t="n"/>
      <c r="G115" s="12" t="n"/>
      <c r="H115" s="13" t="n"/>
      <c r="I115" s="14" t="n"/>
      <c r="J115">
        <f>IF(AND(B115&lt;&gt;"",B115=SEL_N,ISNUMBER(A115)),A115+ROW()/100000,"")</f>
        <v/>
      </c>
    </row>
    <row r="116">
      <c r="A116" s="13" t="n"/>
      <c r="B116" s="12" t="n"/>
      <c r="C116" s="14" t="n"/>
      <c r="D116" s="12" t="n"/>
      <c r="E116" s="14" t="n"/>
      <c r="F116" s="14" t="n"/>
      <c r="G116" s="12" t="n"/>
      <c r="H116" s="13" t="n"/>
      <c r="I116" s="14" t="n"/>
      <c r="J116">
        <f>IF(AND(B116&lt;&gt;"",B116=SEL_N,ISNUMBER(A116)),A116+ROW()/100000,"")</f>
        <v/>
      </c>
    </row>
    <row r="117">
      <c r="A117" s="13" t="n"/>
      <c r="B117" s="12" t="n"/>
      <c r="C117" s="14" t="n"/>
      <c r="D117" s="12" t="n"/>
      <c r="E117" s="14" t="n"/>
      <c r="F117" s="14" t="n"/>
      <c r="G117" s="12" t="n"/>
      <c r="H117" s="13" t="n"/>
      <c r="I117" s="14" t="n"/>
      <c r="J117">
        <f>IF(AND(B117&lt;&gt;"",B117=SEL_N,ISNUMBER(A117)),A117+ROW()/100000,"")</f>
        <v/>
      </c>
    </row>
    <row r="118">
      <c r="A118" s="13" t="n"/>
      <c r="B118" s="12" t="n"/>
      <c r="C118" s="14" t="n"/>
      <c r="D118" s="12" t="n"/>
      <c r="E118" s="14" t="n"/>
      <c r="F118" s="14" t="n"/>
      <c r="G118" s="12" t="n"/>
      <c r="H118" s="13" t="n"/>
      <c r="I118" s="14" t="n"/>
      <c r="J118">
        <f>IF(AND(B118&lt;&gt;"",B118=SEL_N,ISNUMBER(A118)),A118+ROW()/100000,"")</f>
        <v/>
      </c>
    </row>
    <row r="119">
      <c r="A119" s="13" t="n"/>
      <c r="B119" s="12" t="n"/>
      <c r="C119" s="14" t="n"/>
      <c r="D119" s="12" t="n"/>
      <c r="E119" s="14" t="n"/>
      <c r="F119" s="14" t="n"/>
      <c r="G119" s="12" t="n"/>
      <c r="H119" s="13" t="n"/>
      <c r="I119" s="14" t="n"/>
      <c r="J119">
        <f>IF(AND(B119&lt;&gt;"",B119=SEL_N,ISNUMBER(A119)),A119+ROW()/100000,"")</f>
        <v/>
      </c>
    </row>
    <row r="120">
      <c r="A120" s="13" t="n"/>
      <c r="B120" s="12" t="n"/>
      <c r="C120" s="14" t="n"/>
      <c r="D120" s="12" t="n"/>
      <c r="E120" s="14" t="n"/>
      <c r="F120" s="14" t="n"/>
      <c r="G120" s="12" t="n"/>
      <c r="H120" s="13" t="n"/>
      <c r="I120" s="14" t="n"/>
      <c r="J120">
        <f>IF(AND(B120&lt;&gt;"",B120=SEL_N,ISNUMBER(A120)),A120+ROW()/100000,"")</f>
        <v/>
      </c>
    </row>
    <row r="121">
      <c r="A121" s="13" t="n"/>
      <c r="B121" s="12" t="n"/>
      <c r="C121" s="14" t="n"/>
      <c r="D121" s="12" t="n"/>
      <c r="E121" s="14" t="n"/>
      <c r="F121" s="14" t="n"/>
      <c r="G121" s="12" t="n"/>
      <c r="H121" s="13" t="n"/>
      <c r="I121" s="14" t="n"/>
      <c r="J121">
        <f>IF(AND(B121&lt;&gt;"",B121=SEL_N,ISNUMBER(A121)),A121+ROW()/100000,"")</f>
        <v/>
      </c>
    </row>
    <row r="122">
      <c r="A122" s="13" t="n"/>
      <c r="B122" s="12" t="n"/>
      <c r="C122" s="14" t="n"/>
      <c r="D122" s="12" t="n"/>
      <c r="E122" s="14" t="n"/>
      <c r="F122" s="14" t="n"/>
      <c r="G122" s="12" t="n"/>
      <c r="H122" s="13" t="n"/>
      <c r="I122" s="14" t="n"/>
      <c r="J122">
        <f>IF(AND(B122&lt;&gt;"",B122=SEL_N,ISNUMBER(A122)),A122+ROW()/100000,"")</f>
        <v/>
      </c>
    </row>
    <row r="123">
      <c r="A123" s="13" t="n"/>
      <c r="B123" s="12" t="n"/>
      <c r="C123" s="14" t="n"/>
      <c r="D123" s="12" t="n"/>
      <c r="E123" s="14" t="n"/>
      <c r="F123" s="14" t="n"/>
      <c r="G123" s="12" t="n"/>
      <c r="H123" s="13" t="n"/>
      <c r="I123" s="14" t="n"/>
      <c r="J123">
        <f>IF(AND(B123&lt;&gt;"",B123=SEL_N,ISNUMBER(A123)),A123+ROW()/100000,"")</f>
        <v/>
      </c>
    </row>
    <row r="124">
      <c r="A124" s="13" t="n"/>
      <c r="B124" s="12" t="n"/>
      <c r="C124" s="14" t="n"/>
      <c r="D124" s="12" t="n"/>
      <c r="E124" s="14" t="n"/>
      <c r="F124" s="14" t="n"/>
      <c r="G124" s="12" t="n"/>
      <c r="H124" s="13" t="n"/>
      <c r="I124" s="14" t="n"/>
      <c r="J124">
        <f>IF(AND(B124&lt;&gt;"",B124=SEL_N,ISNUMBER(A124)),A124+ROW()/100000,"")</f>
        <v/>
      </c>
    </row>
    <row r="125">
      <c r="A125" s="13" t="n"/>
      <c r="B125" s="12" t="n"/>
      <c r="C125" s="14" t="n"/>
      <c r="D125" s="12" t="n"/>
      <c r="E125" s="14" t="n"/>
      <c r="F125" s="14" t="n"/>
      <c r="G125" s="12" t="n"/>
      <c r="H125" s="13" t="n"/>
      <c r="I125" s="14" t="n"/>
      <c r="J125">
        <f>IF(AND(B125&lt;&gt;"",B125=SEL_N,ISNUMBER(A125)),A125+ROW()/100000,"")</f>
        <v/>
      </c>
    </row>
    <row r="126">
      <c r="A126" s="13" t="n"/>
      <c r="B126" s="12" t="n"/>
      <c r="C126" s="14" t="n"/>
      <c r="D126" s="12" t="n"/>
      <c r="E126" s="14" t="n"/>
      <c r="F126" s="14" t="n"/>
      <c r="G126" s="12" t="n"/>
      <c r="H126" s="13" t="n"/>
      <c r="I126" s="14" t="n"/>
      <c r="J126">
        <f>IF(AND(B126&lt;&gt;"",B126=SEL_N,ISNUMBER(A126)),A126+ROW()/100000,"")</f>
        <v/>
      </c>
    </row>
    <row r="127">
      <c r="A127" s="13" t="n"/>
      <c r="B127" s="12" t="n"/>
      <c r="C127" s="14" t="n"/>
      <c r="D127" s="12" t="n"/>
      <c r="E127" s="14" t="n"/>
      <c r="F127" s="14" t="n"/>
      <c r="G127" s="12" t="n"/>
      <c r="H127" s="13" t="n"/>
      <c r="I127" s="14" t="n"/>
      <c r="J127">
        <f>IF(AND(B127&lt;&gt;"",B127=SEL_N,ISNUMBER(A127)),A127+ROW()/100000,"")</f>
        <v/>
      </c>
    </row>
    <row r="128">
      <c r="A128" s="13" t="n"/>
      <c r="B128" s="12" t="n"/>
      <c r="C128" s="14" t="n"/>
      <c r="D128" s="12" t="n"/>
      <c r="E128" s="14" t="n"/>
      <c r="F128" s="14" t="n"/>
      <c r="G128" s="12" t="n"/>
      <c r="H128" s="13" t="n"/>
      <c r="I128" s="14" t="n"/>
      <c r="J128">
        <f>IF(AND(B128&lt;&gt;"",B128=SEL_N,ISNUMBER(A128)),A128+ROW()/100000,"")</f>
        <v/>
      </c>
    </row>
    <row r="129">
      <c r="A129" s="13" t="n"/>
      <c r="B129" s="12" t="n"/>
      <c r="C129" s="14" t="n"/>
      <c r="D129" s="12" t="n"/>
      <c r="E129" s="14" t="n"/>
      <c r="F129" s="14" t="n"/>
      <c r="G129" s="12" t="n"/>
      <c r="H129" s="13" t="n"/>
      <c r="I129" s="14" t="n"/>
      <c r="J129">
        <f>IF(AND(B129&lt;&gt;"",B129=SEL_N,ISNUMBER(A129)),A129+ROW()/100000,"")</f>
        <v/>
      </c>
    </row>
    <row r="130">
      <c r="A130" s="13" t="n"/>
      <c r="B130" s="12" t="n"/>
      <c r="C130" s="14" t="n"/>
      <c r="D130" s="12" t="n"/>
      <c r="E130" s="14" t="n"/>
      <c r="F130" s="14" t="n"/>
      <c r="G130" s="12" t="n"/>
      <c r="H130" s="13" t="n"/>
      <c r="I130" s="14" t="n"/>
      <c r="J130">
        <f>IF(AND(B130&lt;&gt;"",B130=SEL_N,ISNUMBER(A130)),A130+ROW()/100000,"")</f>
        <v/>
      </c>
    </row>
    <row r="131">
      <c r="A131" s="13" t="n"/>
      <c r="B131" s="12" t="n"/>
      <c r="C131" s="14" t="n"/>
      <c r="D131" s="12" t="n"/>
      <c r="E131" s="14" t="n"/>
      <c r="F131" s="14" t="n"/>
      <c r="G131" s="12" t="n"/>
      <c r="H131" s="13" t="n"/>
      <c r="I131" s="14" t="n"/>
      <c r="J131">
        <f>IF(AND(B131&lt;&gt;"",B131=SEL_N,ISNUMBER(A131)),A131+ROW()/100000,"")</f>
        <v/>
      </c>
    </row>
    <row r="132">
      <c r="A132" s="13" t="n"/>
      <c r="B132" s="12" t="n"/>
      <c r="C132" s="14" t="n"/>
      <c r="D132" s="12" t="n"/>
      <c r="E132" s="14" t="n"/>
      <c r="F132" s="14" t="n"/>
      <c r="G132" s="12" t="n"/>
      <c r="H132" s="13" t="n"/>
      <c r="I132" s="14" t="n"/>
      <c r="J132">
        <f>IF(AND(B132&lt;&gt;"",B132=SEL_N,ISNUMBER(A132)),A132+ROW()/100000,"")</f>
        <v/>
      </c>
    </row>
    <row r="133">
      <c r="A133" s="13" t="n"/>
      <c r="B133" s="12" t="n"/>
      <c r="C133" s="14" t="n"/>
      <c r="D133" s="12" t="n"/>
      <c r="E133" s="14" t="n"/>
      <c r="F133" s="14" t="n"/>
      <c r="G133" s="12" t="n"/>
      <c r="H133" s="13" t="n"/>
      <c r="I133" s="14" t="n"/>
      <c r="J133">
        <f>IF(AND(B133&lt;&gt;"",B133=SEL_N,ISNUMBER(A133)),A133+ROW()/100000,"")</f>
        <v/>
      </c>
    </row>
    <row r="134">
      <c r="A134" s="13" t="n"/>
      <c r="B134" s="12" t="n"/>
      <c r="C134" s="14" t="n"/>
      <c r="D134" s="12" t="n"/>
      <c r="E134" s="14" t="n"/>
      <c r="F134" s="14" t="n"/>
      <c r="G134" s="12" t="n"/>
      <c r="H134" s="13" t="n"/>
      <c r="I134" s="14" t="n"/>
      <c r="J134">
        <f>IF(AND(B134&lt;&gt;"",B134=SEL_N,ISNUMBER(A134)),A134+ROW()/100000,"")</f>
        <v/>
      </c>
    </row>
    <row r="135">
      <c r="A135" s="13" t="n"/>
      <c r="B135" s="12" t="n"/>
      <c r="C135" s="14" t="n"/>
      <c r="D135" s="12" t="n"/>
      <c r="E135" s="14" t="n"/>
      <c r="F135" s="14" t="n"/>
      <c r="G135" s="12" t="n"/>
      <c r="H135" s="13" t="n"/>
      <c r="I135" s="14" t="n"/>
      <c r="J135">
        <f>IF(AND(B135&lt;&gt;"",B135=SEL_N,ISNUMBER(A135)),A135+ROW()/100000,"")</f>
        <v/>
      </c>
    </row>
    <row r="136">
      <c r="A136" s="13" t="n"/>
      <c r="B136" s="12" t="n"/>
      <c r="C136" s="14" t="n"/>
      <c r="D136" s="12" t="n"/>
      <c r="E136" s="14" t="n"/>
      <c r="F136" s="14" t="n"/>
      <c r="G136" s="12" t="n"/>
      <c r="H136" s="13" t="n"/>
      <c r="I136" s="14" t="n"/>
      <c r="J136">
        <f>IF(AND(B136&lt;&gt;"",B136=SEL_N,ISNUMBER(A136)),A136+ROW()/100000,"")</f>
        <v/>
      </c>
    </row>
    <row r="137">
      <c r="A137" s="13" t="n"/>
      <c r="B137" s="12" t="n"/>
      <c r="C137" s="14" t="n"/>
      <c r="D137" s="12" t="n"/>
      <c r="E137" s="14" t="n"/>
      <c r="F137" s="14" t="n"/>
      <c r="G137" s="12" t="n"/>
      <c r="H137" s="13" t="n"/>
      <c r="I137" s="14" t="n"/>
      <c r="J137">
        <f>IF(AND(B137&lt;&gt;"",B137=SEL_N,ISNUMBER(A137)),A137+ROW()/100000,"")</f>
        <v/>
      </c>
    </row>
    <row r="138">
      <c r="A138" s="13" t="n"/>
      <c r="B138" s="12" t="n"/>
      <c r="C138" s="14" t="n"/>
      <c r="D138" s="12" t="n"/>
      <c r="E138" s="14" t="n"/>
      <c r="F138" s="14" t="n"/>
      <c r="G138" s="12" t="n"/>
      <c r="H138" s="13" t="n"/>
      <c r="I138" s="14" t="n"/>
      <c r="J138">
        <f>IF(AND(B138&lt;&gt;"",B138=SEL_N,ISNUMBER(A138)),A138+ROW()/100000,"")</f>
        <v/>
      </c>
    </row>
    <row r="139">
      <c r="A139" s="13" t="n"/>
      <c r="B139" s="12" t="n"/>
      <c r="C139" s="14" t="n"/>
      <c r="D139" s="12" t="n"/>
      <c r="E139" s="14" t="n"/>
      <c r="F139" s="14" t="n"/>
      <c r="G139" s="12" t="n"/>
      <c r="H139" s="13" t="n"/>
      <c r="I139" s="14" t="n"/>
      <c r="J139">
        <f>IF(AND(B139&lt;&gt;"",B139=SEL_N,ISNUMBER(A139)),A139+ROW()/100000,"")</f>
        <v/>
      </c>
    </row>
    <row r="140">
      <c r="A140" s="13" t="n"/>
      <c r="B140" s="12" t="n"/>
      <c r="C140" s="14" t="n"/>
      <c r="D140" s="12" t="n"/>
      <c r="E140" s="14" t="n"/>
      <c r="F140" s="14" t="n"/>
      <c r="G140" s="12" t="n"/>
      <c r="H140" s="13" t="n"/>
      <c r="I140" s="14" t="n"/>
      <c r="J140">
        <f>IF(AND(B140&lt;&gt;"",B140=SEL_N,ISNUMBER(A140)),A140+ROW()/100000,"")</f>
        <v/>
      </c>
    </row>
    <row r="141">
      <c r="A141" s="13" t="n"/>
      <c r="B141" s="12" t="n"/>
      <c r="C141" s="14" t="n"/>
      <c r="D141" s="12" t="n"/>
      <c r="E141" s="14" t="n"/>
      <c r="F141" s="14" t="n"/>
      <c r="G141" s="12" t="n"/>
      <c r="H141" s="13" t="n"/>
      <c r="I141" s="14" t="n"/>
      <c r="J141">
        <f>IF(AND(B141&lt;&gt;"",B141=SEL_N,ISNUMBER(A141)),A141+ROW()/100000,"")</f>
        <v/>
      </c>
    </row>
    <row r="142">
      <c r="A142" s="13" t="n"/>
      <c r="B142" s="12" t="n"/>
      <c r="C142" s="14" t="n"/>
      <c r="D142" s="12" t="n"/>
      <c r="E142" s="14" t="n"/>
      <c r="F142" s="14" t="n"/>
      <c r="G142" s="12" t="n"/>
      <c r="H142" s="13" t="n"/>
      <c r="I142" s="14" t="n"/>
      <c r="J142">
        <f>IF(AND(B142&lt;&gt;"",B142=SEL_N,ISNUMBER(A142)),A142+ROW()/100000,"")</f>
        <v/>
      </c>
    </row>
    <row r="143">
      <c r="A143" s="13" t="n"/>
      <c r="B143" s="12" t="n"/>
      <c r="C143" s="14" t="n"/>
      <c r="D143" s="12" t="n"/>
      <c r="E143" s="14" t="n"/>
      <c r="F143" s="14" t="n"/>
      <c r="G143" s="12" t="n"/>
      <c r="H143" s="13" t="n"/>
      <c r="I143" s="14" t="n"/>
      <c r="J143">
        <f>IF(AND(B143&lt;&gt;"",B143=SEL_N,ISNUMBER(A143)),A143+ROW()/100000,"")</f>
        <v/>
      </c>
    </row>
    <row r="144">
      <c r="A144" s="13" t="n"/>
      <c r="B144" s="12" t="n"/>
      <c r="C144" s="14" t="n"/>
      <c r="D144" s="12" t="n"/>
      <c r="E144" s="14" t="n"/>
      <c r="F144" s="14" t="n"/>
      <c r="G144" s="12" t="n"/>
      <c r="H144" s="13" t="n"/>
      <c r="I144" s="14" t="n"/>
      <c r="J144">
        <f>IF(AND(B144&lt;&gt;"",B144=SEL_N,ISNUMBER(A144)),A144+ROW()/100000,"")</f>
        <v/>
      </c>
    </row>
    <row r="145">
      <c r="A145" s="13" t="n"/>
      <c r="B145" s="12" t="n"/>
      <c r="C145" s="14" t="n"/>
      <c r="D145" s="12" t="n"/>
      <c r="E145" s="14" t="n"/>
      <c r="F145" s="14" t="n"/>
      <c r="G145" s="12" t="n"/>
      <c r="H145" s="13" t="n"/>
      <c r="I145" s="14" t="n"/>
      <c r="J145">
        <f>IF(AND(B145&lt;&gt;"",B145=SEL_N,ISNUMBER(A145)),A145+ROW()/100000,"")</f>
        <v/>
      </c>
    </row>
    <row r="146">
      <c r="A146" s="13" t="n"/>
      <c r="B146" s="12" t="n"/>
      <c r="C146" s="14" t="n"/>
      <c r="D146" s="12" t="n"/>
      <c r="E146" s="14" t="n"/>
      <c r="F146" s="14" t="n"/>
      <c r="G146" s="12" t="n"/>
      <c r="H146" s="13" t="n"/>
      <c r="I146" s="14" t="n"/>
      <c r="J146">
        <f>IF(AND(B146&lt;&gt;"",B146=SEL_N,ISNUMBER(A146)),A146+ROW()/100000,"")</f>
        <v/>
      </c>
    </row>
    <row r="147">
      <c r="A147" s="13" t="n"/>
      <c r="B147" s="12" t="n"/>
      <c r="C147" s="14" t="n"/>
      <c r="D147" s="12" t="n"/>
      <c r="E147" s="14" t="n"/>
      <c r="F147" s="14" t="n"/>
      <c r="G147" s="12" t="n"/>
      <c r="H147" s="13" t="n"/>
      <c r="I147" s="14" t="n"/>
      <c r="J147">
        <f>IF(AND(B147&lt;&gt;"",B147=SEL_N,ISNUMBER(A147)),A147+ROW()/100000,"")</f>
        <v/>
      </c>
    </row>
    <row r="148">
      <c r="A148" s="13" t="n"/>
      <c r="B148" s="12" t="n"/>
      <c r="C148" s="14" t="n"/>
      <c r="D148" s="12" t="n"/>
      <c r="E148" s="14" t="n"/>
      <c r="F148" s="14" t="n"/>
      <c r="G148" s="12" t="n"/>
      <c r="H148" s="13" t="n"/>
      <c r="I148" s="14" t="n"/>
      <c r="J148">
        <f>IF(AND(B148&lt;&gt;"",B148=SEL_N,ISNUMBER(A148)),A148+ROW()/100000,"")</f>
        <v/>
      </c>
    </row>
    <row r="149">
      <c r="A149" s="13" t="n"/>
      <c r="B149" s="12" t="n"/>
      <c r="C149" s="14" t="n"/>
      <c r="D149" s="12" t="n"/>
      <c r="E149" s="14" t="n"/>
      <c r="F149" s="14" t="n"/>
      <c r="G149" s="12" t="n"/>
      <c r="H149" s="13" t="n"/>
      <c r="I149" s="14" t="n"/>
      <c r="J149">
        <f>IF(AND(B149&lt;&gt;"",B149=SEL_N,ISNUMBER(A149)),A149+ROW()/100000,"")</f>
        <v/>
      </c>
    </row>
    <row r="150">
      <c r="A150" s="13" t="n"/>
      <c r="B150" s="12" t="n"/>
      <c r="C150" s="14" t="n"/>
      <c r="D150" s="12" t="n"/>
      <c r="E150" s="14" t="n"/>
      <c r="F150" s="14" t="n"/>
      <c r="G150" s="12" t="n"/>
      <c r="H150" s="13" t="n"/>
      <c r="I150" s="14" t="n"/>
      <c r="J150">
        <f>IF(AND(B150&lt;&gt;"",B150=SEL_N,ISNUMBER(A150)),A150+ROW()/100000,"")</f>
        <v/>
      </c>
    </row>
    <row r="151">
      <c r="A151" s="13" t="n"/>
      <c r="B151" s="12" t="n"/>
      <c r="C151" s="14" t="n"/>
      <c r="D151" s="12" t="n"/>
      <c r="E151" s="14" t="n"/>
      <c r="F151" s="14" t="n"/>
      <c r="G151" s="12" t="n"/>
      <c r="H151" s="13" t="n"/>
      <c r="I151" s="14" t="n"/>
      <c r="J151">
        <f>IF(AND(B151&lt;&gt;"",B151=SEL_N,ISNUMBER(A151)),A151+ROW()/100000,"")</f>
        <v/>
      </c>
    </row>
    <row r="152">
      <c r="A152" s="13" t="n"/>
      <c r="B152" s="12" t="n"/>
      <c r="C152" s="14" t="n"/>
      <c r="D152" s="12" t="n"/>
      <c r="E152" s="14" t="n"/>
      <c r="F152" s="14" t="n"/>
      <c r="G152" s="12" t="n"/>
      <c r="H152" s="13" t="n"/>
      <c r="I152" s="14" t="n"/>
      <c r="J152">
        <f>IF(AND(B152&lt;&gt;"",B152=SEL_N,ISNUMBER(A152)),A152+ROW()/100000,"")</f>
        <v/>
      </c>
    </row>
    <row r="153">
      <c r="A153" s="13" t="n"/>
      <c r="B153" s="12" t="n"/>
      <c r="C153" s="14" t="n"/>
      <c r="D153" s="12" t="n"/>
      <c r="E153" s="14" t="n"/>
      <c r="F153" s="14" t="n"/>
      <c r="G153" s="12" t="n"/>
      <c r="H153" s="13" t="n"/>
      <c r="I153" s="14" t="n"/>
      <c r="J153">
        <f>IF(AND(B153&lt;&gt;"",B153=SEL_N,ISNUMBER(A153)),A153+ROW()/100000,"")</f>
        <v/>
      </c>
    </row>
    <row r="154">
      <c r="A154" s="13" t="n"/>
      <c r="B154" s="12" t="n"/>
      <c r="C154" s="14" t="n"/>
      <c r="D154" s="12" t="n"/>
      <c r="E154" s="14" t="n"/>
      <c r="F154" s="14" t="n"/>
      <c r="G154" s="12" t="n"/>
      <c r="H154" s="13" t="n"/>
      <c r="I154" s="14" t="n"/>
      <c r="J154">
        <f>IF(AND(B154&lt;&gt;"",B154=SEL_N,ISNUMBER(A154)),A154+ROW()/100000,"")</f>
        <v/>
      </c>
    </row>
    <row r="155">
      <c r="A155" s="13" t="n"/>
      <c r="B155" s="12" t="n"/>
      <c r="C155" s="14" t="n"/>
      <c r="D155" s="12" t="n"/>
      <c r="E155" s="14" t="n"/>
      <c r="F155" s="14" t="n"/>
      <c r="G155" s="12" t="n"/>
      <c r="H155" s="13" t="n"/>
      <c r="I155" s="14" t="n"/>
      <c r="J155">
        <f>IF(AND(B155&lt;&gt;"",B155=SEL_N,ISNUMBER(A155)),A155+ROW()/100000,"")</f>
        <v/>
      </c>
    </row>
    <row r="156">
      <c r="A156" s="13" t="n"/>
      <c r="B156" s="12" t="n"/>
      <c r="C156" s="14" t="n"/>
      <c r="D156" s="12" t="n"/>
      <c r="E156" s="14" t="n"/>
      <c r="F156" s="14" t="n"/>
      <c r="G156" s="12" t="n"/>
      <c r="H156" s="13" t="n"/>
      <c r="I156" s="14" t="n"/>
      <c r="J156">
        <f>IF(AND(B156&lt;&gt;"",B156=SEL_N,ISNUMBER(A156)),A156+ROW()/100000,"")</f>
        <v/>
      </c>
    </row>
    <row r="157">
      <c r="A157" s="13" t="n"/>
      <c r="B157" s="12" t="n"/>
      <c r="C157" s="14" t="n"/>
      <c r="D157" s="12" t="n"/>
      <c r="E157" s="14" t="n"/>
      <c r="F157" s="14" t="n"/>
      <c r="G157" s="12" t="n"/>
      <c r="H157" s="13" t="n"/>
      <c r="I157" s="14" t="n"/>
      <c r="J157">
        <f>IF(AND(B157&lt;&gt;"",B157=SEL_N,ISNUMBER(A157)),A157+ROW()/100000,"")</f>
        <v/>
      </c>
    </row>
    <row r="158">
      <c r="A158" s="13" t="n"/>
      <c r="B158" s="12" t="n"/>
      <c r="C158" s="14" t="n"/>
      <c r="D158" s="12" t="n"/>
      <c r="E158" s="14" t="n"/>
      <c r="F158" s="14" t="n"/>
      <c r="G158" s="12" t="n"/>
      <c r="H158" s="13" t="n"/>
      <c r="I158" s="14" t="n"/>
      <c r="J158">
        <f>IF(AND(B158&lt;&gt;"",B158=SEL_N,ISNUMBER(A158)),A158+ROW()/100000,"")</f>
        <v/>
      </c>
    </row>
    <row r="159">
      <c r="A159" s="13" t="n"/>
      <c r="B159" s="12" t="n"/>
      <c r="C159" s="14" t="n"/>
      <c r="D159" s="12" t="n"/>
      <c r="E159" s="14" t="n"/>
      <c r="F159" s="14" t="n"/>
      <c r="G159" s="12" t="n"/>
      <c r="H159" s="13" t="n"/>
      <c r="I159" s="14" t="n"/>
      <c r="J159">
        <f>IF(AND(B159&lt;&gt;"",B159=SEL_N,ISNUMBER(A159)),A159+ROW()/100000,"")</f>
        <v/>
      </c>
    </row>
    <row r="160">
      <c r="A160" s="13" t="n"/>
      <c r="B160" s="12" t="n"/>
      <c r="C160" s="14" t="n"/>
      <c r="D160" s="12" t="n"/>
      <c r="E160" s="14" t="n"/>
      <c r="F160" s="14" t="n"/>
      <c r="G160" s="12" t="n"/>
      <c r="H160" s="13" t="n"/>
      <c r="I160" s="14" t="n"/>
      <c r="J160">
        <f>IF(AND(B160&lt;&gt;"",B160=SEL_N,ISNUMBER(A160)),A160+ROW()/100000,"")</f>
        <v/>
      </c>
    </row>
    <row r="161">
      <c r="A161" s="13" t="n"/>
      <c r="B161" s="12" t="n"/>
      <c r="C161" s="14" t="n"/>
      <c r="D161" s="12" t="n"/>
      <c r="E161" s="14" t="n"/>
      <c r="F161" s="14" t="n"/>
      <c r="G161" s="12" t="n"/>
      <c r="H161" s="13" t="n"/>
      <c r="I161" s="14" t="n"/>
      <c r="J161">
        <f>IF(AND(B161&lt;&gt;"",B161=SEL_N,ISNUMBER(A161)),A161+ROW()/100000,"")</f>
        <v/>
      </c>
    </row>
    <row r="162">
      <c r="A162" s="13" t="n"/>
      <c r="B162" s="12" t="n"/>
      <c r="C162" s="14" t="n"/>
      <c r="D162" s="12" t="n"/>
      <c r="E162" s="14" t="n"/>
      <c r="F162" s="14" t="n"/>
      <c r="G162" s="12" t="n"/>
      <c r="H162" s="13" t="n"/>
      <c r="I162" s="14" t="n"/>
      <c r="J162">
        <f>IF(AND(B162&lt;&gt;"",B162=SEL_N,ISNUMBER(A162)),A162+ROW()/100000,"")</f>
        <v/>
      </c>
    </row>
    <row r="163">
      <c r="A163" s="13" t="n"/>
      <c r="B163" s="12" t="n"/>
      <c r="C163" s="14" t="n"/>
      <c r="D163" s="12" t="n"/>
      <c r="E163" s="14" t="n"/>
      <c r="F163" s="14" t="n"/>
      <c r="G163" s="12" t="n"/>
      <c r="H163" s="13" t="n"/>
      <c r="I163" s="14" t="n"/>
      <c r="J163">
        <f>IF(AND(B163&lt;&gt;"",B163=SEL_N,ISNUMBER(A163)),A163+ROW()/100000,"")</f>
        <v/>
      </c>
    </row>
    <row r="164">
      <c r="A164" s="13" t="n"/>
      <c r="B164" s="12" t="n"/>
      <c r="C164" s="14" t="n"/>
      <c r="D164" s="12" t="n"/>
      <c r="E164" s="14" t="n"/>
      <c r="F164" s="14" t="n"/>
      <c r="G164" s="12" t="n"/>
      <c r="H164" s="13" t="n"/>
      <c r="I164" s="14" t="n"/>
      <c r="J164">
        <f>IF(AND(B164&lt;&gt;"",B164=SEL_N,ISNUMBER(A164)),A164+ROW()/100000,"")</f>
        <v/>
      </c>
    </row>
    <row r="165">
      <c r="A165" s="13" t="n"/>
      <c r="B165" s="12" t="n"/>
      <c r="C165" s="14" t="n"/>
      <c r="D165" s="12" t="n"/>
      <c r="E165" s="14" t="n"/>
      <c r="F165" s="14" t="n"/>
      <c r="G165" s="12" t="n"/>
      <c r="H165" s="13" t="n"/>
      <c r="I165" s="14" t="n"/>
      <c r="J165">
        <f>IF(AND(B165&lt;&gt;"",B165=SEL_N,ISNUMBER(A165)),A165+ROW()/100000,"")</f>
        <v/>
      </c>
    </row>
    <row r="166">
      <c r="A166" s="13" t="n"/>
      <c r="B166" s="12" t="n"/>
      <c r="C166" s="14" t="n"/>
      <c r="D166" s="12" t="n"/>
      <c r="E166" s="14" t="n"/>
      <c r="F166" s="14" t="n"/>
      <c r="G166" s="12" t="n"/>
      <c r="H166" s="13" t="n"/>
      <c r="I166" s="14" t="n"/>
      <c r="J166">
        <f>IF(AND(B166&lt;&gt;"",B166=SEL_N,ISNUMBER(A166)),A166+ROW()/100000,"")</f>
        <v/>
      </c>
    </row>
    <row r="167">
      <c r="A167" s="13" t="n"/>
      <c r="B167" s="12" t="n"/>
      <c r="C167" s="14" t="n"/>
      <c r="D167" s="12" t="n"/>
      <c r="E167" s="14" t="n"/>
      <c r="F167" s="14" t="n"/>
      <c r="G167" s="12" t="n"/>
      <c r="H167" s="13" t="n"/>
      <c r="I167" s="14" t="n"/>
      <c r="J167">
        <f>IF(AND(B167&lt;&gt;"",B167=SEL_N,ISNUMBER(A167)),A167+ROW()/100000,"")</f>
        <v/>
      </c>
    </row>
    <row r="168">
      <c r="A168" s="13" t="n"/>
      <c r="B168" s="12" t="n"/>
      <c r="C168" s="14" t="n"/>
      <c r="D168" s="12" t="n"/>
      <c r="E168" s="14" t="n"/>
      <c r="F168" s="14" t="n"/>
      <c r="G168" s="12" t="n"/>
      <c r="H168" s="13" t="n"/>
      <c r="I168" s="14" t="n"/>
      <c r="J168">
        <f>IF(AND(B168&lt;&gt;"",B168=SEL_N,ISNUMBER(A168)),A168+ROW()/100000,"")</f>
        <v/>
      </c>
    </row>
    <row r="169">
      <c r="A169" s="13" t="n"/>
      <c r="B169" s="12" t="n"/>
      <c r="C169" s="14" t="n"/>
      <c r="D169" s="12" t="n"/>
      <c r="E169" s="14" t="n"/>
      <c r="F169" s="14" t="n"/>
      <c r="G169" s="12" t="n"/>
      <c r="H169" s="13" t="n"/>
      <c r="I169" s="14" t="n"/>
      <c r="J169">
        <f>IF(AND(B169&lt;&gt;"",B169=SEL_N,ISNUMBER(A169)),A169+ROW()/100000,"")</f>
        <v/>
      </c>
    </row>
    <row r="170">
      <c r="A170" s="13" t="n"/>
      <c r="B170" s="12" t="n"/>
      <c r="C170" s="14" t="n"/>
      <c r="D170" s="12" t="n"/>
      <c r="E170" s="14" t="n"/>
      <c r="F170" s="14" t="n"/>
      <c r="G170" s="12" t="n"/>
      <c r="H170" s="13" t="n"/>
      <c r="I170" s="14" t="n"/>
      <c r="J170">
        <f>IF(AND(B170&lt;&gt;"",B170=SEL_N,ISNUMBER(A170)),A170+ROW()/100000,"")</f>
        <v/>
      </c>
    </row>
    <row r="171">
      <c r="A171" s="13" t="n"/>
      <c r="B171" s="12" t="n"/>
      <c r="C171" s="14" t="n"/>
      <c r="D171" s="12" t="n"/>
      <c r="E171" s="14" t="n"/>
      <c r="F171" s="14" t="n"/>
      <c r="G171" s="12" t="n"/>
      <c r="H171" s="13" t="n"/>
      <c r="I171" s="14" t="n"/>
      <c r="J171">
        <f>IF(AND(B171&lt;&gt;"",B171=SEL_N,ISNUMBER(A171)),A171+ROW()/100000,"")</f>
        <v/>
      </c>
    </row>
    <row r="172">
      <c r="A172" s="13" t="n"/>
      <c r="B172" s="12" t="n"/>
      <c r="C172" s="14" t="n"/>
      <c r="D172" s="12" t="n"/>
      <c r="E172" s="14" t="n"/>
      <c r="F172" s="14" t="n"/>
      <c r="G172" s="12" t="n"/>
      <c r="H172" s="13" t="n"/>
      <c r="I172" s="14" t="n"/>
      <c r="J172">
        <f>IF(AND(B172&lt;&gt;"",B172=SEL_N,ISNUMBER(A172)),A172+ROW()/100000,"")</f>
        <v/>
      </c>
    </row>
    <row r="173">
      <c r="A173" s="13" t="n"/>
      <c r="B173" s="12" t="n"/>
      <c r="C173" s="14" t="n"/>
      <c r="D173" s="12" t="n"/>
      <c r="E173" s="14" t="n"/>
      <c r="F173" s="14" t="n"/>
      <c r="G173" s="12" t="n"/>
      <c r="H173" s="13" t="n"/>
      <c r="I173" s="14" t="n"/>
      <c r="J173">
        <f>IF(AND(B173&lt;&gt;"",B173=SEL_N,ISNUMBER(A173)),A173+ROW()/100000,"")</f>
        <v/>
      </c>
    </row>
    <row r="174">
      <c r="A174" s="13" t="n"/>
      <c r="B174" s="12" t="n"/>
      <c r="C174" s="14" t="n"/>
      <c r="D174" s="12" t="n"/>
      <c r="E174" s="14" t="n"/>
      <c r="F174" s="14" t="n"/>
      <c r="G174" s="12" t="n"/>
      <c r="H174" s="13" t="n"/>
      <c r="I174" s="14" t="n"/>
      <c r="J174">
        <f>IF(AND(B174&lt;&gt;"",B174=SEL_N,ISNUMBER(A174)),A174+ROW()/100000,"")</f>
        <v/>
      </c>
    </row>
    <row r="175">
      <c r="A175" s="13" t="n"/>
      <c r="B175" s="12" t="n"/>
      <c r="C175" s="14" t="n"/>
      <c r="D175" s="12" t="n"/>
      <c r="E175" s="14" t="n"/>
      <c r="F175" s="14" t="n"/>
      <c r="G175" s="12" t="n"/>
      <c r="H175" s="13" t="n"/>
      <c r="I175" s="14" t="n"/>
      <c r="J175">
        <f>IF(AND(B175&lt;&gt;"",B175=SEL_N,ISNUMBER(A175)),A175+ROW()/100000,"")</f>
        <v/>
      </c>
    </row>
    <row r="176">
      <c r="A176" s="13" t="n"/>
      <c r="B176" s="12" t="n"/>
      <c r="C176" s="14" t="n"/>
      <c r="D176" s="12" t="n"/>
      <c r="E176" s="14" t="n"/>
      <c r="F176" s="14" t="n"/>
      <c r="G176" s="12" t="n"/>
      <c r="H176" s="13" t="n"/>
      <c r="I176" s="14" t="n"/>
      <c r="J176">
        <f>IF(AND(B176&lt;&gt;"",B176=SEL_N,ISNUMBER(A176)),A176+ROW()/100000,"")</f>
        <v/>
      </c>
    </row>
    <row r="177">
      <c r="A177" s="13" t="n"/>
      <c r="B177" s="12" t="n"/>
      <c r="C177" s="14" t="n"/>
      <c r="D177" s="12" t="n"/>
      <c r="E177" s="14" t="n"/>
      <c r="F177" s="14" t="n"/>
      <c r="G177" s="12" t="n"/>
      <c r="H177" s="13" t="n"/>
      <c r="I177" s="14" t="n"/>
      <c r="J177">
        <f>IF(AND(B177&lt;&gt;"",B177=SEL_N,ISNUMBER(A177)),A177+ROW()/100000,"")</f>
        <v/>
      </c>
    </row>
    <row r="178">
      <c r="A178" s="13" t="n"/>
      <c r="B178" s="12" t="n"/>
      <c r="C178" s="14" t="n"/>
      <c r="D178" s="12" t="n"/>
      <c r="E178" s="14" t="n"/>
      <c r="F178" s="14" t="n"/>
      <c r="G178" s="12" t="n"/>
      <c r="H178" s="13" t="n"/>
      <c r="I178" s="14" t="n"/>
      <c r="J178">
        <f>IF(AND(B178&lt;&gt;"",B178=SEL_N,ISNUMBER(A178)),A178+ROW()/100000,"")</f>
        <v/>
      </c>
    </row>
    <row r="179">
      <c r="A179" s="13" t="n"/>
      <c r="B179" s="12" t="n"/>
      <c r="C179" s="14" t="n"/>
      <c r="D179" s="12" t="n"/>
      <c r="E179" s="14" t="n"/>
      <c r="F179" s="14" t="n"/>
      <c r="G179" s="12" t="n"/>
      <c r="H179" s="13" t="n"/>
      <c r="I179" s="14" t="n"/>
      <c r="J179">
        <f>IF(AND(B179&lt;&gt;"",B179=SEL_N,ISNUMBER(A179)),A179+ROW()/100000,"")</f>
        <v/>
      </c>
    </row>
    <row r="180">
      <c r="A180" s="13" t="n"/>
      <c r="B180" s="12" t="n"/>
      <c r="C180" s="14" t="n"/>
      <c r="D180" s="12" t="n"/>
      <c r="E180" s="14" t="n"/>
      <c r="F180" s="14" t="n"/>
      <c r="G180" s="12" t="n"/>
      <c r="H180" s="13" t="n"/>
      <c r="I180" s="14" t="n"/>
      <c r="J180">
        <f>IF(AND(B180&lt;&gt;"",B180=SEL_N,ISNUMBER(A180)),A180+ROW()/100000,"")</f>
        <v/>
      </c>
    </row>
    <row r="181">
      <c r="A181" s="13" t="n"/>
      <c r="B181" s="12" t="n"/>
      <c r="C181" s="14" t="n"/>
      <c r="D181" s="12" t="n"/>
      <c r="E181" s="14" t="n"/>
      <c r="F181" s="14" t="n"/>
      <c r="G181" s="12" t="n"/>
      <c r="H181" s="13" t="n"/>
      <c r="I181" s="14" t="n"/>
      <c r="J181">
        <f>IF(AND(B181&lt;&gt;"",B181=SEL_N,ISNUMBER(A181)),A181+ROW()/100000,"")</f>
        <v/>
      </c>
    </row>
    <row r="182">
      <c r="A182" s="13" t="n"/>
      <c r="B182" s="12" t="n"/>
      <c r="C182" s="14" t="n"/>
      <c r="D182" s="12" t="n"/>
      <c r="E182" s="14" t="n"/>
      <c r="F182" s="14" t="n"/>
      <c r="G182" s="12" t="n"/>
      <c r="H182" s="13" t="n"/>
      <c r="I182" s="14" t="n"/>
      <c r="J182">
        <f>IF(AND(B182&lt;&gt;"",B182=SEL_N,ISNUMBER(A182)),A182+ROW()/100000,"")</f>
        <v/>
      </c>
    </row>
    <row r="183">
      <c r="A183" s="13" t="n"/>
      <c r="B183" s="12" t="n"/>
      <c r="C183" s="14" t="n"/>
      <c r="D183" s="12" t="n"/>
      <c r="E183" s="14" t="n"/>
      <c r="F183" s="14" t="n"/>
      <c r="G183" s="12" t="n"/>
      <c r="H183" s="13" t="n"/>
      <c r="I183" s="14" t="n"/>
      <c r="J183">
        <f>IF(AND(B183&lt;&gt;"",B183=SEL_N,ISNUMBER(A183)),A183+ROW()/100000,"")</f>
        <v/>
      </c>
    </row>
    <row r="184">
      <c r="A184" s="13" t="n"/>
      <c r="B184" s="12" t="n"/>
      <c r="C184" s="14" t="n"/>
      <c r="D184" s="12" t="n"/>
      <c r="E184" s="14" t="n"/>
      <c r="F184" s="14" t="n"/>
      <c r="G184" s="12" t="n"/>
      <c r="H184" s="13" t="n"/>
      <c r="I184" s="14" t="n"/>
      <c r="J184">
        <f>IF(AND(B184&lt;&gt;"",B184=SEL_N,ISNUMBER(A184)),A184+ROW()/100000,"")</f>
        <v/>
      </c>
    </row>
    <row r="185">
      <c r="A185" s="13" t="n"/>
      <c r="B185" s="12" t="n"/>
      <c r="C185" s="14" t="n"/>
      <c r="D185" s="12" t="n"/>
      <c r="E185" s="14" t="n"/>
      <c r="F185" s="14" t="n"/>
      <c r="G185" s="12" t="n"/>
      <c r="H185" s="13" t="n"/>
      <c r="I185" s="14" t="n"/>
      <c r="J185">
        <f>IF(AND(B185&lt;&gt;"",B185=SEL_N,ISNUMBER(A185)),A185+ROW()/100000,"")</f>
        <v/>
      </c>
    </row>
    <row r="186">
      <c r="A186" s="13" t="n"/>
      <c r="B186" s="12" t="n"/>
      <c r="C186" s="14" t="n"/>
      <c r="D186" s="12" t="n"/>
      <c r="E186" s="14" t="n"/>
      <c r="F186" s="14" t="n"/>
      <c r="G186" s="12" t="n"/>
      <c r="H186" s="13" t="n"/>
      <c r="I186" s="14" t="n"/>
      <c r="J186">
        <f>IF(AND(B186&lt;&gt;"",B186=SEL_N,ISNUMBER(A186)),A186+ROW()/100000,"")</f>
        <v/>
      </c>
    </row>
    <row r="187">
      <c r="A187" s="13" t="n"/>
      <c r="B187" s="12" t="n"/>
      <c r="C187" s="14" t="n"/>
      <c r="D187" s="12" t="n"/>
      <c r="E187" s="14" t="n"/>
      <c r="F187" s="14" t="n"/>
      <c r="G187" s="12" t="n"/>
      <c r="H187" s="13" t="n"/>
      <c r="I187" s="14" t="n"/>
      <c r="J187">
        <f>IF(AND(B187&lt;&gt;"",B187=SEL_N,ISNUMBER(A187)),A187+ROW()/100000,"")</f>
        <v/>
      </c>
    </row>
    <row r="188">
      <c r="A188" s="13" t="n"/>
      <c r="B188" s="12" t="n"/>
      <c r="C188" s="14" t="n"/>
      <c r="D188" s="12" t="n"/>
      <c r="E188" s="14" t="n"/>
      <c r="F188" s="14" t="n"/>
      <c r="G188" s="12" t="n"/>
      <c r="H188" s="13" t="n"/>
      <c r="I188" s="14" t="n"/>
      <c r="J188">
        <f>IF(AND(B188&lt;&gt;"",B188=SEL_N,ISNUMBER(A188)),A188+ROW()/100000,"")</f>
        <v/>
      </c>
    </row>
    <row r="189">
      <c r="A189" s="13" t="n"/>
      <c r="B189" s="12" t="n"/>
      <c r="C189" s="14" t="n"/>
      <c r="D189" s="12" t="n"/>
      <c r="E189" s="14" t="n"/>
      <c r="F189" s="14" t="n"/>
      <c r="G189" s="12" t="n"/>
      <c r="H189" s="13" t="n"/>
      <c r="I189" s="14" t="n"/>
      <c r="J189">
        <f>IF(AND(B189&lt;&gt;"",B189=SEL_N,ISNUMBER(A189)),A189+ROW()/100000,"")</f>
        <v/>
      </c>
    </row>
    <row r="190">
      <c r="A190" s="13" t="n"/>
      <c r="B190" s="12" t="n"/>
      <c r="C190" s="14" t="n"/>
      <c r="D190" s="12" t="n"/>
      <c r="E190" s="14" t="n"/>
      <c r="F190" s="14" t="n"/>
      <c r="G190" s="12" t="n"/>
      <c r="H190" s="13" t="n"/>
      <c r="I190" s="14" t="n"/>
      <c r="J190">
        <f>IF(AND(B190&lt;&gt;"",B190=SEL_N,ISNUMBER(A190)),A190+ROW()/100000,"")</f>
        <v/>
      </c>
    </row>
    <row r="191">
      <c r="A191" s="13" t="n"/>
      <c r="B191" s="12" t="n"/>
      <c r="C191" s="14" t="n"/>
      <c r="D191" s="12" t="n"/>
      <c r="E191" s="14" t="n"/>
      <c r="F191" s="14" t="n"/>
      <c r="G191" s="12" t="n"/>
      <c r="H191" s="13" t="n"/>
      <c r="I191" s="14" t="n"/>
      <c r="J191">
        <f>IF(AND(B191&lt;&gt;"",B191=SEL_N,ISNUMBER(A191)),A191+ROW()/100000,"")</f>
        <v/>
      </c>
    </row>
    <row r="192">
      <c r="A192" s="13" t="n"/>
      <c r="B192" s="12" t="n"/>
      <c r="C192" s="14" t="n"/>
      <c r="D192" s="12" t="n"/>
      <c r="E192" s="14" t="n"/>
      <c r="F192" s="14" t="n"/>
      <c r="G192" s="12" t="n"/>
      <c r="H192" s="13" t="n"/>
      <c r="I192" s="14" t="n"/>
      <c r="J192">
        <f>IF(AND(B192&lt;&gt;"",B192=SEL_N,ISNUMBER(A192)),A192+ROW()/100000,"")</f>
        <v/>
      </c>
    </row>
    <row r="193">
      <c r="A193" s="13" t="n"/>
      <c r="B193" s="12" t="n"/>
      <c r="C193" s="14" t="n"/>
      <c r="D193" s="12" t="n"/>
      <c r="E193" s="14" t="n"/>
      <c r="F193" s="14" t="n"/>
      <c r="G193" s="12" t="n"/>
      <c r="H193" s="13" t="n"/>
      <c r="I193" s="14" t="n"/>
      <c r="J193">
        <f>IF(AND(B193&lt;&gt;"",B193=SEL_N,ISNUMBER(A193)),A193+ROW()/100000,"")</f>
        <v/>
      </c>
    </row>
    <row r="194">
      <c r="A194" s="13" t="n"/>
      <c r="B194" s="12" t="n"/>
      <c r="C194" s="14" t="n"/>
      <c r="D194" s="12" t="n"/>
      <c r="E194" s="14" t="n"/>
      <c r="F194" s="14" t="n"/>
      <c r="G194" s="12" t="n"/>
      <c r="H194" s="13" t="n"/>
      <c r="I194" s="14" t="n"/>
      <c r="J194">
        <f>IF(AND(B194&lt;&gt;"",B194=SEL_N,ISNUMBER(A194)),A194+ROW()/100000,"")</f>
        <v/>
      </c>
    </row>
    <row r="195">
      <c r="A195" s="13" t="n"/>
      <c r="B195" s="12" t="n"/>
      <c r="C195" s="14" t="n"/>
      <c r="D195" s="12" t="n"/>
      <c r="E195" s="14" t="n"/>
      <c r="F195" s="14" t="n"/>
      <c r="G195" s="12" t="n"/>
      <c r="H195" s="13" t="n"/>
      <c r="I195" s="14" t="n"/>
      <c r="J195">
        <f>IF(AND(B195&lt;&gt;"",B195=SEL_N,ISNUMBER(A195)),A195+ROW()/100000,"")</f>
        <v/>
      </c>
    </row>
    <row r="196">
      <c r="A196" s="13" t="n"/>
      <c r="B196" s="12" t="n"/>
      <c r="C196" s="14" t="n"/>
      <c r="D196" s="12" t="n"/>
      <c r="E196" s="14" t="n"/>
      <c r="F196" s="14" t="n"/>
      <c r="G196" s="12" t="n"/>
      <c r="H196" s="13" t="n"/>
      <c r="I196" s="14" t="n"/>
      <c r="J196">
        <f>IF(AND(B196&lt;&gt;"",B196=SEL_N,ISNUMBER(A196)),A196+ROW()/100000,"")</f>
        <v/>
      </c>
    </row>
    <row r="197">
      <c r="A197" s="13" t="n"/>
      <c r="B197" s="12" t="n"/>
      <c r="C197" s="14" t="n"/>
      <c r="D197" s="12" t="n"/>
      <c r="E197" s="14" t="n"/>
      <c r="F197" s="14" t="n"/>
      <c r="G197" s="12" t="n"/>
      <c r="H197" s="13" t="n"/>
      <c r="I197" s="14" t="n"/>
      <c r="J197">
        <f>IF(AND(B197&lt;&gt;"",B197=SEL_N,ISNUMBER(A197)),A197+ROW()/100000,"")</f>
        <v/>
      </c>
    </row>
    <row r="198">
      <c r="A198" s="13" t="n"/>
      <c r="B198" s="12" t="n"/>
      <c r="C198" s="14" t="n"/>
      <c r="D198" s="12" t="n"/>
      <c r="E198" s="14" t="n"/>
      <c r="F198" s="14" t="n"/>
      <c r="G198" s="12" t="n"/>
      <c r="H198" s="13" t="n"/>
      <c r="I198" s="14" t="n"/>
      <c r="J198">
        <f>IF(AND(B198&lt;&gt;"",B198=SEL_N,ISNUMBER(A198)),A198+ROW()/100000,"")</f>
        <v/>
      </c>
    </row>
    <row r="199">
      <c r="A199" s="13" t="n"/>
      <c r="B199" s="12" t="n"/>
      <c r="C199" s="14" t="n"/>
      <c r="D199" s="12" t="n"/>
      <c r="E199" s="14" t="n"/>
      <c r="F199" s="14" t="n"/>
      <c r="G199" s="12" t="n"/>
      <c r="H199" s="13" t="n"/>
      <c r="I199" s="14" t="n"/>
      <c r="J199">
        <f>IF(AND(B199&lt;&gt;"",B199=SEL_N,ISNUMBER(A199)),A199+ROW()/100000,"")</f>
        <v/>
      </c>
    </row>
    <row r="200">
      <c r="A200" s="13" t="n"/>
      <c r="B200" s="12" t="n"/>
      <c r="C200" s="14" t="n"/>
      <c r="D200" s="12" t="n"/>
      <c r="E200" s="14" t="n"/>
      <c r="F200" s="14" t="n"/>
      <c r="G200" s="12" t="n"/>
      <c r="H200" s="13" t="n"/>
      <c r="I200" s="14" t="n"/>
      <c r="J200">
        <f>IF(AND(B200&lt;&gt;"",B200=SEL_N,ISNUMBER(A200)),A200+ROW()/100000,"")</f>
        <v/>
      </c>
    </row>
    <row r="201">
      <c r="A201" s="13" t="n"/>
      <c r="B201" s="12" t="n"/>
      <c r="C201" s="14" t="n"/>
      <c r="D201" s="12" t="n"/>
      <c r="E201" s="14" t="n"/>
      <c r="F201" s="14" t="n"/>
      <c r="G201" s="12" t="n"/>
      <c r="H201" s="13" t="n"/>
      <c r="I201" s="14" t="n"/>
      <c r="J201">
        <f>IF(AND(B201&lt;&gt;"",B201=SEL_N,ISNUMBER(A201)),A201+ROW()/100000,"")</f>
        <v/>
      </c>
    </row>
    <row r="202">
      <c r="A202" s="13" t="n"/>
      <c r="B202" s="12" t="n"/>
      <c r="C202" s="14" t="n"/>
      <c r="D202" s="12" t="n"/>
      <c r="E202" s="14" t="n"/>
      <c r="F202" s="14" t="n"/>
      <c r="G202" s="12" t="n"/>
      <c r="H202" s="13" t="n"/>
      <c r="I202" s="14" t="n"/>
      <c r="J202">
        <f>IF(AND(B202&lt;&gt;"",B202=SEL_N,ISNUMBER(A202)),A202+ROW()/100000,"")</f>
        <v/>
      </c>
    </row>
    <row r="203">
      <c r="A203" s="13" t="n"/>
      <c r="B203" s="12" t="n"/>
      <c r="C203" s="14" t="n"/>
      <c r="D203" s="12" t="n"/>
      <c r="E203" s="14" t="n"/>
      <c r="F203" s="14" t="n"/>
      <c r="G203" s="12" t="n"/>
      <c r="H203" s="13" t="n"/>
      <c r="I203" s="14" t="n"/>
      <c r="J203">
        <f>IF(AND(B203&lt;&gt;"",B203=SEL_N,ISNUMBER(A203)),A203+ROW()/100000,"")</f>
        <v/>
      </c>
    </row>
    <row r="204">
      <c r="A204" s="13" t="n"/>
      <c r="B204" s="12" t="n"/>
      <c r="C204" s="14" t="n"/>
      <c r="D204" s="12" t="n"/>
      <c r="E204" s="14" t="n"/>
      <c r="F204" s="14" t="n"/>
      <c r="G204" s="12" t="n"/>
      <c r="H204" s="13" t="n"/>
      <c r="I204" s="14" t="n"/>
      <c r="J204">
        <f>IF(AND(B204&lt;&gt;"",B204=SEL_N,ISNUMBER(A204)),A204+ROW()/100000,"")</f>
        <v/>
      </c>
    </row>
    <row r="205">
      <c r="A205" s="13" t="n"/>
      <c r="B205" s="12" t="n"/>
      <c r="C205" s="14" t="n"/>
      <c r="D205" s="12" t="n"/>
      <c r="E205" s="14" t="n"/>
      <c r="F205" s="14" t="n"/>
      <c r="G205" s="12" t="n"/>
      <c r="H205" s="13" t="n"/>
      <c r="I205" s="14" t="n"/>
      <c r="J205">
        <f>IF(AND(B205&lt;&gt;"",B205=SEL_N,ISNUMBER(A205)),A205+ROW()/100000,"")</f>
        <v/>
      </c>
    </row>
    <row r="206">
      <c r="A206" s="13" t="n"/>
      <c r="B206" s="12" t="n"/>
      <c r="C206" s="14" t="n"/>
      <c r="D206" s="12" t="n"/>
      <c r="E206" s="14" t="n"/>
      <c r="F206" s="14" t="n"/>
      <c r="G206" s="12" t="n"/>
      <c r="H206" s="13" t="n"/>
      <c r="I206" s="14" t="n"/>
      <c r="J206">
        <f>IF(AND(B206&lt;&gt;"",B206=SEL_N,ISNUMBER(A206)),A206+ROW()/100000,"")</f>
        <v/>
      </c>
    </row>
    <row r="207">
      <c r="A207" s="13" t="n"/>
      <c r="B207" s="12" t="n"/>
      <c r="C207" s="14" t="n"/>
      <c r="D207" s="12" t="n"/>
      <c r="E207" s="14" t="n"/>
      <c r="F207" s="14" t="n"/>
      <c r="G207" s="12" t="n"/>
      <c r="H207" s="13" t="n"/>
      <c r="I207" s="14" t="n"/>
      <c r="J207">
        <f>IF(AND(B207&lt;&gt;"",B207=SEL_N,ISNUMBER(A207)),A207+ROW()/100000,"")</f>
        <v/>
      </c>
    </row>
    <row r="208">
      <c r="A208" s="13" t="n"/>
      <c r="B208" s="12" t="n"/>
      <c r="C208" s="14" t="n"/>
      <c r="D208" s="12" t="n"/>
      <c r="E208" s="14" t="n"/>
      <c r="F208" s="14" t="n"/>
      <c r="G208" s="12" t="n"/>
      <c r="H208" s="13" t="n"/>
      <c r="I208" s="14" t="n"/>
      <c r="J208">
        <f>IF(AND(B208&lt;&gt;"",B208=SEL_N,ISNUMBER(A208)),A208+ROW()/100000,"")</f>
        <v/>
      </c>
    </row>
    <row r="209">
      <c r="A209" s="13" t="n"/>
      <c r="B209" s="12" t="n"/>
      <c r="C209" s="14" t="n"/>
      <c r="D209" s="12" t="n"/>
      <c r="E209" s="14" t="n"/>
      <c r="F209" s="14" t="n"/>
      <c r="G209" s="12" t="n"/>
      <c r="H209" s="13" t="n"/>
      <c r="I209" s="14" t="n"/>
      <c r="J209">
        <f>IF(AND(B209&lt;&gt;"",B209=SEL_N,ISNUMBER(A209)),A209+ROW()/100000,"")</f>
        <v/>
      </c>
    </row>
    <row r="210">
      <c r="A210" s="13" t="n"/>
      <c r="B210" s="12" t="n"/>
      <c r="C210" s="14" t="n"/>
      <c r="D210" s="12" t="n"/>
      <c r="E210" s="14" t="n"/>
      <c r="F210" s="14" t="n"/>
      <c r="G210" s="12" t="n"/>
      <c r="H210" s="13" t="n"/>
      <c r="I210" s="14" t="n"/>
      <c r="J210">
        <f>IF(AND(B210&lt;&gt;"",B210=SEL_N,ISNUMBER(A210)),A210+ROW()/100000,"")</f>
        <v/>
      </c>
    </row>
    <row r="211">
      <c r="A211" s="13" t="n"/>
      <c r="B211" s="12" t="n"/>
      <c r="C211" s="14" t="n"/>
      <c r="D211" s="12" t="n"/>
      <c r="E211" s="14" t="n"/>
      <c r="F211" s="14" t="n"/>
      <c r="G211" s="12" t="n"/>
      <c r="H211" s="13" t="n"/>
      <c r="I211" s="14" t="n"/>
      <c r="J211">
        <f>IF(AND(B211&lt;&gt;"",B211=SEL_N,ISNUMBER(A211)),A211+ROW()/100000,"")</f>
        <v/>
      </c>
    </row>
    <row r="212">
      <c r="A212" s="13" t="n"/>
      <c r="B212" s="12" t="n"/>
      <c r="C212" s="14" t="n"/>
      <c r="D212" s="12" t="n"/>
      <c r="E212" s="14" t="n"/>
      <c r="F212" s="14" t="n"/>
      <c r="G212" s="12" t="n"/>
      <c r="H212" s="13" t="n"/>
      <c r="I212" s="14" t="n"/>
      <c r="J212">
        <f>IF(AND(B212&lt;&gt;"",B212=SEL_N,ISNUMBER(A212)),A212+ROW()/100000,"")</f>
        <v/>
      </c>
    </row>
    <row r="213">
      <c r="A213" s="13" t="n"/>
      <c r="B213" s="12" t="n"/>
      <c r="C213" s="14" t="n"/>
      <c r="D213" s="12" t="n"/>
      <c r="E213" s="14" t="n"/>
      <c r="F213" s="14" t="n"/>
      <c r="G213" s="12" t="n"/>
      <c r="H213" s="13" t="n"/>
      <c r="I213" s="14" t="n"/>
      <c r="J213">
        <f>IF(AND(B213&lt;&gt;"",B213=SEL_N,ISNUMBER(A213)),A213+ROW()/100000,"")</f>
        <v/>
      </c>
    </row>
    <row r="214">
      <c r="A214" s="13" t="n"/>
      <c r="B214" s="12" t="n"/>
      <c r="C214" s="14" t="n"/>
      <c r="D214" s="12" t="n"/>
      <c r="E214" s="14" t="n"/>
      <c r="F214" s="14" t="n"/>
      <c r="G214" s="12" t="n"/>
      <c r="H214" s="13" t="n"/>
      <c r="I214" s="14" t="n"/>
      <c r="J214">
        <f>IF(AND(B214&lt;&gt;"",B214=SEL_N,ISNUMBER(A214)),A214+ROW()/100000,"")</f>
        <v/>
      </c>
    </row>
    <row r="215">
      <c r="A215" s="13" t="n"/>
      <c r="B215" s="12" t="n"/>
      <c r="C215" s="14" t="n"/>
      <c r="D215" s="12" t="n"/>
      <c r="E215" s="14" t="n"/>
      <c r="F215" s="14" t="n"/>
      <c r="G215" s="12" t="n"/>
      <c r="H215" s="13" t="n"/>
      <c r="I215" s="14" t="n"/>
      <c r="J215">
        <f>IF(AND(B215&lt;&gt;"",B215=SEL_N,ISNUMBER(A215)),A215+ROW()/100000,"")</f>
        <v/>
      </c>
    </row>
    <row r="216">
      <c r="A216" s="13" t="n"/>
      <c r="B216" s="12" t="n"/>
      <c r="C216" s="14" t="n"/>
      <c r="D216" s="12" t="n"/>
      <c r="E216" s="14" t="n"/>
      <c r="F216" s="14" t="n"/>
      <c r="G216" s="12" t="n"/>
      <c r="H216" s="13" t="n"/>
      <c r="I216" s="14" t="n"/>
      <c r="J216">
        <f>IF(AND(B216&lt;&gt;"",B216=SEL_N,ISNUMBER(A216)),A216+ROW()/100000,"")</f>
        <v/>
      </c>
    </row>
    <row r="217">
      <c r="A217" s="13" t="n"/>
      <c r="B217" s="12" t="n"/>
      <c r="C217" s="14" t="n"/>
      <c r="D217" s="12" t="n"/>
      <c r="E217" s="14" t="n"/>
      <c r="F217" s="14" t="n"/>
      <c r="G217" s="12" t="n"/>
      <c r="H217" s="13" t="n"/>
      <c r="I217" s="14" t="n"/>
      <c r="J217">
        <f>IF(AND(B217&lt;&gt;"",B217=SEL_N,ISNUMBER(A217)),A217+ROW()/100000,"")</f>
        <v/>
      </c>
    </row>
    <row r="218">
      <c r="A218" s="13" t="n"/>
      <c r="B218" s="12" t="n"/>
      <c r="C218" s="14" t="n"/>
      <c r="D218" s="12" t="n"/>
      <c r="E218" s="14" t="n"/>
      <c r="F218" s="14" t="n"/>
      <c r="G218" s="12" t="n"/>
      <c r="H218" s="13" t="n"/>
      <c r="I218" s="14" t="n"/>
      <c r="J218">
        <f>IF(AND(B218&lt;&gt;"",B218=SEL_N,ISNUMBER(A218)),A218+ROW()/100000,"")</f>
        <v/>
      </c>
    </row>
    <row r="219">
      <c r="A219" s="13" t="n"/>
      <c r="B219" s="12" t="n"/>
      <c r="C219" s="14" t="n"/>
      <c r="D219" s="12" t="n"/>
      <c r="E219" s="14" t="n"/>
      <c r="F219" s="14" t="n"/>
      <c r="G219" s="12" t="n"/>
      <c r="H219" s="13" t="n"/>
      <c r="I219" s="14" t="n"/>
      <c r="J219">
        <f>IF(AND(B219&lt;&gt;"",B219=SEL_N,ISNUMBER(A219)),A219+ROW()/100000,"")</f>
        <v/>
      </c>
    </row>
    <row r="220">
      <c r="A220" s="13" t="n"/>
      <c r="B220" s="12" t="n"/>
      <c r="C220" s="14" t="n"/>
      <c r="D220" s="12" t="n"/>
      <c r="E220" s="14" t="n"/>
      <c r="F220" s="14" t="n"/>
      <c r="G220" s="12" t="n"/>
      <c r="H220" s="13" t="n"/>
      <c r="I220" s="14" t="n"/>
      <c r="J220">
        <f>IF(AND(B220&lt;&gt;"",B220=SEL_N,ISNUMBER(A220)),A220+ROW()/100000,"")</f>
        <v/>
      </c>
    </row>
    <row r="221">
      <c r="A221" s="13" t="n"/>
      <c r="B221" s="12" t="n"/>
      <c r="C221" s="14" t="n"/>
      <c r="D221" s="12" t="n"/>
      <c r="E221" s="14" t="n"/>
      <c r="F221" s="14" t="n"/>
      <c r="G221" s="12" t="n"/>
      <c r="H221" s="13" t="n"/>
      <c r="I221" s="14" t="n"/>
      <c r="J221">
        <f>IF(AND(B221&lt;&gt;"",B221=SEL_N,ISNUMBER(A221)),A221+ROW()/100000,"")</f>
        <v/>
      </c>
    </row>
    <row r="222">
      <c r="A222" s="13" t="n"/>
      <c r="B222" s="12" t="n"/>
      <c r="C222" s="14" t="n"/>
      <c r="D222" s="12" t="n"/>
      <c r="E222" s="14" t="n"/>
      <c r="F222" s="14" t="n"/>
      <c r="G222" s="12" t="n"/>
      <c r="H222" s="13" t="n"/>
      <c r="I222" s="14" t="n"/>
      <c r="J222">
        <f>IF(AND(B222&lt;&gt;"",B222=SEL_N,ISNUMBER(A222)),A222+ROW()/100000,"")</f>
        <v/>
      </c>
    </row>
    <row r="223">
      <c r="A223" s="13" t="n"/>
      <c r="B223" s="12" t="n"/>
      <c r="C223" s="14" t="n"/>
      <c r="D223" s="12" t="n"/>
      <c r="E223" s="14" t="n"/>
      <c r="F223" s="14" t="n"/>
      <c r="G223" s="12" t="n"/>
      <c r="H223" s="13" t="n"/>
      <c r="I223" s="14" t="n"/>
      <c r="J223">
        <f>IF(AND(B223&lt;&gt;"",B223=SEL_N,ISNUMBER(A223)),A223+ROW()/100000,"")</f>
        <v/>
      </c>
    </row>
    <row r="224">
      <c r="A224" s="13" t="n"/>
      <c r="B224" s="12" t="n"/>
      <c r="C224" s="14" t="n"/>
      <c r="D224" s="12" t="n"/>
      <c r="E224" s="14" t="n"/>
      <c r="F224" s="14" t="n"/>
      <c r="G224" s="12" t="n"/>
      <c r="H224" s="13" t="n"/>
      <c r="I224" s="14" t="n"/>
      <c r="J224">
        <f>IF(AND(B224&lt;&gt;"",B224=SEL_N,ISNUMBER(A224)),A224+ROW()/100000,"")</f>
        <v/>
      </c>
    </row>
    <row r="225">
      <c r="A225" s="13" t="n"/>
      <c r="B225" s="12" t="n"/>
      <c r="C225" s="14" t="n"/>
      <c r="D225" s="12" t="n"/>
      <c r="E225" s="14" t="n"/>
      <c r="F225" s="14" t="n"/>
      <c r="G225" s="12" t="n"/>
      <c r="H225" s="13" t="n"/>
      <c r="I225" s="14" t="n"/>
      <c r="J225">
        <f>IF(AND(B225&lt;&gt;"",B225=SEL_N,ISNUMBER(A225)),A225+ROW()/100000,"")</f>
        <v/>
      </c>
    </row>
    <row r="226">
      <c r="A226" s="13" t="n"/>
      <c r="B226" s="12" t="n"/>
      <c r="C226" s="14" t="n"/>
      <c r="D226" s="12" t="n"/>
      <c r="E226" s="14" t="n"/>
      <c r="F226" s="14" t="n"/>
      <c r="G226" s="12" t="n"/>
      <c r="H226" s="13" t="n"/>
      <c r="I226" s="14" t="n"/>
      <c r="J226">
        <f>IF(AND(B226&lt;&gt;"",B226=SEL_N,ISNUMBER(A226)),A226+ROW()/100000,"")</f>
        <v/>
      </c>
    </row>
    <row r="227">
      <c r="A227" s="13" t="n"/>
      <c r="B227" s="12" t="n"/>
      <c r="C227" s="14" t="n"/>
      <c r="D227" s="12" t="n"/>
      <c r="E227" s="14" t="n"/>
      <c r="F227" s="14" t="n"/>
      <c r="G227" s="12" t="n"/>
      <c r="H227" s="13" t="n"/>
      <c r="I227" s="14" t="n"/>
      <c r="J227">
        <f>IF(AND(B227&lt;&gt;"",B227=SEL_N,ISNUMBER(A227)),A227+ROW()/100000,"")</f>
        <v/>
      </c>
    </row>
    <row r="228">
      <c r="A228" s="13" t="n"/>
      <c r="B228" s="12" t="n"/>
      <c r="C228" s="14" t="n"/>
      <c r="D228" s="12" t="n"/>
      <c r="E228" s="14" t="n"/>
      <c r="F228" s="14" t="n"/>
      <c r="G228" s="12" t="n"/>
      <c r="H228" s="13" t="n"/>
      <c r="I228" s="14" t="n"/>
      <c r="J228">
        <f>IF(AND(B228&lt;&gt;"",B228=SEL_N,ISNUMBER(A228)),A228+ROW()/100000,"")</f>
        <v/>
      </c>
    </row>
    <row r="229">
      <c r="A229" s="13" t="n"/>
      <c r="B229" s="12" t="n"/>
      <c r="C229" s="14" t="n"/>
      <c r="D229" s="12" t="n"/>
      <c r="E229" s="14" t="n"/>
      <c r="F229" s="14" t="n"/>
      <c r="G229" s="12" t="n"/>
      <c r="H229" s="13" t="n"/>
      <c r="I229" s="14" t="n"/>
      <c r="J229">
        <f>IF(AND(B229&lt;&gt;"",B229=SEL_N,ISNUMBER(A229)),A229+ROW()/100000,"")</f>
        <v/>
      </c>
    </row>
    <row r="230">
      <c r="A230" s="13" t="n"/>
      <c r="B230" s="12" t="n"/>
      <c r="C230" s="14" t="n"/>
      <c r="D230" s="12" t="n"/>
      <c r="E230" s="14" t="n"/>
      <c r="F230" s="14" t="n"/>
      <c r="G230" s="12" t="n"/>
      <c r="H230" s="13" t="n"/>
      <c r="I230" s="14" t="n"/>
      <c r="J230">
        <f>IF(AND(B230&lt;&gt;"",B230=SEL_N,ISNUMBER(A230)),A230+ROW()/100000,"")</f>
        <v/>
      </c>
    </row>
    <row r="231">
      <c r="A231" s="13" t="n"/>
      <c r="B231" s="12" t="n"/>
      <c r="C231" s="14" t="n"/>
      <c r="D231" s="12" t="n"/>
      <c r="E231" s="14" t="n"/>
      <c r="F231" s="14" t="n"/>
      <c r="G231" s="12" t="n"/>
      <c r="H231" s="13" t="n"/>
      <c r="I231" s="14" t="n"/>
      <c r="J231">
        <f>IF(AND(B231&lt;&gt;"",B231=SEL_N,ISNUMBER(A231)),A231+ROW()/100000,"")</f>
        <v/>
      </c>
    </row>
    <row r="232">
      <c r="A232" s="13" t="n"/>
      <c r="B232" s="12" t="n"/>
      <c r="C232" s="14" t="n"/>
      <c r="D232" s="12" t="n"/>
      <c r="E232" s="14" t="n"/>
      <c r="F232" s="14" t="n"/>
      <c r="G232" s="12" t="n"/>
      <c r="H232" s="13" t="n"/>
      <c r="I232" s="14" t="n"/>
      <c r="J232">
        <f>IF(AND(B232&lt;&gt;"",B232=SEL_N,ISNUMBER(A232)),A232+ROW()/100000,"")</f>
        <v/>
      </c>
    </row>
    <row r="233">
      <c r="A233" s="13" t="n"/>
      <c r="B233" s="12" t="n"/>
      <c r="C233" s="14" t="n"/>
      <c r="D233" s="12" t="n"/>
      <c r="E233" s="14" t="n"/>
      <c r="F233" s="14" t="n"/>
      <c r="G233" s="12" t="n"/>
      <c r="H233" s="13" t="n"/>
      <c r="I233" s="14" t="n"/>
      <c r="J233">
        <f>IF(AND(B233&lt;&gt;"",B233=SEL_N,ISNUMBER(A233)),A233+ROW()/100000,"")</f>
        <v/>
      </c>
    </row>
    <row r="234">
      <c r="A234" s="13" t="n"/>
      <c r="B234" s="12" t="n"/>
      <c r="C234" s="14" t="n"/>
      <c r="D234" s="12" t="n"/>
      <c r="E234" s="14" t="n"/>
      <c r="F234" s="14" t="n"/>
      <c r="G234" s="12" t="n"/>
      <c r="H234" s="13" t="n"/>
      <c r="I234" s="14" t="n"/>
      <c r="J234">
        <f>IF(AND(B234&lt;&gt;"",B234=SEL_N,ISNUMBER(A234)),A234+ROW()/100000,"")</f>
        <v/>
      </c>
    </row>
    <row r="235">
      <c r="A235" s="13" t="n"/>
      <c r="B235" s="12" t="n"/>
      <c r="C235" s="14" t="n"/>
      <c r="D235" s="12" t="n"/>
      <c r="E235" s="14" t="n"/>
      <c r="F235" s="14" t="n"/>
      <c r="G235" s="12" t="n"/>
      <c r="H235" s="13" t="n"/>
      <c r="I235" s="14" t="n"/>
      <c r="J235">
        <f>IF(AND(B235&lt;&gt;"",B235=SEL_N,ISNUMBER(A235)),A235+ROW()/100000,"")</f>
        <v/>
      </c>
    </row>
    <row r="236">
      <c r="A236" s="13" t="n"/>
      <c r="B236" s="12" t="n"/>
      <c r="C236" s="14" t="n"/>
      <c r="D236" s="12" t="n"/>
      <c r="E236" s="14" t="n"/>
      <c r="F236" s="14" t="n"/>
      <c r="G236" s="12" t="n"/>
      <c r="H236" s="13" t="n"/>
      <c r="I236" s="14" t="n"/>
      <c r="J236">
        <f>IF(AND(B236&lt;&gt;"",B236=SEL_N,ISNUMBER(A236)),A236+ROW()/100000,"")</f>
        <v/>
      </c>
    </row>
    <row r="237">
      <c r="A237" s="13" t="n"/>
      <c r="B237" s="12" t="n"/>
      <c r="C237" s="14" t="n"/>
      <c r="D237" s="12" t="n"/>
      <c r="E237" s="14" t="n"/>
      <c r="F237" s="14" t="n"/>
      <c r="G237" s="12" t="n"/>
      <c r="H237" s="13" t="n"/>
      <c r="I237" s="14" t="n"/>
      <c r="J237">
        <f>IF(AND(B237&lt;&gt;"",B237=SEL_N,ISNUMBER(A237)),A237+ROW()/100000,"")</f>
        <v/>
      </c>
    </row>
    <row r="238">
      <c r="A238" s="13" t="n"/>
      <c r="B238" s="12" t="n"/>
      <c r="C238" s="14" t="n"/>
      <c r="D238" s="12" t="n"/>
      <c r="E238" s="14" t="n"/>
      <c r="F238" s="14" t="n"/>
      <c r="G238" s="12" t="n"/>
      <c r="H238" s="13" t="n"/>
      <c r="I238" s="14" t="n"/>
      <c r="J238">
        <f>IF(AND(B238&lt;&gt;"",B238=SEL_N,ISNUMBER(A238)),A238+ROW()/100000,"")</f>
        <v/>
      </c>
    </row>
    <row r="239">
      <c r="A239" s="13" t="n"/>
      <c r="B239" s="12" t="n"/>
      <c r="C239" s="14" t="n"/>
      <c r="D239" s="12" t="n"/>
      <c r="E239" s="14" t="n"/>
      <c r="F239" s="14" t="n"/>
      <c r="G239" s="12" t="n"/>
      <c r="H239" s="13" t="n"/>
      <c r="I239" s="14" t="n"/>
      <c r="J239">
        <f>IF(AND(B239&lt;&gt;"",B239=SEL_N,ISNUMBER(A239)),A239+ROW()/100000,"")</f>
        <v/>
      </c>
    </row>
    <row r="240">
      <c r="A240" s="13" t="n"/>
      <c r="B240" s="12" t="n"/>
      <c r="C240" s="14" t="n"/>
      <c r="D240" s="12" t="n"/>
      <c r="E240" s="14" t="n"/>
      <c r="F240" s="14" t="n"/>
      <c r="G240" s="12" t="n"/>
      <c r="H240" s="13" t="n"/>
      <c r="I240" s="14" t="n"/>
      <c r="J240">
        <f>IF(AND(B240&lt;&gt;"",B240=SEL_N,ISNUMBER(A240)),A240+ROW()/100000,"")</f>
        <v/>
      </c>
    </row>
    <row r="241">
      <c r="A241" s="13" t="n"/>
      <c r="B241" s="12" t="n"/>
      <c r="C241" s="14" t="n"/>
      <c r="D241" s="12" t="n"/>
      <c r="E241" s="14" t="n"/>
      <c r="F241" s="14" t="n"/>
      <c r="G241" s="12" t="n"/>
      <c r="H241" s="13" t="n"/>
      <c r="I241" s="14" t="n"/>
      <c r="J241">
        <f>IF(AND(B241&lt;&gt;"",B241=SEL_N,ISNUMBER(A241)),A241+ROW()/100000,"")</f>
        <v/>
      </c>
    </row>
    <row r="242">
      <c r="A242" s="13" t="n"/>
      <c r="B242" s="12" t="n"/>
      <c r="C242" s="14" t="n"/>
      <c r="D242" s="12" t="n"/>
      <c r="E242" s="14" t="n"/>
      <c r="F242" s="14" t="n"/>
      <c r="G242" s="12" t="n"/>
      <c r="H242" s="13" t="n"/>
      <c r="I242" s="14" t="n"/>
      <c r="J242">
        <f>IF(AND(B242&lt;&gt;"",B242=SEL_N,ISNUMBER(A242)),A242+ROW()/100000,"")</f>
        <v/>
      </c>
    </row>
    <row r="243">
      <c r="A243" s="13" t="n"/>
      <c r="B243" s="12" t="n"/>
      <c r="C243" s="14" t="n"/>
      <c r="D243" s="12" t="n"/>
      <c r="E243" s="14" t="n"/>
      <c r="F243" s="14" t="n"/>
      <c r="G243" s="12" t="n"/>
      <c r="H243" s="13" t="n"/>
      <c r="I243" s="14" t="n"/>
      <c r="J243">
        <f>IF(AND(B243&lt;&gt;"",B243=SEL_N,ISNUMBER(A243)),A243+ROW()/100000,"")</f>
        <v/>
      </c>
    </row>
    <row r="244">
      <c r="A244" s="13" t="n"/>
      <c r="B244" s="12" t="n"/>
      <c r="C244" s="14" t="n"/>
      <c r="D244" s="12" t="n"/>
      <c r="E244" s="14" t="n"/>
      <c r="F244" s="14" t="n"/>
      <c r="G244" s="12" t="n"/>
      <c r="H244" s="13" t="n"/>
      <c r="I244" s="14" t="n"/>
      <c r="J244">
        <f>IF(AND(B244&lt;&gt;"",B244=SEL_N,ISNUMBER(A244)),A244+ROW()/100000,"")</f>
        <v/>
      </c>
    </row>
    <row r="245">
      <c r="A245" s="13" t="n"/>
      <c r="B245" s="12" t="n"/>
      <c r="C245" s="14" t="n"/>
      <c r="D245" s="12" t="n"/>
      <c r="E245" s="14" t="n"/>
      <c r="F245" s="14" t="n"/>
      <c r="G245" s="12" t="n"/>
      <c r="H245" s="13" t="n"/>
      <c r="I245" s="14" t="n"/>
      <c r="J245">
        <f>IF(AND(B245&lt;&gt;"",B245=SEL_N,ISNUMBER(A245)),A245+ROW()/100000,"")</f>
        <v/>
      </c>
    </row>
    <row r="246">
      <c r="A246" s="13" t="n"/>
      <c r="B246" s="12" t="n"/>
      <c r="C246" s="14" t="n"/>
      <c r="D246" s="12" t="n"/>
      <c r="E246" s="14" t="n"/>
      <c r="F246" s="14" t="n"/>
      <c r="G246" s="12" t="n"/>
      <c r="H246" s="13" t="n"/>
      <c r="I246" s="14" t="n"/>
      <c r="J246">
        <f>IF(AND(B246&lt;&gt;"",B246=SEL_N,ISNUMBER(A246)),A246+ROW()/100000,"")</f>
        <v/>
      </c>
    </row>
    <row r="247">
      <c r="A247" s="13" t="n"/>
      <c r="B247" s="12" t="n"/>
      <c r="C247" s="14" t="n"/>
      <c r="D247" s="12" t="n"/>
      <c r="E247" s="14" t="n"/>
      <c r="F247" s="14" t="n"/>
      <c r="G247" s="12" t="n"/>
      <c r="H247" s="13" t="n"/>
      <c r="I247" s="14" t="n"/>
      <c r="J247">
        <f>IF(AND(B247&lt;&gt;"",B247=SEL_N,ISNUMBER(A247)),A247+ROW()/100000,"")</f>
        <v/>
      </c>
    </row>
    <row r="248">
      <c r="A248" s="13" t="n"/>
      <c r="B248" s="12" t="n"/>
      <c r="C248" s="14" t="n"/>
      <c r="D248" s="12" t="n"/>
      <c r="E248" s="14" t="n"/>
      <c r="F248" s="14" t="n"/>
      <c r="G248" s="12" t="n"/>
      <c r="H248" s="13" t="n"/>
      <c r="I248" s="14" t="n"/>
      <c r="J248">
        <f>IF(AND(B248&lt;&gt;"",B248=SEL_N,ISNUMBER(A248)),A248+ROW()/100000,"")</f>
        <v/>
      </c>
    </row>
    <row r="249">
      <c r="A249" s="13" t="n"/>
      <c r="B249" s="12" t="n"/>
      <c r="C249" s="14" t="n"/>
      <c r="D249" s="12" t="n"/>
      <c r="E249" s="14" t="n"/>
      <c r="F249" s="14" t="n"/>
      <c r="G249" s="12" t="n"/>
      <c r="H249" s="13" t="n"/>
      <c r="I249" s="14" t="n"/>
      <c r="J249">
        <f>IF(AND(B249&lt;&gt;"",B249=SEL_N,ISNUMBER(A249)),A249+ROW()/100000,"")</f>
        <v/>
      </c>
    </row>
    <row r="250">
      <c r="A250" s="13" t="n"/>
      <c r="B250" s="12" t="n"/>
      <c r="C250" s="14" t="n"/>
      <c r="D250" s="12" t="n"/>
      <c r="E250" s="14" t="n"/>
      <c r="F250" s="14" t="n"/>
      <c r="G250" s="12" t="n"/>
      <c r="H250" s="13" t="n"/>
      <c r="I250" s="14" t="n"/>
      <c r="J250">
        <f>IF(AND(B250&lt;&gt;"",B250=SEL_N,ISNUMBER(A250)),A250+ROW()/100000,"")</f>
        <v/>
      </c>
    </row>
    <row r="251">
      <c r="A251" s="13" t="n"/>
      <c r="B251" s="12" t="n"/>
      <c r="C251" s="14" t="n"/>
      <c r="D251" s="12" t="n"/>
      <c r="E251" s="14" t="n"/>
      <c r="F251" s="14" t="n"/>
      <c r="G251" s="12" t="n"/>
      <c r="H251" s="13" t="n"/>
      <c r="I251" s="14" t="n"/>
      <c r="J251">
        <f>IF(AND(B251&lt;&gt;"",B251=SEL_N,ISNUMBER(A251)),A251+ROW()/100000,"")</f>
        <v/>
      </c>
    </row>
    <row r="252">
      <c r="A252" s="13" t="n"/>
      <c r="B252" s="12" t="n"/>
      <c r="C252" s="14" t="n"/>
      <c r="D252" s="12" t="n"/>
      <c r="E252" s="14" t="n"/>
      <c r="F252" s="14" t="n"/>
      <c r="G252" s="12" t="n"/>
      <c r="H252" s="13" t="n"/>
      <c r="I252" s="14" t="n"/>
      <c r="J252">
        <f>IF(AND(B252&lt;&gt;"",B252=SEL_N,ISNUMBER(A252)),A252+ROW()/100000,"")</f>
        <v/>
      </c>
    </row>
    <row r="253">
      <c r="A253" s="13" t="n"/>
      <c r="B253" s="12" t="n"/>
      <c r="C253" s="14" t="n"/>
      <c r="D253" s="12" t="n"/>
      <c r="E253" s="14" t="n"/>
      <c r="F253" s="14" t="n"/>
      <c r="G253" s="12" t="n"/>
      <c r="H253" s="13" t="n"/>
      <c r="I253" s="14" t="n"/>
      <c r="J253">
        <f>IF(AND(B253&lt;&gt;"",B253=SEL_N,ISNUMBER(A253)),A253+ROW()/100000,"")</f>
        <v/>
      </c>
    </row>
    <row r="254">
      <c r="A254" s="13" t="n"/>
      <c r="B254" s="12" t="n"/>
      <c r="C254" s="14" t="n"/>
      <c r="D254" s="12" t="n"/>
      <c r="E254" s="14" t="n"/>
      <c r="F254" s="14" t="n"/>
      <c r="G254" s="12" t="n"/>
      <c r="H254" s="13" t="n"/>
      <c r="I254" s="14" t="n"/>
      <c r="J254">
        <f>IF(AND(B254&lt;&gt;"",B254=SEL_N,ISNUMBER(A254)),A254+ROW()/100000,"")</f>
        <v/>
      </c>
    </row>
    <row r="255">
      <c r="A255" s="13" t="n"/>
      <c r="B255" s="12" t="n"/>
      <c r="C255" s="14" t="n"/>
      <c r="D255" s="12" t="n"/>
      <c r="E255" s="14" t="n"/>
      <c r="F255" s="14" t="n"/>
      <c r="G255" s="12" t="n"/>
      <c r="H255" s="13" t="n"/>
      <c r="I255" s="14" t="n"/>
      <c r="J255">
        <f>IF(AND(B255&lt;&gt;"",B255=SEL_N,ISNUMBER(A255)),A255+ROW()/100000,"")</f>
        <v/>
      </c>
    </row>
    <row r="256">
      <c r="A256" s="13" t="n"/>
      <c r="B256" s="12" t="n"/>
      <c r="C256" s="14" t="n"/>
      <c r="D256" s="12" t="n"/>
      <c r="E256" s="14" t="n"/>
      <c r="F256" s="14" t="n"/>
      <c r="G256" s="12" t="n"/>
      <c r="H256" s="13" t="n"/>
      <c r="I256" s="14" t="n"/>
      <c r="J256">
        <f>IF(AND(B256&lt;&gt;"",B256=SEL_N,ISNUMBER(A256)),A256+ROW()/100000,"")</f>
        <v/>
      </c>
    </row>
    <row r="257">
      <c r="A257" s="13" t="n"/>
      <c r="B257" s="12" t="n"/>
      <c r="C257" s="14" t="n"/>
      <c r="D257" s="12" t="n"/>
      <c r="E257" s="14" t="n"/>
      <c r="F257" s="14" t="n"/>
      <c r="G257" s="12" t="n"/>
      <c r="H257" s="13" t="n"/>
      <c r="I257" s="14" t="n"/>
      <c r="J257">
        <f>IF(AND(B257&lt;&gt;"",B257=SEL_N,ISNUMBER(A257)),A257+ROW()/100000,"")</f>
        <v/>
      </c>
    </row>
    <row r="258">
      <c r="A258" s="13" t="n"/>
      <c r="B258" s="12" t="n"/>
      <c r="C258" s="14" t="n"/>
      <c r="D258" s="12" t="n"/>
      <c r="E258" s="14" t="n"/>
      <c r="F258" s="14" t="n"/>
      <c r="G258" s="12" t="n"/>
      <c r="H258" s="13" t="n"/>
      <c r="I258" s="14" t="n"/>
      <c r="J258">
        <f>IF(AND(B258&lt;&gt;"",B258=SEL_N,ISNUMBER(A258)),A258+ROW()/100000,"")</f>
        <v/>
      </c>
    </row>
    <row r="259">
      <c r="A259" s="13" t="n"/>
      <c r="B259" s="12" t="n"/>
      <c r="C259" s="14" t="n"/>
      <c r="D259" s="12" t="n"/>
      <c r="E259" s="14" t="n"/>
      <c r="F259" s="14" t="n"/>
      <c r="G259" s="12" t="n"/>
      <c r="H259" s="13" t="n"/>
      <c r="I259" s="14" t="n"/>
      <c r="J259">
        <f>IF(AND(B259&lt;&gt;"",B259=SEL_N,ISNUMBER(A259)),A259+ROW()/100000,"")</f>
        <v/>
      </c>
    </row>
    <row r="260">
      <c r="A260" s="13" t="n"/>
      <c r="B260" s="12" t="n"/>
      <c r="C260" s="14" t="n"/>
      <c r="D260" s="12" t="n"/>
      <c r="E260" s="14" t="n"/>
      <c r="F260" s="14" t="n"/>
      <c r="G260" s="12" t="n"/>
      <c r="H260" s="13" t="n"/>
      <c r="I260" s="14" t="n"/>
      <c r="J260">
        <f>IF(AND(B260&lt;&gt;"",B260=SEL_N,ISNUMBER(A260)),A260+ROW()/100000,"")</f>
        <v/>
      </c>
    </row>
    <row r="261">
      <c r="A261" s="13" t="n"/>
      <c r="B261" s="12" t="n"/>
      <c r="C261" s="14" t="n"/>
      <c r="D261" s="12" t="n"/>
      <c r="E261" s="14" t="n"/>
      <c r="F261" s="14" t="n"/>
      <c r="G261" s="12" t="n"/>
      <c r="H261" s="13" t="n"/>
      <c r="I261" s="14" t="n"/>
      <c r="J261">
        <f>IF(AND(B261&lt;&gt;"",B261=SEL_N,ISNUMBER(A261)),A261+ROW()/100000,"")</f>
        <v/>
      </c>
    </row>
    <row r="262">
      <c r="A262" s="13" t="n"/>
      <c r="B262" s="12" t="n"/>
      <c r="C262" s="14" t="n"/>
      <c r="D262" s="12" t="n"/>
      <c r="E262" s="14" t="n"/>
      <c r="F262" s="14" t="n"/>
      <c r="G262" s="12" t="n"/>
      <c r="H262" s="13" t="n"/>
      <c r="I262" s="14" t="n"/>
      <c r="J262">
        <f>IF(AND(B262&lt;&gt;"",B262=SEL_N,ISNUMBER(A262)),A262+ROW()/100000,"")</f>
        <v/>
      </c>
    </row>
    <row r="263">
      <c r="A263" s="13" t="n"/>
      <c r="B263" s="12" t="n"/>
      <c r="C263" s="14" t="n"/>
      <c r="D263" s="12" t="n"/>
      <c r="E263" s="14" t="n"/>
      <c r="F263" s="14" t="n"/>
      <c r="G263" s="12" t="n"/>
      <c r="H263" s="13" t="n"/>
      <c r="I263" s="14" t="n"/>
      <c r="J263">
        <f>IF(AND(B263&lt;&gt;"",B263=SEL_N,ISNUMBER(A263)),A263+ROW()/100000,"")</f>
        <v/>
      </c>
    </row>
    <row r="264">
      <c r="A264" s="13" t="n"/>
      <c r="B264" s="12" t="n"/>
      <c r="C264" s="14" t="n"/>
      <c r="D264" s="12" t="n"/>
      <c r="E264" s="14" t="n"/>
      <c r="F264" s="14" t="n"/>
      <c r="G264" s="12" t="n"/>
      <c r="H264" s="13" t="n"/>
      <c r="I264" s="14" t="n"/>
      <c r="J264">
        <f>IF(AND(B264&lt;&gt;"",B264=SEL_N,ISNUMBER(A264)),A264+ROW()/100000,"")</f>
        <v/>
      </c>
    </row>
    <row r="265">
      <c r="A265" s="13" t="n"/>
      <c r="B265" s="12" t="n"/>
      <c r="C265" s="14" t="n"/>
      <c r="D265" s="12" t="n"/>
      <c r="E265" s="14" t="n"/>
      <c r="F265" s="14" t="n"/>
      <c r="G265" s="12" t="n"/>
      <c r="H265" s="13" t="n"/>
      <c r="I265" s="14" t="n"/>
      <c r="J265">
        <f>IF(AND(B265&lt;&gt;"",B265=SEL_N,ISNUMBER(A265)),A265+ROW()/100000,"")</f>
        <v/>
      </c>
    </row>
    <row r="266">
      <c r="A266" s="13" t="n"/>
      <c r="B266" s="12" t="n"/>
      <c r="C266" s="14" t="n"/>
      <c r="D266" s="12" t="n"/>
      <c r="E266" s="14" t="n"/>
      <c r="F266" s="14" t="n"/>
      <c r="G266" s="12" t="n"/>
      <c r="H266" s="13" t="n"/>
      <c r="I266" s="14" t="n"/>
      <c r="J266">
        <f>IF(AND(B266&lt;&gt;"",B266=SEL_N,ISNUMBER(A266)),A266+ROW()/100000,"")</f>
        <v/>
      </c>
    </row>
    <row r="267">
      <c r="A267" s="13" t="n"/>
      <c r="B267" s="12" t="n"/>
      <c r="C267" s="14" t="n"/>
      <c r="D267" s="12" t="n"/>
      <c r="E267" s="14" t="n"/>
      <c r="F267" s="14" t="n"/>
      <c r="G267" s="12" t="n"/>
      <c r="H267" s="13" t="n"/>
      <c r="I267" s="14" t="n"/>
      <c r="J267">
        <f>IF(AND(B267&lt;&gt;"",B267=SEL_N,ISNUMBER(A267)),A267+ROW()/100000,"")</f>
        <v/>
      </c>
    </row>
    <row r="268">
      <c r="A268" s="13" t="n"/>
      <c r="B268" s="12" t="n"/>
      <c r="C268" s="14" t="n"/>
      <c r="D268" s="12" t="n"/>
      <c r="E268" s="14" t="n"/>
      <c r="F268" s="14" t="n"/>
      <c r="G268" s="12" t="n"/>
      <c r="H268" s="13" t="n"/>
      <c r="I268" s="14" t="n"/>
      <c r="J268">
        <f>IF(AND(B268&lt;&gt;"",B268=SEL_N,ISNUMBER(A268)),A268+ROW()/100000,"")</f>
        <v/>
      </c>
    </row>
    <row r="269">
      <c r="A269" s="13" t="n"/>
      <c r="B269" s="12" t="n"/>
      <c r="C269" s="14" t="n"/>
      <c r="D269" s="12" t="n"/>
      <c r="E269" s="14" t="n"/>
      <c r="F269" s="14" t="n"/>
      <c r="G269" s="12" t="n"/>
      <c r="H269" s="13" t="n"/>
      <c r="I269" s="14" t="n"/>
      <c r="J269">
        <f>IF(AND(B269&lt;&gt;"",B269=SEL_N,ISNUMBER(A269)),A269+ROW()/100000,"")</f>
        <v/>
      </c>
    </row>
    <row r="270">
      <c r="A270" s="13" t="n"/>
      <c r="B270" s="12" t="n"/>
      <c r="C270" s="14" t="n"/>
      <c r="D270" s="12" t="n"/>
      <c r="E270" s="14" t="n"/>
      <c r="F270" s="14" t="n"/>
      <c r="G270" s="12" t="n"/>
      <c r="H270" s="13" t="n"/>
      <c r="I270" s="14" t="n"/>
      <c r="J270">
        <f>IF(AND(B270&lt;&gt;"",B270=SEL_N,ISNUMBER(A270)),A270+ROW()/100000,"")</f>
        <v/>
      </c>
    </row>
    <row r="271">
      <c r="A271" s="13" t="n"/>
      <c r="B271" s="12" t="n"/>
      <c r="C271" s="14" t="n"/>
      <c r="D271" s="12" t="n"/>
      <c r="E271" s="14" t="n"/>
      <c r="F271" s="14" t="n"/>
      <c r="G271" s="12" t="n"/>
      <c r="H271" s="13" t="n"/>
      <c r="I271" s="14" t="n"/>
      <c r="J271">
        <f>IF(AND(B271&lt;&gt;"",B271=SEL_N,ISNUMBER(A271)),A271+ROW()/100000,"")</f>
        <v/>
      </c>
    </row>
    <row r="272">
      <c r="A272" s="13" t="n"/>
      <c r="B272" s="12" t="n"/>
      <c r="C272" s="14" t="n"/>
      <c r="D272" s="12" t="n"/>
      <c r="E272" s="14" t="n"/>
      <c r="F272" s="14" t="n"/>
      <c r="G272" s="12" t="n"/>
      <c r="H272" s="13" t="n"/>
      <c r="I272" s="14" t="n"/>
      <c r="J272">
        <f>IF(AND(B272&lt;&gt;"",B272=SEL_N,ISNUMBER(A272)),A272+ROW()/100000,"")</f>
        <v/>
      </c>
    </row>
    <row r="273">
      <c r="A273" s="13" t="n"/>
      <c r="B273" s="12" t="n"/>
      <c r="C273" s="14" t="n"/>
      <c r="D273" s="12" t="n"/>
      <c r="E273" s="14" t="n"/>
      <c r="F273" s="14" t="n"/>
      <c r="G273" s="12" t="n"/>
      <c r="H273" s="13" t="n"/>
      <c r="I273" s="14" t="n"/>
      <c r="J273">
        <f>IF(AND(B273&lt;&gt;"",B273=SEL_N,ISNUMBER(A273)),A273+ROW()/100000,"")</f>
        <v/>
      </c>
    </row>
    <row r="274">
      <c r="A274" s="13" t="n"/>
      <c r="B274" s="12" t="n"/>
      <c r="C274" s="14" t="n"/>
      <c r="D274" s="12" t="n"/>
      <c r="E274" s="14" t="n"/>
      <c r="F274" s="14" t="n"/>
      <c r="G274" s="12" t="n"/>
      <c r="H274" s="13" t="n"/>
      <c r="I274" s="14" t="n"/>
      <c r="J274">
        <f>IF(AND(B274&lt;&gt;"",B274=SEL_N,ISNUMBER(A274)),A274+ROW()/100000,"")</f>
        <v/>
      </c>
    </row>
    <row r="275">
      <c r="A275" s="13" t="n"/>
      <c r="B275" s="12" t="n"/>
      <c r="C275" s="14" t="n"/>
      <c r="D275" s="12" t="n"/>
      <c r="E275" s="14" t="n"/>
      <c r="F275" s="14" t="n"/>
      <c r="G275" s="12" t="n"/>
      <c r="H275" s="13" t="n"/>
      <c r="I275" s="14" t="n"/>
      <c r="J275">
        <f>IF(AND(B275&lt;&gt;"",B275=SEL_N,ISNUMBER(A275)),A275+ROW()/100000,"")</f>
        <v/>
      </c>
    </row>
    <row r="276">
      <c r="A276" s="13" t="n"/>
      <c r="B276" s="12" t="n"/>
      <c r="C276" s="14" t="n"/>
      <c r="D276" s="12" t="n"/>
      <c r="E276" s="14" t="n"/>
      <c r="F276" s="14" t="n"/>
      <c r="G276" s="12" t="n"/>
      <c r="H276" s="13" t="n"/>
      <c r="I276" s="14" t="n"/>
      <c r="J276">
        <f>IF(AND(B276&lt;&gt;"",B276=SEL_N,ISNUMBER(A276)),A276+ROW()/100000,"")</f>
        <v/>
      </c>
    </row>
    <row r="277">
      <c r="A277" s="13" t="n"/>
      <c r="B277" s="12" t="n"/>
      <c r="C277" s="14" t="n"/>
      <c r="D277" s="12" t="n"/>
      <c r="E277" s="14" t="n"/>
      <c r="F277" s="14" t="n"/>
      <c r="G277" s="12" t="n"/>
      <c r="H277" s="13" t="n"/>
      <c r="I277" s="14" t="n"/>
      <c r="J277">
        <f>IF(AND(B277&lt;&gt;"",B277=SEL_N,ISNUMBER(A277)),A277+ROW()/100000,"")</f>
        <v/>
      </c>
    </row>
    <row r="278">
      <c r="A278" s="13" t="n"/>
      <c r="B278" s="12" t="n"/>
      <c r="C278" s="14" t="n"/>
      <c r="D278" s="12" t="n"/>
      <c r="E278" s="14" t="n"/>
      <c r="F278" s="14" t="n"/>
      <c r="G278" s="12" t="n"/>
      <c r="H278" s="13" t="n"/>
      <c r="I278" s="14" t="n"/>
      <c r="J278">
        <f>IF(AND(B278&lt;&gt;"",B278=SEL_N,ISNUMBER(A278)),A278+ROW()/100000,"")</f>
        <v/>
      </c>
    </row>
    <row r="279">
      <c r="A279" s="13" t="n"/>
      <c r="B279" s="12" t="n"/>
      <c r="C279" s="14" t="n"/>
      <c r="D279" s="12" t="n"/>
      <c r="E279" s="14" t="n"/>
      <c r="F279" s="14" t="n"/>
      <c r="G279" s="12" t="n"/>
      <c r="H279" s="13" t="n"/>
      <c r="I279" s="14" t="n"/>
      <c r="J279">
        <f>IF(AND(B279&lt;&gt;"",B279=SEL_N,ISNUMBER(A279)),A279+ROW()/100000,"")</f>
        <v/>
      </c>
    </row>
    <row r="280">
      <c r="A280" s="13" t="n"/>
      <c r="B280" s="12" t="n"/>
      <c r="C280" s="14" t="n"/>
      <c r="D280" s="12" t="n"/>
      <c r="E280" s="14" t="n"/>
      <c r="F280" s="14" t="n"/>
      <c r="G280" s="12" t="n"/>
      <c r="H280" s="13" t="n"/>
      <c r="I280" s="14" t="n"/>
      <c r="J280">
        <f>IF(AND(B280&lt;&gt;"",B280=SEL_N,ISNUMBER(A280)),A280+ROW()/100000,"")</f>
        <v/>
      </c>
    </row>
    <row r="281">
      <c r="A281" s="13" t="n"/>
      <c r="B281" s="12" t="n"/>
      <c r="C281" s="14" t="n"/>
      <c r="D281" s="12" t="n"/>
      <c r="E281" s="14" t="n"/>
      <c r="F281" s="14" t="n"/>
      <c r="G281" s="12" t="n"/>
      <c r="H281" s="13" t="n"/>
      <c r="I281" s="14" t="n"/>
      <c r="J281">
        <f>IF(AND(B281&lt;&gt;"",B281=SEL_N,ISNUMBER(A281)),A281+ROW()/100000,"")</f>
        <v/>
      </c>
    </row>
    <row r="282">
      <c r="A282" s="13" t="n"/>
      <c r="B282" s="12" t="n"/>
      <c r="C282" s="14" t="n"/>
      <c r="D282" s="12" t="n"/>
      <c r="E282" s="14" t="n"/>
      <c r="F282" s="14" t="n"/>
      <c r="G282" s="12" t="n"/>
      <c r="H282" s="13" t="n"/>
      <c r="I282" s="14" t="n"/>
      <c r="J282">
        <f>IF(AND(B282&lt;&gt;"",B282=SEL_N,ISNUMBER(A282)),A282+ROW()/100000,"")</f>
        <v/>
      </c>
    </row>
    <row r="283">
      <c r="A283" s="13" t="n"/>
      <c r="B283" s="12" t="n"/>
      <c r="C283" s="14" t="n"/>
      <c r="D283" s="12" t="n"/>
      <c r="E283" s="14" t="n"/>
      <c r="F283" s="14" t="n"/>
      <c r="G283" s="12" t="n"/>
      <c r="H283" s="13" t="n"/>
      <c r="I283" s="14" t="n"/>
      <c r="J283">
        <f>IF(AND(B283&lt;&gt;"",B283=SEL_N,ISNUMBER(A283)),A283+ROW()/100000,"")</f>
        <v/>
      </c>
    </row>
    <row r="284">
      <c r="A284" s="13" t="n"/>
      <c r="B284" s="12" t="n"/>
      <c r="C284" s="14" t="n"/>
      <c r="D284" s="12" t="n"/>
      <c r="E284" s="14" t="n"/>
      <c r="F284" s="14" t="n"/>
      <c r="G284" s="12" t="n"/>
      <c r="H284" s="13" t="n"/>
      <c r="I284" s="14" t="n"/>
      <c r="J284">
        <f>IF(AND(B284&lt;&gt;"",B284=SEL_N,ISNUMBER(A284)),A284+ROW()/100000,"")</f>
        <v/>
      </c>
    </row>
    <row r="285">
      <c r="A285" s="13" t="n"/>
      <c r="B285" s="12" t="n"/>
      <c r="C285" s="14" t="n"/>
      <c r="D285" s="12" t="n"/>
      <c r="E285" s="14" t="n"/>
      <c r="F285" s="14" t="n"/>
      <c r="G285" s="12" t="n"/>
      <c r="H285" s="13" t="n"/>
      <c r="I285" s="14" t="n"/>
      <c r="J285">
        <f>IF(AND(B285&lt;&gt;"",B285=SEL_N,ISNUMBER(A285)),A285+ROW()/100000,"")</f>
        <v/>
      </c>
    </row>
    <row r="286">
      <c r="A286" s="13" t="n"/>
      <c r="B286" s="12" t="n"/>
      <c r="C286" s="14" t="n"/>
      <c r="D286" s="12" t="n"/>
      <c r="E286" s="14" t="n"/>
      <c r="F286" s="14" t="n"/>
      <c r="G286" s="12" t="n"/>
      <c r="H286" s="13" t="n"/>
      <c r="I286" s="14" t="n"/>
      <c r="J286">
        <f>IF(AND(B286&lt;&gt;"",B286=SEL_N,ISNUMBER(A286)),A286+ROW()/100000,"")</f>
        <v/>
      </c>
    </row>
    <row r="287">
      <c r="A287" s="13" t="n"/>
      <c r="B287" s="12" t="n"/>
      <c r="C287" s="14" t="n"/>
      <c r="D287" s="12" t="n"/>
      <c r="E287" s="14" t="n"/>
      <c r="F287" s="14" t="n"/>
      <c r="G287" s="12" t="n"/>
      <c r="H287" s="13" t="n"/>
      <c r="I287" s="14" t="n"/>
      <c r="J287">
        <f>IF(AND(B287&lt;&gt;"",B287=SEL_N,ISNUMBER(A287)),A287+ROW()/100000,"")</f>
        <v/>
      </c>
    </row>
    <row r="288">
      <c r="A288" s="13" t="n"/>
      <c r="B288" s="12" t="n"/>
      <c r="C288" s="14" t="n"/>
      <c r="D288" s="12" t="n"/>
      <c r="E288" s="14" t="n"/>
      <c r="F288" s="14" t="n"/>
      <c r="G288" s="12" t="n"/>
      <c r="H288" s="13" t="n"/>
      <c r="I288" s="14" t="n"/>
      <c r="J288">
        <f>IF(AND(B288&lt;&gt;"",B288=SEL_N,ISNUMBER(A288)),A288+ROW()/100000,"")</f>
        <v/>
      </c>
    </row>
    <row r="289">
      <c r="A289" s="13" t="n"/>
      <c r="B289" s="12" t="n"/>
      <c r="C289" s="14" t="n"/>
      <c r="D289" s="12" t="n"/>
      <c r="E289" s="14" t="n"/>
      <c r="F289" s="14" t="n"/>
      <c r="G289" s="12" t="n"/>
      <c r="H289" s="13" t="n"/>
      <c r="I289" s="14" t="n"/>
      <c r="J289">
        <f>IF(AND(B289&lt;&gt;"",B289=SEL_N,ISNUMBER(A289)),A289+ROW()/100000,"")</f>
        <v/>
      </c>
    </row>
    <row r="290">
      <c r="A290" s="13" t="n"/>
      <c r="B290" s="12" t="n"/>
      <c r="C290" s="14" t="n"/>
      <c r="D290" s="12" t="n"/>
      <c r="E290" s="14" t="n"/>
      <c r="F290" s="14" t="n"/>
      <c r="G290" s="12" t="n"/>
      <c r="H290" s="13" t="n"/>
      <c r="I290" s="14" t="n"/>
      <c r="J290">
        <f>IF(AND(B290&lt;&gt;"",B290=SEL_N,ISNUMBER(A290)),A290+ROW()/100000,"")</f>
        <v/>
      </c>
    </row>
    <row r="291">
      <c r="A291" s="13" t="n"/>
      <c r="B291" s="12" t="n"/>
      <c r="C291" s="14" t="n"/>
      <c r="D291" s="12" t="n"/>
      <c r="E291" s="14" t="n"/>
      <c r="F291" s="14" t="n"/>
      <c r="G291" s="12" t="n"/>
      <c r="H291" s="13" t="n"/>
      <c r="I291" s="14" t="n"/>
      <c r="J291">
        <f>IF(AND(B291&lt;&gt;"",B291=SEL_N,ISNUMBER(A291)),A291+ROW()/100000,"")</f>
        <v/>
      </c>
    </row>
    <row r="292">
      <c r="A292" s="13" t="n"/>
      <c r="B292" s="12" t="n"/>
      <c r="C292" s="14" t="n"/>
      <c r="D292" s="12" t="n"/>
      <c r="E292" s="14" t="n"/>
      <c r="F292" s="14" t="n"/>
      <c r="G292" s="12" t="n"/>
      <c r="H292" s="13" t="n"/>
      <c r="I292" s="14" t="n"/>
      <c r="J292">
        <f>IF(AND(B292&lt;&gt;"",B292=SEL_N,ISNUMBER(A292)),A292+ROW()/100000,"")</f>
        <v/>
      </c>
    </row>
    <row r="293">
      <c r="A293" s="13" t="n"/>
      <c r="B293" s="12" t="n"/>
      <c r="C293" s="14" t="n"/>
      <c r="D293" s="12" t="n"/>
      <c r="E293" s="14" t="n"/>
      <c r="F293" s="14" t="n"/>
      <c r="G293" s="12" t="n"/>
      <c r="H293" s="13" t="n"/>
      <c r="I293" s="14" t="n"/>
      <c r="J293">
        <f>IF(AND(B293&lt;&gt;"",B293=SEL_N,ISNUMBER(A293)),A293+ROW()/100000,"")</f>
        <v/>
      </c>
    </row>
    <row r="294">
      <c r="A294" s="13" t="n"/>
      <c r="B294" s="12" t="n"/>
      <c r="C294" s="14" t="n"/>
      <c r="D294" s="12" t="n"/>
      <c r="E294" s="14" t="n"/>
      <c r="F294" s="14" t="n"/>
      <c r="G294" s="12" t="n"/>
      <c r="H294" s="13" t="n"/>
      <c r="I294" s="14" t="n"/>
      <c r="J294">
        <f>IF(AND(B294&lt;&gt;"",B294=SEL_N,ISNUMBER(A294)),A294+ROW()/100000,"")</f>
        <v/>
      </c>
    </row>
    <row r="295">
      <c r="A295" s="13" t="n"/>
      <c r="B295" s="12" t="n"/>
      <c r="C295" s="14" t="n"/>
      <c r="D295" s="12" t="n"/>
      <c r="E295" s="14" t="n"/>
      <c r="F295" s="14" t="n"/>
      <c r="G295" s="12" t="n"/>
      <c r="H295" s="13" t="n"/>
      <c r="I295" s="14" t="n"/>
      <c r="J295">
        <f>IF(AND(B295&lt;&gt;"",B295=SEL_N,ISNUMBER(A295)),A295+ROW()/100000,"")</f>
        <v/>
      </c>
    </row>
    <row r="296">
      <c r="A296" s="13" t="n"/>
      <c r="B296" s="12" t="n"/>
      <c r="C296" s="14" t="n"/>
      <c r="D296" s="12" t="n"/>
      <c r="E296" s="14" t="n"/>
      <c r="F296" s="14" t="n"/>
      <c r="G296" s="12" t="n"/>
      <c r="H296" s="13" t="n"/>
      <c r="I296" s="14" t="n"/>
      <c r="J296">
        <f>IF(AND(B296&lt;&gt;"",B296=SEL_N,ISNUMBER(A296)),A296+ROW()/100000,"")</f>
        <v/>
      </c>
    </row>
    <row r="297">
      <c r="A297" s="13" t="n"/>
      <c r="B297" s="12" t="n"/>
      <c r="C297" s="14" t="n"/>
      <c r="D297" s="12" t="n"/>
      <c r="E297" s="14" t="n"/>
      <c r="F297" s="14" t="n"/>
      <c r="G297" s="12" t="n"/>
      <c r="H297" s="13" t="n"/>
      <c r="I297" s="14" t="n"/>
      <c r="J297">
        <f>IF(AND(B297&lt;&gt;"",B297=SEL_N,ISNUMBER(A297)),A297+ROW()/100000,"")</f>
        <v/>
      </c>
    </row>
    <row r="298">
      <c r="A298" s="13" t="n"/>
      <c r="B298" s="12" t="n"/>
      <c r="C298" s="14" t="n"/>
      <c r="D298" s="12" t="n"/>
      <c r="E298" s="14" t="n"/>
      <c r="F298" s="14" t="n"/>
      <c r="G298" s="12" t="n"/>
      <c r="H298" s="13" t="n"/>
      <c r="I298" s="14" t="n"/>
      <c r="J298">
        <f>IF(AND(B298&lt;&gt;"",B298=SEL_N,ISNUMBER(A298)),A298+ROW()/100000,"")</f>
        <v/>
      </c>
    </row>
    <row r="299">
      <c r="A299" s="13" t="n"/>
      <c r="B299" s="12" t="n"/>
      <c r="C299" s="14" t="n"/>
      <c r="D299" s="12" t="n"/>
      <c r="E299" s="14" t="n"/>
      <c r="F299" s="14" t="n"/>
      <c r="G299" s="12" t="n"/>
      <c r="H299" s="13" t="n"/>
      <c r="I299" s="14" t="n"/>
      <c r="J299">
        <f>IF(AND(B299&lt;&gt;"",B299=SEL_N,ISNUMBER(A299)),A299+ROW()/100000,"")</f>
        <v/>
      </c>
    </row>
    <row r="300">
      <c r="A300" s="13" t="n"/>
      <c r="B300" s="12" t="n"/>
      <c r="C300" s="14" t="n"/>
      <c r="D300" s="12" t="n"/>
      <c r="E300" s="14" t="n"/>
      <c r="F300" s="14" t="n"/>
      <c r="G300" s="12" t="n"/>
      <c r="H300" s="13" t="n"/>
      <c r="I300" s="14" t="n"/>
      <c r="J300">
        <f>IF(AND(B300&lt;&gt;"",B300=SEL_N,ISNUMBER(A300)),A300+ROW()/100000,"")</f>
        <v/>
      </c>
    </row>
    <row r="301">
      <c r="A301" s="13" t="n"/>
      <c r="B301" s="12" t="n"/>
      <c r="C301" s="14" t="n"/>
      <c r="D301" s="12" t="n"/>
      <c r="E301" s="14" t="n"/>
      <c r="F301" s="14" t="n"/>
      <c r="G301" s="12" t="n"/>
      <c r="H301" s="13" t="n"/>
      <c r="I301" s="14" t="n"/>
      <c r="J301">
        <f>IF(AND(B301&lt;&gt;"",B301=SEL_N,ISNUMBER(A301)),A301+ROW()/100000,"")</f>
        <v/>
      </c>
    </row>
    <row r="302">
      <c r="A302" s="13" t="n"/>
      <c r="B302" s="12" t="n"/>
      <c r="C302" s="14" t="n"/>
      <c r="D302" s="12" t="n"/>
      <c r="E302" s="14" t="n"/>
      <c r="F302" s="14" t="n"/>
      <c r="G302" s="12" t="n"/>
      <c r="H302" s="13" t="n"/>
      <c r="I302" s="14" t="n"/>
      <c r="J302">
        <f>IF(AND(B302&lt;&gt;"",B302=SEL_N,ISNUMBER(A302)),A302+ROW()/100000,"")</f>
        <v/>
      </c>
    </row>
    <row r="303">
      <c r="A303" s="13" t="n"/>
      <c r="B303" s="12" t="n"/>
      <c r="C303" s="14" t="n"/>
      <c r="D303" s="12" t="n"/>
      <c r="E303" s="14" t="n"/>
      <c r="F303" s="14" t="n"/>
      <c r="G303" s="12" t="n"/>
      <c r="H303" s="13" t="n"/>
      <c r="I303" s="14" t="n"/>
      <c r="J303">
        <f>IF(AND(B303&lt;&gt;"",B303=SEL_N,ISNUMBER(A303)),A303+ROW()/100000,"")</f>
        <v/>
      </c>
    </row>
    <row r="304">
      <c r="A304" s="13" t="n"/>
      <c r="B304" s="12" t="n"/>
      <c r="C304" s="14" t="n"/>
      <c r="D304" s="12" t="n"/>
      <c r="E304" s="14" t="n"/>
      <c r="F304" s="14" t="n"/>
      <c r="G304" s="12" t="n"/>
      <c r="H304" s="13" t="n"/>
      <c r="I304" s="14" t="n"/>
      <c r="J304">
        <f>IF(AND(B304&lt;&gt;"",B304=SEL_N,ISNUMBER(A304)),A304+ROW()/100000,"")</f>
        <v/>
      </c>
    </row>
    <row r="305">
      <c r="A305" s="13" t="n"/>
      <c r="B305" s="12" t="n"/>
      <c r="C305" s="14" t="n"/>
      <c r="D305" s="12" t="n"/>
      <c r="E305" s="14" t="n"/>
      <c r="F305" s="14" t="n"/>
      <c r="G305" s="12" t="n"/>
      <c r="H305" s="13" t="n"/>
      <c r="I305" s="14" t="n"/>
      <c r="J305">
        <f>IF(AND(B305&lt;&gt;"",B305=SEL_N,ISNUMBER(A305)),A305+ROW()/100000,"")</f>
        <v/>
      </c>
    </row>
    <row r="306">
      <c r="A306" s="13" t="n"/>
      <c r="B306" s="12" t="n"/>
      <c r="C306" s="14" t="n"/>
      <c r="D306" s="12" t="n"/>
      <c r="E306" s="14" t="n"/>
      <c r="F306" s="14" t="n"/>
      <c r="G306" s="12" t="n"/>
      <c r="H306" s="13" t="n"/>
      <c r="I306" s="14" t="n"/>
      <c r="J306">
        <f>IF(AND(B306&lt;&gt;"",B306=SEL_N,ISNUMBER(A306)),A306+ROW()/100000,"")</f>
        <v/>
      </c>
    </row>
    <row r="307">
      <c r="A307" s="13" t="n"/>
      <c r="B307" s="12" t="n"/>
      <c r="C307" s="14" t="n"/>
      <c r="D307" s="12" t="n"/>
      <c r="E307" s="14" t="n"/>
      <c r="F307" s="14" t="n"/>
      <c r="G307" s="12" t="n"/>
      <c r="H307" s="13" t="n"/>
      <c r="I307" s="14" t="n"/>
      <c r="J307">
        <f>IF(AND(B307&lt;&gt;"",B307=SEL_N,ISNUMBER(A307)),A307+ROW()/100000,"")</f>
        <v/>
      </c>
    </row>
    <row r="308">
      <c r="A308" s="13" t="n"/>
      <c r="B308" s="12" t="n"/>
      <c r="C308" s="14" t="n"/>
      <c r="D308" s="12" t="n"/>
      <c r="E308" s="14" t="n"/>
      <c r="F308" s="14" t="n"/>
      <c r="G308" s="12" t="n"/>
      <c r="H308" s="13" t="n"/>
      <c r="I308" s="14" t="n"/>
      <c r="J308">
        <f>IF(AND(B308&lt;&gt;"",B308=SEL_N,ISNUMBER(A308)),A308+ROW()/100000,"")</f>
        <v/>
      </c>
    </row>
    <row r="309">
      <c r="A309" s="13" t="n"/>
      <c r="B309" s="12" t="n"/>
      <c r="C309" s="14" t="n"/>
      <c r="D309" s="12" t="n"/>
      <c r="E309" s="14" t="n"/>
      <c r="F309" s="14" t="n"/>
      <c r="G309" s="12" t="n"/>
      <c r="H309" s="13" t="n"/>
      <c r="I309" s="14" t="n"/>
      <c r="J309">
        <f>IF(AND(B309&lt;&gt;"",B309=SEL_N,ISNUMBER(A309)),A309+ROW()/100000,"")</f>
        <v/>
      </c>
    </row>
    <row r="310">
      <c r="A310" s="13" t="n"/>
      <c r="B310" s="12" t="n"/>
      <c r="C310" s="14" t="n"/>
      <c r="D310" s="12" t="n"/>
      <c r="E310" s="14" t="n"/>
      <c r="F310" s="14" t="n"/>
      <c r="G310" s="12" t="n"/>
      <c r="H310" s="13" t="n"/>
      <c r="I310" s="14" t="n"/>
      <c r="J310">
        <f>IF(AND(B310&lt;&gt;"",B310=SEL_N,ISNUMBER(A310)),A310+ROW()/100000,"")</f>
        <v/>
      </c>
    </row>
    <row r="311">
      <c r="A311" s="13" t="n"/>
      <c r="B311" s="12" t="n"/>
      <c r="C311" s="14" t="n"/>
      <c r="D311" s="12" t="n"/>
      <c r="E311" s="14" t="n"/>
      <c r="F311" s="14" t="n"/>
      <c r="G311" s="12" t="n"/>
      <c r="H311" s="13" t="n"/>
      <c r="I311" s="14" t="n"/>
      <c r="J311">
        <f>IF(AND(B311&lt;&gt;"",B311=SEL_N,ISNUMBER(A311)),A311+ROW()/100000,"")</f>
        <v/>
      </c>
    </row>
    <row r="312">
      <c r="A312" s="13" t="n"/>
      <c r="B312" s="12" t="n"/>
      <c r="C312" s="14" t="n"/>
      <c r="D312" s="12" t="n"/>
      <c r="E312" s="14" t="n"/>
      <c r="F312" s="14" t="n"/>
      <c r="G312" s="12" t="n"/>
      <c r="H312" s="13" t="n"/>
      <c r="I312" s="14" t="n"/>
      <c r="J312">
        <f>IF(AND(B312&lt;&gt;"",B312=SEL_N,ISNUMBER(A312)),A312+ROW()/100000,"")</f>
        <v/>
      </c>
    </row>
    <row r="313">
      <c r="A313" s="13" t="n"/>
      <c r="B313" s="12" t="n"/>
      <c r="C313" s="14" t="n"/>
      <c r="D313" s="12" t="n"/>
      <c r="E313" s="14" t="n"/>
      <c r="F313" s="14" t="n"/>
      <c r="G313" s="12" t="n"/>
      <c r="H313" s="13" t="n"/>
      <c r="I313" s="14" t="n"/>
      <c r="J313">
        <f>IF(AND(B313&lt;&gt;"",B313=SEL_N,ISNUMBER(A313)),A313+ROW()/100000,"")</f>
        <v/>
      </c>
    </row>
    <row r="314">
      <c r="A314" s="13" t="n"/>
      <c r="B314" s="12" t="n"/>
      <c r="C314" s="14" t="n"/>
      <c r="D314" s="12" t="n"/>
      <c r="E314" s="14" t="n"/>
      <c r="F314" s="14" t="n"/>
      <c r="G314" s="12" t="n"/>
      <c r="H314" s="13" t="n"/>
      <c r="I314" s="14" t="n"/>
      <c r="J314">
        <f>IF(AND(B314&lt;&gt;"",B314=SEL_N,ISNUMBER(A314)),A314+ROW()/100000,"")</f>
        <v/>
      </c>
    </row>
    <row r="315">
      <c r="A315" s="13" t="n"/>
      <c r="B315" s="12" t="n"/>
      <c r="C315" s="14" t="n"/>
      <c r="D315" s="12" t="n"/>
      <c r="E315" s="14" t="n"/>
      <c r="F315" s="14" t="n"/>
      <c r="G315" s="12" t="n"/>
      <c r="H315" s="13" t="n"/>
      <c r="I315" s="14" t="n"/>
      <c r="J315">
        <f>IF(AND(B315&lt;&gt;"",B315=SEL_N,ISNUMBER(A315)),A315+ROW()/100000,"")</f>
        <v/>
      </c>
    </row>
    <row r="316">
      <c r="A316" s="13" t="n"/>
      <c r="B316" s="12" t="n"/>
      <c r="C316" s="14" t="n"/>
      <c r="D316" s="12" t="n"/>
      <c r="E316" s="14" t="n"/>
      <c r="F316" s="14" t="n"/>
      <c r="G316" s="12" t="n"/>
      <c r="H316" s="13" t="n"/>
      <c r="I316" s="14" t="n"/>
      <c r="J316">
        <f>IF(AND(B316&lt;&gt;"",B316=SEL_N,ISNUMBER(A316)),A316+ROW()/100000,"")</f>
        <v/>
      </c>
    </row>
    <row r="317">
      <c r="A317" s="13" t="n"/>
      <c r="B317" s="12" t="n"/>
      <c r="C317" s="14" t="n"/>
      <c r="D317" s="12" t="n"/>
      <c r="E317" s="14" t="n"/>
      <c r="F317" s="14" t="n"/>
      <c r="G317" s="12" t="n"/>
      <c r="H317" s="13" t="n"/>
      <c r="I317" s="14" t="n"/>
      <c r="J317">
        <f>IF(AND(B317&lt;&gt;"",B317=SEL_N,ISNUMBER(A317)),A317+ROW()/100000,"")</f>
        <v/>
      </c>
    </row>
    <row r="318">
      <c r="A318" s="13" t="n"/>
      <c r="B318" s="12" t="n"/>
      <c r="C318" s="14" t="n"/>
      <c r="D318" s="12" t="n"/>
      <c r="E318" s="14" t="n"/>
      <c r="F318" s="14" t="n"/>
      <c r="G318" s="12" t="n"/>
      <c r="H318" s="13" t="n"/>
      <c r="I318" s="14" t="n"/>
      <c r="J318">
        <f>IF(AND(B318&lt;&gt;"",B318=SEL_N,ISNUMBER(A318)),A318+ROW()/100000,"")</f>
        <v/>
      </c>
    </row>
    <row r="319">
      <c r="A319" s="13" t="n"/>
      <c r="B319" s="12" t="n"/>
      <c r="C319" s="14" t="n"/>
      <c r="D319" s="12" t="n"/>
      <c r="E319" s="14" t="n"/>
      <c r="F319" s="14" t="n"/>
      <c r="G319" s="12" t="n"/>
      <c r="H319" s="13" t="n"/>
      <c r="I319" s="14" t="n"/>
      <c r="J319">
        <f>IF(AND(B319&lt;&gt;"",B319=SEL_N,ISNUMBER(A319)),A319+ROW()/100000,"")</f>
        <v/>
      </c>
    </row>
    <row r="320">
      <c r="A320" s="13" t="n"/>
      <c r="B320" s="12" t="n"/>
      <c r="C320" s="14" t="n"/>
      <c r="D320" s="12" t="n"/>
      <c r="E320" s="14" t="n"/>
      <c r="F320" s="14" t="n"/>
      <c r="G320" s="12" t="n"/>
      <c r="H320" s="13" t="n"/>
      <c r="I320" s="14" t="n"/>
      <c r="J320">
        <f>IF(AND(B320&lt;&gt;"",B320=SEL_N,ISNUMBER(A320)),A320+ROW()/100000,"")</f>
        <v/>
      </c>
    </row>
    <row r="321">
      <c r="A321" s="13" t="n"/>
      <c r="B321" s="12" t="n"/>
      <c r="C321" s="14" t="n"/>
      <c r="D321" s="12" t="n"/>
      <c r="E321" s="14" t="n"/>
      <c r="F321" s="14" t="n"/>
      <c r="G321" s="12" t="n"/>
      <c r="H321" s="13" t="n"/>
      <c r="I321" s="14" t="n"/>
      <c r="J321">
        <f>IF(AND(B321&lt;&gt;"",B321=SEL_N,ISNUMBER(A321)),A321+ROW()/100000,"")</f>
        <v/>
      </c>
    </row>
    <row r="322">
      <c r="A322" s="13" t="n"/>
      <c r="B322" s="12" t="n"/>
      <c r="C322" s="14" t="n"/>
      <c r="D322" s="12" t="n"/>
      <c r="E322" s="14" t="n"/>
      <c r="F322" s="14" t="n"/>
      <c r="G322" s="12" t="n"/>
      <c r="H322" s="13" t="n"/>
      <c r="I322" s="14" t="n"/>
      <c r="J322">
        <f>IF(AND(B322&lt;&gt;"",B322=SEL_N,ISNUMBER(A322)),A322+ROW()/100000,"")</f>
        <v/>
      </c>
    </row>
    <row r="323">
      <c r="A323" s="13" t="n"/>
      <c r="B323" s="12" t="n"/>
      <c r="C323" s="14" t="n"/>
      <c r="D323" s="12" t="n"/>
      <c r="E323" s="14" t="n"/>
      <c r="F323" s="14" t="n"/>
      <c r="G323" s="12" t="n"/>
      <c r="H323" s="13" t="n"/>
      <c r="I323" s="14" t="n"/>
      <c r="J323">
        <f>IF(AND(B323&lt;&gt;"",B323=SEL_N,ISNUMBER(A323)),A323+ROW()/100000,"")</f>
        <v/>
      </c>
    </row>
    <row r="324">
      <c r="A324" s="13" t="n"/>
      <c r="B324" s="12" t="n"/>
      <c r="C324" s="14" t="n"/>
      <c r="D324" s="12" t="n"/>
      <c r="E324" s="14" t="n"/>
      <c r="F324" s="14" t="n"/>
      <c r="G324" s="12" t="n"/>
      <c r="H324" s="13" t="n"/>
      <c r="I324" s="14" t="n"/>
      <c r="J324">
        <f>IF(AND(B324&lt;&gt;"",B324=SEL_N,ISNUMBER(A324)),A324+ROW()/100000,"")</f>
        <v/>
      </c>
    </row>
    <row r="325">
      <c r="A325" s="13" t="n"/>
      <c r="B325" s="12" t="n"/>
      <c r="C325" s="14" t="n"/>
      <c r="D325" s="12" t="n"/>
      <c r="E325" s="14" t="n"/>
      <c r="F325" s="14" t="n"/>
      <c r="G325" s="12" t="n"/>
      <c r="H325" s="13" t="n"/>
      <c r="I325" s="14" t="n"/>
      <c r="J325">
        <f>IF(AND(B325&lt;&gt;"",B325=SEL_N,ISNUMBER(A325)),A325+ROW()/100000,"")</f>
        <v/>
      </c>
    </row>
    <row r="326">
      <c r="A326" s="13" t="n"/>
      <c r="B326" s="12" t="n"/>
      <c r="C326" s="14" t="n"/>
      <c r="D326" s="12" t="n"/>
      <c r="E326" s="14" t="n"/>
      <c r="F326" s="14" t="n"/>
      <c r="G326" s="12" t="n"/>
      <c r="H326" s="13" t="n"/>
      <c r="I326" s="14" t="n"/>
      <c r="J326">
        <f>IF(AND(B326&lt;&gt;"",B326=SEL_N,ISNUMBER(A326)),A326+ROW()/100000,"")</f>
        <v/>
      </c>
    </row>
    <row r="327">
      <c r="A327" s="13" t="n"/>
      <c r="B327" s="12" t="n"/>
      <c r="C327" s="14" t="n"/>
      <c r="D327" s="12" t="n"/>
      <c r="E327" s="14" t="n"/>
      <c r="F327" s="14" t="n"/>
      <c r="G327" s="12" t="n"/>
      <c r="H327" s="13" t="n"/>
      <c r="I327" s="14" t="n"/>
      <c r="J327">
        <f>IF(AND(B327&lt;&gt;"",B327=SEL_N,ISNUMBER(A327)),A327+ROW()/100000,"")</f>
        <v/>
      </c>
    </row>
    <row r="328">
      <c r="A328" s="13" t="n"/>
      <c r="B328" s="12" t="n"/>
      <c r="C328" s="14" t="n"/>
      <c r="D328" s="12" t="n"/>
      <c r="E328" s="14" t="n"/>
      <c r="F328" s="14" t="n"/>
      <c r="G328" s="12" t="n"/>
      <c r="H328" s="13" t="n"/>
      <c r="I328" s="14" t="n"/>
      <c r="J328">
        <f>IF(AND(B328&lt;&gt;"",B328=SEL_N,ISNUMBER(A328)),A328+ROW()/100000,"")</f>
        <v/>
      </c>
    </row>
    <row r="329">
      <c r="A329" s="13" t="n"/>
      <c r="B329" s="12" t="n"/>
      <c r="C329" s="14" t="n"/>
      <c r="D329" s="12" t="n"/>
      <c r="E329" s="14" t="n"/>
      <c r="F329" s="14" t="n"/>
      <c r="G329" s="12" t="n"/>
      <c r="H329" s="13" t="n"/>
      <c r="I329" s="14" t="n"/>
      <c r="J329">
        <f>IF(AND(B329&lt;&gt;"",B329=SEL_N,ISNUMBER(A329)),A329+ROW()/100000,"")</f>
        <v/>
      </c>
    </row>
    <row r="330">
      <c r="A330" s="13" t="n"/>
      <c r="B330" s="12" t="n"/>
      <c r="C330" s="14" t="n"/>
      <c r="D330" s="12" t="n"/>
      <c r="E330" s="14" t="n"/>
      <c r="F330" s="14" t="n"/>
      <c r="G330" s="12" t="n"/>
      <c r="H330" s="13" t="n"/>
      <c r="I330" s="14" t="n"/>
      <c r="J330">
        <f>IF(AND(B330&lt;&gt;"",B330=SEL_N,ISNUMBER(A330)),A330+ROW()/100000,"")</f>
        <v/>
      </c>
    </row>
    <row r="331">
      <c r="A331" s="13" t="n"/>
      <c r="B331" s="12" t="n"/>
      <c r="C331" s="14" t="n"/>
      <c r="D331" s="12" t="n"/>
      <c r="E331" s="14" t="n"/>
      <c r="F331" s="14" t="n"/>
      <c r="G331" s="12" t="n"/>
      <c r="H331" s="13" t="n"/>
      <c r="I331" s="14" t="n"/>
      <c r="J331">
        <f>IF(AND(B331&lt;&gt;"",B331=SEL_N,ISNUMBER(A331)),A331+ROW()/100000,"")</f>
        <v/>
      </c>
    </row>
    <row r="332">
      <c r="A332" s="13" t="n"/>
      <c r="B332" s="12" t="n"/>
      <c r="C332" s="14" t="n"/>
      <c r="D332" s="12" t="n"/>
      <c r="E332" s="14" t="n"/>
      <c r="F332" s="14" t="n"/>
      <c r="G332" s="12" t="n"/>
      <c r="H332" s="13" t="n"/>
      <c r="I332" s="14" t="n"/>
      <c r="J332">
        <f>IF(AND(B332&lt;&gt;"",B332=SEL_N,ISNUMBER(A332)),A332+ROW()/100000,"")</f>
        <v/>
      </c>
    </row>
    <row r="333">
      <c r="A333" s="13" t="n"/>
      <c r="B333" s="12" t="n"/>
      <c r="C333" s="14" t="n"/>
      <c r="D333" s="12" t="n"/>
      <c r="E333" s="14" t="n"/>
      <c r="F333" s="14" t="n"/>
      <c r="G333" s="12" t="n"/>
      <c r="H333" s="13" t="n"/>
      <c r="I333" s="14" t="n"/>
      <c r="J333">
        <f>IF(AND(B333&lt;&gt;"",B333=SEL_N,ISNUMBER(A333)),A333+ROW()/100000,"")</f>
        <v/>
      </c>
    </row>
    <row r="334">
      <c r="A334" s="13" t="n"/>
      <c r="B334" s="12" t="n"/>
      <c r="C334" s="14" t="n"/>
      <c r="D334" s="12" t="n"/>
      <c r="E334" s="14" t="n"/>
      <c r="F334" s="14" t="n"/>
      <c r="G334" s="12" t="n"/>
      <c r="H334" s="13" t="n"/>
      <c r="I334" s="14" t="n"/>
      <c r="J334">
        <f>IF(AND(B334&lt;&gt;"",B334=SEL_N,ISNUMBER(A334)),A334+ROW()/100000,"")</f>
        <v/>
      </c>
    </row>
    <row r="335">
      <c r="A335" s="13" t="n"/>
      <c r="B335" s="12" t="n"/>
      <c r="C335" s="14" t="n"/>
      <c r="D335" s="12" t="n"/>
      <c r="E335" s="14" t="n"/>
      <c r="F335" s="14" t="n"/>
      <c r="G335" s="12" t="n"/>
      <c r="H335" s="13" t="n"/>
      <c r="I335" s="14" t="n"/>
      <c r="J335">
        <f>IF(AND(B335&lt;&gt;"",B335=SEL_N,ISNUMBER(A335)),A335+ROW()/100000,"")</f>
        <v/>
      </c>
    </row>
    <row r="336">
      <c r="A336" s="13" t="n"/>
      <c r="B336" s="12" t="n"/>
      <c r="C336" s="14" t="n"/>
      <c r="D336" s="12" t="n"/>
      <c r="E336" s="14" t="n"/>
      <c r="F336" s="14" t="n"/>
      <c r="G336" s="12" t="n"/>
      <c r="H336" s="13" t="n"/>
      <c r="I336" s="14" t="n"/>
      <c r="J336">
        <f>IF(AND(B336&lt;&gt;"",B336=SEL_N,ISNUMBER(A336)),A336+ROW()/100000,"")</f>
        <v/>
      </c>
    </row>
    <row r="337">
      <c r="A337" s="13" t="n"/>
      <c r="B337" s="12" t="n"/>
      <c r="C337" s="14" t="n"/>
      <c r="D337" s="12" t="n"/>
      <c r="E337" s="14" t="n"/>
      <c r="F337" s="14" t="n"/>
      <c r="G337" s="12" t="n"/>
      <c r="H337" s="13" t="n"/>
      <c r="I337" s="14" t="n"/>
      <c r="J337">
        <f>IF(AND(B337&lt;&gt;"",B337=SEL_N,ISNUMBER(A337)),A337+ROW()/100000,"")</f>
        <v/>
      </c>
    </row>
    <row r="338">
      <c r="A338" s="13" t="n"/>
      <c r="B338" s="12" t="n"/>
      <c r="C338" s="14" t="n"/>
      <c r="D338" s="12" t="n"/>
      <c r="E338" s="14" t="n"/>
      <c r="F338" s="14" t="n"/>
      <c r="G338" s="12" t="n"/>
      <c r="H338" s="13" t="n"/>
      <c r="I338" s="14" t="n"/>
      <c r="J338">
        <f>IF(AND(B338&lt;&gt;"",B338=SEL_N,ISNUMBER(A338)),A338+ROW()/100000,"")</f>
        <v/>
      </c>
    </row>
    <row r="339">
      <c r="A339" s="13" t="n"/>
      <c r="B339" s="12" t="n"/>
      <c r="C339" s="14" t="n"/>
      <c r="D339" s="12" t="n"/>
      <c r="E339" s="14" t="n"/>
      <c r="F339" s="14" t="n"/>
      <c r="G339" s="12" t="n"/>
      <c r="H339" s="13" t="n"/>
      <c r="I339" s="14" t="n"/>
      <c r="J339">
        <f>IF(AND(B339&lt;&gt;"",B339=SEL_N,ISNUMBER(A339)),A339+ROW()/100000,"")</f>
        <v/>
      </c>
    </row>
    <row r="340">
      <c r="A340" s="13" t="n"/>
      <c r="B340" s="12" t="n"/>
      <c r="C340" s="14" t="n"/>
      <c r="D340" s="12" t="n"/>
      <c r="E340" s="14" t="n"/>
      <c r="F340" s="14" t="n"/>
      <c r="G340" s="12" t="n"/>
      <c r="H340" s="13" t="n"/>
      <c r="I340" s="14" t="n"/>
      <c r="J340">
        <f>IF(AND(B340&lt;&gt;"",B340=SEL_N,ISNUMBER(A340)),A340+ROW()/100000,"")</f>
        <v/>
      </c>
    </row>
    <row r="341">
      <c r="A341" s="13" t="n"/>
      <c r="B341" s="12" t="n"/>
      <c r="C341" s="14" t="n"/>
      <c r="D341" s="12" t="n"/>
      <c r="E341" s="14" t="n"/>
      <c r="F341" s="14" t="n"/>
      <c r="G341" s="12" t="n"/>
      <c r="H341" s="13" t="n"/>
      <c r="I341" s="14" t="n"/>
      <c r="J341">
        <f>IF(AND(B341&lt;&gt;"",B341=SEL_N,ISNUMBER(A341)),A341+ROW()/100000,"")</f>
        <v/>
      </c>
    </row>
    <row r="342">
      <c r="A342" s="13" t="n"/>
      <c r="B342" s="12" t="n"/>
      <c r="C342" s="14" t="n"/>
      <c r="D342" s="12" t="n"/>
      <c r="E342" s="14" t="n"/>
      <c r="F342" s="14" t="n"/>
      <c r="G342" s="12" t="n"/>
      <c r="H342" s="13" t="n"/>
      <c r="I342" s="14" t="n"/>
      <c r="J342">
        <f>IF(AND(B342&lt;&gt;"",B342=SEL_N,ISNUMBER(A342)),A342+ROW()/100000,"")</f>
        <v/>
      </c>
    </row>
    <row r="343">
      <c r="A343" s="13" t="n"/>
      <c r="B343" s="12" t="n"/>
      <c r="C343" s="14" t="n"/>
      <c r="D343" s="12" t="n"/>
      <c r="E343" s="14" t="n"/>
      <c r="F343" s="14" t="n"/>
      <c r="G343" s="12" t="n"/>
      <c r="H343" s="13" t="n"/>
      <c r="I343" s="14" t="n"/>
      <c r="J343">
        <f>IF(AND(B343&lt;&gt;"",B343=SEL_N,ISNUMBER(A343)),A343+ROW()/100000,"")</f>
        <v/>
      </c>
    </row>
    <row r="344">
      <c r="A344" s="13" t="n"/>
      <c r="B344" s="12" t="n"/>
      <c r="C344" s="14" t="n"/>
      <c r="D344" s="12" t="n"/>
      <c r="E344" s="14" t="n"/>
      <c r="F344" s="14" t="n"/>
      <c r="G344" s="12" t="n"/>
      <c r="H344" s="13" t="n"/>
      <c r="I344" s="14" t="n"/>
      <c r="J344">
        <f>IF(AND(B344&lt;&gt;"",B344=SEL_N,ISNUMBER(A344)),A344+ROW()/100000,"")</f>
        <v/>
      </c>
    </row>
    <row r="345">
      <c r="A345" s="13" t="n"/>
      <c r="B345" s="12" t="n"/>
      <c r="C345" s="14" t="n"/>
      <c r="D345" s="12" t="n"/>
      <c r="E345" s="14" t="n"/>
      <c r="F345" s="14" t="n"/>
      <c r="G345" s="12" t="n"/>
      <c r="H345" s="13" t="n"/>
      <c r="I345" s="14" t="n"/>
      <c r="J345">
        <f>IF(AND(B345&lt;&gt;"",B345=SEL_N,ISNUMBER(A345)),A345+ROW()/100000,"")</f>
        <v/>
      </c>
    </row>
    <row r="346">
      <c r="A346" s="13" t="n"/>
      <c r="B346" s="12" t="n"/>
      <c r="C346" s="14" t="n"/>
      <c r="D346" s="12" t="n"/>
      <c r="E346" s="14" t="n"/>
      <c r="F346" s="14" t="n"/>
      <c r="G346" s="12" t="n"/>
      <c r="H346" s="13" t="n"/>
      <c r="I346" s="14" t="n"/>
      <c r="J346">
        <f>IF(AND(B346&lt;&gt;"",B346=SEL_N,ISNUMBER(A346)),A346+ROW()/100000,"")</f>
        <v/>
      </c>
    </row>
    <row r="347">
      <c r="A347" s="13" t="n"/>
      <c r="B347" s="12" t="n"/>
      <c r="C347" s="14" t="n"/>
      <c r="D347" s="12" t="n"/>
      <c r="E347" s="14" t="n"/>
      <c r="F347" s="14" t="n"/>
      <c r="G347" s="12" t="n"/>
      <c r="H347" s="13" t="n"/>
      <c r="I347" s="14" t="n"/>
      <c r="J347">
        <f>IF(AND(B347&lt;&gt;"",B347=SEL_N,ISNUMBER(A347)),A347+ROW()/100000,"")</f>
        <v/>
      </c>
    </row>
    <row r="348">
      <c r="A348" s="13" t="n"/>
      <c r="B348" s="12" t="n"/>
      <c r="C348" s="14" t="n"/>
      <c r="D348" s="12" t="n"/>
      <c r="E348" s="14" t="n"/>
      <c r="F348" s="14" t="n"/>
      <c r="G348" s="12" t="n"/>
      <c r="H348" s="13" t="n"/>
      <c r="I348" s="14" t="n"/>
      <c r="J348">
        <f>IF(AND(B348&lt;&gt;"",B348=SEL_N,ISNUMBER(A348)),A348+ROW()/100000,"")</f>
        <v/>
      </c>
    </row>
    <row r="349">
      <c r="A349" s="13" t="n"/>
      <c r="B349" s="12" t="n"/>
      <c r="C349" s="14" t="n"/>
      <c r="D349" s="12" t="n"/>
      <c r="E349" s="14" t="n"/>
      <c r="F349" s="14" t="n"/>
      <c r="G349" s="12" t="n"/>
      <c r="H349" s="13" t="n"/>
      <c r="I349" s="14" t="n"/>
      <c r="J349">
        <f>IF(AND(B349&lt;&gt;"",B349=SEL_N,ISNUMBER(A349)),A349+ROW()/100000,"")</f>
        <v/>
      </c>
    </row>
    <row r="350">
      <c r="A350" s="13" t="n"/>
      <c r="B350" s="12" t="n"/>
      <c r="C350" s="14" t="n"/>
      <c r="D350" s="12" t="n"/>
      <c r="E350" s="14" t="n"/>
      <c r="F350" s="14" t="n"/>
      <c r="G350" s="12" t="n"/>
      <c r="H350" s="13" t="n"/>
      <c r="I350" s="14" t="n"/>
      <c r="J350">
        <f>IF(AND(B350&lt;&gt;"",B350=SEL_N,ISNUMBER(A350)),A350+ROW()/100000,"")</f>
        <v/>
      </c>
    </row>
    <row r="351">
      <c r="A351" s="13" t="n"/>
      <c r="B351" s="12" t="n"/>
      <c r="C351" s="14" t="n"/>
      <c r="D351" s="12" t="n"/>
      <c r="E351" s="14" t="n"/>
      <c r="F351" s="14" t="n"/>
      <c r="G351" s="12" t="n"/>
      <c r="H351" s="13" t="n"/>
      <c r="I351" s="14" t="n"/>
      <c r="J351">
        <f>IF(AND(B351&lt;&gt;"",B351=SEL_N,ISNUMBER(A351)),A351+ROW()/100000,"")</f>
        <v/>
      </c>
    </row>
    <row r="352">
      <c r="A352" s="13" t="n"/>
      <c r="B352" s="12" t="n"/>
      <c r="C352" s="14" t="n"/>
      <c r="D352" s="12" t="n"/>
      <c r="E352" s="14" t="n"/>
      <c r="F352" s="14" t="n"/>
      <c r="G352" s="12" t="n"/>
      <c r="H352" s="13" t="n"/>
      <c r="I352" s="14" t="n"/>
      <c r="J352">
        <f>IF(AND(B352&lt;&gt;"",B352=SEL_N,ISNUMBER(A352)),A352+ROW()/100000,"")</f>
        <v/>
      </c>
    </row>
    <row r="353">
      <c r="A353" s="13" t="n"/>
      <c r="B353" s="12" t="n"/>
      <c r="C353" s="14" t="n"/>
      <c r="D353" s="12" t="n"/>
      <c r="E353" s="14" t="n"/>
      <c r="F353" s="14" t="n"/>
      <c r="G353" s="12" t="n"/>
      <c r="H353" s="13" t="n"/>
      <c r="I353" s="14" t="n"/>
      <c r="J353">
        <f>IF(AND(B353&lt;&gt;"",B353=SEL_N,ISNUMBER(A353)),A353+ROW()/100000,"")</f>
        <v/>
      </c>
    </row>
    <row r="354">
      <c r="A354" s="13" t="n"/>
      <c r="B354" s="12" t="n"/>
      <c r="C354" s="14" t="n"/>
      <c r="D354" s="12" t="n"/>
      <c r="E354" s="14" t="n"/>
      <c r="F354" s="14" t="n"/>
      <c r="G354" s="12" t="n"/>
      <c r="H354" s="13" t="n"/>
      <c r="I354" s="14" t="n"/>
      <c r="J354">
        <f>IF(AND(B354&lt;&gt;"",B354=SEL_N,ISNUMBER(A354)),A354+ROW()/100000,"")</f>
        <v/>
      </c>
    </row>
    <row r="355">
      <c r="A355" s="13" t="n"/>
      <c r="B355" s="12" t="n"/>
      <c r="C355" s="14" t="n"/>
      <c r="D355" s="12" t="n"/>
      <c r="E355" s="14" t="n"/>
      <c r="F355" s="14" t="n"/>
      <c r="G355" s="12" t="n"/>
      <c r="H355" s="13" t="n"/>
      <c r="I355" s="14" t="n"/>
      <c r="J355">
        <f>IF(AND(B355&lt;&gt;"",B355=SEL_N,ISNUMBER(A355)),A355+ROW()/100000,"")</f>
        <v/>
      </c>
    </row>
    <row r="356">
      <c r="A356" s="13" t="n"/>
      <c r="B356" s="12" t="n"/>
      <c r="C356" s="14" t="n"/>
      <c r="D356" s="12" t="n"/>
      <c r="E356" s="14" t="n"/>
      <c r="F356" s="14" t="n"/>
      <c r="G356" s="12" t="n"/>
      <c r="H356" s="13" t="n"/>
      <c r="I356" s="14" t="n"/>
      <c r="J356">
        <f>IF(AND(B356&lt;&gt;"",B356=SEL_N,ISNUMBER(A356)),A356+ROW()/100000,"")</f>
        <v/>
      </c>
    </row>
    <row r="357">
      <c r="A357" s="13" t="n"/>
      <c r="B357" s="12" t="n"/>
      <c r="C357" s="14" t="n"/>
      <c r="D357" s="12" t="n"/>
      <c r="E357" s="14" t="n"/>
      <c r="F357" s="14" t="n"/>
      <c r="G357" s="12" t="n"/>
      <c r="H357" s="13" t="n"/>
      <c r="I357" s="14" t="n"/>
      <c r="J357">
        <f>IF(AND(B357&lt;&gt;"",B357=SEL_N,ISNUMBER(A357)),A357+ROW()/100000,"")</f>
        <v/>
      </c>
    </row>
    <row r="358">
      <c r="A358" s="13" t="n"/>
      <c r="B358" s="12" t="n"/>
      <c r="C358" s="14" t="n"/>
      <c r="D358" s="12" t="n"/>
      <c r="E358" s="14" t="n"/>
      <c r="F358" s="14" t="n"/>
      <c r="G358" s="12" t="n"/>
      <c r="H358" s="13" t="n"/>
      <c r="I358" s="14" t="n"/>
      <c r="J358">
        <f>IF(AND(B358&lt;&gt;"",B358=SEL_N,ISNUMBER(A358)),A358+ROW()/100000,"")</f>
        <v/>
      </c>
    </row>
    <row r="359">
      <c r="A359" s="13" t="n"/>
      <c r="B359" s="12" t="n"/>
      <c r="C359" s="14" t="n"/>
      <c r="D359" s="12" t="n"/>
      <c r="E359" s="14" t="n"/>
      <c r="F359" s="14" t="n"/>
      <c r="G359" s="12" t="n"/>
      <c r="H359" s="13" t="n"/>
      <c r="I359" s="14" t="n"/>
      <c r="J359">
        <f>IF(AND(B359&lt;&gt;"",B359=SEL_N,ISNUMBER(A359)),A359+ROW()/100000,"")</f>
        <v/>
      </c>
    </row>
    <row r="360">
      <c r="A360" s="13" t="n"/>
      <c r="B360" s="12" t="n"/>
      <c r="C360" s="14" t="n"/>
      <c r="D360" s="12" t="n"/>
      <c r="E360" s="14" t="n"/>
      <c r="F360" s="14" t="n"/>
      <c r="G360" s="12" t="n"/>
      <c r="H360" s="13" t="n"/>
      <c r="I360" s="14" t="n"/>
      <c r="J360">
        <f>IF(AND(B360&lt;&gt;"",B360=SEL_N,ISNUMBER(A360)),A360+ROW()/100000,"")</f>
        <v/>
      </c>
    </row>
    <row r="361">
      <c r="A361" s="13" t="n"/>
      <c r="B361" s="12" t="n"/>
      <c r="C361" s="14" t="n"/>
      <c r="D361" s="12" t="n"/>
      <c r="E361" s="14" t="n"/>
      <c r="F361" s="14" t="n"/>
      <c r="G361" s="12" t="n"/>
      <c r="H361" s="13" t="n"/>
      <c r="I361" s="14" t="n"/>
      <c r="J361">
        <f>IF(AND(B361&lt;&gt;"",B361=SEL_N,ISNUMBER(A361)),A361+ROW()/100000,"")</f>
        <v/>
      </c>
    </row>
    <row r="362">
      <c r="A362" s="13" t="n"/>
      <c r="B362" s="12" t="n"/>
      <c r="C362" s="14" t="n"/>
      <c r="D362" s="12" t="n"/>
      <c r="E362" s="14" t="n"/>
      <c r="F362" s="14" t="n"/>
      <c r="G362" s="12" t="n"/>
      <c r="H362" s="13" t="n"/>
      <c r="I362" s="14" t="n"/>
      <c r="J362">
        <f>IF(AND(B362&lt;&gt;"",B362=SEL_N,ISNUMBER(A362)),A362+ROW()/100000,"")</f>
        <v/>
      </c>
    </row>
    <row r="363">
      <c r="A363" s="13" t="n"/>
      <c r="B363" s="12" t="n"/>
      <c r="C363" s="14" t="n"/>
      <c r="D363" s="12" t="n"/>
      <c r="E363" s="14" t="n"/>
      <c r="F363" s="14" t="n"/>
      <c r="G363" s="12" t="n"/>
      <c r="H363" s="13" t="n"/>
      <c r="I363" s="14" t="n"/>
      <c r="J363">
        <f>IF(AND(B363&lt;&gt;"",B363=SEL_N,ISNUMBER(A363)),A363+ROW()/100000,"")</f>
        <v/>
      </c>
    </row>
    <row r="364">
      <c r="A364" s="13" t="n"/>
      <c r="B364" s="12" t="n"/>
      <c r="C364" s="14" t="n"/>
      <c r="D364" s="12" t="n"/>
      <c r="E364" s="14" t="n"/>
      <c r="F364" s="14" t="n"/>
      <c r="G364" s="12" t="n"/>
      <c r="H364" s="13" t="n"/>
      <c r="I364" s="14" t="n"/>
      <c r="J364">
        <f>IF(AND(B364&lt;&gt;"",B364=SEL_N,ISNUMBER(A364)),A364+ROW()/100000,"")</f>
        <v/>
      </c>
    </row>
    <row r="365">
      <c r="A365" s="13" t="n"/>
      <c r="B365" s="12" t="n"/>
      <c r="C365" s="14" t="n"/>
      <c r="D365" s="12" t="n"/>
      <c r="E365" s="14" t="n"/>
      <c r="F365" s="14" t="n"/>
      <c r="G365" s="12" t="n"/>
      <c r="H365" s="13" t="n"/>
      <c r="I365" s="14" t="n"/>
      <c r="J365">
        <f>IF(AND(B365&lt;&gt;"",B365=SEL_N,ISNUMBER(A365)),A365+ROW()/100000,"")</f>
        <v/>
      </c>
    </row>
    <row r="366">
      <c r="A366" s="13" t="n"/>
      <c r="B366" s="12" t="n"/>
      <c r="C366" s="14" t="n"/>
      <c r="D366" s="12" t="n"/>
      <c r="E366" s="14" t="n"/>
      <c r="F366" s="14" t="n"/>
      <c r="G366" s="12" t="n"/>
      <c r="H366" s="13" t="n"/>
      <c r="I366" s="14" t="n"/>
      <c r="J366">
        <f>IF(AND(B366&lt;&gt;"",B366=SEL_N,ISNUMBER(A366)),A366+ROW()/100000,"")</f>
        <v/>
      </c>
    </row>
    <row r="367">
      <c r="A367" s="13" t="n"/>
      <c r="B367" s="12" t="n"/>
      <c r="C367" s="14" t="n"/>
      <c r="D367" s="12" t="n"/>
      <c r="E367" s="14" t="n"/>
      <c r="F367" s="14" t="n"/>
      <c r="G367" s="12" t="n"/>
      <c r="H367" s="13" t="n"/>
      <c r="I367" s="14" t="n"/>
      <c r="J367">
        <f>IF(AND(B367&lt;&gt;"",B367=SEL_N,ISNUMBER(A367)),A367+ROW()/100000,"")</f>
        <v/>
      </c>
    </row>
    <row r="368">
      <c r="A368" s="13" t="n"/>
      <c r="B368" s="12" t="n"/>
      <c r="C368" s="14" t="n"/>
      <c r="D368" s="12" t="n"/>
      <c r="E368" s="14" t="n"/>
      <c r="F368" s="14" t="n"/>
      <c r="G368" s="12" t="n"/>
      <c r="H368" s="13" t="n"/>
      <c r="I368" s="14" t="n"/>
      <c r="J368">
        <f>IF(AND(B368&lt;&gt;"",B368=SEL_N,ISNUMBER(A368)),A368+ROW()/100000,"")</f>
        <v/>
      </c>
    </row>
    <row r="369">
      <c r="A369" s="13" t="n"/>
      <c r="B369" s="12" t="n"/>
      <c r="C369" s="14" t="n"/>
      <c r="D369" s="12" t="n"/>
      <c r="E369" s="14" t="n"/>
      <c r="F369" s="14" t="n"/>
      <c r="G369" s="12" t="n"/>
      <c r="H369" s="13" t="n"/>
      <c r="I369" s="14" t="n"/>
      <c r="J369">
        <f>IF(AND(B369&lt;&gt;"",B369=SEL_N,ISNUMBER(A369)),A369+ROW()/100000,"")</f>
        <v/>
      </c>
    </row>
    <row r="370">
      <c r="A370" s="13" t="n"/>
      <c r="B370" s="12" t="n"/>
      <c r="C370" s="14" t="n"/>
      <c r="D370" s="12" t="n"/>
      <c r="E370" s="14" t="n"/>
      <c r="F370" s="14" t="n"/>
      <c r="G370" s="12" t="n"/>
      <c r="H370" s="13" t="n"/>
      <c r="I370" s="14" t="n"/>
      <c r="J370">
        <f>IF(AND(B370&lt;&gt;"",B370=SEL_N,ISNUMBER(A370)),A370+ROW()/100000,"")</f>
        <v/>
      </c>
    </row>
    <row r="371">
      <c r="A371" s="13" t="n"/>
      <c r="B371" s="12" t="n"/>
      <c r="C371" s="14" t="n"/>
      <c r="D371" s="12" t="n"/>
      <c r="E371" s="14" t="n"/>
      <c r="F371" s="14" t="n"/>
      <c r="G371" s="12" t="n"/>
      <c r="H371" s="13" t="n"/>
      <c r="I371" s="14" t="n"/>
      <c r="J371">
        <f>IF(AND(B371&lt;&gt;"",B371=SEL_N,ISNUMBER(A371)),A371+ROW()/100000,"")</f>
        <v/>
      </c>
    </row>
    <row r="372">
      <c r="A372" s="13" t="n"/>
      <c r="B372" s="12" t="n"/>
      <c r="C372" s="14" t="n"/>
      <c r="D372" s="12" t="n"/>
      <c r="E372" s="14" t="n"/>
      <c r="F372" s="14" t="n"/>
      <c r="G372" s="12" t="n"/>
      <c r="H372" s="13" t="n"/>
      <c r="I372" s="14" t="n"/>
      <c r="J372">
        <f>IF(AND(B372&lt;&gt;"",B372=SEL_N,ISNUMBER(A372)),A372+ROW()/100000,"")</f>
        <v/>
      </c>
    </row>
    <row r="373">
      <c r="A373" s="13" t="n"/>
      <c r="B373" s="12" t="n"/>
      <c r="C373" s="14" t="n"/>
      <c r="D373" s="12" t="n"/>
      <c r="E373" s="14" t="n"/>
      <c r="F373" s="14" t="n"/>
      <c r="G373" s="12" t="n"/>
      <c r="H373" s="13" t="n"/>
      <c r="I373" s="14" t="n"/>
      <c r="J373">
        <f>IF(AND(B373&lt;&gt;"",B373=SEL_N,ISNUMBER(A373)),A373+ROW()/100000,"")</f>
        <v/>
      </c>
    </row>
    <row r="374">
      <c r="A374" s="13" t="n"/>
      <c r="B374" s="12" t="n"/>
      <c r="C374" s="14" t="n"/>
      <c r="D374" s="12" t="n"/>
      <c r="E374" s="14" t="n"/>
      <c r="F374" s="14" t="n"/>
      <c r="G374" s="12" t="n"/>
      <c r="H374" s="13" t="n"/>
      <c r="I374" s="14" t="n"/>
      <c r="J374">
        <f>IF(AND(B374&lt;&gt;"",B374=SEL_N,ISNUMBER(A374)),A374+ROW()/100000,"")</f>
        <v/>
      </c>
    </row>
    <row r="375">
      <c r="A375" s="13" t="n"/>
      <c r="B375" s="12" t="n"/>
      <c r="C375" s="14" t="n"/>
      <c r="D375" s="12" t="n"/>
      <c r="E375" s="14" t="n"/>
      <c r="F375" s="14" t="n"/>
      <c r="G375" s="12" t="n"/>
      <c r="H375" s="13" t="n"/>
      <c r="I375" s="14" t="n"/>
      <c r="J375">
        <f>IF(AND(B375&lt;&gt;"",B375=SEL_N,ISNUMBER(A375)),A375+ROW()/100000,"")</f>
        <v/>
      </c>
    </row>
    <row r="376">
      <c r="A376" s="13" t="n"/>
      <c r="B376" s="12" t="n"/>
      <c r="C376" s="14" t="n"/>
      <c r="D376" s="12" t="n"/>
      <c r="E376" s="14" t="n"/>
      <c r="F376" s="14" t="n"/>
      <c r="G376" s="12" t="n"/>
      <c r="H376" s="13" t="n"/>
      <c r="I376" s="14" t="n"/>
      <c r="J376">
        <f>IF(AND(B376&lt;&gt;"",B376=SEL_N,ISNUMBER(A376)),A376+ROW()/100000,"")</f>
        <v/>
      </c>
    </row>
    <row r="377">
      <c r="A377" s="13" t="n"/>
      <c r="B377" s="12" t="n"/>
      <c r="C377" s="14" t="n"/>
      <c r="D377" s="12" t="n"/>
      <c r="E377" s="14" t="n"/>
      <c r="F377" s="14" t="n"/>
      <c r="G377" s="12" t="n"/>
      <c r="H377" s="13" t="n"/>
      <c r="I377" s="14" t="n"/>
      <c r="J377">
        <f>IF(AND(B377&lt;&gt;"",B377=SEL_N,ISNUMBER(A377)),A377+ROW()/100000,"")</f>
        <v/>
      </c>
    </row>
    <row r="378">
      <c r="A378" s="13" t="n"/>
      <c r="B378" s="12" t="n"/>
      <c r="C378" s="14" t="n"/>
      <c r="D378" s="12" t="n"/>
      <c r="E378" s="14" t="n"/>
      <c r="F378" s="14" t="n"/>
      <c r="G378" s="12" t="n"/>
      <c r="H378" s="13" t="n"/>
      <c r="I378" s="14" t="n"/>
      <c r="J378">
        <f>IF(AND(B378&lt;&gt;"",B378=SEL_N,ISNUMBER(A378)),A378+ROW()/100000,"")</f>
        <v/>
      </c>
    </row>
    <row r="379">
      <c r="A379" s="13" t="n"/>
      <c r="B379" s="12" t="n"/>
      <c r="C379" s="14" t="n"/>
      <c r="D379" s="12" t="n"/>
      <c r="E379" s="14" t="n"/>
      <c r="F379" s="14" t="n"/>
      <c r="G379" s="12" t="n"/>
      <c r="H379" s="13" t="n"/>
      <c r="I379" s="14" t="n"/>
      <c r="J379">
        <f>IF(AND(B379&lt;&gt;"",B379=SEL_N,ISNUMBER(A379)),A379+ROW()/100000,"")</f>
        <v/>
      </c>
    </row>
    <row r="380">
      <c r="A380" s="13" t="n"/>
      <c r="B380" s="12" t="n"/>
      <c r="C380" s="14" t="n"/>
      <c r="D380" s="12" t="n"/>
      <c r="E380" s="14" t="n"/>
      <c r="F380" s="14" t="n"/>
      <c r="G380" s="12" t="n"/>
      <c r="H380" s="13" t="n"/>
      <c r="I380" s="14" t="n"/>
      <c r="J380">
        <f>IF(AND(B380&lt;&gt;"",B380=SEL_N,ISNUMBER(A380)),A380+ROW()/100000,"")</f>
        <v/>
      </c>
    </row>
    <row r="381">
      <c r="A381" s="13" t="n"/>
      <c r="B381" s="12" t="n"/>
      <c r="C381" s="14" t="n"/>
      <c r="D381" s="12" t="n"/>
      <c r="E381" s="14" t="n"/>
      <c r="F381" s="14" t="n"/>
      <c r="G381" s="12" t="n"/>
      <c r="H381" s="13" t="n"/>
      <c r="I381" s="14" t="n"/>
      <c r="J381">
        <f>IF(AND(B381&lt;&gt;"",B381=SEL_N,ISNUMBER(A381)),A381+ROW()/100000,"")</f>
        <v/>
      </c>
    </row>
    <row r="382">
      <c r="A382" s="13" t="n"/>
      <c r="B382" s="12" t="n"/>
      <c r="C382" s="14" t="n"/>
      <c r="D382" s="12" t="n"/>
      <c r="E382" s="14" t="n"/>
      <c r="F382" s="14" t="n"/>
      <c r="G382" s="12" t="n"/>
      <c r="H382" s="13" t="n"/>
      <c r="I382" s="14" t="n"/>
      <c r="J382">
        <f>IF(AND(B382&lt;&gt;"",B382=SEL_N,ISNUMBER(A382)),A382+ROW()/100000,"")</f>
        <v/>
      </c>
    </row>
    <row r="383">
      <c r="A383" s="13" t="n"/>
      <c r="B383" s="12" t="n"/>
      <c r="C383" s="14" t="n"/>
      <c r="D383" s="12" t="n"/>
      <c r="E383" s="14" t="n"/>
      <c r="F383" s="14" t="n"/>
      <c r="G383" s="12" t="n"/>
      <c r="H383" s="13" t="n"/>
      <c r="I383" s="14" t="n"/>
      <c r="J383">
        <f>IF(AND(B383&lt;&gt;"",B383=SEL_N,ISNUMBER(A383)),A383+ROW()/100000,"")</f>
        <v/>
      </c>
    </row>
    <row r="384">
      <c r="A384" s="13" t="n"/>
      <c r="B384" s="12" t="n"/>
      <c r="C384" s="14" t="n"/>
      <c r="D384" s="12" t="n"/>
      <c r="E384" s="14" t="n"/>
      <c r="F384" s="14" t="n"/>
      <c r="G384" s="12" t="n"/>
      <c r="H384" s="13" t="n"/>
      <c r="I384" s="14" t="n"/>
      <c r="J384">
        <f>IF(AND(B384&lt;&gt;"",B384=SEL_N,ISNUMBER(A384)),A384+ROW()/100000,"")</f>
        <v/>
      </c>
    </row>
    <row r="385">
      <c r="A385" s="13" t="n"/>
      <c r="B385" s="12" t="n"/>
      <c r="C385" s="14" t="n"/>
      <c r="D385" s="12" t="n"/>
      <c r="E385" s="14" t="n"/>
      <c r="F385" s="14" t="n"/>
      <c r="G385" s="12" t="n"/>
      <c r="H385" s="13" t="n"/>
      <c r="I385" s="14" t="n"/>
      <c r="J385">
        <f>IF(AND(B385&lt;&gt;"",B385=SEL_N,ISNUMBER(A385)),A385+ROW()/100000,"")</f>
        <v/>
      </c>
    </row>
    <row r="386">
      <c r="A386" s="13" t="n"/>
      <c r="B386" s="12" t="n"/>
      <c r="C386" s="14" t="n"/>
      <c r="D386" s="12" t="n"/>
      <c r="E386" s="14" t="n"/>
      <c r="F386" s="14" t="n"/>
      <c r="G386" s="12" t="n"/>
      <c r="H386" s="13" t="n"/>
      <c r="I386" s="14" t="n"/>
      <c r="J386">
        <f>IF(AND(B386&lt;&gt;"",B386=SEL_N,ISNUMBER(A386)),A386+ROW()/100000,"")</f>
        <v/>
      </c>
    </row>
    <row r="387">
      <c r="A387" s="13" t="n"/>
      <c r="B387" s="12" t="n"/>
      <c r="C387" s="14" t="n"/>
      <c r="D387" s="12" t="n"/>
      <c r="E387" s="14" t="n"/>
      <c r="F387" s="14" t="n"/>
      <c r="G387" s="12" t="n"/>
      <c r="H387" s="13" t="n"/>
      <c r="I387" s="14" t="n"/>
      <c r="J387">
        <f>IF(AND(B387&lt;&gt;"",B387=SEL_N,ISNUMBER(A387)),A387+ROW()/100000,"")</f>
        <v/>
      </c>
    </row>
    <row r="388">
      <c r="A388" s="13" t="n"/>
      <c r="B388" s="12" t="n"/>
      <c r="C388" s="14" t="n"/>
      <c r="D388" s="12" t="n"/>
      <c r="E388" s="14" t="n"/>
      <c r="F388" s="14" t="n"/>
      <c r="G388" s="12" t="n"/>
      <c r="H388" s="13" t="n"/>
      <c r="I388" s="14" t="n"/>
      <c r="J388">
        <f>IF(AND(B388&lt;&gt;"",B388=SEL_N,ISNUMBER(A388)),A388+ROW()/100000,"")</f>
        <v/>
      </c>
    </row>
    <row r="389">
      <c r="A389" s="13" t="n"/>
      <c r="B389" s="12" t="n"/>
      <c r="C389" s="14" t="n"/>
      <c r="D389" s="12" t="n"/>
      <c r="E389" s="14" t="n"/>
      <c r="F389" s="14" t="n"/>
      <c r="G389" s="12" t="n"/>
      <c r="H389" s="13" t="n"/>
      <c r="I389" s="14" t="n"/>
      <c r="J389">
        <f>IF(AND(B389&lt;&gt;"",B389=SEL_N,ISNUMBER(A389)),A389+ROW()/100000,"")</f>
        <v/>
      </c>
    </row>
    <row r="390">
      <c r="A390" s="13" t="n"/>
      <c r="B390" s="12" t="n"/>
      <c r="C390" s="14" t="n"/>
      <c r="D390" s="12" t="n"/>
      <c r="E390" s="14" t="n"/>
      <c r="F390" s="14" t="n"/>
      <c r="G390" s="12" t="n"/>
      <c r="H390" s="13" t="n"/>
      <c r="I390" s="14" t="n"/>
      <c r="J390">
        <f>IF(AND(B390&lt;&gt;"",B390=SEL_N,ISNUMBER(A390)),A390+ROW()/100000,"")</f>
        <v/>
      </c>
    </row>
    <row r="391">
      <c r="A391" s="13" t="n"/>
      <c r="B391" s="12" t="n"/>
      <c r="C391" s="14" t="n"/>
      <c r="D391" s="12" t="n"/>
      <c r="E391" s="14" t="n"/>
      <c r="F391" s="14" t="n"/>
      <c r="G391" s="12" t="n"/>
      <c r="H391" s="13" t="n"/>
      <c r="I391" s="14" t="n"/>
      <c r="J391">
        <f>IF(AND(B391&lt;&gt;"",B391=SEL_N,ISNUMBER(A391)),A391+ROW()/100000,"")</f>
        <v/>
      </c>
    </row>
    <row r="392">
      <c r="A392" s="13" t="n"/>
      <c r="B392" s="12" t="n"/>
      <c r="C392" s="14" t="n"/>
      <c r="D392" s="12" t="n"/>
      <c r="E392" s="14" t="n"/>
      <c r="F392" s="14" t="n"/>
      <c r="G392" s="12" t="n"/>
      <c r="H392" s="13" t="n"/>
      <c r="I392" s="14" t="n"/>
      <c r="J392">
        <f>IF(AND(B392&lt;&gt;"",B392=SEL_N,ISNUMBER(A392)),A392+ROW()/100000,"")</f>
        <v/>
      </c>
    </row>
    <row r="393">
      <c r="A393" s="13" t="n"/>
      <c r="B393" s="12" t="n"/>
      <c r="C393" s="14" t="n"/>
      <c r="D393" s="12" t="n"/>
      <c r="E393" s="14" t="n"/>
      <c r="F393" s="14" t="n"/>
      <c r="G393" s="12" t="n"/>
      <c r="H393" s="13" t="n"/>
      <c r="I393" s="14" t="n"/>
      <c r="J393">
        <f>IF(AND(B393&lt;&gt;"",B393=SEL_N,ISNUMBER(A393)),A393+ROW()/100000,"")</f>
        <v/>
      </c>
    </row>
    <row r="394">
      <c r="A394" s="13" t="n"/>
      <c r="B394" s="12" t="n"/>
      <c r="C394" s="14" t="n"/>
      <c r="D394" s="12" t="n"/>
      <c r="E394" s="14" t="n"/>
      <c r="F394" s="14" t="n"/>
      <c r="G394" s="12" t="n"/>
      <c r="H394" s="13" t="n"/>
      <c r="I394" s="14" t="n"/>
      <c r="J394">
        <f>IF(AND(B394&lt;&gt;"",B394=SEL_N,ISNUMBER(A394)),A394+ROW()/100000,"")</f>
        <v/>
      </c>
    </row>
    <row r="395">
      <c r="A395" s="13" t="n"/>
      <c r="B395" s="12" t="n"/>
      <c r="C395" s="14" t="n"/>
      <c r="D395" s="12" t="n"/>
      <c r="E395" s="14" t="n"/>
      <c r="F395" s="14" t="n"/>
      <c r="G395" s="12" t="n"/>
      <c r="H395" s="13" t="n"/>
      <c r="I395" s="14" t="n"/>
      <c r="J395">
        <f>IF(AND(B395&lt;&gt;"",B395=SEL_N,ISNUMBER(A395)),A395+ROW()/100000,"")</f>
        <v/>
      </c>
    </row>
    <row r="396">
      <c r="A396" s="13" t="n"/>
      <c r="B396" s="12" t="n"/>
      <c r="C396" s="14" t="n"/>
      <c r="D396" s="12" t="n"/>
      <c r="E396" s="14" t="n"/>
      <c r="F396" s="14" t="n"/>
      <c r="G396" s="12" t="n"/>
      <c r="H396" s="13" t="n"/>
      <c r="I396" s="14" t="n"/>
      <c r="J396">
        <f>IF(AND(B396&lt;&gt;"",B396=SEL_N,ISNUMBER(A396)),A396+ROW()/100000,"")</f>
        <v/>
      </c>
    </row>
    <row r="397">
      <c r="A397" s="13" t="n"/>
      <c r="B397" s="12" t="n"/>
      <c r="C397" s="14" t="n"/>
      <c r="D397" s="12" t="n"/>
      <c r="E397" s="14" t="n"/>
      <c r="F397" s="14" t="n"/>
      <c r="G397" s="12" t="n"/>
      <c r="H397" s="13" t="n"/>
      <c r="I397" s="14" t="n"/>
      <c r="J397">
        <f>IF(AND(B397&lt;&gt;"",B397=SEL_N,ISNUMBER(A397)),A397+ROW()/100000,"")</f>
        <v/>
      </c>
    </row>
    <row r="398">
      <c r="A398" s="13" t="n"/>
      <c r="B398" s="12" t="n"/>
      <c r="C398" s="14" t="n"/>
      <c r="D398" s="12" t="n"/>
      <c r="E398" s="14" t="n"/>
      <c r="F398" s="14" t="n"/>
      <c r="G398" s="12" t="n"/>
      <c r="H398" s="13" t="n"/>
      <c r="I398" s="14" t="n"/>
      <c r="J398">
        <f>IF(AND(B398&lt;&gt;"",B398=SEL_N,ISNUMBER(A398)),A398+ROW()/100000,"")</f>
        <v/>
      </c>
    </row>
    <row r="399">
      <c r="A399" s="13" t="n"/>
      <c r="B399" s="12" t="n"/>
      <c r="C399" s="14" t="n"/>
      <c r="D399" s="12" t="n"/>
      <c r="E399" s="14" t="n"/>
      <c r="F399" s="14" t="n"/>
      <c r="G399" s="12" t="n"/>
      <c r="H399" s="13" t="n"/>
      <c r="I399" s="14" t="n"/>
      <c r="J399">
        <f>IF(AND(B399&lt;&gt;"",B399=SEL_N,ISNUMBER(A399)),A399+ROW()/100000,"")</f>
        <v/>
      </c>
    </row>
    <row r="400">
      <c r="A400" s="13" t="n"/>
      <c r="B400" s="12" t="n"/>
      <c r="C400" s="14" t="n"/>
      <c r="D400" s="12" t="n"/>
      <c r="E400" s="14" t="n"/>
      <c r="F400" s="14" t="n"/>
      <c r="G400" s="12" t="n"/>
      <c r="H400" s="13" t="n"/>
      <c r="I400" s="14" t="n"/>
      <c r="J400">
        <f>IF(AND(B400&lt;&gt;"",B400=SEL_N,ISNUMBER(A400)),A400+ROW()/100000,"")</f>
        <v/>
      </c>
    </row>
    <row r="401">
      <c r="A401" s="13" t="n"/>
      <c r="B401" s="12" t="n"/>
      <c r="C401" s="14" t="n"/>
      <c r="D401" s="12" t="n"/>
      <c r="E401" s="14" t="n"/>
      <c r="F401" s="14" t="n"/>
      <c r="G401" s="12" t="n"/>
      <c r="H401" s="13" t="n"/>
      <c r="I401" s="14" t="n"/>
      <c r="J401">
        <f>IF(AND(B401&lt;&gt;"",B401=SEL_N,ISNUMBER(A401)),A401+ROW()/100000,"")</f>
        <v/>
      </c>
    </row>
    <row r="402">
      <c r="A402" s="13" t="n"/>
      <c r="B402" s="12" t="n"/>
      <c r="C402" s="14" t="n"/>
      <c r="D402" s="12" t="n"/>
      <c r="E402" s="14" t="n"/>
      <c r="F402" s="14" t="n"/>
      <c r="G402" s="12" t="n"/>
      <c r="H402" s="13" t="n"/>
      <c r="I402" s="14" t="n"/>
      <c r="J402">
        <f>IF(AND(B402&lt;&gt;"",B402=SEL_N,ISNUMBER(A402)),A402+ROW()/100000,"")</f>
        <v/>
      </c>
    </row>
    <row r="403">
      <c r="A403" s="13" t="n"/>
      <c r="B403" s="12" t="n"/>
      <c r="C403" s="14" t="n"/>
      <c r="D403" s="12" t="n"/>
      <c r="E403" s="14" t="n"/>
      <c r="F403" s="14" t="n"/>
      <c r="G403" s="12" t="n"/>
      <c r="H403" s="13" t="n"/>
      <c r="I403" s="14" t="n"/>
      <c r="J403">
        <f>IF(AND(B403&lt;&gt;"",B403=SEL_N,ISNUMBER(A403)),A403+ROW()/100000,"")</f>
        <v/>
      </c>
    </row>
    <row r="404">
      <c r="A404" s="13" t="n"/>
      <c r="B404" s="12" t="n"/>
      <c r="C404" s="14" t="n"/>
      <c r="D404" s="12" t="n"/>
      <c r="E404" s="14" t="n"/>
      <c r="F404" s="14" t="n"/>
      <c r="G404" s="12" t="n"/>
      <c r="H404" s="13" t="n"/>
      <c r="I404" s="14" t="n"/>
      <c r="J404">
        <f>IF(AND(B404&lt;&gt;"",B404=SEL_N,ISNUMBER(A404)),A404+ROW()/100000,"")</f>
        <v/>
      </c>
    </row>
    <row r="405">
      <c r="A405" s="13" t="n"/>
      <c r="B405" s="12" t="n"/>
      <c r="C405" s="14" t="n"/>
      <c r="D405" s="12" t="n"/>
      <c r="E405" s="14" t="n"/>
      <c r="F405" s="14" t="n"/>
      <c r="G405" s="12" t="n"/>
      <c r="H405" s="13" t="n"/>
      <c r="I405" s="14" t="n"/>
      <c r="J405">
        <f>IF(AND(B405&lt;&gt;"",B405=SEL_N,ISNUMBER(A405)),A405+ROW()/100000,"")</f>
        <v/>
      </c>
    </row>
    <row r="406">
      <c r="A406" s="13" t="n"/>
      <c r="B406" s="12" t="n"/>
      <c r="C406" s="14" t="n"/>
      <c r="D406" s="12" t="n"/>
      <c r="E406" s="14" t="n"/>
      <c r="F406" s="14" t="n"/>
      <c r="G406" s="12" t="n"/>
      <c r="H406" s="13" t="n"/>
      <c r="I406" s="14" t="n"/>
      <c r="J406">
        <f>IF(AND(B406&lt;&gt;"",B406=SEL_N,ISNUMBER(A406)),A406+ROW()/100000,"")</f>
        <v/>
      </c>
    </row>
    <row r="407">
      <c r="A407" s="13" t="n"/>
      <c r="B407" s="12" t="n"/>
      <c r="C407" s="14" t="n"/>
      <c r="D407" s="12" t="n"/>
      <c r="E407" s="14" t="n"/>
      <c r="F407" s="14" t="n"/>
      <c r="G407" s="12" t="n"/>
      <c r="H407" s="13" t="n"/>
      <c r="I407" s="14" t="n"/>
      <c r="J407">
        <f>IF(AND(B407&lt;&gt;"",B407=SEL_N,ISNUMBER(A407)),A407+ROW()/100000,"")</f>
        <v/>
      </c>
    </row>
    <row r="408">
      <c r="A408" s="13" t="n"/>
      <c r="B408" s="12" t="n"/>
      <c r="C408" s="14" t="n"/>
      <c r="D408" s="12" t="n"/>
      <c r="E408" s="14" t="n"/>
      <c r="F408" s="14" t="n"/>
      <c r="G408" s="12" t="n"/>
      <c r="H408" s="13" t="n"/>
      <c r="I408" s="14" t="n"/>
      <c r="J408">
        <f>IF(AND(B408&lt;&gt;"",B408=SEL_N,ISNUMBER(A408)),A408+ROW()/100000,"")</f>
        <v/>
      </c>
    </row>
    <row r="409">
      <c r="A409" s="13" t="n"/>
      <c r="B409" s="12" t="n"/>
      <c r="C409" s="14" t="n"/>
      <c r="D409" s="12" t="n"/>
      <c r="E409" s="14" t="n"/>
      <c r="F409" s="14" t="n"/>
      <c r="G409" s="12" t="n"/>
      <c r="H409" s="13" t="n"/>
      <c r="I409" s="14" t="n"/>
      <c r="J409">
        <f>IF(AND(B409&lt;&gt;"",B409=SEL_N,ISNUMBER(A409)),A409+ROW()/100000,"")</f>
        <v/>
      </c>
    </row>
    <row r="410">
      <c r="A410" s="13" t="n"/>
      <c r="B410" s="12" t="n"/>
      <c r="C410" s="14" t="n"/>
      <c r="D410" s="12" t="n"/>
      <c r="E410" s="14" t="n"/>
      <c r="F410" s="14" t="n"/>
      <c r="G410" s="12" t="n"/>
      <c r="H410" s="13" t="n"/>
      <c r="I410" s="14" t="n"/>
      <c r="J410">
        <f>IF(AND(B410&lt;&gt;"",B410=SEL_N,ISNUMBER(A410)),A410+ROW()/100000,"")</f>
        <v/>
      </c>
    </row>
    <row r="411">
      <c r="A411" s="13" t="n"/>
      <c r="B411" s="12" t="n"/>
      <c r="C411" s="14" t="n"/>
      <c r="D411" s="12" t="n"/>
      <c r="E411" s="14" t="n"/>
      <c r="F411" s="14" t="n"/>
      <c r="G411" s="12" t="n"/>
      <c r="H411" s="13" t="n"/>
      <c r="I411" s="14" t="n"/>
      <c r="J411">
        <f>IF(AND(B411&lt;&gt;"",B411=SEL_N,ISNUMBER(A411)),A411+ROW()/100000,"")</f>
        <v/>
      </c>
    </row>
    <row r="412">
      <c r="A412" s="13" t="n"/>
      <c r="B412" s="12" t="n"/>
      <c r="C412" s="14" t="n"/>
      <c r="D412" s="12" t="n"/>
      <c r="E412" s="14" t="n"/>
      <c r="F412" s="14" t="n"/>
      <c r="G412" s="12" t="n"/>
      <c r="H412" s="13" t="n"/>
      <c r="I412" s="14" t="n"/>
      <c r="J412">
        <f>IF(AND(B412&lt;&gt;"",B412=SEL_N,ISNUMBER(A412)),A412+ROW()/100000,"")</f>
        <v/>
      </c>
    </row>
    <row r="413">
      <c r="A413" s="13" t="n"/>
      <c r="B413" s="12" t="n"/>
      <c r="C413" s="14" t="n"/>
      <c r="D413" s="12" t="n"/>
      <c r="E413" s="14" t="n"/>
      <c r="F413" s="14" t="n"/>
      <c r="G413" s="12" t="n"/>
      <c r="H413" s="13" t="n"/>
      <c r="I413" s="14" t="n"/>
      <c r="J413">
        <f>IF(AND(B413&lt;&gt;"",B413=SEL_N,ISNUMBER(A413)),A413+ROW()/100000,"")</f>
        <v/>
      </c>
    </row>
    <row r="414">
      <c r="A414" s="13" t="n"/>
      <c r="B414" s="12" t="n"/>
      <c r="C414" s="14" t="n"/>
      <c r="D414" s="12" t="n"/>
      <c r="E414" s="14" t="n"/>
      <c r="F414" s="14" t="n"/>
      <c r="G414" s="12" t="n"/>
      <c r="H414" s="13" t="n"/>
      <c r="I414" s="14" t="n"/>
      <c r="J414">
        <f>IF(AND(B414&lt;&gt;"",B414=SEL_N,ISNUMBER(A414)),A414+ROW()/100000,"")</f>
        <v/>
      </c>
    </row>
    <row r="415">
      <c r="A415" s="13" t="n"/>
      <c r="B415" s="12" t="n"/>
      <c r="C415" s="14" t="n"/>
      <c r="D415" s="12" t="n"/>
      <c r="E415" s="14" t="n"/>
      <c r="F415" s="14" t="n"/>
      <c r="G415" s="12" t="n"/>
      <c r="H415" s="13" t="n"/>
      <c r="I415" s="14" t="n"/>
      <c r="J415">
        <f>IF(AND(B415&lt;&gt;"",B415=SEL_N,ISNUMBER(A415)),A415+ROW()/100000,"")</f>
        <v/>
      </c>
    </row>
    <row r="416">
      <c r="A416" s="13" t="n"/>
      <c r="B416" s="12" t="n"/>
      <c r="C416" s="14" t="n"/>
      <c r="D416" s="12" t="n"/>
      <c r="E416" s="14" t="n"/>
      <c r="F416" s="14" t="n"/>
      <c r="G416" s="12" t="n"/>
      <c r="H416" s="13" t="n"/>
      <c r="I416" s="14" t="n"/>
      <c r="J416">
        <f>IF(AND(B416&lt;&gt;"",B416=SEL_N,ISNUMBER(A416)),A416+ROW()/100000,"")</f>
        <v/>
      </c>
    </row>
    <row r="417">
      <c r="A417" s="13" t="n"/>
      <c r="B417" s="12" t="n"/>
      <c r="C417" s="14" t="n"/>
      <c r="D417" s="12" t="n"/>
      <c r="E417" s="14" t="n"/>
      <c r="F417" s="14" t="n"/>
      <c r="G417" s="12" t="n"/>
      <c r="H417" s="13" t="n"/>
      <c r="I417" s="14" t="n"/>
      <c r="J417">
        <f>IF(AND(B417&lt;&gt;"",B417=SEL_N,ISNUMBER(A417)),A417+ROW()/100000,"")</f>
        <v/>
      </c>
    </row>
    <row r="418">
      <c r="A418" s="13" t="n"/>
      <c r="B418" s="12" t="n"/>
      <c r="C418" s="14" t="n"/>
      <c r="D418" s="12" t="n"/>
      <c r="E418" s="14" t="n"/>
      <c r="F418" s="14" t="n"/>
      <c r="G418" s="12" t="n"/>
      <c r="H418" s="13" t="n"/>
      <c r="I418" s="14" t="n"/>
      <c r="J418">
        <f>IF(AND(B418&lt;&gt;"",B418=SEL_N,ISNUMBER(A418)),A418+ROW()/100000,"")</f>
        <v/>
      </c>
    </row>
    <row r="419">
      <c r="A419" s="13" t="n"/>
      <c r="B419" s="12" t="n"/>
      <c r="C419" s="14" t="n"/>
      <c r="D419" s="12" t="n"/>
      <c r="E419" s="14" t="n"/>
      <c r="F419" s="14" t="n"/>
      <c r="G419" s="12" t="n"/>
      <c r="H419" s="13" t="n"/>
      <c r="I419" s="14" t="n"/>
      <c r="J419">
        <f>IF(AND(B419&lt;&gt;"",B419=SEL_N,ISNUMBER(A419)),A419+ROW()/100000,"")</f>
        <v/>
      </c>
    </row>
    <row r="420">
      <c r="A420" s="13" t="n"/>
      <c r="B420" s="12" t="n"/>
      <c r="C420" s="14" t="n"/>
      <c r="D420" s="12" t="n"/>
      <c r="E420" s="14" t="n"/>
      <c r="F420" s="14" t="n"/>
      <c r="G420" s="12" t="n"/>
      <c r="H420" s="13" t="n"/>
      <c r="I420" s="14" t="n"/>
      <c r="J420">
        <f>IF(AND(B420&lt;&gt;"",B420=SEL_N,ISNUMBER(A420)),A420+ROW()/100000,"")</f>
        <v/>
      </c>
    </row>
    <row r="421">
      <c r="A421" s="13" t="n"/>
      <c r="B421" s="12" t="n"/>
      <c r="C421" s="14" t="n"/>
      <c r="D421" s="12" t="n"/>
      <c r="E421" s="14" t="n"/>
      <c r="F421" s="14" t="n"/>
      <c r="G421" s="12" t="n"/>
      <c r="H421" s="13" t="n"/>
      <c r="I421" s="14" t="n"/>
      <c r="J421">
        <f>IF(AND(B421&lt;&gt;"",B421=SEL_N,ISNUMBER(A421)),A421+ROW()/100000,"")</f>
        <v/>
      </c>
    </row>
    <row r="422">
      <c r="A422" s="13" t="n"/>
      <c r="B422" s="12" t="n"/>
      <c r="C422" s="14" t="n"/>
      <c r="D422" s="12" t="n"/>
      <c r="E422" s="14" t="n"/>
      <c r="F422" s="14" t="n"/>
      <c r="G422" s="12" t="n"/>
      <c r="H422" s="13" t="n"/>
      <c r="I422" s="14" t="n"/>
      <c r="J422">
        <f>IF(AND(B422&lt;&gt;"",B422=SEL_N,ISNUMBER(A422)),A422+ROW()/100000,"")</f>
        <v/>
      </c>
    </row>
    <row r="423">
      <c r="A423" s="13" t="n"/>
      <c r="B423" s="12" t="n"/>
      <c r="C423" s="14" t="n"/>
      <c r="D423" s="12" t="n"/>
      <c r="E423" s="14" t="n"/>
      <c r="F423" s="14" t="n"/>
      <c r="G423" s="12" t="n"/>
      <c r="H423" s="13" t="n"/>
      <c r="I423" s="14" t="n"/>
      <c r="J423">
        <f>IF(AND(B423&lt;&gt;"",B423=SEL_N,ISNUMBER(A423)),A423+ROW()/100000,"")</f>
        <v/>
      </c>
    </row>
    <row r="424">
      <c r="A424" s="13" t="n"/>
      <c r="B424" s="12" t="n"/>
      <c r="C424" s="14" t="n"/>
      <c r="D424" s="12" t="n"/>
      <c r="E424" s="14" t="n"/>
      <c r="F424" s="14" t="n"/>
      <c r="G424" s="12" t="n"/>
      <c r="H424" s="13" t="n"/>
      <c r="I424" s="14" t="n"/>
      <c r="J424">
        <f>IF(AND(B424&lt;&gt;"",B424=SEL_N,ISNUMBER(A424)),A424+ROW()/100000,"")</f>
        <v/>
      </c>
    </row>
    <row r="425">
      <c r="A425" s="13" t="n"/>
      <c r="B425" s="12" t="n"/>
      <c r="C425" s="14" t="n"/>
      <c r="D425" s="12" t="n"/>
      <c r="E425" s="14" t="n"/>
      <c r="F425" s="14" t="n"/>
      <c r="G425" s="12" t="n"/>
      <c r="H425" s="13" t="n"/>
      <c r="I425" s="14" t="n"/>
      <c r="J425">
        <f>IF(AND(B425&lt;&gt;"",B425=SEL_N,ISNUMBER(A425)),A425+ROW()/100000,"")</f>
        <v/>
      </c>
    </row>
    <row r="426">
      <c r="A426" s="13" t="n"/>
      <c r="B426" s="12" t="n"/>
      <c r="C426" s="14" t="n"/>
      <c r="D426" s="12" t="n"/>
      <c r="E426" s="14" t="n"/>
      <c r="F426" s="14" t="n"/>
      <c r="G426" s="12" t="n"/>
      <c r="H426" s="13" t="n"/>
      <c r="I426" s="14" t="n"/>
      <c r="J426">
        <f>IF(AND(B426&lt;&gt;"",B426=SEL_N,ISNUMBER(A426)),A426+ROW()/100000,"")</f>
        <v/>
      </c>
    </row>
    <row r="427">
      <c r="A427" s="13" t="n"/>
      <c r="B427" s="12" t="n"/>
      <c r="C427" s="14" t="n"/>
      <c r="D427" s="12" t="n"/>
      <c r="E427" s="14" t="n"/>
      <c r="F427" s="14" t="n"/>
      <c r="G427" s="12" t="n"/>
      <c r="H427" s="13" t="n"/>
      <c r="I427" s="14" t="n"/>
      <c r="J427">
        <f>IF(AND(B427&lt;&gt;"",B427=SEL_N,ISNUMBER(A427)),A427+ROW()/100000,"")</f>
        <v/>
      </c>
    </row>
    <row r="428">
      <c r="A428" s="13" t="n"/>
      <c r="B428" s="12" t="n"/>
      <c r="C428" s="14" t="n"/>
      <c r="D428" s="12" t="n"/>
      <c r="E428" s="14" t="n"/>
      <c r="F428" s="14" t="n"/>
      <c r="G428" s="12" t="n"/>
      <c r="H428" s="13" t="n"/>
      <c r="I428" s="14" t="n"/>
      <c r="J428">
        <f>IF(AND(B428&lt;&gt;"",B428=SEL_N,ISNUMBER(A428)),A428+ROW()/100000,"")</f>
        <v/>
      </c>
    </row>
    <row r="429">
      <c r="A429" s="13" t="n"/>
      <c r="B429" s="12" t="n"/>
      <c r="C429" s="14" t="n"/>
      <c r="D429" s="12" t="n"/>
      <c r="E429" s="14" t="n"/>
      <c r="F429" s="14" t="n"/>
      <c r="G429" s="12" t="n"/>
      <c r="H429" s="13" t="n"/>
      <c r="I429" s="14" t="n"/>
      <c r="J429">
        <f>IF(AND(B429&lt;&gt;"",B429=SEL_N,ISNUMBER(A429)),A429+ROW()/100000,"")</f>
        <v/>
      </c>
    </row>
    <row r="430">
      <c r="A430" s="13" t="n"/>
      <c r="B430" s="12" t="n"/>
      <c r="C430" s="14" t="n"/>
      <c r="D430" s="12" t="n"/>
      <c r="E430" s="14" t="n"/>
      <c r="F430" s="14" t="n"/>
      <c r="G430" s="12" t="n"/>
      <c r="H430" s="13" t="n"/>
      <c r="I430" s="14" t="n"/>
      <c r="J430">
        <f>IF(AND(B430&lt;&gt;"",B430=SEL_N,ISNUMBER(A430)),A430+ROW()/100000,"")</f>
        <v/>
      </c>
    </row>
    <row r="431">
      <c r="A431" s="13" t="n"/>
      <c r="B431" s="12" t="n"/>
      <c r="C431" s="14" t="n"/>
      <c r="D431" s="12" t="n"/>
      <c r="E431" s="14" t="n"/>
      <c r="F431" s="14" t="n"/>
      <c r="G431" s="12" t="n"/>
      <c r="H431" s="13" t="n"/>
      <c r="I431" s="14" t="n"/>
      <c r="J431">
        <f>IF(AND(B431&lt;&gt;"",B431=SEL_N,ISNUMBER(A431)),A431+ROW()/100000,"")</f>
        <v/>
      </c>
    </row>
    <row r="432">
      <c r="A432" s="13" t="n"/>
      <c r="B432" s="12" t="n"/>
      <c r="C432" s="14" t="n"/>
      <c r="D432" s="12" t="n"/>
      <c r="E432" s="14" t="n"/>
      <c r="F432" s="14" t="n"/>
      <c r="G432" s="12" t="n"/>
      <c r="H432" s="13" t="n"/>
      <c r="I432" s="14" t="n"/>
      <c r="J432">
        <f>IF(AND(B432&lt;&gt;"",B432=SEL_N,ISNUMBER(A432)),A432+ROW()/100000,"")</f>
        <v/>
      </c>
    </row>
    <row r="433">
      <c r="A433" s="13" t="n"/>
      <c r="B433" s="12" t="n"/>
      <c r="C433" s="14" t="n"/>
      <c r="D433" s="12" t="n"/>
      <c r="E433" s="14" t="n"/>
      <c r="F433" s="14" t="n"/>
      <c r="G433" s="12" t="n"/>
      <c r="H433" s="13" t="n"/>
      <c r="I433" s="14" t="n"/>
      <c r="J433">
        <f>IF(AND(B433&lt;&gt;"",B433=SEL_N,ISNUMBER(A433)),A433+ROW()/100000,"")</f>
        <v/>
      </c>
    </row>
    <row r="434">
      <c r="A434" s="13" t="n"/>
      <c r="B434" s="12" t="n"/>
      <c r="C434" s="14" t="n"/>
      <c r="D434" s="12" t="n"/>
      <c r="E434" s="14" t="n"/>
      <c r="F434" s="14" t="n"/>
      <c r="G434" s="12" t="n"/>
      <c r="H434" s="13" t="n"/>
      <c r="I434" s="14" t="n"/>
      <c r="J434">
        <f>IF(AND(B434&lt;&gt;"",B434=SEL_N,ISNUMBER(A434)),A434+ROW()/100000,"")</f>
        <v/>
      </c>
    </row>
    <row r="435">
      <c r="A435" s="13" t="n"/>
      <c r="B435" s="12" t="n"/>
      <c r="C435" s="14" t="n"/>
      <c r="D435" s="12" t="n"/>
      <c r="E435" s="14" t="n"/>
      <c r="F435" s="14" t="n"/>
      <c r="G435" s="12" t="n"/>
      <c r="H435" s="13" t="n"/>
      <c r="I435" s="14" t="n"/>
      <c r="J435">
        <f>IF(AND(B435&lt;&gt;"",B435=SEL_N,ISNUMBER(A435)),A435+ROW()/100000,"")</f>
        <v/>
      </c>
    </row>
    <row r="436">
      <c r="A436" s="13" t="n"/>
      <c r="B436" s="12" t="n"/>
      <c r="C436" s="14" t="n"/>
      <c r="D436" s="12" t="n"/>
      <c r="E436" s="14" t="n"/>
      <c r="F436" s="14" t="n"/>
      <c r="G436" s="12" t="n"/>
      <c r="H436" s="13" t="n"/>
      <c r="I436" s="14" t="n"/>
      <c r="J436">
        <f>IF(AND(B436&lt;&gt;"",B436=SEL_N,ISNUMBER(A436)),A436+ROW()/100000,"")</f>
        <v/>
      </c>
    </row>
    <row r="437">
      <c r="A437" s="13" t="n"/>
      <c r="B437" s="12" t="n"/>
      <c r="C437" s="14" t="n"/>
      <c r="D437" s="12" t="n"/>
      <c r="E437" s="14" t="n"/>
      <c r="F437" s="14" t="n"/>
      <c r="G437" s="12" t="n"/>
      <c r="H437" s="13" t="n"/>
      <c r="I437" s="14" t="n"/>
      <c r="J437">
        <f>IF(AND(B437&lt;&gt;"",B437=SEL_N,ISNUMBER(A437)),A437+ROW()/100000,"")</f>
        <v/>
      </c>
    </row>
    <row r="438">
      <c r="A438" s="13" t="n"/>
      <c r="B438" s="12" t="n"/>
      <c r="C438" s="14" t="n"/>
      <c r="D438" s="12" t="n"/>
      <c r="E438" s="14" t="n"/>
      <c r="F438" s="14" t="n"/>
      <c r="G438" s="12" t="n"/>
      <c r="H438" s="13" t="n"/>
      <c r="I438" s="14" t="n"/>
      <c r="J438">
        <f>IF(AND(B438&lt;&gt;"",B438=SEL_N,ISNUMBER(A438)),A438+ROW()/100000,"")</f>
        <v/>
      </c>
    </row>
    <row r="439">
      <c r="A439" s="13" t="n"/>
      <c r="B439" s="12" t="n"/>
      <c r="C439" s="14" t="n"/>
      <c r="D439" s="12" t="n"/>
      <c r="E439" s="14" t="n"/>
      <c r="F439" s="14" t="n"/>
      <c r="G439" s="12" t="n"/>
      <c r="H439" s="13" t="n"/>
      <c r="I439" s="14" t="n"/>
      <c r="J439">
        <f>IF(AND(B439&lt;&gt;"",B439=SEL_N,ISNUMBER(A439)),A439+ROW()/100000,"")</f>
        <v/>
      </c>
    </row>
    <row r="440">
      <c r="A440" s="13" t="n"/>
      <c r="B440" s="12" t="n"/>
      <c r="C440" s="14" t="n"/>
      <c r="D440" s="12" t="n"/>
      <c r="E440" s="14" t="n"/>
      <c r="F440" s="14" t="n"/>
      <c r="G440" s="12" t="n"/>
      <c r="H440" s="13" t="n"/>
      <c r="I440" s="14" t="n"/>
      <c r="J440">
        <f>IF(AND(B440&lt;&gt;"",B440=SEL_N,ISNUMBER(A440)),A440+ROW()/100000,"")</f>
        <v/>
      </c>
    </row>
    <row r="441">
      <c r="A441" s="13" t="n"/>
      <c r="B441" s="12" t="n"/>
      <c r="C441" s="14" t="n"/>
      <c r="D441" s="12" t="n"/>
      <c r="E441" s="14" t="n"/>
      <c r="F441" s="14" t="n"/>
      <c r="G441" s="12" t="n"/>
      <c r="H441" s="13" t="n"/>
      <c r="I441" s="14" t="n"/>
      <c r="J441">
        <f>IF(AND(B441&lt;&gt;"",B441=SEL_N,ISNUMBER(A441)),A441+ROW()/100000,"")</f>
        <v/>
      </c>
    </row>
    <row r="442">
      <c r="A442" s="13" t="n"/>
      <c r="B442" s="12" t="n"/>
      <c r="C442" s="14" t="n"/>
      <c r="D442" s="12" t="n"/>
      <c r="E442" s="14" t="n"/>
      <c r="F442" s="14" t="n"/>
      <c r="G442" s="12" t="n"/>
      <c r="H442" s="13" t="n"/>
      <c r="I442" s="14" t="n"/>
      <c r="J442">
        <f>IF(AND(B442&lt;&gt;"",B442=SEL_N,ISNUMBER(A442)),A442+ROW()/100000,"")</f>
        <v/>
      </c>
    </row>
    <row r="443">
      <c r="A443" s="13" t="n"/>
      <c r="B443" s="12" t="n"/>
      <c r="C443" s="14" t="n"/>
      <c r="D443" s="12" t="n"/>
      <c r="E443" s="14" t="n"/>
      <c r="F443" s="14" t="n"/>
      <c r="G443" s="12" t="n"/>
      <c r="H443" s="13" t="n"/>
      <c r="I443" s="14" t="n"/>
      <c r="J443">
        <f>IF(AND(B443&lt;&gt;"",B443=SEL_N,ISNUMBER(A443)),A443+ROW()/100000,"")</f>
        <v/>
      </c>
    </row>
    <row r="444">
      <c r="A444" s="13" t="n"/>
      <c r="B444" s="12" t="n"/>
      <c r="C444" s="14" t="n"/>
      <c r="D444" s="12" t="n"/>
      <c r="E444" s="14" t="n"/>
      <c r="F444" s="14" t="n"/>
      <c r="G444" s="12" t="n"/>
      <c r="H444" s="13" t="n"/>
      <c r="I444" s="14" t="n"/>
      <c r="J444">
        <f>IF(AND(B444&lt;&gt;"",B444=SEL_N,ISNUMBER(A444)),A444+ROW()/100000,"")</f>
        <v/>
      </c>
    </row>
    <row r="445">
      <c r="A445" s="13" t="n"/>
      <c r="B445" s="12" t="n"/>
      <c r="C445" s="14" t="n"/>
      <c r="D445" s="12" t="n"/>
      <c r="E445" s="14" t="n"/>
      <c r="F445" s="14" t="n"/>
      <c r="G445" s="12" t="n"/>
      <c r="H445" s="13" t="n"/>
      <c r="I445" s="14" t="n"/>
      <c r="J445">
        <f>IF(AND(B445&lt;&gt;"",B445=SEL_N,ISNUMBER(A445)),A445+ROW()/100000,"")</f>
        <v/>
      </c>
    </row>
    <row r="446">
      <c r="A446" s="13" t="n"/>
      <c r="B446" s="12" t="n"/>
      <c r="C446" s="14" t="n"/>
      <c r="D446" s="12" t="n"/>
      <c r="E446" s="14" t="n"/>
      <c r="F446" s="14" t="n"/>
      <c r="G446" s="12" t="n"/>
      <c r="H446" s="13" t="n"/>
      <c r="I446" s="14" t="n"/>
      <c r="J446">
        <f>IF(AND(B446&lt;&gt;"",B446=SEL_N,ISNUMBER(A446)),A446+ROW()/100000,"")</f>
        <v/>
      </c>
    </row>
    <row r="447">
      <c r="A447" s="13" t="n"/>
      <c r="B447" s="12" t="n"/>
      <c r="C447" s="14" t="n"/>
      <c r="D447" s="12" t="n"/>
      <c r="E447" s="14" t="n"/>
      <c r="F447" s="14" t="n"/>
      <c r="G447" s="12" t="n"/>
      <c r="H447" s="13" t="n"/>
      <c r="I447" s="14" t="n"/>
      <c r="J447">
        <f>IF(AND(B447&lt;&gt;"",B447=SEL_N,ISNUMBER(A447)),A447+ROW()/100000,"")</f>
        <v/>
      </c>
    </row>
    <row r="448">
      <c r="A448" s="13" t="n"/>
      <c r="B448" s="12" t="n"/>
      <c r="C448" s="14" t="n"/>
      <c r="D448" s="12" t="n"/>
      <c r="E448" s="14" t="n"/>
      <c r="F448" s="14" t="n"/>
      <c r="G448" s="12" t="n"/>
      <c r="H448" s="13" t="n"/>
      <c r="I448" s="14" t="n"/>
      <c r="J448">
        <f>IF(AND(B448&lt;&gt;"",B448=SEL_N,ISNUMBER(A448)),A448+ROW()/100000,"")</f>
        <v/>
      </c>
    </row>
    <row r="449">
      <c r="A449" s="13" t="n"/>
      <c r="B449" s="12" t="n"/>
      <c r="C449" s="14" t="n"/>
      <c r="D449" s="12" t="n"/>
      <c r="E449" s="14" t="n"/>
      <c r="F449" s="14" t="n"/>
      <c r="G449" s="12" t="n"/>
      <c r="H449" s="13" t="n"/>
      <c r="I449" s="14" t="n"/>
      <c r="J449">
        <f>IF(AND(B449&lt;&gt;"",B449=SEL_N,ISNUMBER(A449)),A449+ROW()/100000,"")</f>
        <v/>
      </c>
    </row>
    <row r="450">
      <c r="A450" s="13" t="n"/>
      <c r="B450" s="12" t="n"/>
      <c r="C450" s="14" t="n"/>
      <c r="D450" s="12" t="n"/>
      <c r="E450" s="14" t="n"/>
      <c r="F450" s="14" t="n"/>
      <c r="G450" s="12" t="n"/>
      <c r="H450" s="13" t="n"/>
      <c r="I450" s="14" t="n"/>
      <c r="J450">
        <f>IF(AND(B450&lt;&gt;"",B450=SEL_N,ISNUMBER(A450)),A450+ROW()/100000,"")</f>
        <v/>
      </c>
    </row>
    <row r="451">
      <c r="A451" s="13" t="n"/>
      <c r="B451" s="12" t="n"/>
      <c r="C451" s="14" t="n"/>
      <c r="D451" s="12" t="n"/>
      <c r="E451" s="14" t="n"/>
      <c r="F451" s="14" t="n"/>
      <c r="G451" s="12" t="n"/>
      <c r="H451" s="13" t="n"/>
      <c r="I451" s="14" t="n"/>
      <c r="J451">
        <f>IF(AND(B451&lt;&gt;"",B451=SEL_N,ISNUMBER(A451)),A451+ROW()/100000,"")</f>
        <v/>
      </c>
    </row>
    <row r="452">
      <c r="A452" s="13" t="n"/>
      <c r="B452" s="12" t="n"/>
      <c r="C452" s="14" t="n"/>
      <c r="D452" s="12" t="n"/>
      <c r="E452" s="14" t="n"/>
      <c r="F452" s="14" t="n"/>
      <c r="G452" s="12" t="n"/>
      <c r="H452" s="13" t="n"/>
      <c r="I452" s="14" t="n"/>
      <c r="J452">
        <f>IF(AND(B452&lt;&gt;"",B452=SEL_N,ISNUMBER(A452)),A452+ROW()/100000,"")</f>
        <v/>
      </c>
    </row>
    <row r="453">
      <c r="A453" s="13" t="n"/>
      <c r="B453" s="12" t="n"/>
      <c r="C453" s="14" t="n"/>
      <c r="D453" s="12" t="n"/>
      <c r="E453" s="14" t="n"/>
      <c r="F453" s="14" t="n"/>
      <c r="G453" s="12" t="n"/>
      <c r="H453" s="13" t="n"/>
      <c r="I453" s="14" t="n"/>
      <c r="J453">
        <f>IF(AND(B453&lt;&gt;"",B453=SEL_N,ISNUMBER(A453)),A453+ROW()/100000,"")</f>
        <v/>
      </c>
    </row>
    <row r="454">
      <c r="A454" s="13" t="n"/>
      <c r="B454" s="12" t="n"/>
      <c r="C454" s="14" t="n"/>
      <c r="D454" s="12" t="n"/>
      <c r="E454" s="14" t="n"/>
      <c r="F454" s="14" t="n"/>
      <c r="G454" s="12" t="n"/>
      <c r="H454" s="13" t="n"/>
      <c r="I454" s="14" t="n"/>
      <c r="J454">
        <f>IF(AND(B454&lt;&gt;"",B454=SEL_N,ISNUMBER(A454)),A454+ROW()/100000,"")</f>
        <v/>
      </c>
    </row>
    <row r="455">
      <c r="A455" s="13" t="n"/>
      <c r="B455" s="12" t="n"/>
      <c r="C455" s="14" t="n"/>
      <c r="D455" s="12" t="n"/>
      <c r="E455" s="14" t="n"/>
      <c r="F455" s="14" t="n"/>
      <c r="G455" s="12" t="n"/>
      <c r="H455" s="13" t="n"/>
      <c r="I455" s="14" t="n"/>
      <c r="J455">
        <f>IF(AND(B455&lt;&gt;"",B455=SEL_N,ISNUMBER(A455)),A455+ROW()/100000,"")</f>
        <v/>
      </c>
    </row>
    <row r="456">
      <c r="A456" s="13" t="n"/>
      <c r="B456" s="12" t="n"/>
      <c r="C456" s="14" t="n"/>
      <c r="D456" s="12" t="n"/>
      <c r="E456" s="14" t="n"/>
      <c r="F456" s="14" t="n"/>
      <c r="G456" s="12" t="n"/>
      <c r="H456" s="13" t="n"/>
      <c r="I456" s="14" t="n"/>
      <c r="J456">
        <f>IF(AND(B456&lt;&gt;"",B456=SEL_N,ISNUMBER(A456)),A456+ROW()/100000,"")</f>
        <v/>
      </c>
    </row>
    <row r="457">
      <c r="A457" s="13" t="n"/>
      <c r="B457" s="12" t="n"/>
      <c r="C457" s="14" t="n"/>
      <c r="D457" s="12" t="n"/>
      <c r="E457" s="14" t="n"/>
      <c r="F457" s="14" t="n"/>
      <c r="G457" s="12" t="n"/>
      <c r="H457" s="13" t="n"/>
      <c r="I457" s="14" t="n"/>
      <c r="J457">
        <f>IF(AND(B457&lt;&gt;"",B457=SEL_N,ISNUMBER(A457)),A457+ROW()/100000,"")</f>
        <v/>
      </c>
    </row>
    <row r="458">
      <c r="A458" s="13" t="n"/>
      <c r="B458" s="12" t="n"/>
      <c r="C458" s="14" t="n"/>
      <c r="D458" s="12" t="n"/>
      <c r="E458" s="14" t="n"/>
      <c r="F458" s="14" t="n"/>
      <c r="G458" s="12" t="n"/>
      <c r="H458" s="13" t="n"/>
      <c r="I458" s="14" t="n"/>
      <c r="J458">
        <f>IF(AND(B458&lt;&gt;"",B458=SEL_N,ISNUMBER(A458)),A458+ROW()/100000,"")</f>
        <v/>
      </c>
    </row>
    <row r="459">
      <c r="A459" s="13" t="n"/>
      <c r="B459" s="12" t="n"/>
      <c r="C459" s="14" t="n"/>
      <c r="D459" s="12" t="n"/>
      <c r="E459" s="14" t="n"/>
      <c r="F459" s="14" t="n"/>
      <c r="G459" s="12" t="n"/>
      <c r="H459" s="13" t="n"/>
      <c r="I459" s="14" t="n"/>
      <c r="J459">
        <f>IF(AND(B459&lt;&gt;"",B459=SEL_N,ISNUMBER(A459)),A459+ROW()/100000,"")</f>
        <v/>
      </c>
    </row>
    <row r="460">
      <c r="A460" s="13" t="n"/>
      <c r="B460" s="12" t="n"/>
      <c r="C460" s="14" t="n"/>
      <c r="D460" s="12" t="n"/>
      <c r="E460" s="14" t="n"/>
      <c r="F460" s="14" t="n"/>
      <c r="G460" s="12" t="n"/>
      <c r="H460" s="13" t="n"/>
      <c r="I460" s="14" t="n"/>
      <c r="J460">
        <f>IF(AND(B460&lt;&gt;"",B460=SEL_N,ISNUMBER(A460)),A460+ROW()/100000,"")</f>
        <v/>
      </c>
    </row>
    <row r="461">
      <c r="A461" s="13" t="n"/>
      <c r="B461" s="12" t="n"/>
      <c r="C461" s="14" t="n"/>
      <c r="D461" s="12" t="n"/>
      <c r="E461" s="14" t="n"/>
      <c r="F461" s="14" t="n"/>
      <c r="G461" s="12" t="n"/>
      <c r="H461" s="13" t="n"/>
      <c r="I461" s="14" t="n"/>
      <c r="J461">
        <f>IF(AND(B461&lt;&gt;"",B461=SEL_N,ISNUMBER(A461)),A461+ROW()/100000,"")</f>
        <v/>
      </c>
    </row>
    <row r="462">
      <c r="A462" s="13" t="n"/>
      <c r="B462" s="12" t="n"/>
      <c r="C462" s="14" t="n"/>
      <c r="D462" s="12" t="n"/>
      <c r="E462" s="14" t="n"/>
      <c r="F462" s="14" t="n"/>
      <c r="G462" s="12" t="n"/>
      <c r="H462" s="13" t="n"/>
      <c r="I462" s="14" t="n"/>
      <c r="J462">
        <f>IF(AND(B462&lt;&gt;"",B462=SEL_N,ISNUMBER(A462)),A462+ROW()/100000,"")</f>
        <v/>
      </c>
    </row>
    <row r="463">
      <c r="A463" s="13" t="n"/>
      <c r="B463" s="12" t="n"/>
      <c r="C463" s="14" t="n"/>
      <c r="D463" s="12" t="n"/>
      <c r="E463" s="14" t="n"/>
      <c r="F463" s="14" t="n"/>
      <c r="G463" s="12" t="n"/>
      <c r="H463" s="13" t="n"/>
      <c r="I463" s="14" t="n"/>
      <c r="J463">
        <f>IF(AND(B463&lt;&gt;"",B463=SEL_N,ISNUMBER(A463)),A463+ROW()/100000,"")</f>
        <v/>
      </c>
    </row>
    <row r="464">
      <c r="A464" s="13" t="n"/>
      <c r="B464" s="12" t="n"/>
      <c r="C464" s="14" t="n"/>
      <c r="D464" s="12" t="n"/>
      <c r="E464" s="14" t="n"/>
      <c r="F464" s="14" t="n"/>
      <c r="G464" s="12" t="n"/>
      <c r="H464" s="13" t="n"/>
      <c r="I464" s="14" t="n"/>
      <c r="J464">
        <f>IF(AND(B464&lt;&gt;"",B464=SEL_N,ISNUMBER(A464)),A464+ROW()/100000,"")</f>
        <v/>
      </c>
    </row>
    <row r="465">
      <c r="A465" s="13" t="n"/>
      <c r="B465" s="12" t="n"/>
      <c r="C465" s="14" t="n"/>
      <c r="D465" s="12" t="n"/>
      <c r="E465" s="14" t="n"/>
      <c r="F465" s="14" t="n"/>
      <c r="G465" s="12" t="n"/>
      <c r="H465" s="13" t="n"/>
      <c r="I465" s="14" t="n"/>
      <c r="J465">
        <f>IF(AND(B465&lt;&gt;"",B465=SEL_N,ISNUMBER(A465)),A465+ROW()/100000,"")</f>
        <v/>
      </c>
    </row>
    <row r="466">
      <c r="A466" s="13" t="n"/>
      <c r="B466" s="12" t="n"/>
      <c r="C466" s="14" t="n"/>
      <c r="D466" s="12" t="n"/>
      <c r="E466" s="14" t="n"/>
      <c r="F466" s="14" t="n"/>
      <c r="G466" s="12" t="n"/>
      <c r="H466" s="13" t="n"/>
      <c r="I466" s="14" t="n"/>
      <c r="J466">
        <f>IF(AND(B466&lt;&gt;"",B466=SEL_N,ISNUMBER(A466)),A466+ROW()/100000,"")</f>
        <v/>
      </c>
    </row>
    <row r="467">
      <c r="A467" s="13" t="n"/>
      <c r="B467" s="12" t="n"/>
      <c r="C467" s="14" t="n"/>
      <c r="D467" s="12" t="n"/>
      <c r="E467" s="14" t="n"/>
      <c r="F467" s="14" t="n"/>
      <c r="G467" s="12" t="n"/>
      <c r="H467" s="13" t="n"/>
      <c r="I467" s="14" t="n"/>
      <c r="J467">
        <f>IF(AND(B467&lt;&gt;"",B467=SEL_N,ISNUMBER(A467)),A467+ROW()/100000,"")</f>
        <v/>
      </c>
    </row>
    <row r="468">
      <c r="A468" s="13" t="n"/>
      <c r="B468" s="12" t="n"/>
      <c r="C468" s="14" t="n"/>
      <c r="D468" s="12" t="n"/>
      <c r="E468" s="14" t="n"/>
      <c r="F468" s="14" t="n"/>
      <c r="G468" s="12" t="n"/>
      <c r="H468" s="13" t="n"/>
      <c r="I468" s="14" t="n"/>
      <c r="J468">
        <f>IF(AND(B468&lt;&gt;"",B468=SEL_N,ISNUMBER(A468)),A468+ROW()/100000,"")</f>
        <v/>
      </c>
    </row>
    <row r="469">
      <c r="A469" s="13" t="n"/>
      <c r="B469" s="12" t="n"/>
      <c r="C469" s="14" t="n"/>
      <c r="D469" s="12" t="n"/>
      <c r="E469" s="14" t="n"/>
      <c r="F469" s="14" t="n"/>
      <c r="G469" s="12" t="n"/>
      <c r="H469" s="13" t="n"/>
      <c r="I469" s="14" t="n"/>
      <c r="J469">
        <f>IF(AND(B469&lt;&gt;"",B469=SEL_N,ISNUMBER(A469)),A469+ROW()/100000,"")</f>
        <v/>
      </c>
    </row>
    <row r="470">
      <c r="A470" s="13" t="n"/>
      <c r="B470" s="12" t="n"/>
      <c r="C470" s="14" t="n"/>
      <c r="D470" s="12" t="n"/>
      <c r="E470" s="14" t="n"/>
      <c r="F470" s="14" t="n"/>
      <c r="G470" s="12" t="n"/>
      <c r="H470" s="13" t="n"/>
      <c r="I470" s="14" t="n"/>
      <c r="J470">
        <f>IF(AND(B470&lt;&gt;"",B470=SEL_N,ISNUMBER(A470)),A470+ROW()/100000,"")</f>
        <v/>
      </c>
    </row>
    <row r="471">
      <c r="A471" s="13" t="n"/>
      <c r="B471" s="12" t="n"/>
      <c r="C471" s="14" t="n"/>
      <c r="D471" s="12" t="n"/>
      <c r="E471" s="14" t="n"/>
      <c r="F471" s="14" t="n"/>
      <c r="G471" s="12" t="n"/>
      <c r="H471" s="13" t="n"/>
      <c r="I471" s="14" t="n"/>
      <c r="J471">
        <f>IF(AND(B471&lt;&gt;"",B471=SEL_N,ISNUMBER(A471)),A471+ROW()/100000,"")</f>
        <v/>
      </c>
    </row>
    <row r="472">
      <c r="A472" s="13" t="n"/>
      <c r="B472" s="12" t="n"/>
      <c r="C472" s="14" t="n"/>
      <c r="D472" s="12" t="n"/>
      <c r="E472" s="14" t="n"/>
      <c r="F472" s="14" t="n"/>
      <c r="G472" s="12" t="n"/>
      <c r="H472" s="13" t="n"/>
      <c r="I472" s="14" t="n"/>
      <c r="J472">
        <f>IF(AND(B472&lt;&gt;"",B472=SEL_N,ISNUMBER(A472)),A472+ROW()/100000,"")</f>
        <v/>
      </c>
    </row>
    <row r="473">
      <c r="A473" s="13" t="n"/>
      <c r="B473" s="12" t="n"/>
      <c r="C473" s="14" t="n"/>
      <c r="D473" s="12" t="n"/>
      <c r="E473" s="14" t="n"/>
      <c r="F473" s="14" t="n"/>
      <c r="G473" s="12" t="n"/>
      <c r="H473" s="13" t="n"/>
      <c r="I473" s="14" t="n"/>
      <c r="J473">
        <f>IF(AND(B473&lt;&gt;"",B473=SEL_N,ISNUMBER(A473)),A473+ROW()/100000,"")</f>
        <v/>
      </c>
    </row>
    <row r="474">
      <c r="A474" s="13" t="n"/>
      <c r="B474" s="12" t="n"/>
      <c r="C474" s="14" t="n"/>
      <c r="D474" s="12" t="n"/>
      <c r="E474" s="14" t="n"/>
      <c r="F474" s="14" t="n"/>
      <c r="G474" s="12" t="n"/>
      <c r="H474" s="13" t="n"/>
      <c r="I474" s="14" t="n"/>
      <c r="J474">
        <f>IF(AND(B474&lt;&gt;"",B474=SEL_N,ISNUMBER(A474)),A474+ROW()/100000,"")</f>
        <v/>
      </c>
    </row>
    <row r="475">
      <c r="A475" s="13" t="n"/>
      <c r="B475" s="12" t="n"/>
      <c r="C475" s="14" t="n"/>
      <c r="D475" s="12" t="n"/>
      <c r="E475" s="14" t="n"/>
      <c r="F475" s="14" t="n"/>
      <c r="G475" s="12" t="n"/>
      <c r="H475" s="13" t="n"/>
      <c r="I475" s="14" t="n"/>
      <c r="J475">
        <f>IF(AND(B475&lt;&gt;"",B475=SEL_N,ISNUMBER(A475)),A475+ROW()/100000,"")</f>
        <v/>
      </c>
    </row>
    <row r="476">
      <c r="A476" s="13" t="n"/>
      <c r="B476" s="12" t="n"/>
      <c r="C476" s="14" t="n"/>
      <c r="D476" s="12" t="n"/>
      <c r="E476" s="14" t="n"/>
      <c r="F476" s="14" t="n"/>
      <c r="G476" s="12" t="n"/>
      <c r="H476" s="13" t="n"/>
      <c r="I476" s="14" t="n"/>
      <c r="J476">
        <f>IF(AND(B476&lt;&gt;"",B476=SEL_N,ISNUMBER(A476)),A476+ROW()/100000,"")</f>
        <v/>
      </c>
    </row>
    <row r="477">
      <c r="A477" s="13" t="n"/>
      <c r="B477" s="12" t="n"/>
      <c r="C477" s="14" t="n"/>
      <c r="D477" s="12" t="n"/>
      <c r="E477" s="14" t="n"/>
      <c r="F477" s="14" t="n"/>
      <c r="G477" s="12" t="n"/>
      <c r="H477" s="13" t="n"/>
      <c r="I477" s="14" t="n"/>
      <c r="J477">
        <f>IF(AND(B477&lt;&gt;"",B477=SEL_N,ISNUMBER(A477)),A477+ROW()/100000,"")</f>
        <v/>
      </c>
    </row>
    <row r="478">
      <c r="A478" s="13" t="n"/>
      <c r="B478" s="12" t="n"/>
      <c r="C478" s="14" t="n"/>
      <c r="D478" s="12" t="n"/>
      <c r="E478" s="14" t="n"/>
      <c r="F478" s="14" t="n"/>
      <c r="G478" s="12" t="n"/>
      <c r="H478" s="13" t="n"/>
      <c r="I478" s="14" t="n"/>
      <c r="J478">
        <f>IF(AND(B478&lt;&gt;"",B478=SEL_N,ISNUMBER(A478)),A478+ROW()/100000,"")</f>
        <v/>
      </c>
    </row>
    <row r="479">
      <c r="A479" s="13" t="n"/>
      <c r="B479" s="12" t="n"/>
      <c r="C479" s="14" t="n"/>
      <c r="D479" s="12" t="n"/>
      <c r="E479" s="14" t="n"/>
      <c r="F479" s="14" t="n"/>
      <c r="G479" s="12" t="n"/>
      <c r="H479" s="13" t="n"/>
      <c r="I479" s="14" t="n"/>
      <c r="J479">
        <f>IF(AND(B479&lt;&gt;"",B479=SEL_N,ISNUMBER(A479)),A479+ROW()/100000,"")</f>
        <v/>
      </c>
    </row>
    <row r="480">
      <c r="A480" s="13" t="n"/>
      <c r="B480" s="12" t="n"/>
      <c r="C480" s="14" t="n"/>
      <c r="D480" s="12" t="n"/>
      <c r="E480" s="14" t="n"/>
      <c r="F480" s="14" t="n"/>
      <c r="G480" s="12" t="n"/>
      <c r="H480" s="13" t="n"/>
      <c r="I480" s="14" t="n"/>
      <c r="J480">
        <f>IF(AND(B480&lt;&gt;"",B480=SEL_N,ISNUMBER(A480)),A480+ROW()/100000,"")</f>
        <v/>
      </c>
    </row>
    <row r="481">
      <c r="A481" s="13" t="n"/>
      <c r="B481" s="12" t="n"/>
      <c r="C481" s="14" t="n"/>
      <c r="D481" s="12" t="n"/>
      <c r="E481" s="14" t="n"/>
      <c r="F481" s="14" t="n"/>
      <c r="G481" s="12" t="n"/>
      <c r="H481" s="13" t="n"/>
      <c r="I481" s="14" t="n"/>
      <c r="J481">
        <f>IF(AND(B481&lt;&gt;"",B481=SEL_N,ISNUMBER(A481)),A481+ROW()/100000,"")</f>
        <v/>
      </c>
    </row>
    <row r="482">
      <c r="A482" s="13" t="n"/>
      <c r="B482" s="12" t="n"/>
      <c r="C482" s="14" t="n"/>
      <c r="D482" s="12" t="n"/>
      <c r="E482" s="14" t="n"/>
      <c r="F482" s="14" t="n"/>
      <c r="G482" s="12" t="n"/>
      <c r="H482" s="13" t="n"/>
      <c r="I482" s="14" t="n"/>
      <c r="J482">
        <f>IF(AND(B482&lt;&gt;"",B482=SEL_N,ISNUMBER(A482)),A482+ROW()/100000,"")</f>
        <v/>
      </c>
    </row>
    <row r="483">
      <c r="A483" s="13" t="n"/>
      <c r="B483" s="12" t="n"/>
      <c r="C483" s="14" t="n"/>
      <c r="D483" s="12" t="n"/>
      <c r="E483" s="14" t="n"/>
      <c r="F483" s="14" t="n"/>
      <c r="G483" s="12" t="n"/>
      <c r="H483" s="13" t="n"/>
      <c r="I483" s="14" t="n"/>
      <c r="J483">
        <f>IF(AND(B483&lt;&gt;"",B483=SEL_N,ISNUMBER(A483)),A483+ROW()/100000,"")</f>
        <v/>
      </c>
    </row>
    <row r="484">
      <c r="A484" s="13" t="n"/>
      <c r="B484" s="12" t="n"/>
      <c r="C484" s="14" t="n"/>
      <c r="D484" s="12" t="n"/>
      <c r="E484" s="14" t="n"/>
      <c r="F484" s="14" t="n"/>
      <c r="G484" s="12" t="n"/>
      <c r="H484" s="13" t="n"/>
      <c r="I484" s="14" t="n"/>
      <c r="J484">
        <f>IF(AND(B484&lt;&gt;"",B484=SEL_N,ISNUMBER(A484)),A484+ROW()/100000,"")</f>
        <v/>
      </c>
    </row>
    <row r="485">
      <c r="A485" s="13" t="n"/>
      <c r="B485" s="12" t="n"/>
      <c r="C485" s="14" t="n"/>
      <c r="D485" s="12" t="n"/>
      <c r="E485" s="14" t="n"/>
      <c r="F485" s="14" t="n"/>
      <c r="G485" s="12" t="n"/>
      <c r="H485" s="13" t="n"/>
      <c r="I485" s="14" t="n"/>
      <c r="J485">
        <f>IF(AND(B485&lt;&gt;"",B485=SEL_N,ISNUMBER(A485)),A485+ROW()/100000,"")</f>
        <v/>
      </c>
    </row>
    <row r="486">
      <c r="A486" s="13" t="n"/>
      <c r="B486" s="12" t="n"/>
      <c r="C486" s="14" t="n"/>
      <c r="D486" s="12" t="n"/>
      <c r="E486" s="14" t="n"/>
      <c r="F486" s="14" t="n"/>
      <c r="G486" s="12" t="n"/>
      <c r="H486" s="13" t="n"/>
      <c r="I486" s="14" t="n"/>
      <c r="J486">
        <f>IF(AND(B486&lt;&gt;"",B486=SEL_N,ISNUMBER(A486)),A486+ROW()/100000,"")</f>
        <v/>
      </c>
    </row>
    <row r="487">
      <c r="A487" s="13" t="n"/>
      <c r="B487" s="12" t="n"/>
      <c r="C487" s="14" t="n"/>
      <c r="D487" s="12" t="n"/>
      <c r="E487" s="14" t="n"/>
      <c r="F487" s="14" t="n"/>
      <c r="G487" s="12" t="n"/>
      <c r="H487" s="13" t="n"/>
      <c r="I487" s="14" t="n"/>
      <c r="J487">
        <f>IF(AND(B487&lt;&gt;"",B487=SEL_N,ISNUMBER(A487)),A487+ROW()/100000,"")</f>
        <v/>
      </c>
    </row>
    <row r="488">
      <c r="A488" s="13" t="n"/>
      <c r="B488" s="12" t="n"/>
      <c r="C488" s="14" t="n"/>
      <c r="D488" s="12" t="n"/>
      <c r="E488" s="14" t="n"/>
      <c r="F488" s="14" t="n"/>
      <c r="G488" s="12" t="n"/>
      <c r="H488" s="13" t="n"/>
      <c r="I488" s="14" t="n"/>
      <c r="J488">
        <f>IF(AND(B488&lt;&gt;"",B488=SEL_N,ISNUMBER(A488)),A488+ROW()/100000,"")</f>
        <v/>
      </c>
    </row>
    <row r="489">
      <c r="A489" s="13" t="n"/>
      <c r="B489" s="12" t="n"/>
      <c r="C489" s="14" t="n"/>
      <c r="D489" s="12" t="n"/>
      <c r="E489" s="14" t="n"/>
      <c r="F489" s="14" t="n"/>
      <c r="G489" s="12" t="n"/>
      <c r="H489" s="13" t="n"/>
      <c r="I489" s="14" t="n"/>
      <c r="J489">
        <f>IF(AND(B489&lt;&gt;"",B489=SEL_N,ISNUMBER(A489)),A489+ROW()/100000,"")</f>
        <v/>
      </c>
    </row>
    <row r="490">
      <c r="A490" s="13" t="n"/>
      <c r="B490" s="12" t="n"/>
      <c r="C490" s="14" t="n"/>
      <c r="D490" s="12" t="n"/>
      <c r="E490" s="14" t="n"/>
      <c r="F490" s="14" t="n"/>
      <c r="G490" s="12" t="n"/>
      <c r="H490" s="13" t="n"/>
      <c r="I490" s="14" t="n"/>
      <c r="J490">
        <f>IF(AND(B490&lt;&gt;"",B490=SEL_N,ISNUMBER(A490)),A490+ROW()/100000,"")</f>
        <v/>
      </c>
    </row>
    <row r="491">
      <c r="A491" s="13" t="n"/>
      <c r="B491" s="12" t="n"/>
      <c r="C491" s="14" t="n"/>
      <c r="D491" s="12" t="n"/>
      <c r="E491" s="14" t="n"/>
      <c r="F491" s="14" t="n"/>
      <c r="G491" s="12" t="n"/>
      <c r="H491" s="13" t="n"/>
      <c r="I491" s="14" t="n"/>
      <c r="J491">
        <f>IF(AND(B491&lt;&gt;"",B491=SEL_N,ISNUMBER(A491)),A491+ROW()/100000,"")</f>
        <v/>
      </c>
    </row>
    <row r="492">
      <c r="A492" s="13" t="n"/>
      <c r="B492" s="12" t="n"/>
      <c r="C492" s="14" t="n"/>
      <c r="D492" s="12" t="n"/>
      <c r="E492" s="14" t="n"/>
      <c r="F492" s="14" t="n"/>
      <c r="G492" s="12" t="n"/>
      <c r="H492" s="13" t="n"/>
      <c r="I492" s="14" t="n"/>
      <c r="J492">
        <f>IF(AND(B492&lt;&gt;"",B492=SEL_N,ISNUMBER(A492)),A492+ROW()/100000,"")</f>
        <v/>
      </c>
    </row>
    <row r="493">
      <c r="A493" s="13" t="n"/>
      <c r="B493" s="12" t="n"/>
      <c r="C493" s="14" t="n"/>
      <c r="D493" s="12" t="n"/>
      <c r="E493" s="14" t="n"/>
      <c r="F493" s="14" t="n"/>
      <c r="G493" s="12" t="n"/>
      <c r="H493" s="13" t="n"/>
      <c r="I493" s="14" t="n"/>
      <c r="J493">
        <f>IF(AND(B493&lt;&gt;"",B493=SEL_N,ISNUMBER(A493)),A493+ROW()/100000,"")</f>
        <v/>
      </c>
    </row>
    <row r="494">
      <c r="A494" s="13" t="n"/>
      <c r="B494" s="12" t="n"/>
      <c r="C494" s="14" t="n"/>
      <c r="D494" s="12" t="n"/>
      <c r="E494" s="14" t="n"/>
      <c r="F494" s="14" t="n"/>
      <c r="G494" s="12" t="n"/>
      <c r="H494" s="13" t="n"/>
      <c r="I494" s="14" t="n"/>
      <c r="J494">
        <f>IF(AND(B494&lt;&gt;"",B494=SEL_N,ISNUMBER(A494)),A494+ROW()/100000,"")</f>
        <v/>
      </c>
    </row>
    <row r="495">
      <c r="A495" s="13" t="n"/>
      <c r="B495" s="12" t="n"/>
      <c r="C495" s="14" t="n"/>
      <c r="D495" s="12" t="n"/>
      <c r="E495" s="14" t="n"/>
      <c r="F495" s="14" t="n"/>
      <c r="G495" s="12" t="n"/>
      <c r="H495" s="13" t="n"/>
      <c r="I495" s="14" t="n"/>
      <c r="J495">
        <f>IF(AND(B495&lt;&gt;"",B495=SEL_N,ISNUMBER(A495)),A495+ROW()/100000,"")</f>
        <v/>
      </c>
    </row>
    <row r="496">
      <c r="A496" s="13" t="n"/>
      <c r="B496" s="12" t="n"/>
      <c r="C496" s="14" t="n"/>
      <c r="D496" s="12" t="n"/>
      <c r="E496" s="14" t="n"/>
      <c r="F496" s="14" t="n"/>
      <c r="G496" s="12" t="n"/>
      <c r="H496" s="13" t="n"/>
      <c r="I496" s="14" t="n"/>
      <c r="J496">
        <f>IF(AND(B496&lt;&gt;"",B496=SEL_N,ISNUMBER(A496)),A496+ROW()/100000,"")</f>
        <v/>
      </c>
    </row>
    <row r="497">
      <c r="A497" s="13" t="n"/>
      <c r="B497" s="12" t="n"/>
      <c r="C497" s="14" t="n"/>
      <c r="D497" s="12" t="n"/>
      <c r="E497" s="14" t="n"/>
      <c r="F497" s="14" t="n"/>
      <c r="G497" s="12" t="n"/>
      <c r="H497" s="13" t="n"/>
      <c r="I497" s="14" t="n"/>
      <c r="J497">
        <f>IF(AND(B497&lt;&gt;"",B497=SEL_N,ISNUMBER(A497)),A497+ROW()/100000,"")</f>
        <v/>
      </c>
    </row>
    <row r="498">
      <c r="A498" s="13" t="n"/>
      <c r="B498" s="12" t="n"/>
      <c r="C498" s="14" t="n"/>
      <c r="D498" s="12" t="n"/>
      <c r="E498" s="14" t="n"/>
      <c r="F498" s="14" t="n"/>
      <c r="G498" s="12" t="n"/>
      <c r="H498" s="13" t="n"/>
      <c r="I498" s="14" t="n"/>
      <c r="J498">
        <f>IF(AND(B498&lt;&gt;"",B498=SEL_N,ISNUMBER(A498)),A498+ROW()/100000,"")</f>
        <v/>
      </c>
    </row>
    <row r="499">
      <c r="A499" s="13" t="n"/>
      <c r="B499" s="12" t="n"/>
      <c r="C499" s="14" t="n"/>
      <c r="D499" s="12" t="n"/>
      <c r="E499" s="14" t="n"/>
      <c r="F499" s="14" t="n"/>
      <c r="G499" s="12" t="n"/>
      <c r="H499" s="13" t="n"/>
      <c r="I499" s="14" t="n"/>
      <c r="J499">
        <f>IF(AND(B499&lt;&gt;"",B499=SEL_N,ISNUMBER(A499)),A499+ROW()/100000,"")</f>
        <v/>
      </c>
    </row>
    <row r="500">
      <c r="A500" s="13" t="n"/>
      <c r="B500" s="12" t="n"/>
      <c r="C500" s="14" t="n"/>
      <c r="D500" s="12" t="n"/>
      <c r="E500" s="14" t="n"/>
      <c r="F500" s="14" t="n"/>
      <c r="G500" s="12" t="n"/>
      <c r="H500" s="13" t="n"/>
      <c r="I500" s="14" t="n"/>
      <c r="J500">
        <f>IF(AND(B500&lt;&gt;"",B500=SEL_N,ISNUMBER(A500)),A500+ROW()/100000,"")</f>
        <v/>
      </c>
    </row>
    <row r="501">
      <c r="A501" s="13" t="n"/>
      <c r="B501" s="12" t="n"/>
      <c r="C501" s="14" t="n"/>
      <c r="D501" s="12" t="n"/>
      <c r="E501" s="14" t="n"/>
      <c r="F501" s="14" t="n"/>
      <c r="G501" s="12" t="n"/>
      <c r="H501" s="13" t="n"/>
      <c r="I501" s="14" t="n"/>
      <c r="J501">
        <f>IF(AND(B501&lt;&gt;"",B501=SEL_N,ISNUMBER(A501)),A501+ROW()/100000,"")</f>
        <v/>
      </c>
    </row>
    <row r="502">
      <c r="A502" s="13" t="n"/>
      <c r="B502" s="12" t="n"/>
      <c r="C502" s="14" t="n"/>
      <c r="D502" s="12" t="n"/>
      <c r="E502" s="14" t="n"/>
      <c r="F502" s="14" t="n"/>
      <c r="G502" s="12" t="n"/>
      <c r="H502" s="13" t="n"/>
      <c r="I502" s="14" t="n"/>
      <c r="J502">
        <f>IF(AND(B502&lt;&gt;"",B502=SEL_N,ISNUMBER(A502)),A502+ROW()/100000,"")</f>
        <v/>
      </c>
    </row>
    <row r="503">
      <c r="A503" s="13" t="n"/>
      <c r="B503" s="12" t="n"/>
      <c r="C503" s="14" t="n"/>
      <c r="D503" s="12" t="n"/>
      <c r="E503" s="14" t="n"/>
      <c r="F503" s="14" t="n"/>
      <c r="G503" s="12" t="n"/>
      <c r="H503" s="13" t="n"/>
      <c r="I503" s="14" t="n"/>
      <c r="J503">
        <f>IF(AND(B503&lt;&gt;"",B503=SEL_N,ISNUMBER(A503)),A503+ROW()/100000,"")</f>
        <v/>
      </c>
    </row>
    <row r="504">
      <c r="A504" s="13" t="n"/>
      <c r="B504" s="12" t="n"/>
      <c r="C504" s="14" t="n"/>
      <c r="D504" s="12" t="n"/>
      <c r="E504" s="14" t="n"/>
      <c r="F504" s="14" t="n"/>
      <c r="G504" s="12" t="n"/>
      <c r="H504" s="13" t="n"/>
      <c r="I504" s="14" t="n"/>
      <c r="J504">
        <f>IF(AND(B504&lt;&gt;"",B504=SEL_N,ISNUMBER(A504)),A504+ROW()/100000,"")</f>
        <v/>
      </c>
    </row>
  </sheetData>
  <autoFilter ref="A4:I504"/>
  <conditionalFormatting sqref="A5:I504">
    <cfRule type="expression" priority="1" dxfId="4">
      <formula>AND($I5="Mở",ISNUMBER($H5),TODAY()&gt;$H5)</formula>
    </cfRule>
    <cfRule type="expression" priority="2" dxfId="14">
      <formula>$I5="Xong"</formula>
    </cfRule>
  </conditionalFormatting>
  <dataValidations count="4">
    <dataValidation sqref="B5:B504" showDropDown="0" showInputMessage="0" showErrorMessage="1" allowBlank="1" type="list">
      <formula1>SK_B</formula1>
    </dataValidation>
    <dataValidation sqref="C5:C504" showDropDown="0" showInputMessage="0" showErrorMessage="0" allowBlank="1" type="list">
      <formula1>"Thống nhất với đối tác,Quyết định,Thay đổi,Vướng mắc"</formula1>
    </dataValidation>
    <dataValidation sqref="I5:I504" showDropDown="0" showInputMessage="0" showErrorMessage="0" allowBlank="1" type="list">
      <formula1>"Mở,Xong"</formula1>
    </dataValidation>
    <dataValidation sqref="F5:F504" showDropDown="0" showInputMessage="0" showErrorMessage="0" allowBlank="1" type="list" errorStyle="warning">
      <formula1>PEOPLE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6B7B"/>
    <outlinePr summaryBelow="1" summaryRight="1"/>
    <pageSetUpPr/>
  </sheetPr>
  <dimension ref="A1:H8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64" customWidth="1" min="3" max="3"/>
    <col width="14" customWidth="1" min="4" max="4"/>
    <col width="16" customWidth="1" min="5" max="5"/>
    <col width="9" customWidth="1" min="6" max="6"/>
    <col width="10" customWidth="1" min="7" max="7"/>
    <col width="11" customWidth="1" min="8" max="8"/>
  </cols>
  <sheetData>
    <row r="1" ht="26" customHeight="1">
      <c r="A1" s="1" t="inlineStr">
        <is>
          <t>MẪU VIỆC CHO 1 SỰ KIỆN</t>
        </is>
      </c>
    </row>
    <row r="2">
      <c r="A2" s="2" t="inlineStr">
        <is>
          <t>Theo SOP MMHSOP_0XX. Sự kiện mới được tạo việc theo bảng này (sửa / thêm / xoá dòng tuỳ ý — chỉ áp cho sự kiện tạo SAU khi sửa). D − n = ngày lịch, D + n = ngày làm việc.</t>
        </is>
      </c>
    </row>
    <row r="4" ht="32" customHeight="1">
      <c r="A4" s="44" t="inlineStr">
        <is>
          <t>Mã</t>
        </is>
      </c>
      <c r="B4" s="44" t="inlineStr">
        <is>
          <t>Hạng mục</t>
        </is>
      </c>
      <c r="C4" s="44" t="inlineStr">
        <is>
          <t>Việc</t>
        </is>
      </c>
      <c r="D4" s="44" t="inlineStr">
        <is>
          <t>Vai trò mặc định</t>
        </is>
      </c>
      <c r="E4" s="44" t="inlineStr">
        <is>
          <t>Phối hợp</t>
        </is>
      </c>
      <c r="F4" s="44" t="inlineStr">
        <is>
          <t>Số ngày so với D</t>
        </is>
      </c>
      <c r="G4" s="44" t="inlineStr">
        <is>
          <t>Tính theo</t>
        </is>
      </c>
      <c r="H4" s="44" t="inlineStr">
        <is>
          <t>Áp dụng cho</t>
        </is>
      </c>
    </row>
    <row r="5">
      <c r="A5" s="50" t="inlineStr">
        <is>
          <t>K01</t>
        </is>
      </c>
      <c r="B5" s="50" t="inlineStr">
        <is>
          <t>1. Kế hoạch</t>
        </is>
      </c>
      <c r="C5" s="12" t="inlineStr">
        <is>
          <t>Lập kế hoạch tổng quan (KOL, số khách, mục đích, KPI bán hàng, khuyến mại, khảo sát) + xin Giám đốc duyệt ngân sách</t>
        </is>
      </c>
      <c r="D5" s="50" t="inlineStr">
        <is>
          <t>MKT Leader</t>
        </is>
      </c>
      <c r="E5" s="50" t="inlineStr">
        <is>
          <t>Sales, NPP</t>
        </is>
      </c>
      <c r="F5" s="50" t="n">
        <v>-30</v>
      </c>
      <c r="G5" s="50" t="inlineStr">
        <is>
          <t>Lịch</t>
        </is>
      </c>
      <c r="H5" s="50" t="inlineStr">
        <is>
          <t>Tất cả</t>
        </is>
      </c>
    </row>
    <row r="6">
      <c r="A6" s="50" t="inlineStr">
        <is>
          <t>K02</t>
        </is>
      </c>
      <c r="B6" s="50" t="inlineStr">
        <is>
          <t>1. Kế hoạch</t>
        </is>
      </c>
      <c r="C6" s="12" t="inlineStr">
        <is>
          <t>Chia việc với NPP, Trường / Viện (tuyển sinh, đồ thực hành, MC, số bàn trưng bày)</t>
        </is>
      </c>
      <c r="D6" s="50" t="inlineStr">
        <is>
          <t>MKT Leader</t>
        </is>
      </c>
      <c r="E6" s="50" t="inlineStr">
        <is>
          <t>NPP, Viện</t>
        </is>
      </c>
      <c r="F6" s="50" t="n">
        <v>-30</v>
      </c>
      <c r="G6" s="50" t="inlineStr">
        <is>
          <t>Lịch</t>
        </is>
      </c>
      <c r="H6" s="50" t="inlineStr">
        <is>
          <t>Tất cả</t>
        </is>
      </c>
    </row>
    <row r="7">
      <c r="A7" s="50" t="inlineStr">
        <is>
          <t>K03</t>
        </is>
      </c>
      <c r="B7" s="50" t="inlineStr">
        <is>
          <t>2. KOL &amp; đối tác</t>
        </is>
      </c>
      <c r="C7" s="12" t="inlineStr">
        <is>
          <t>Chốt KOL: hợp đồng, lịch di chuyển, xem trước bài giảng, người chăm sóc KOL</t>
        </is>
      </c>
      <c r="D7" s="50" t="inlineStr">
        <is>
          <t>MKT Leader</t>
        </is>
      </c>
      <c r="E7" s="50" t="inlineStr">
        <is>
          <t>KOL</t>
        </is>
      </c>
      <c r="F7" s="50" t="n">
        <v>-30</v>
      </c>
      <c r="G7" s="50" t="inlineStr">
        <is>
          <t>Lịch</t>
        </is>
      </c>
      <c r="H7" s="50" t="inlineStr">
        <is>
          <t>Tất cả</t>
        </is>
      </c>
    </row>
    <row r="8">
      <c r="A8" s="50" t="inlineStr">
        <is>
          <t>K04</t>
        </is>
      </c>
      <c r="B8" s="50" t="inlineStr">
        <is>
          <t>3. Tuyển sinh</t>
        </is>
      </c>
      <c r="C8" s="12" t="inlineStr">
        <is>
          <t>Mở tuyển sinh: form đăng ký (khảo sát trước, đồng ý dữ liệu, nguồn đăng ký) + nhóm Zalo khách</t>
        </is>
      </c>
      <c r="D8" s="50" t="inlineStr">
        <is>
          <t>Digital MKT</t>
        </is>
      </c>
      <c r="E8" s="50" t="inlineStr">
        <is>
          <t>Sales, NPP</t>
        </is>
      </c>
      <c r="F8" s="50" t="n">
        <v>-30</v>
      </c>
      <c r="G8" s="50" t="inlineStr">
        <is>
          <t>Lịch</t>
        </is>
      </c>
      <c r="H8" s="50" t="inlineStr">
        <is>
          <t>Tất cả</t>
        </is>
      </c>
    </row>
    <row r="9">
      <c r="A9" s="50" t="inlineStr">
        <is>
          <t>K05</t>
        </is>
      </c>
      <c r="B9" s="50" t="inlineStr">
        <is>
          <t>3. Tuyển sinh</t>
        </is>
      </c>
      <c r="C9" s="12" t="inlineStr">
        <is>
          <t>Báo cáo số đăng ký theo nguồn cho team (thứ Hai hằng tuần, đến D-1)</t>
        </is>
      </c>
      <c r="D9" s="50" t="inlineStr">
        <is>
          <t>MKT Leader</t>
        </is>
      </c>
      <c r="E9" s="50" t="inlineStr">
        <is>
          <t>Sales, NPP</t>
        </is>
      </c>
      <c r="F9" s="50" t="n">
        <v>-1</v>
      </c>
      <c r="G9" s="50" t="inlineStr">
        <is>
          <t>Lịch</t>
        </is>
      </c>
      <c r="H9" s="50" t="inlineStr">
        <is>
          <t>Tất cả</t>
        </is>
      </c>
    </row>
    <row r="10">
      <c r="A10" s="50" t="inlineStr">
        <is>
          <t>K06</t>
        </is>
      </c>
      <c r="B10" s="50" t="inlineStr">
        <is>
          <t>3. Tuyển sinh</t>
        </is>
      </c>
      <c r="C10" s="12" t="inlineStr">
        <is>
          <t>Checkpoint D-14: đăng ký &lt; 60% target ⇒ báo Giám đốc phương án</t>
        </is>
      </c>
      <c r="D10" s="50" t="inlineStr">
        <is>
          <t>MKT Leader</t>
        </is>
      </c>
      <c r="E10" s="50" t="inlineStr">
        <is>
          <t>Giám đốc</t>
        </is>
      </c>
      <c r="F10" s="50" t="n">
        <v>-14</v>
      </c>
      <c r="G10" s="50" t="inlineStr">
        <is>
          <t>Lịch</t>
        </is>
      </c>
      <c r="H10" s="50" t="inlineStr">
        <is>
          <t>Tất cả</t>
        </is>
      </c>
    </row>
    <row r="11">
      <c r="A11" s="50" t="inlineStr">
        <is>
          <t>K07</t>
        </is>
      </c>
      <c r="B11" s="50" t="inlineStr">
        <is>
          <t>3. Tuyển sinh</t>
        </is>
      </c>
      <c r="C11" s="12" t="inlineStr">
        <is>
          <t>Sales / NPP gửi đủ thông tin khách đăng ký hộ (Họ tên · SĐT · Nơi công tác)</t>
        </is>
      </c>
      <c r="D11" s="50" t="inlineStr">
        <is>
          <t>Sales</t>
        </is>
      </c>
      <c r="E11" s="50" t="inlineStr">
        <is>
          <t>NPP</t>
        </is>
      </c>
      <c r="F11" s="50" t="n">
        <v>-5</v>
      </c>
      <c r="G11" s="50" t="inlineStr">
        <is>
          <t>Lịch</t>
        </is>
      </c>
      <c r="H11" s="50" t="inlineStr">
        <is>
          <t>Tất cả</t>
        </is>
      </c>
    </row>
    <row r="12">
      <c r="A12" s="50" t="inlineStr">
        <is>
          <t>K08</t>
        </is>
      </c>
      <c r="B12" s="50" t="inlineStr">
        <is>
          <t>4. Truyền thông</t>
        </is>
      </c>
      <c r="C12" s="12" t="inlineStr">
        <is>
          <t>Đăng chuỗi bài truyền thông sự kiện</t>
        </is>
      </c>
      <c r="D12" s="50" t="inlineStr">
        <is>
          <t>Digital MKT</t>
        </is>
      </c>
      <c r="E12" s="50" t="inlineStr">
        <is>
          <t>Sales, NPP chia sẻ</t>
        </is>
      </c>
      <c r="F12" s="50" t="n">
        <v>-14</v>
      </c>
      <c r="G12" s="50" t="inlineStr">
        <is>
          <t>Lịch</t>
        </is>
      </c>
      <c r="H12" s="50" t="inlineStr">
        <is>
          <t>Tất cả</t>
        </is>
      </c>
    </row>
    <row r="13">
      <c r="A13" s="50" t="inlineStr">
        <is>
          <t>K09</t>
        </is>
      </c>
      <c r="B13" s="50" t="inlineStr">
        <is>
          <t>5. Địa điểm &amp; hậu cần</t>
        </is>
      </c>
      <c r="C13" s="12" t="inlineStr">
        <is>
          <t>Đặt địa điểm (ngày, phòng, sức chứa, báo giá)</t>
        </is>
      </c>
      <c r="D13" s="50" t="inlineStr">
        <is>
          <t>Trade MKT</t>
        </is>
      </c>
      <c r="E13" s="50" t="inlineStr">
        <is>
          <t>Địa điểm</t>
        </is>
      </c>
      <c r="F13" s="50" t="n">
        <v>-30</v>
      </c>
      <c r="G13" s="50" t="inlineStr">
        <is>
          <t>Lịch</t>
        </is>
      </c>
      <c r="H13" s="50" t="inlineStr">
        <is>
          <t>Trực tiếp</t>
        </is>
      </c>
    </row>
    <row r="14">
      <c r="A14" s="50" t="inlineStr">
        <is>
          <t>K10</t>
        </is>
      </c>
      <c r="B14" s="50" t="inlineStr">
        <is>
          <t>5. Địa điểm &amp; hậu cần</t>
        </is>
      </c>
      <c r="C14" s="12" t="inlineStr">
        <is>
          <t>Chốt setup với địa điểm: sơ đồ, tea break / ăn trưa, kỹ thuật, sự kiện khác cùng giờ</t>
        </is>
      </c>
      <c r="D14" s="50" t="inlineStr">
        <is>
          <t>Trade MKT</t>
        </is>
      </c>
      <c r="E14" s="50" t="inlineStr">
        <is>
          <t>Địa điểm</t>
        </is>
      </c>
      <c r="F14" s="50" t="n">
        <v>-14</v>
      </c>
      <c r="G14" s="50" t="inlineStr">
        <is>
          <t>Lịch</t>
        </is>
      </c>
      <c r="H14" s="50" t="inlineStr">
        <is>
          <t>Trực tiếp</t>
        </is>
      </c>
    </row>
    <row r="15">
      <c r="A15" s="50" t="inlineStr">
        <is>
          <t>K11</t>
        </is>
      </c>
      <c r="B15" s="50" t="inlineStr">
        <is>
          <t>5. Địa điểm &amp; hậu cần</t>
        </is>
      </c>
      <c r="C15" s="12" t="inlineStr">
        <is>
          <t>Webinar: tạo phòng Zoom (đăng ký, ghi hình, báo cáo người tham dự)</t>
        </is>
      </c>
      <c r="D15" s="50" t="inlineStr">
        <is>
          <t>Digital MKT</t>
        </is>
      </c>
      <c r="E15" s="50" t="inlineStr">
        <is>
          <t>KOL</t>
        </is>
      </c>
      <c r="F15" s="50" t="n">
        <v>-30</v>
      </c>
      <c r="G15" s="50" t="inlineStr">
        <is>
          <t>Lịch</t>
        </is>
      </c>
      <c r="H15" s="50" t="inlineStr">
        <is>
          <t>Webinar</t>
        </is>
      </c>
    </row>
    <row r="16">
      <c r="A16" s="50" t="inlineStr">
        <is>
          <t>K12</t>
        </is>
      </c>
      <c r="B16" s="50" t="inlineStr">
        <is>
          <t>6. Nội dung</t>
        </is>
      </c>
      <c r="C16" s="12" t="inlineStr">
        <is>
          <t>Timeline chi tiết ngày D</t>
        </is>
      </c>
      <c r="D16" s="50" t="inlineStr">
        <is>
          <t>MKT Leader</t>
        </is>
      </c>
      <c r="E16" s="50" t="inlineStr">
        <is>
          <t>KOL, Viện</t>
        </is>
      </c>
      <c r="F16" s="50" t="n">
        <v>-7</v>
      </c>
      <c r="G16" s="50" t="inlineStr">
        <is>
          <t>Lịch</t>
        </is>
      </c>
      <c r="H16" s="50" t="inlineStr">
        <is>
          <t>Tất cả</t>
        </is>
      </c>
    </row>
    <row r="17">
      <c r="A17" s="50" t="inlineStr">
        <is>
          <t>K13</t>
        </is>
      </c>
      <c r="B17" s="50" t="inlineStr">
        <is>
          <t>6. Nội dung</t>
        </is>
      </c>
      <c r="C17" s="12" t="inlineStr">
        <is>
          <t>Kịch bản MC, kịch bản phát biểu, video trình chiếu</t>
        </is>
      </c>
      <c r="D17" s="50" t="inlineStr">
        <is>
          <t>Digital MKT</t>
        </is>
      </c>
      <c r="E17" s="50" t="inlineStr">
        <is>
          <t>KOL, Viện</t>
        </is>
      </c>
      <c r="F17" s="50" t="n">
        <v>-7</v>
      </c>
      <c r="G17" s="50" t="inlineStr">
        <is>
          <t>Lịch</t>
        </is>
      </c>
      <c r="H17" s="50" t="inlineStr">
        <is>
          <t>Tất cả</t>
        </is>
      </c>
    </row>
    <row r="18">
      <c r="A18" s="50" t="inlineStr">
        <is>
          <t>K14</t>
        </is>
      </c>
      <c r="B18" s="50" t="inlineStr">
        <is>
          <t>7. Ấn phẩm &amp; đồ</t>
        </is>
      </c>
      <c r="C18" s="12" t="inlineStr">
        <is>
          <t>Thiết kế &amp; in: backdrop, standee, thẻ đeo, bảng tên, folder, QR khảo sát, biểu mẫu check-in ký tay</t>
        </is>
      </c>
      <c r="D18" s="50" t="inlineStr">
        <is>
          <t>Digital MKT</t>
        </is>
      </c>
      <c r="E18" s="50" t="inlineStr">
        <is>
          <t>Trade MKT</t>
        </is>
      </c>
      <c r="F18" s="50" t="n">
        <v>-7</v>
      </c>
      <c r="G18" s="50" t="inlineStr">
        <is>
          <t>Lịch</t>
        </is>
      </c>
      <c r="H18" s="50" t="inlineStr">
        <is>
          <t>Trực tiếp</t>
        </is>
      </c>
    </row>
    <row r="19">
      <c r="A19" s="50" t="inlineStr">
        <is>
          <t>K15</t>
        </is>
      </c>
      <c r="B19" s="50" t="inlineStr">
        <is>
          <t>7. Ấn phẩm &amp; đồ</t>
        </is>
      </c>
      <c r="C19" s="12" t="inlineStr">
        <is>
          <t>Đồ marketing + đồ thực hành theo phiên (nguồn, báo giá, đồ mượn)</t>
        </is>
      </c>
      <c r="D19" s="50" t="inlineStr">
        <is>
          <t>Trade MKT</t>
        </is>
      </c>
      <c r="E19" s="50" t="inlineStr">
        <is>
          <t>KOL, NPP</t>
        </is>
      </c>
      <c r="F19" s="50" t="n">
        <v>-10</v>
      </c>
      <c r="G19" s="50" t="inlineStr">
        <is>
          <t>Lịch</t>
        </is>
      </c>
      <c r="H19" s="50" t="inlineStr">
        <is>
          <t>Trực tiếp</t>
        </is>
      </c>
    </row>
    <row r="20">
      <c r="A20" s="50" t="inlineStr">
        <is>
          <t>K16</t>
        </is>
      </c>
      <c r="B20" s="50" t="inlineStr">
        <is>
          <t>7. Ấn phẩm &amp; đồ</t>
        </is>
      </c>
      <c r="C20" s="12" t="inlineStr">
        <is>
          <t>VIP / đại biểu (nếu có Viện): danh sách, hoa, bảng tên mica, quà, lời giới thiệu</t>
        </is>
      </c>
      <c r="D20" s="50" t="inlineStr">
        <is>
          <t>Trade MKT</t>
        </is>
      </c>
      <c r="E20" s="50" t="inlineStr">
        <is>
          <t>Viện</t>
        </is>
      </c>
      <c r="F20" s="50" t="n">
        <v>-7</v>
      </c>
      <c r="G20" s="50" t="inlineStr">
        <is>
          <t>Lịch</t>
        </is>
      </c>
      <c r="H20" s="50" t="inlineStr">
        <is>
          <t>Trực tiếp</t>
        </is>
      </c>
    </row>
    <row r="21">
      <c r="A21" s="50" t="inlineStr">
        <is>
          <t>K17</t>
        </is>
      </c>
      <c r="B21" s="50" t="inlineStr">
        <is>
          <t>7. Ấn phẩm &amp; đồ</t>
        </is>
      </c>
      <c r="C21" s="12" t="inlineStr">
        <is>
          <t>Gửi đồ đi tỉnh + xác nhận địa điểm nhận đủ</t>
        </is>
      </c>
      <c r="D21" s="50" t="inlineStr">
        <is>
          <t>Trade MKT</t>
        </is>
      </c>
      <c r="E21" s="50" t="inlineStr">
        <is>
          <t>Địa điểm</t>
        </is>
      </c>
      <c r="F21" s="50" t="n">
        <v>-7</v>
      </c>
      <c r="G21" s="50" t="inlineStr">
        <is>
          <t>Lịch</t>
        </is>
      </c>
      <c r="H21" s="50" t="inlineStr">
        <is>
          <t>Ngoài Hà Nội</t>
        </is>
      </c>
    </row>
    <row r="22">
      <c r="A22" s="50" t="inlineStr">
        <is>
          <t>K18</t>
        </is>
      </c>
      <c r="B22" s="50" t="inlineStr">
        <is>
          <t>8. Chốt trước D</t>
        </is>
      </c>
      <c r="C22" s="12" t="inlineStr">
        <is>
          <t>Họp với NPP: agenda, nhân sự, bán hàng, sản phẩm</t>
        </is>
      </c>
      <c r="D22" s="50" t="inlineStr">
        <is>
          <t>MKT Leader</t>
        </is>
      </c>
      <c r="E22" s="50" t="inlineStr">
        <is>
          <t>NPP, Sales</t>
        </is>
      </c>
      <c r="F22" s="50" t="n">
        <v>-3</v>
      </c>
      <c r="G22" s="50" t="inlineStr">
        <is>
          <t>Lịch</t>
        </is>
      </c>
      <c r="H22" s="50" t="inlineStr">
        <is>
          <t>Tất cả</t>
        </is>
      </c>
    </row>
    <row r="23">
      <c r="A23" s="50" t="inlineStr">
        <is>
          <t>K19</t>
        </is>
      </c>
      <c r="B23" s="50" t="inlineStr">
        <is>
          <t>8. Chốt trước D</t>
        </is>
      </c>
      <c r="C23" s="12" t="inlineStr">
        <is>
          <t>Rà soát dữ liệu khách (thiếu thông tin / chưa đồng ý dữ liệu)</t>
        </is>
      </c>
      <c r="D23" s="50" t="inlineStr">
        <is>
          <t>Digital MKT</t>
        </is>
      </c>
      <c r="E23" s="50" t="inlineStr">
        <is>
          <t>Sales, NPP</t>
        </is>
      </c>
      <c r="F23" s="50" t="n">
        <v>-3</v>
      </c>
      <c r="G23" s="50" t="inlineStr">
        <is>
          <t>Lịch</t>
        </is>
      </c>
      <c r="H23" s="50" t="inlineStr">
        <is>
          <t>Tất cả</t>
        </is>
      </c>
    </row>
    <row r="24">
      <c r="A24" s="50" t="inlineStr">
        <is>
          <t>K20</t>
        </is>
      </c>
      <c r="B24" s="50" t="inlineStr">
        <is>
          <t>8. Chốt trước D</t>
        </is>
      </c>
      <c r="C24" s="12" t="inlineStr">
        <is>
          <t>Phân công nhân sự trước / trong / sau, giờ có mặt</t>
        </is>
      </c>
      <c r="D24" s="50" t="inlineStr">
        <is>
          <t>MKT Leader</t>
        </is>
      </c>
      <c r="E24" s="50" t="inlineStr">
        <is>
          <t>Sales, NPP</t>
        </is>
      </c>
      <c r="F24" s="50" t="n">
        <v>-3</v>
      </c>
      <c r="G24" s="50" t="inlineStr">
        <is>
          <t>Lịch</t>
        </is>
      </c>
      <c r="H24" s="50" t="inlineStr">
        <is>
          <t>Tất cả</t>
        </is>
      </c>
    </row>
    <row r="25">
      <c r="A25" s="50" t="inlineStr">
        <is>
          <t>K21</t>
        </is>
      </c>
      <c r="B25" s="50" t="inlineStr">
        <is>
          <t>8. Chốt trước D</t>
        </is>
      </c>
      <c r="C25" s="12" t="inlineStr">
        <is>
          <t>Họp review D-1 + gọi nhắc khách + set up địa điểm / chạy thử Zoom</t>
        </is>
      </c>
      <c r="D25" s="50" t="inlineStr">
        <is>
          <t>MKT Leader</t>
        </is>
      </c>
      <c r="E25" s="50" t="inlineStr">
        <is>
          <t>Toàn team</t>
        </is>
      </c>
      <c r="F25" s="50" t="n">
        <v>-1</v>
      </c>
      <c r="G25" s="50" t="inlineStr">
        <is>
          <t>Lịch</t>
        </is>
      </c>
      <c r="H25" s="50" t="inlineStr">
        <is>
          <t>Tất cả</t>
        </is>
      </c>
    </row>
    <row r="26">
      <c r="A26" s="50" t="inlineStr">
        <is>
          <t>K22</t>
        </is>
      </c>
      <c r="B26" s="50" t="inlineStr">
        <is>
          <t>9. Ngày D</t>
        </is>
      </c>
      <c r="C26" s="12" t="inlineStr">
        <is>
          <t>Check-in có chữ ký + đồng ý dữ liệu (webinar: xuất báo cáo Zoom ngay sau buổi)</t>
        </is>
      </c>
      <c r="D26" s="50" t="inlineStr">
        <is>
          <t>Digital MKT</t>
        </is>
      </c>
      <c r="E26" s="50" t="inlineStr">
        <is>
          <t>Trade, NPP</t>
        </is>
      </c>
      <c r="F26" s="50" t="n">
        <v>0</v>
      </c>
      <c r="G26" s="50" t="inlineStr">
        <is>
          <t>Lịch</t>
        </is>
      </c>
      <c r="H26" s="50" t="inlineStr">
        <is>
          <t>Tất cả</t>
        </is>
      </c>
    </row>
    <row r="27">
      <c r="A27" s="50" t="inlineStr">
        <is>
          <t>K23</t>
        </is>
      </c>
      <c r="B27" s="50" t="inlineStr">
        <is>
          <t>9. Ngày D</t>
        </is>
      </c>
      <c r="C27" s="12" t="inlineStr">
        <is>
          <t>Điều phối chương trình, khảo sát QR trước bế mạc, ảnh / video</t>
        </is>
      </c>
      <c r="D27" s="50" t="inlineStr">
        <is>
          <t>MKT Leader</t>
        </is>
      </c>
      <c r="E27" s="50" t="inlineStr">
        <is>
          <t>Digital MKT</t>
        </is>
      </c>
      <c r="F27" s="50" t="n">
        <v>0</v>
      </c>
      <c r="G27" s="50" t="inlineStr">
        <is>
          <t>Lịch</t>
        </is>
      </c>
      <c r="H27" s="50" t="inlineStr">
        <is>
          <t>Tất cả</t>
        </is>
      </c>
    </row>
    <row r="28">
      <c r="A28" s="50" t="inlineStr">
        <is>
          <t>K24</t>
        </is>
      </c>
      <c r="B28" s="50" t="inlineStr">
        <is>
          <t>9. Ngày D</t>
        </is>
      </c>
      <c r="C28" s="12" t="inlineStr">
        <is>
          <t>Bán hàng tại bàn trưng bày + ghi khách quan tâm</t>
        </is>
      </c>
      <c r="D28" s="50" t="inlineStr">
        <is>
          <t>Sales</t>
        </is>
      </c>
      <c r="E28" s="50" t="inlineStr">
        <is>
          <t>NPP</t>
        </is>
      </c>
      <c r="F28" s="50" t="n">
        <v>0</v>
      </c>
      <c r="G28" s="50" t="inlineStr">
        <is>
          <t>Lịch</t>
        </is>
      </c>
      <c r="H28" s="50" t="inlineStr">
        <is>
          <t>Trực tiếp</t>
        </is>
      </c>
    </row>
    <row r="29">
      <c r="A29" s="50" t="inlineStr">
        <is>
          <t>K25</t>
        </is>
      </c>
      <c r="B29" s="50" t="inlineStr">
        <is>
          <t>9. Ngày D</t>
        </is>
      </c>
      <c r="C29" s="12" t="inlineStr">
        <is>
          <t>Thu dọn, kiểm đếm, ghi POSM hỏng</t>
        </is>
      </c>
      <c r="D29" s="50" t="inlineStr">
        <is>
          <t>Trade MKT</t>
        </is>
      </c>
      <c r="E29" s="50" t="inlineStr">
        <is>
          <t>NPP</t>
        </is>
      </c>
      <c r="F29" s="50" t="n">
        <v>0</v>
      </c>
      <c r="G29" s="50" t="inlineStr">
        <is>
          <t>Lịch</t>
        </is>
      </c>
      <c r="H29" s="50" t="inlineStr">
        <is>
          <t>Trực tiếp</t>
        </is>
      </c>
    </row>
    <row r="30">
      <c r="A30" s="50" t="inlineStr">
        <is>
          <t>K26</t>
        </is>
      </c>
      <c r="B30" s="50" t="inlineStr">
        <is>
          <t>10. Sau sự kiện</t>
        </is>
      </c>
      <c r="C30" s="12" t="inlineStr">
        <is>
          <t>Bài cảm ơn + ảnh recap; video recap (nếu có)</t>
        </is>
      </c>
      <c r="D30" s="50" t="inlineStr">
        <is>
          <t>Digital MKT</t>
        </is>
      </c>
      <c r="E30" s="50" t="inlineStr"/>
      <c r="F30" s="50" t="n">
        <v>2</v>
      </c>
      <c r="G30" s="50" t="inlineStr">
        <is>
          <t>Làm việc</t>
        </is>
      </c>
      <c r="H30" s="50" t="inlineStr">
        <is>
          <t>Tất cả</t>
        </is>
      </c>
    </row>
    <row r="31">
      <c r="A31" s="50" t="inlineStr">
        <is>
          <t>K27</t>
        </is>
      </c>
      <c r="B31" s="50" t="inlineStr">
        <is>
          <t>10. Sau sự kiện</t>
        </is>
      </c>
      <c r="C31" s="12" t="inlineStr">
        <is>
          <t>Scan biểu mẫu ký tay + upload ảnh / video lên folder sự kiện</t>
        </is>
      </c>
      <c r="D31" s="50" t="inlineStr">
        <is>
          <t>Trade MKT</t>
        </is>
      </c>
      <c r="E31" s="50" t="inlineStr">
        <is>
          <t>Digital MKT</t>
        </is>
      </c>
      <c r="F31" s="50" t="n">
        <v>2</v>
      </c>
      <c r="G31" s="50" t="inlineStr">
        <is>
          <t>Làm việc</t>
        </is>
      </c>
      <c r="H31" s="50" t="inlineStr">
        <is>
          <t>Trực tiếp</t>
        </is>
      </c>
    </row>
    <row r="32">
      <c r="A32" s="50" t="inlineStr">
        <is>
          <t>K28</t>
        </is>
      </c>
      <c r="B32" s="50" t="inlineStr">
        <is>
          <t>10. Sau sự kiện</t>
        </is>
      </c>
      <c r="C32" s="12" t="inlineStr">
        <is>
          <t>Đối chiếu dữ liệu khách (loại trùng, đủ trường) ⇒ CUSTOMER LIST; tổng hợp khảo sát</t>
        </is>
      </c>
      <c r="D32" s="50" t="inlineStr">
        <is>
          <t>Digital MKT</t>
        </is>
      </c>
      <c r="E32" s="50" t="inlineStr">
        <is>
          <t>Sales, NPP</t>
        </is>
      </c>
      <c r="F32" s="50" t="n">
        <v>3</v>
      </c>
      <c r="G32" s="50" t="inlineStr">
        <is>
          <t>Làm việc</t>
        </is>
      </c>
      <c r="H32" s="50" t="inlineStr">
        <is>
          <t>Tất cả</t>
        </is>
      </c>
    </row>
    <row r="33">
      <c r="A33" s="50" t="inlineStr">
        <is>
          <t>K29</t>
        </is>
      </c>
      <c r="B33" s="50" t="inlineStr">
        <is>
          <t>10. Sau sự kiện</t>
        </is>
      </c>
      <c r="C33" s="12" t="inlineStr">
        <is>
          <t>Sales + NPP gửi số liệu bán hàng tại sự kiện</t>
        </is>
      </c>
      <c r="D33" s="50" t="inlineStr">
        <is>
          <t>Sales</t>
        </is>
      </c>
      <c r="E33" s="50" t="inlineStr">
        <is>
          <t>NPP</t>
        </is>
      </c>
      <c r="F33" s="50" t="n">
        <v>3</v>
      </c>
      <c r="G33" s="50" t="inlineStr">
        <is>
          <t>Làm việc</t>
        </is>
      </c>
      <c r="H33" s="50" t="inlineStr">
        <is>
          <t>Tất cả</t>
        </is>
      </c>
    </row>
    <row r="34">
      <c r="A34" s="50" t="inlineStr">
        <is>
          <t>K30</t>
        </is>
      </c>
      <c r="B34" s="50" t="inlineStr">
        <is>
          <t>10. Sau sự kiện</t>
        </is>
      </c>
      <c r="C34" s="12" t="inlineStr">
        <is>
          <t>Bàn giao danh sách khách cần follow-up cho Sales</t>
        </is>
      </c>
      <c r="D34" s="50" t="inlineStr">
        <is>
          <t>Digital MKT</t>
        </is>
      </c>
      <c r="E34" s="50" t="inlineStr">
        <is>
          <t>Sales</t>
        </is>
      </c>
      <c r="F34" s="50" t="n">
        <v>3</v>
      </c>
      <c r="G34" s="50" t="inlineStr">
        <is>
          <t>Làm việc</t>
        </is>
      </c>
      <c r="H34" s="50" t="inlineStr">
        <is>
          <t>Tất cả</t>
        </is>
      </c>
    </row>
    <row r="35">
      <c r="A35" s="50" t="inlineStr">
        <is>
          <t>K31</t>
        </is>
      </c>
      <c r="B35" s="50" t="inlineStr">
        <is>
          <t>10. Sau sự kiện</t>
        </is>
      </c>
      <c r="C35" s="12" t="inlineStr">
        <is>
          <t>Báo cáo sự kiện + chứng từ KOL, hoá đơn địa điểm</t>
        </is>
      </c>
      <c r="D35" s="50" t="inlineStr">
        <is>
          <t>MKT Leader</t>
        </is>
      </c>
      <c r="E35" s="50" t="inlineStr">
        <is>
          <t>Trade MKT</t>
        </is>
      </c>
      <c r="F35" s="50" t="n">
        <v>5</v>
      </c>
      <c r="G35" s="50" t="inlineStr">
        <is>
          <t>Làm việc</t>
        </is>
      </c>
      <c r="H35" s="50" t="inlineStr">
        <is>
          <t>Tất cả</t>
        </is>
      </c>
    </row>
    <row r="36">
      <c r="A36" s="50" t="inlineStr">
        <is>
          <t>K32</t>
        </is>
      </c>
      <c r="B36" s="50" t="inlineStr">
        <is>
          <t>10. Sau sự kiện</t>
        </is>
      </c>
      <c r="C36" s="12" t="inlineStr">
        <is>
          <t>Email báo cáo toàn MMH (4 file đính kèm) + hoàn tất lưu hồ sơ</t>
        </is>
      </c>
      <c r="D36" s="50" t="inlineStr">
        <is>
          <t>MKT Leader</t>
        </is>
      </c>
      <c r="E36" s="50" t="inlineStr"/>
      <c r="F36" s="50" t="n">
        <v>7</v>
      </c>
      <c r="G36" s="50" t="inlineStr">
        <is>
          <t>Làm việc</t>
        </is>
      </c>
      <c r="H36" s="50" t="inlineStr">
        <is>
          <t>Tất cả</t>
        </is>
      </c>
    </row>
    <row r="37">
      <c r="A37" s="50" t="inlineStr">
        <is>
          <t>K33</t>
        </is>
      </c>
      <c r="B37" s="50" t="inlineStr">
        <is>
          <t>11. Follow-up</t>
        </is>
      </c>
      <c r="C37" s="12" t="inlineStr">
        <is>
          <t>Sales liên hệ lần đầu khách cần follow-up</t>
        </is>
      </c>
      <c r="D37" s="50" t="inlineStr">
        <is>
          <t>Sales</t>
        </is>
      </c>
      <c r="E37" s="50" t="inlineStr">
        <is>
          <t>NPP</t>
        </is>
      </c>
      <c r="F37" s="50" t="n">
        <v>5</v>
      </c>
      <c r="G37" s="50" t="inlineStr">
        <is>
          <t>Làm việc</t>
        </is>
      </c>
      <c r="H37" s="50" t="inlineStr">
        <is>
          <t>Tất cả</t>
        </is>
      </c>
    </row>
    <row r="38">
      <c r="A38" s="50" t="inlineStr">
        <is>
          <t>K34</t>
        </is>
      </c>
      <c r="B38" s="50" t="inlineStr">
        <is>
          <t>11. Follow-up</t>
        </is>
      </c>
      <c r="C38" s="12" t="inlineStr">
        <is>
          <t>Sales báo kết quả chuyển đổi đơn hàng</t>
        </is>
      </c>
      <c r="D38" s="50" t="inlineStr">
        <is>
          <t>Sales</t>
        </is>
      </c>
      <c r="E38" s="50" t="inlineStr">
        <is>
          <t>NPP</t>
        </is>
      </c>
      <c r="F38" s="50" t="n">
        <v>20</v>
      </c>
      <c r="G38" s="50" t="inlineStr">
        <is>
          <t>Làm việc</t>
        </is>
      </c>
      <c r="H38" s="50" t="inlineStr">
        <is>
          <t>Tất cả</t>
        </is>
      </c>
    </row>
    <row r="39">
      <c r="A39" s="50" t="n"/>
      <c r="B39" s="50" t="n"/>
      <c r="C39" s="12" t="n"/>
      <c r="D39" s="50" t="n"/>
      <c r="E39" s="50" t="n"/>
      <c r="F39" s="50" t="n"/>
      <c r="G39" s="50" t="n"/>
      <c r="H39" s="50" t="n"/>
    </row>
    <row r="40">
      <c r="A40" s="50" t="n"/>
      <c r="B40" s="50" t="n"/>
      <c r="C40" s="12" t="n"/>
      <c r="D40" s="50" t="n"/>
      <c r="E40" s="50" t="n"/>
      <c r="F40" s="50" t="n"/>
      <c r="G40" s="50" t="n"/>
      <c r="H40" s="50" t="n"/>
    </row>
    <row r="41">
      <c r="A41" s="50" t="n"/>
      <c r="B41" s="50" t="n"/>
      <c r="C41" s="12" t="n"/>
      <c r="D41" s="50" t="n"/>
      <c r="E41" s="50" t="n"/>
      <c r="F41" s="50" t="n"/>
      <c r="G41" s="50" t="n"/>
      <c r="H41" s="50" t="n"/>
    </row>
    <row r="42">
      <c r="A42" s="50" t="n"/>
      <c r="B42" s="50" t="n"/>
      <c r="C42" s="12" t="n"/>
      <c r="D42" s="50" t="n"/>
      <c r="E42" s="50" t="n"/>
      <c r="F42" s="50" t="n"/>
      <c r="G42" s="50" t="n"/>
      <c r="H42" s="50" t="n"/>
    </row>
    <row r="43">
      <c r="A43" s="50" t="n"/>
      <c r="B43" s="50" t="n"/>
      <c r="C43" s="12" t="n"/>
      <c r="D43" s="50" t="n"/>
      <c r="E43" s="50" t="n"/>
      <c r="F43" s="50" t="n"/>
      <c r="G43" s="50" t="n"/>
      <c r="H43" s="50" t="n"/>
    </row>
    <row r="44">
      <c r="A44" s="50" t="n"/>
      <c r="B44" s="50" t="n"/>
      <c r="C44" s="12" t="n"/>
      <c r="D44" s="50" t="n"/>
      <c r="E44" s="50" t="n"/>
      <c r="F44" s="50" t="n"/>
      <c r="G44" s="50" t="n"/>
      <c r="H44" s="50" t="n"/>
    </row>
    <row r="45">
      <c r="A45" s="50" t="n"/>
      <c r="B45" s="50" t="n"/>
      <c r="C45" s="12" t="n"/>
      <c r="D45" s="50" t="n"/>
      <c r="E45" s="50" t="n"/>
      <c r="F45" s="50" t="n"/>
      <c r="G45" s="50" t="n"/>
      <c r="H45" s="50" t="n"/>
    </row>
    <row r="46">
      <c r="A46" s="50" t="n"/>
      <c r="B46" s="50" t="n"/>
      <c r="C46" s="12" t="n"/>
      <c r="D46" s="50" t="n"/>
      <c r="E46" s="50" t="n"/>
      <c r="F46" s="50" t="n"/>
      <c r="G46" s="50" t="n"/>
      <c r="H46" s="50" t="n"/>
    </row>
    <row r="47">
      <c r="A47" s="50" t="n"/>
      <c r="B47" s="50" t="n"/>
      <c r="C47" s="12" t="n"/>
      <c r="D47" s="50" t="n"/>
      <c r="E47" s="50" t="n"/>
      <c r="F47" s="50" t="n"/>
      <c r="G47" s="50" t="n"/>
      <c r="H47" s="50" t="n"/>
    </row>
    <row r="48">
      <c r="A48" s="50" t="n"/>
      <c r="B48" s="50" t="n"/>
      <c r="C48" s="12" t="n"/>
      <c r="D48" s="50" t="n"/>
      <c r="E48" s="50" t="n"/>
      <c r="F48" s="50" t="n"/>
      <c r="G48" s="50" t="n"/>
      <c r="H48" s="50" t="n"/>
    </row>
    <row r="49">
      <c r="A49" s="50" t="n"/>
      <c r="B49" s="50" t="n"/>
      <c r="C49" s="12" t="n"/>
      <c r="D49" s="50" t="n"/>
      <c r="E49" s="50" t="n"/>
      <c r="F49" s="50" t="n"/>
      <c r="G49" s="50" t="n"/>
      <c r="H49" s="50" t="n"/>
    </row>
    <row r="50">
      <c r="A50" s="50" t="n"/>
      <c r="B50" s="50" t="n"/>
      <c r="C50" s="12" t="n"/>
      <c r="D50" s="50" t="n"/>
      <c r="E50" s="50" t="n"/>
      <c r="F50" s="50" t="n"/>
      <c r="G50" s="50" t="n"/>
      <c r="H50" s="50" t="n"/>
    </row>
    <row r="51">
      <c r="A51" s="50" t="n"/>
      <c r="B51" s="50" t="n"/>
      <c r="C51" s="12" t="n"/>
      <c r="D51" s="50" t="n"/>
      <c r="E51" s="50" t="n"/>
      <c r="F51" s="50" t="n"/>
      <c r="G51" s="50" t="n"/>
      <c r="H51" s="50" t="n"/>
    </row>
    <row r="52">
      <c r="A52" s="50" t="n"/>
      <c r="B52" s="50" t="n"/>
      <c r="C52" s="12" t="n"/>
      <c r="D52" s="50" t="n"/>
      <c r="E52" s="50" t="n"/>
      <c r="F52" s="50" t="n"/>
      <c r="G52" s="50" t="n"/>
      <c r="H52" s="50" t="n"/>
    </row>
    <row r="53">
      <c r="A53" s="50" t="n"/>
      <c r="B53" s="50" t="n"/>
      <c r="C53" s="12" t="n"/>
      <c r="D53" s="50" t="n"/>
      <c r="E53" s="50" t="n"/>
      <c r="F53" s="50" t="n"/>
      <c r="G53" s="50" t="n"/>
      <c r="H53" s="50" t="n"/>
    </row>
    <row r="54">
      <c r="A54" s="50" t="n"/>
      <c r="B54" s="50" t="n"/>
      <c r="C54" s="12" t="n"/>
      <c r="D54" s="50" t="n"/>
      <c r="E54" s="50" t="n"/>
      <c r="F54" s="50" t="n"/>
      <c r="G54" s="50" t="n"/>
      <c r="H54" s="50" t="n"/>
    </row>
    <row r="55">
      <c r="A55" s="50" t="n"/>
      <c r="B55" s="50" t="n"/>
      <c r="C55" s="12" t="n"/>
      <c r="D55" s="50" t="n"/>
      <c r="E55" s="50" t="n"/>
      <c r="F55" s="50" t="n"/>
      <c r="G55" s="50" t="n"/>
      <c r="H55" s="50" t="n"/>
    </row>
    <row r="56">
      <c r="A56" s="50" t="n"/>
      <c r="B56" s="50" t="n"/>
      <c r="C56" s="12" t="n"/>
      <c r="D56" s="50" t="n"/>
      <c r="E56" s="50" t="n"/>
      <c r="F56" s="50" t="n"/>
      <c r="G56" s="50" t="n"/>
      <c r="H56" s="50" t="n"/>
    </row>
    <row r="57">
      <c r="A57" s="50" t="n"/>
      <c r="B57" s="50" t="n"/>
      <c r="C57" s="12" t="n"/>
      <c r="D57" s="50" t="n"/>
      <c r="E57" s="50" t="n"/>
      <c r="F57" s="50" t="n"/>
      <c r="G57" s="50" t="n"/>
      <c r="H57" s="50" t="n"/>
    </row>
    <row r="58">
      <c r="A58" s="50" t="n"/>
      <c r="B58" s="50" t="n"/>
      <c r="C58" s="12" t="n"/>
      <c r="D58" s="50" t="n"/>
      <c r="E58" s="50" t="n"/>
      <c r="F58" s="50" t="n"/>
      <c r="G58" s="50" t="n"/>
      <c r="H58" s="50" t="n"/>
    </row>
    <row r="59">
      <c r="A59" s="50" t="n"/>
      <c r="B59" s="50" t="n"/>
      <c r="C59" s="12" t="n"/>
      <c r="D59" s="50" t="n"/>
      <c r="E59" s="50" t="n"/>
      <c r="F59" s="50" t="n"/>
      <c r="G59" s="50" t="n"/>
      <c r="H59" s="50" t="n"/>
    </row>
    <row r="60">
      <c r="A60" s="50" t="n"/>
      <c r="B60" s="50" t="n"/>
      <c r="C60" s="12" t="n"/>
      <c r="D60" s="50" t="n"/>
      <c r="E60" s="50" t="n"/>
      <c r="F60" s="50" t="n"/>
      <c r="G60" s="50" t="n"/>
      <c r="H60" s="50" t="n"/>
    </row>
    <row r="61">
      <c r="A61" s="50" t="n"/>
      <c r="B61" s="50" t="n"/>
      <c r="C61" s="12" t="n"/>
      <c r="D61" s="50" t="n"/>
      <c r="E61" s="50" t="n"/>
      <c r="F61" s="50" t="n"/>
      <c r="G61" s="50" t="n"/>
      <c r="H61" s="50" t="n"/>
    </row>
    <row r="62">
      <c r="A62" s="50" t="n"/>
      <c r="B62" s="50" t="n"/>
      <c r="C62" s="12" t="n"/>
      <c r="D62" s="50" t="n"/>
      <c r="E62" s="50" t="n"/>
      <c r="F62" s="50" t="n"/>
      <c r="G62" s="50" t="n"/>
      <c r="H62" s="50" t="n"/>
    </row>
    <row r="63">
      <c r="A63" s="50" t="n"/>
      <c r="B63" s="50" t="n"/>
      <c r="C63" s="12" t="n"/>
      <c r="D63" s="50" t="n"/>
      <c r="E63" s="50" t="n"/>
      <c r="F63" s="50" t="n"/>
      <c r="G63" s="50" t="n"/>
      <c r="H63" s="50" t="n"/>
    </row>
    <row r="64">
      <c r="A64" s="50" t="n"/>
      <c r="B64" s="50" t="n"/>
      <c r="C64" s="12" t="n"/>
      <c r="D64" s="50" t="n"/>
      <c r="E64" s="50" t="n"/>
      <c r="F64" s="50" t="n"/>
      <c r="G64" s="50" t="n"/>
      <c r="H64" s="50" t="n"/>
    </row>
    <row r="65">
      <c r="A65" s="50" t="n"/>
      <c r="B65" s="50" t="n"/>
      <c r="C65" s="12" t="n"/>
      <c r="D65" s="50" t="n"/>
      <c r="E65" s="50" t="n"/>
      <c r="F65" s="50" t="n"/>
      <c r="G65" s="50" t="n"/>
      <c r="H65" s="50" t="n"/>
    </row>
    <row r="66">
      <c r="A66" s="50" t="n"/>
      <c r="B66" s="50" t="n"/>
      <c r="C66" s="12" t="n"/>
      <c r="D66" s="50" t="n"/>
      <c r="E66" s="50" t="n"/>
      <c r="F66" s="50" t="n"/>
      <c r="G66" s="50" t="n"/>
      <c r="H66" s="50" t="n"/>
    </row>
    <row r="67">
      <c r="A67" s="50" t="n"/>
      <c r="B67" s="50" t="n"/>
      <c r="C67" s="12" t="n"/>
      <c r="D67" s="50" t="n"/>
      <c r="E67" s="50" t="n"/>
      <c r="F67" s="50" t="n"/>
      <c r="G67" s="50" t="n"/>
      <c r="H67" s="50" t="n"/>
    </row>
    <row r="68">
      <c r="A68" s="50" t="n"/>
      <c r="B68" s="50" t="n"/>
      <c r="C68" s="12" t="n"/>
      <c r="D68" s="50" t="n"/>
      <c r="E68" s="50" t="n"/>
      <c r="F68" s="50" t="n"/>
      <c r="G68" s="50" t="n"/>
      <c r="H68" s="50" t="n"/>
    </row>
    <row r="69">
      <c r="A69" s="50" t="n"/>
      <c r="B69" s="50" t="n"/>
      <c r="C69" s="12" t="n"/>
      <c r="D69" s="50" t="n"/>
      <c r="E69" s="50" t="n"/>
      <c r="F69" s="50" t="n"/>
      <c r="G69" s="50" t="n"/>
      <c r="H69" s="50" t="n"/>
    </row>
    <row r="70">
      <c r="A70" s="50" t="n"/>
      <c r="B70" s="50" t="n"/>
      <c r="C70" s="12" t="n"/>
      <c r="D70" s="50" t="n"/>
      <c r="E70" s="50" t="n"/>
      <c r="F70" s="50" t="n"/>
      <c r="G70" s="50" t="n"/>
      <c r="H70" s="50" t="n"/>
    </row>
    <row r="71">
      <c r="A71" s="50" t="n"/>
      <c r="B71" s="50" t="n"/>
      <c r="C71" s="12" t="n"/>
      <c r="D71" s="50" t="n"/>
      <c r="E71" s="50" t="n"/>
      <c r="F71" s="50" t="n"/>
      <c r="G71" s="50" t="n"/>
      <c r="H71" s="50" t="n"/>
    </row>
    <row r="72">
      <c r="A72" s="50" t="n"/>
      <c r="B72" s="50" t="n"/>
      <c r="C72" s="12" t="n"/>
      <c r="D72" s="50" t="n"/>
      <c r="E72" s="50" t="n"/>
      <c r="F72" s="50" t="n"/>
      <c r="G72" s="50" t="n"/>
      <c r="H72" s="50" t="n"/>
    </row>
    <row r="73">
      <c r="A73" s="50" t="n"/>
      <c r="B73" s="50" t="n"/>
      <c r="C73" s="12" t="n"/>
      <c r="D73" s="50" t="n"/>
      <c r="E73" s="50" t="n"/>
      <c r="F73" s="50" t="n"/>
      <c r="G73" s="50" t="n"/>
      <c r="H73" s="50" t="n"/>
    </row>
    <row r="74">
      <c r="A74" s="50" t="n"/>
      <c r="B74" s="50" t="n"/>
      <c r="C74" s="12" t="n"/>
      <c r="D74" s="50" t="n"/>
      <c r="E74" s="50" t="n"/>
      <c r="F74" s="50" t="n"/>
      <c r="G74" s="50" t="n"/>
      <c r="H74" s="50" t="n"/>
    </row>
    <row r="75">
      <c r="A75" s="50" t="n"/>
      <c r="B75" s="50" t="n"/>
      <c r="C75" s="12" t="n"/>
      <c r="D75" s="50" t="n"/>
      <c r="E75" s="50" t="n"/>
      <c r="F75" s="50" t="n"/>
      <c r="G75" s="50" t="n"/>
      <c r="H75" s="50" t="n"/>
    </row>
    <row r="76">
      <c r="A76" s="50" t="n"/>
      <c r="B76" s="50" t="n"/>
      <c r="C76" s="12" t="n"/>
      <c r="D76" s="50" t="n"/>
      <c r="E76" s="50" t="n"/>
      <c r="F76" s="50" t="n"/>
      <c r="G76" s="50" t="n"/>
      <c r="H76" s="50" t="n"/>
    </row>
    <row r="77">
      <c r="A77" s="50" t="n"/>
      <c r="B77" s="50" t="n"/>
      <c r="C77" s="12" t="n"/>
      <c r="D77" s="50" t="n"/>
      <c r="E77" s="50" t="n"/>
      <c r="F77" s="50" t="n"/>
      <c r="G77" s="50" t="n"/>
      <c r="H77" s="50" t="n"/>
    </row>
    <row r="78">
      <c r="A78" s="50" t="n"/>
      <c r="B78" s="50" t="n"/>
      <c r="C78" s="12" t="n"/>
      <c r="D78" s="50" t="n"/>
      <c r="E78" s="50" t="n"/>
      <c r="F78" s="50" t="n"/>
      <c r="G78" s="50" t="n"/>
      <c r="H78" s="50" t="n"/>
    </row>
    <row r="79">
      <c r="A79" s="50" t="n"/>
      <c r="B79" s="50" t="n"/>
      <c r="C79" s="12" t="n"/>
      <c r="D79" s="50" t="n"/>
      <c r="E79" s="50" t="n"/>
      <c r="F79" s="50" t="n"/>
      <c r="G79" s="50" t="n"/>
      <c r="H79" s="50" t="n"/>
    </row>
    <row r="80">
      <c r="A80" s="50" t="n"/>
      <c r="B80" s="50" t="n"/>
      <c r="C80" s="12" t="n"/>
      <c r="D80" s="50" t="n"/>
      <c r="E80" s="50" t="n"/>
      <c r="F80" s="50" t="n"/>
      <c r="G80" s="50" t="n"/>
      <c r="H80" s="50" t="n"/>
    </row>
    <row r="81">
      <c r="A81" s="50" t="n"/>
      <c r="B81" s="50" t="n"/>
      <c r="C81" s="12" t="n"/>
      <c r="D81" s="50" t="n"/>
      <c r="E81" s="50" t="n"/>
      <c r="F81" s="50" t="n"/>
      <c r="G81" s="50" t="n"/>
      <c r="H81" s="50" t="n"/>
    </row>
    <row r="82">
      <c r="A82" s="50" t="n"/>
      <c r="B82" s="50" t="n"/>
      <c r="C82" s="12" t="n"/>
      <c r="D82" s="50" t="n"/>
      <c r="E82" s="50" t="n"/>
      <c r="F82" s="50" t="n"/>
      <c r="G82" s="50" t="n"/>
      <c r="H82" s="50" t="n"/>
    </row>
    <row r="83">
      <c r="A83" s="50" t="n"/>
      <c r="B83" s="50" t="n"/>
      <c r="C83" s="12" t="n"/>
      <c r="D83" s="50" t="n"/>
      <c r="E83" s="50" t="n"/>
      <c r="F83" s="50" t="n"/>
      <c r="G83" s="50" t="n"/>
      <c r="H83" s="50" t="n"/>
    </row>
    <row r="84">
      <c r="A84" s="50" t="n"/>
      <c r="B84" s="50" t="n"/>
      <c r="C84" s="12" t="n"/>
      <c r="D84" s="50" t="n"/>
      <c r="E84" s="50" t="n"/>
      <c r="F84" s="50" t="n"/>
      <c r="G84" s="50" t="n"/>
      <c r="H84" s="50" t="n"/>
    </row>
  </sheetData>
  <dataValidations count="3">
    <dataValidation sqref="D5:D84" showDropDown="0" showInputMessage="0" showErrorMessage="0" allowBlank="1" type="list">
      <formula1>"MKT Leader,Digital MKT,Trade MKT,Sales,NPP / đối tác,Giám đốc"</formula1>
    </dataValidation>
    <dataValidation sqref="G5:G84" showDropDown="0" showInputMessage="0" showErrorMessage="0" allowBlank="1" type="list">
      <formula1>"Lịch,Làm việc"</formula1>
    </dataValidation>
    <dataValidation sqref="H5:H84" showDropDown="0" showInputMessage="0" showErrorMessage="0" allowBlank="1" type="list">
      <formula1>"Tất cả,Trực tiếp,Webinar,Ngoài Hà Nội"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0B8C2"/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" customWidth="1" min="3" max="3"/>
    <col width="24" customWidth="1" min="4" max="4"/>
    <col width="12" customWidth="1" min="5" max="5"/>
    <col width="28" customWidth="1" min="6" max="6"/>
    <col width="3" customWidth="1" min="7" max="7"/>
    <col width="18" customWidth="1" min="8" max="8"/>
  </cols>
  <sheetData>
    <row r="1" ht="26" customHeight="1">
      <c r="A1" s="1" t="inlineStr">
        <is>
          <t>CÀI ĐẶT</t>
        </is>
      </c>
    </row>
    <row r="2">
      <c r="A2" s="2" t="inlineStr">
        <is>
          <t>Danh sách người (để chọn ở cột Người phụ trách) · người mặc định theo vai trò (dùng khi tạo việc cho sự kiện mới) · ngày nghỉ lễ.</t>
        </is>
      </c>
    </row>
    <row r="4" ht="32" customHeight="1">
      <c r="A4" s="11" t="inlineStr">
        <is>
          <t>Vai trò</t>
        </is>
      </c>
      <c r="B4" s="44" t="inlineStr">
        <is>
          <t>Người mặc định</t>
        </is>
      </c>
      <c r="D4" s="44" t="inlineStr">
        <is>
          <t>Danh sách người</t>
        </is>
      </c>
      <c r="E4" s="44" t="inlineStr">
        <is>
          <t>Bộ phận</t>
        </is>
      </c>
      <c r="F4" s="44" t="inlineStr">
        <is>
          <t>Email (để nhắc việc sau này)</t>
        </is>
      </c>
      <c r="H4" s="44" t="inlineStr">
        <is>
          <t>Ngày nghỉ lễ (T2–T6)</t>
        </is>
      </c>
    </row>
    <row r="5">
      <c r="A5" s="43" t="inlineStr">
        <is>
          <t>MKT Leader</t>
        </is>
      </c>
      <c r="B5" s="51" t="inlineStr">
        <is>
          <t>Leader MKT (ví dụ)</t>
        </is>
      </c>
      <c r="D5" s="51" t="inlineStr">
        <is>
          <t>Leader MKT (ví dụ)</t>
        </is>
      </c>
      <c r="E5" s="51" t="inlineStr">
        <is>
          <t>Marketing</t>
        </is>
      </c>
      <c r="F5" s="51" t="n"/>
      <c r="H5" s="52" t="n">
        <v>46023</v>
      </c>
    </row>
    <row r="6">
      <c r="A6" s="43" t="inlineStr">
        <is>
          <t>Digital MKT</t>
        </is>
      </c>
      <c r="B6" s="51" t="inlineStr">
        <is>
          <t>Digital (ví dụ)</t>
        </is>
      </c>
      <c r="D6" s="51" t="inlineStr">
        <is>
          <t>Digital (ví dụ)</t>
        </is>
      </c>
      <c r="E6" s="51" t="inlineStr">
        <is>
          <t>Marketing</t>
        </is>
      </c>
      <c r="F6" s="51" t="n"/>
      <c r="H6" s="52" t="n">
        <v>46069</v>
      </c>
    </row>
    <row r="7">
      <c r="A7" s="43" t="inlineStr">
        <is>
          <t>Trade MKT</t>
        </is>
      </c>
      <c r="B7" s="51" t="inlineStr">
        <is>
          <t>Trade (ví dụ)</t>
        </is>
      </c>
      <c r="D7" s="51" t="inlineStr">
        <is>
          <t>Trade (ví dụ)</t>
        </is>
      </c>
      <c r="E7" s="51" t="inlineStr">
        <is>
          <t>Marketing</t>
        </is>
      </c>
      <c r="F7" s="51" t="n"/>
      <c r="H7" s="52" t="n">
        <v>46070</v>
      </c>
    </row>
    <row r="8">
      <c r="A8" s="43" t="inlineStr">
        <is>
          <t>Sales</t>
        </is>
      </c>
      <c r="B8" s="51" t="inlineStr">
        <is>
          <t>Sales Dental (ví dụ)</t>
        </is>
      </c>
      <c r="D8" s="51" t="inlineStr">
        <is>
          <t>Sales Dental (ví dụ)</t>
        </is>
      </c>
      <c r="E8" s="51" t="inlineStr">
        <is>
          <t>Sales</t>
        </is>
      </c>
      <c r="F8" s="51" t="n"/>
      <c r="H8" s="52" t="n">
        <v>46071</v>
      </c>
    </row>
    <row r="9">
      <c r="A9" s="43" t="inlineStr">
        <is>
          <t>NPP / đối tác</t>
        </is>
      </c>
      <c r="B9" s="51" t="inlineStr">
        <is>
          <t>NPP (ví dụ)</t>
        </is>
      </c>
      <c r="D9" s="51" t="inlineStr">
        <is>
          <t>Sales Surgical (ví dụ)</t>
        </is>
      </c>
      <c r="E9" s="51" t="inlineStr">
        <is>
          <t>Sales</t>
        </is>
      </c>
      <c r="F9" s="51" t="n"/>
      <c r="H9" s="52" t="n">
        <v>46072</v>
      </c>
    </row>
    <row r="10">
      <c r="A10" s="43" t="inlineStr">
        <is>
          <t>Giám đốc</t>
        </is>
      </c>
      <c r="B10" s="51" t="inlineStr">
        <is>
          <t>Giám đốc (ví dụ)</t>
        </is>
      </c>
      <c r="D10" s="51" t="inlineStr">
        <is>
          <t>NPP (ví dụ)</t>
        </is>
      </c>
      <c r="E10" s="51" t="inlineStr">
        <is>
          <t>Đối tác</t>
        </is>
      </c>
      <c r="F10" s="51" t="n"/>
      <c r="H10" s="52" t="n">
        <v>46073</v>
      </c>
    </row>
    <row r="11">
      <c r="D11" s="51" t="inlineStr">
        <is>
          <t>Giám đốc (ví dụ)</t>
        </is>
      </c>
      <c r="E11" s="51" t="inlineStr">
        <is>
          <t>BGĐ</t>
        </is>
      </c>
      <c r="F11" s="51" t="n"/>
      <c r="H11" s="52" t="n">
        <v>46139</v>
      </c>
    </row>
    <row r="12">
      <c r="D12" s="51" t="n"/>
      <c r="E12" s="51" t="n"/>
      <c r="F12" s="51" t="n"/>
      <c r="H12" s="52" t="n">
        <v>46142</v>
      </c>
    </row>
    <row r="13">
      <c r="D13" s="51" t="n"/>
      <c r="E13" s="51" t="n"/>
      <c r="F13" s="51" t="n"/>
      <c r="H13" s="52" t="n">
        <v>46143</v>
      </c>
    </row>
    <row r="14">
      <c r="D14" s="51" t="n"/>
      <c r="E14" s="51" t="n"/>
      <c r="F14" s="51" t="n"/>
      <c r="H14" s="52" t="n">
        <v>46267</v>
      </c>
    </row>
    <row r="15">
      <c r="D15" s="51" t="n"/>
      <c r="E15" s="51" t="n"/>
      <c r="F15" s="51" t="n"/>
      <c r="H15" s="52" t="n">
        <v>46268</v>
      </c>
    </row>
    <row r="16">
      <c r="D16" s="51" t="n"/>
      <c r="E16" s="51" t="n"/>
      <c r="F16" s="51" t="n"/>
      <c r="H16" s="52" t="n">
        <v>46269</v>
      </c>
    </row>
    <row r="17">
      <c r="D17" s="51" t="n"/>
      <c r="E17" s="51" t="n"/>
      <c r="F17" s="51" t="n"/>
      <c r="H17" s="52" t="n">
        <v>46388</v>
      </c>
    </row>
    <row r="18">
      <c r="D18" s="51" t="n"/>
      <c r="E18" s="51" t="n"/>
      <c r="F18" s="51" t="n"/>
      <c r="H18" s="52" t="n">
        <v>46507</v>
      </c>
    </row>
    <row r="19">
      <c r="D19" s="51" t="n"/>
      <c r="E19" s="51" t="n"/>
      <c r="F19" s="51" t="n"/>
      <c r="H19" s="52" t="n">
        <v>46632</v>
      </c>
    </row>
    <row r="20">
      <c r="D20" s="51" t="n"/>
      <c r="E20" s="51" t="n"/>
      <c r="F20" s="51" t="n"/>
      <c r="H20" s="52" t="n"/>
    </row>
    <row r="21">
      <c r="D21" s="51" t="n"/>
      <c r="E21" s="51" t="n"/>
      <c r="F21" s="51" t="n"/>
      <c r="H21" s="52" t="n"/>
    </row>
    <row r="22">
      <c r="D22" s="51" t="n"/>
      <c r="E22" s="51" t="n"/>
      <c r="F22" s="51" t="n"/>
      <c r="H22" s="52" t="n"/>
    </row>
    <row r="23">
      <c r="D23" s="51" t="n"/>
      <c r="E23" s="51" t="n"/>
      <c r="F23" s="51" t="n"/>
      <c r="H23" s="52" t="n"/>
    </row>
    <row r="24">
      <c r="D24" s="51" t="n"/>
      <c r="E24" s="51" t="n"/>
      <c r="F24" s="51" t="n"/>
      <c r="H24" s="52" t="n"/>
    </row>
    <row r="25">
      <c r="D25" s="51" t="n"/>
      <c r="E25" s="51" t="n"/>
      <c r="F25" s="51" t="n"/>
      <c r="H25" s="52" t="n"/>
    </row>
    <row r="26">
      <c r="D26" s="51" t="n"/>
      <c r="E26" s="51" t="n"/>
      <c r="F26" s="51" t="n"/>
      <c r="H26" s="52" t="n"/>
    </row>
    <row r="27">
      <c r="D27" s="51" t="n"/>
      <c r="E27" s="51" t="n"/>
      <c r="F27" s="51" t="n"/>
      <c r="H27" s="52" t="n"/>
    </row>
    <row r="28">
      <c r="D28" s="51" t="n"/>
      <c r="E28" s="51" t="n"/>
      <c r="F28" s="51" t="n"/>
      <c r="H28" s="52" t="n"/>
    </row>
    <row r="29">
      <c r="D29" s="51" t="n"/>
      <c r="E29" s="51" t="n"/>
      <c r="F29" s="51" t="n"/>
      <c r="H29" s="52" t="n"/>
    </row>
    <row r="30">
      <c r="D30" s="51" t="n"/>
      <c r="E30" s="51" t="n"/>
      <c r="F30" s="51" t="n"/>
      <c r="H30" s="52" t="n"/>
    </row>
    <row r="31">
      <c r="D31" s="51" t="n"/>
      <c r="E31" s="51" t="n"/>
      <c r="F31" s="51" t="n"/>
      <c r="H31" s="52" t="n"/>
    </row>
    <row r="32">
      <c r="D32" s="51" t="n"/>
      <c r="E32" s="51" t="n"/>
      <c r="F32" s="51" t="n"/>
      <c r="H32" s="52" t="n"/>
    </row>
    <row r="33">
      <c r="D33" s="51" t="n"/>
      <c r="E33" s="51" t="n"/>
      <c r="F33" s="51" t="n"/>
      <c r="H33" s="52" t="n"/>
    </row>
    <row r="34">
      <c r="D34" s="51" t="n"/>
      <c r="E34" s="51" t="n"/>
      <c r="F34" s="51" t="n"/>
      <c r="H34" s="52" t="n"/>
    </row>
    <row r="35">
      <c r="D35" s="51" t="n"/>
      <c r="E35" s="51" t="n"/>
      <c r="F35" s="51" t="n"/>
      <c r="H35" s="52" t="n"/>
    </row>
    <row r="36">
      <c r="D36" s="51" t="n"/>
      <c r="E36" s="51" t="n"/>
      <c r="F36" s="51" t="n"/>
      <c r="H36" s="52" t="n"/>
    </row>
    <row r="37">
      <c r="D37" s="51" t="n"/>
      <c r="E37" s="51" t="n"/>
      <c r="F37" s="51" t="n"/>
      <c r="H37" s="52" t="n"/>
    </row>
    <row r="38">
      <c r="D38" s="51" t="n"/>
      <c r="E38" s="51" t="n"/>
      <c r="F38" s="51" t="n"/>
      <c r="H38" s="52" t="n"/>
    </row>
    <row r="39">
      <c r="D39" s="51" t="n"/>
      <c r="E39" s="51" t="n"/>
      <c r="F39" s="51" t="n"/>
      <c r="H39" s="52" t="n"/>
    </row>
    <row r="40">
      <c r="D40" s="51" t="n"/>
      <c r="E40" s="51" t="n"/>
      <c r="F40" s="51" t="n"/>
      <c r="H40" s="52" t="n"/>
    </row>
    <row r="41">
      <c r="D41" s="51" t="n"/>
      <c r="E41" s="51" t="n"/>
      <c r="F41" s="51" t="n"/>
      <c r="H41" s="52" t="n"/>
    </row>
    <row r="42">
      <c r="D42" s="51" t="n"/>
      <c r="E42" s="51" t="n"/>
      <c r="F42" s="51" t="n"/>
      <c r="H42" s="52" t="n"/>
    </row>
    <row r="43">
      <c r="D43" s="51" t="n"/>
      <c r="E43" s="51" t="n"/>
      <c r="F43" s="51" t="n"/>
      <c r="H43" s="52" t="n"/>
    </row>
    <row r="44">
      <c r="D44" s="51" t="n"/>
      <c r="E44" s="51" t="n"/>
      <c r="F44" s="51" t="n"/>
      <c r="H44" s="52" t="n"/>
    </row>
    <row r="45">
      <c r="H45" s="52" t="n"/>
    </row>
    <row r="46">
      <c r="H46" s="52" t="n"/>
    </row>
    <row r="47">
      <c r="H47" s="52" t="n"/>
    </row>
    <row r="48">
      <c r="H48" s="52" t="n"/>
    </row>
    <row r="49">
      <c r="H49" s="52" t="n"/>
    </row>
    <row r="50">
      <c r="H50" s="52" t="n"/>
    </row>
    <row r="51">
      <c r="H51" s="52" t="n"/>
    </row>
    <row r="52">
      <c r="H52" s="52" t="n"/>
    </row>
    <row r="53">
      <c r="H53" s="52" t="n"/>
    </row>
    <row r="54">
      <c r="H54" s="52" t="n"/>
    </row>
    <row r="55">
      <c r="H55" s="52" t="n"/>
    </row>
    <row r="56">
      <c r="H56" s="52" t="n"/>
    </row>
    <row r="57">
      <c r="H57" s="52" t="n"/>
    </row>
    <row r="58">
      <c r="H58" s="52" t="n"/>
    </row>
    <row r="59">
      <c r="H59" s="52" t="n"/>
    </row>
    <row r="60">
      <c r="H60" s="52" t="n"/>
    </row>
    <row r="61">
      <c r="H61" s="52" t="n"/>
    </row>
    <row r="62">
      <c r="H62" s="52" t="n"/>
    </row>
    <row r="63">
      <c r="H63" s="52" t="n"/>
    </row>
    <row r="64">
      <c r="H64" s="52" t="n"/>
    </row>
    <row r="66">
      <c r="H66" s="53" t="inlineStr">
        <is>
          <t>2027: thêm Tết, Giỗ Tổ, nghỉ bù khi có lịch MMH.</t>
        </is>
      </c>
    </row>
  </sheetData>
  <dataValidations count="1">
    <dataValidation sqref="B5:B10" showDropDown="0" showInputMessage="0" showErrorMessage="1" allowBlank="1" type="list">
      <formula1>'Cài đặt'!$D$5:$D$44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0B8C2"/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0" customWidth="1" min="3" max="3"/>
  </cols>
  <sheetData>
    <row r="1" ht="26" customHeight="1">
      <c r="A1" s="1" t="inlineStr">
        <is>
          <t>CÁCH DÙNG</t>
        </is>
      </c>
    </row>
    <row r="2">
      <c r="A2" s="2" t="inlineStr">
        <is>
          <t>File chung cho MỌI sự kiện của MMH — đi kèm SOP MMHSOP_0XX Quy trình tổ chức sự kiện.</t>
        </is>
      </c>
    </row>
    <row r="4" ht="44" customHeight="1">
      <c r="B4" s="54" t="inlineStr">
        <is>
          <t>Sự kiện tự vào file</t>
        </is>
      </c>
      <c r="C4" s="55" t="inlineStr">
        <is>
          <t>Mỗi 10 phút hệ thống đọc PLAN_EVENT + REPORT_EVENT của file "2. Vietnam - Marketing Offline FY68" ⇒ tab Sự kiện. Sự kiện mới có ngày cụ thể ⇒ tự tạo bộ việc ở tab Giao việc theo tab Mẫu việc.</t>
        </is>
      </c>
    </row>
    <row r="5" ht="44" customHeight="1">
      <c r="B5" s="54" t="inlineStr">
        <is>
          <t>① Owner chọn đội</t>
        </is>
      </c>
      <c r="C5" s="55" t="inlineStr">
        <is>
          <t>Tab Sự kiện: mỗi sự kiện chọn Owner · Digital · Trade · Sales · Đầu mối NPP (mặc định lấy từ Cài đặt). Mọi việc tự giao theo vai trò; đổi người ở đây ⇒ các việc chưa giao tay đổi theo trong ≤ 1 phút.</t>
        </is>
      </c>
    </row>
    <row r="6" ht="44" customHeight="1">
      <c r="B6" s="54" t="inlineStr">
        <is>
          <t>② Owner giao riêng</t>
        </is>
      </c>
      <c r="C6" s="55" t="inlineStr">
        <is>
          <t>Tab Giao việc: đổi Người phụ trách ở cột G cho từng việc (chữ xanh đậm = giao tay, không bị đổi theo đội). Gõ được tên người ngoài danh sách (đối tác). Đổi Hạn: gõ ngày đè lên cột I. Việc không cần ⇒ "Bỏ qua".</t>
        </is>
      </c>
    </row>
    <row r="7" ht="44" customHeight="1">
      <c r="B7" s="54" t="inlineStr">
        <is>
          <t>③ Owner theo dõi</t>
        </is>
      </c>
      <c r="C7" s="55" t="inlineStr">
        <is>
          <t>Tab Điều phối: chọn sự kiện ⇒ thẻ tổng, BẢN ĐỒ TIẾN ĐỘ (hạng mục × giai đoạn, cột cam = đang ở giai đoạn nào), từng bên / người, 15 việc cần theo dõi, nhật ký với đối tác. Tab Dashboard: toàn bộ sự kiện + từng người.</t>
        </is>
      </c>
    </row>
    <row r="8" ht="44" customHeight="1">
      <c r="B8" s="54" t="inlineStr">
        <is>
          <t>④ Làm việc với đối tác</t>
        </is>
      </c>
      <c r="C8" s="55" t="inlineStr">
        <is>
          <t>Việc đang đợi NPP / Viện / KOL / địa điểm ⇒ Trạng thái "Chờ đối tác" (tô tím, đếm số ngày chờ). Điều đã thống nhất, quyết định, thay đổi ⇒ ghi 1 dòng ở tab Nhật ký (có Việc tiếp theo · Hạn).</t>
        </is>
      </c>
    </row>
    <row r="9" ht="44" customHeight="1">
      <c r="B9" s="54" t="inlineStr">
        <is>
          <t>Người phụ trách</t>
        </is>
      </c>
      <c r="C9" s="55" t="inlineStr">
        <is>
          <t>Lọc cột G theo tên mình ⇒ cập nhật Trạng thái + Ghi chú / link ngay khi làm (trong ngày). Chọn "Xong" ⇒ Ngày xong tự điền; cột Cập nhật ghi giờ, rê chuột xem ai sửa.</t>
        </is>
      </c>
    </row>
    <row r="10" ht="58" customHeight="1">
      <c r="B10" s="54" t="inlineStr">
        <is>
          <t>Quy tắc thông tin</t>
        </is>
      </c>
      <c r="C10" s="55" t="inlineStr">
        <is>
          <t>① File này là nơi DUY NHẤT ghi trạng thái; Zalo chỉ để báo nhanh. ② Vướng mắc / nguy cơ trễ ⇒ ghi Nhật ký + báo Owner ngay. ③ Quá hạn ≥ 2 ngày làm việc hoặc ảnh hưởng ngày D ⇒ Owner báo Giám đốc trong ngày. ④ Thay đổi ngày / địa điểm / KOL / ngân sách ⇒ sửa file Offline + email mọi bên trong 24 giờ. ⑤ Không gửi danh sách khách qua Zalo / email cá nhân.</t>
        </is>
      </c>
    </row>
    <row r="11" ht="44" customHeight="1">
      <c r="B11" s="54" t="inlineStr">
        <is>
          <t>Ngày tính hạn</t>
        </is>
      </c>
      <c r="C11" s="55" t="inlineStr">
        <is>
          <t>D − n = ngày lịch; D + n = ngày làm việc T2–T6 trừ ngày nghỉ ở tab Cài đặt. Sự kiện nhiều ngày: D + n tính từ ngày kết thúc.</t>
        </is>
      </c>
    </row>
    <row r="12" ht="44" customHeight="1">
      <c r="B12" s="54" t="inlineStr">
        <is>
          <t>Dữ liệu ví dụ</t>
        </is>
      </c>
      <c r="C12" s="55" t="inlineStr">
        <is>
          <t>Sự kiện / người / nhật ký "(ví dụ)" chỉ để xem trước — tự xoá ở lần đồng bộ đầu tiên.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2026-10-30T11:02:59Z</dcterms:created>
  <dcterms:modified xmlns:dcterms="http://purl.org/dc/terms/" xmlns:xsi="http://www.w3.org/2001/XMLSchema-instance" xsi:type="dcterms:W3CDTF">2026-10-30T11:03:01Z</dcterms:modified>
</cp:coreProperties>
</file>
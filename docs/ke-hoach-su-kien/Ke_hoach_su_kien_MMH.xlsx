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iao việc" sheetId="2" state="visible" r:id="rId2"/>
    <sheet xmlns:r="http://schemas.openxmlformats.org/officeDocument/2006/relationships" name="Sự kiện" sheetId="3" state="visible" r:id="rId3"/>
    <sheet xmlns:r="http://schemas.openxmlformats.org/officeDocument/2006/relationships" name="Mẫu việc" sheetId="4" state="visible" r:id="rId4"/>
    <sheet xmlns:r="http://schemas.openxmlformats.org/officeDocument/2006/relationships" name="Cài đặt" sheetId="5" state="visible" r:id="rId5"/>
    <sheet xmlns:r="http://schemas.openxmlformats.org/officeDocument/2006/relationships" name="Hướng dẫn" sheetId="6" state="visible" r:id="rId6"/>
  </sheets>
  <definedNames>
    <definedName name="PEOPLE">'Cài đặt'!$D$5:$D$44</definedName>
    <definedName name="HOLI">'Cài đặt'!$H$5:$H$64</definedName>
    <definedName name="SK_A">'Sự kiện'!$A$5:$A$304</definedName>
    <definedName name="SK_B">'Sự kiện'!$B$5:$B$304</definedName>
    <definedName name="SK_C">'Sự kiện'!$C$5:$C$304</definedName>
    <definedName name="SK_D">'Sự kiện'!$D$5:$D$304</definedName>
    <definedName name="SK_L">'Sự kiện'!$L$5:$L$304</definedName>
    <definedName name="_xlnm._FilterDatabase" localSheetId="1" hidden="1">'Giao việc'!$A$4:$L$3004</definedName>
    <definedName name="_xlnm._FilterDatabase" localSheetId="2" hidden="1">'Sự kiện'!$A$4:$S$304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yyyy-mm-dd"/>
    <numFmt numFmtId="166" formatCode="dd/mm/yy"/>
    <numFmt numFmtId="167" formatCode="dd/mm"/>
  </numFmts>
  <fonts count="17">
    <font>
      <name val="Calibri"/>
      <family val="2"/>
      <color theme="1"/>
      <sz val="11"/>
      <scheme val="minor"/>
    </font>
    <font>
      <name val="Arial"/>
      <b val="1"/>
      <color rgb="00003047"/>
      <sz val="16"/>
    </font>
    <font>
      <name val="Arial"/>
      <i val="1"/>
      <color rgb="005B6B7B"/>
      <sz val="9"/>
    </font>
    <font>
      <name val="Arial"/>
      <b val="1"/>
      <color rgb="00FFFFFF"/>
      <sz val="9"/>
    </font>
    <font>
      <name val="Arial"/>
      <i val="1"/>
      <color rgb="005B6B7B"/>
      <sz val="8"/>
    </font>
    <font>
      <name val="Arial"/>
      <sz val="9"/>
    </font>
    <font>
      <name val="Arial"/>
      <color rgb="005B6B7B"/>
      <sz val="9"/>
    </font>
    <font>
      <name val="Arial"/>
      <color rgb="003A5CAA"/>
      <sz val="9"/>
    </font>
    <font>
      <name val="Arial"/>
      <b val="1"/>
      <color rgb="005B6B7B"/>
      <sz val="9"/>
    </font>
    <font>
      <name val="Arial"/>
      <b val="1"/>
      <color rgb="00003047"/>
      <sz val="22"/>
    </font>
    <font>
      <name val="Arial"/>
      <b val="1"/>
      <color rgb="00C0392B"/>
      <sz val="22"/>
    </font>
    <font>
      <name val="Arial"/>
      <b val="1"/>
      <color rgb="00B7791F"/>
      <sz val="22"/>
    </font>
    <font>
      <name val="Arial"/>
      <b val="1"/>
      <color rgb="00B85C1E"/>
      <sz val="22"/>
    </font>
    <font>
      <name val="Arial"/>
      <b val="1"/>
      <color rgb="00003047"/>
      <sz val="12"/>
    </font>
    <font>
      <name val="Arial"/>
      <b val="1"/>
      <color rgb="00B85C1E"/>
      <sz val="9"/>
    </font>
    <font>
      <name val="Arial"/>
      <b val="1"/>
      <color rgb="00003047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03047"/>
        <bgColor rgb="00003047"/>
      </patternFill>
    </fill>
    <fill>
      <patternFill patternType="solid">
        <fgColor rgb="003A5CAA"/>
        <bgColor rgb="003A5CAA"/>
      </patternFill>
    </fill>
    <fill>
      <patternFill patternType="solid">
        <fgColor rgb="00FFF7D6"/>
        <bgColor rgb="00FFF7D6"/>
      </patternFill>
    </fill>
    <fill>
      <patternFill patternType="solid">
        <fgColor rgb="00F0F7FF"/>
        <bgColor rgb="00F0F7FF"/>
      </patternFill>
    </fill>
  </fills>
  <borders count="6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  <border>
      <left/>
      <right/>
      <top style="thin">
        <color rgb="00D5DCE4"/>
      </top>
      <bottom/>
      <diagonal/>
    </border>
    <border>
      <left/>
      <right style="thin">
        <color rgb="00D5DCE4"/>
      </right>
      <top style="thin">
        <color rgb="00D5DCE4"/>
      </top>
      <bottom/>
      <diagonal/>
    </border>
    <border>
      <left/>
      <right/>
      <top style="thin">
        <color rgb="00D5DCE4"/>
      </top>
      <bottom style="thin">
        <color rgb="00D5DCE4"/>
      </bottom>
      <diagonal/>
    </border>
    <border>
      <left/>
      <right style="thin">
        <color rgb="00D5DCE4"/>
      </right>
      <top style="thin">
        <color rgb="00D5DCE4"/>
      </top>
      <bottom style="thin">
        <color rgb="00D5DCE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5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9" fontId="9" fillId="5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66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9" fontId="5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pivotButton="0" quotePrefix="0" xfId="0"/>
    <xf numFmtId="9" fontId="5" fillId="0" borderId="1" pivotButton="0" quotePrefix="0" xfId="0"/>
    <xf numFmtId="0" fontId="7" fillId="0" borderId="1" pivotButton="0" quotePrefix="0" xfId="0"/>
    <xf numFmtId="0" fontId="14" fillId="0" borderId="0" pivotButton="0" quotePrefix="0" xfId="0"/>
    <xf numFmtId="167" fontId="5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167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4" fillId="0" borderId="0" pivotButton="0" quotePrefix="0" xfId="0"/>
    <xf numFmtId="0" fontId="15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0">
    <dxf>
      <font>
        <name val="Arial"/>
        <b val="1"/>
        <color rgb="00C0392B"/>
      </font>
      <fill>
        <patternFill patternType="solid">
          <fgColor rgb="00FDE4E1"/>
          <bgColor rgb="00FDE4E1"/>
        </patternFill>
      </fill>
    </dxf>
    <dxf>
      <font>
        <name val="Arial"/>
        <b val="1"/>
      </font>
      <fill>
        <patternFill patternType="solid">
          <fgColor rgb="00FFF4D6"/>
          <bgColor rgb="00FFF4D6"/>
        </patternFill>
      </fill>
    </dxf>
    <dxf>
      <font>
        <name val="Arial"/>
        <b val="1"/>
        <color rgb="003A5CAA"/>
      </font>
    </dxf>
    <dxf>
      <fill>
        <patternFill patternType="solid">
          <fgColor rgb="00FDE4E1"/>
          <bgColor rgb="00FDE4E1"/>
        </patternFill>
      </fill>
    </dxf>
    <dxf>
      <fill>
        <patternFill patternType="solid">
          <fgColor rgb="00FFF4D6"/>
          <bgColor rgb="00FFF4D6"/>
        </patternFill>
      </fill>
    </dxf>
    <dxf>
      <fill>
        <patternFill patternType="solid">
          <fgColor rgb="00F6C9A8"/>
          <bgColor rgb="00F6C9A8"/>
        </patternFill>
      </fill>
    </dxf>
    <dxf>
      <font>
        <name val="Arial"/>
        <color rgb="00B0B8C2"/>
      </font>
    </dxf>
    <dxf>
      <fill>
        <patternFill patternType="solid">
          <fgColor rgb="00EAF6EE"/>
          <bgColor rgb="00EAF6EE"/>
        </patternFill>
      </fill>
    </dxf>
    <dxf>
      <font>
        <name val="Arial"/>
        <b val="1"/>
        <color rgb="00003047"/>
      </font>
    </dxf>
    <dxf>
      <font>
        <name val="Arial"/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Việc theo sự kiện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'Dashboard'!E8</f>
            </strRef>
          </tx>
          <spPr>
            <a:solidFill xmlns:a="http://schemas.openxmlformats.org/drawingml/2006/main">
              <a:srgbClr val="3E9B5F"/>
            </a:solidFill>
            <a:ln xmlns:a="http://schemas.openxmlformats.org/drawingml/2006/main">
              <a:solidFill>
                <a:srgbClr val="3E9B5F"/>
              </a:solidFill>
              <a:prstDash val="solid"/>
            </a:ln>
          </spPr>
          <cat>
            <numRef>
              <f>'Dashboard'!$A$9:$A$20</f>
            </numRef>
          </cat>
          <val>
            <numRef>
              <f>'Dashboard'!$E$9:$E$20</f>
            </numRef>
          </val>
        </ser>
        <ser>
          <idx val="1"/>
          <order val="1"/>
          <tx>
            <strRef>
              <f>'Dashboard'!F8</f>
            </strRef>
          </tx>
          <spPr>
            <a:solidFill xmlns:a="http://schemas.openxmlformats.org/drawingml/2006/main">
              <a:srgbClr val="9DB4D6"/>
            </a:solidFill>
            <a:ln xmlns:a="http://schemas.openxmlformats.org/drawingml/2006/main">
              <a:solidFill>
                <a:srgbClr val="9DB4D6"/>
              </a:solidFill>
              <a:prstDash val="solid"/>
            </a:ln>
          </spPr>
          <cat>
            <numRef>
              <f>'Dashboard'!$A$9:$A$20</f>
            </numRef>
          </cat>
          <val>
            <numRef>
              <f>'Dashboard'!$F$9:$F$20</f>
            </numRef>
          </val>
        </ser>
        <ser>
          <idx val="2"/>
          <order val="2"/>
          <tx>
            <strRef>
              <f>'Dashboard'!G8</f>
            </strRef>
          </tx>
          <spPr>
            <a:solidFill xmlns:a="http://schemas.openxmlformats.org/drawingml/2006/main">
              <a:srgbClr val="E0574B"/>
            </a:solidFill>
            <a:ln xmlns:a="http://schemas.openxmlformats.org/drawingml/2006/main">
              <a:solidFill>
                <a:srgbClr val="E0574B"/>
              </a:solidFill>
              <a:prstDash val="solid"/>
            </a:ln>
          </spPr>
          <cat>
            <numRef>
              <f>'Dashboard'!$A$9:$A$20</f>
            </numRef>
          </cat>
          <val>
            <numRef>
              <f>'Dashboard'!$G$9:$G$20</f>
            </numRef>
          </val>
        </ser>
        <gapWidth val="6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6</row>
      <rowOff>0</rowOff>
    </from>
    <ext cx="612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3047"/>
    <outlinePr summaryBelow="1" summaryRight="1"/>
    <pageSetUpPr/>
  </sheetPr>
  <dimension ref="A1:J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18" customWidth="1" min="4" max="4"/>
    <col width="7" customWidth="1" min="5" max="5"/>
    <col width="7" customWidth="1" min="6" max="6"/>
    <col width="8" customWidth="1" min="7" max="7"/>
    <col width="8" customWidth="1" min="8" max="8"/>
    <col width="7" customWidth="1" min="9" max="9"/>
    <col width="13" customWidth="1" min="10" max="10"/>
    <col width="3" customWidth="1" min="11" max="11"/>
    <col width="3" customWidth="1" min="12" max="12"/>
    <col width="3" customWidth="1" min="13" max="13"/>
    <col width="3" customWidth="1" min="14" max="14"/>
  </cols>
  <sheetData>
    <row r="1" ht="26" customHeight="1">
      <c r="A1" s="1" t="inlineStr">
        <is>
          <t>DASHBOARD TIẾN ĐỘ SỰ KIỆN</t>
        </is>
      </c>
    </row>
    <row r="2">
      <c r="A2" s="2">
        <f>"Cập nhật đến "&amp;TEXT(TODAY(),"dd/mm/yyyy")&amp;" · chỉ tính sự kiện đang theo dõi (Sự kiện ▸ Theo dõi = Có)"</f>
        <v/>
      </c>
    </row>
    <row r="4">
      <c r="A4" s="3" t="inlineStr">
        <is>
          <t>Sự kiện đang theo dõi</t>
        </is>
      </c>
      <c r="B4" s="3" t="inlineStr">
        <is>
          <t>Việc đang mở</t>
        </is>
      </c>
      <c r="D4" s="3" t="inlineStr">
        <is>
          <t>QUÁ HẠN</t>
        </is>
      </c>
      <c r="F4" s="3" t="inlineStr">
        <is>
          <t>Đến hạn ≤ 3 ngày</t>
        </is>
      </c>
      <c r="H4" s="3" t="inlineStr">
        <is>
          <t>Chưa giao người</t>
        </is>
      </c>
      <c r="J4" s="3" t="inlineStr">
        <is>
          <t>% việc đã xong</t>
        </is>
      </c>
    </row>
    <row r="5" ht="40" customHeight="1">
      <c r="A5" s="4">
        <f>COUNT('Sự kiện'!$T$5:$T$304)</f>
        <v/>
      </c>
      <c r="B5" s="4">
        <f>COUNTIFS('Giao việc'!$R$5:$R$3004,"Có",'Giao việc'!$I$5:$I$3004,"&lt;&gt;Xong",'Giao việc'!$I$5:$I$3004,"&lt;&gt;Bỏ qua",'Giao việc'!$E$5:$E$3004,"&lt;&gt;")</f>
        <v/>
      </c>
      <c r="D5" s="5">
        <f>COUNTIFS('Giao việc'!$R$5:$R$3004,"Có",'Giao việc'!$L$5:$L$3004,"*QUÁ HẠN*")</f>
        <v/>
      </c>
      <c r="F5" s="6">
        <f>COUNTIFS('Giao việc'!$R$5:$R$3004,"Có",'Giao việc'!$L$5:$L$3004,"*Đến hạn*")</f>
        <v/>
      </c>
      <c r="H5" s="7">
        <f>COUNTIFS('Giao việc'!$R$5:$R$3004,"Có",'Giao việc'!$L$5:$L$3004,"CHƯA GIAO*")</f>
        <v/>
      </c>
      <c r="J5" s="8">
        <f>IFERROR(COUNTIFS('Giao việc'!$R$5:$R$3004,"Có",'Giao việc'!$I$5:$I$3004,"Xong")/COUNTIFS('Giao việc'!$R$5:$R$3004,"Có",'Giao việc'!$I$5:$I$3004,"&lt;&gt;Bỏ qua",'Giao việc'!$E$5:$E$3004,"&lt;&gt;"),0)</f>
        <v/>
      </c>
    </row>
    <row r="7">
      <c r="A7" s="9" t="inlineStr">
        <is>
          <t>TIẾN ĐỘ TỪNG SỰ KIỆN (sắp tới trước)</t>
        </is>
      </c>
    </row>
    <row r="8" ht="28" customHeight="1">
      <c r="A8" s="10" t="inlineStr">
        <is>
          <t>Sự kiện</t>
        </is>
      </c>
      <c r="B8" s="10" t="inlineStr">
        <is>
          <t>Ngày D</t>
        </is>
      </c>
      <c r="C8" s="10" t="inlineStr">
        <is>
          <t>Thời gian</t>
        </is>
      </c>
      <c r="D8" s="10" t="inlineStr">
        <is>
          <t>Owner</t>
        </is>
      </c>
      <c r="E8" s="10" t="inlineStr">
        <is>
          <t>Xong</t>
        </is>
      </c>
      <c r="F8" s="10" t="inlineStr">
        <is>
          <t>Còn lại</t>
        </is>
      </c>
      <c r="G8" s="10" t="inlineStr">
        <is>
          <t>Quá hạn</t>
        </is>
      </c>
      <c r="H8" s="10" t="inlineStr">
        <is>
          <t>Chưa giao</t>
        </is>
      </c>
      <c r="I8" s="10" t="inlineStr">
        <is>
          <t>%</t>
        </is>
      </c>
      <c r="J8" s="10" t="inlineStr">
        <is>
          <t>Tiến độ</t>
        </is>
      </c>
    </row>
    <row r="9" ht="30" customHeight="1">
      <c r="A9" s="11">
        <f>IF(IFERROR(MATCH(SMALL('Sự kiện'!$T$5:$T$304,1),'Sự kiện'!$T$5:$T$304,0),0)=0,"",INDEX('Sự kiện'!$B$5:$B$304,IFERROR(MATCH(SMALL('Sự kiện'!$T$5:$T$304,1),'Sự kiện'!$T$5:$T$304,0),0))&amp;"")</f>
        <v/>
      </c>
      <c r="B9" s="12">
        <f>IF(IFERROR(MATCH(SMALL('Sự kiện'!$T$5:$T$304,1),'Sự kiện'!$T$5:$T$304,0),0)=0,"",INDEX('Sự kiện'!$C$5:$C$304,IFERROR(MATCH(SMALL('Sự kiện'!$T$5:$T$304,1),'Sự kiện'!$T$5:$T$304,0),0)))</f>
        <v/>
      </c>
      <c r="C9" s="13">
        <f>IF(IFERROR(MATCH(SMALL('Sự kiện'!$T$5:$T$304,1),'Sự kiện'!$T$5:$T$304,0),0)=0,"",INDEX('Sự kiện'!$S$5:$S$304,IFERROR(MATCH(SMALL('Sự kiện'!$T$5:$T$304,1),'Sự kiện'!$T$5:$T$304,0),0))&amp;"")</f>
        <v/>
      </c>
      <c r="D9" s="13">
        <f>IF(IFERROR(MATCH(SMALL('Sự kiện'!$T$5:$T$304,1),'Sự kiện'!$T$5:$T$304,0),0)=0,"",INDEX('Sự kiện'!$K$5:$K$304,IFERROR(MATCH(SMALL('Sự kiện'!$T$5:$T$304,1),'Sự kiện'!$T$5:$T$304,0),0))&amp;"")</f>
        <v/>
      </c>
      <c r="E9" s="13">
        <f>IF(IFERROR(MATCH(SMALL('Sự kiện'!$T$5:$T$304,1),'Sự kiện'!$T$5:$T$304,0),0)=0,"",INDEX('Sự kiện'!$N$5:$N$304,IFERROR(MATCH(SMALL('Sự kiện'!$T$5:$T$304,1),'Sự kiện'!$T$5:$T$304,0),0)))</f>
        <v/>
      </c>
      <c r="F9" s="13">
        <f>IF(A9="","",N(INDEX('Sự kiện'!$M$5:$M$304,IFERROR(MATCH(SMALL('Sự kiện'!$T$5:$T$304,1),'Sự kiện'!$T$5:$T$304,0),0)))-N(E9)-N(G9))</f>
        <v/>
      </c>
      <c r="G9" s="13">
        <f>IF(IFERROR(MATCH(SMALL('Sự kiện'!$T$5:$T$304,1),'Sự kiện'!$T$5:$T$304,0),0)=0,"",INDEX('Sự kiện'!$O$5:$O$304,IFERROR(MATCH(SMALL('Sự kiện'!$T$5:$T$304,1),'Sự kiện'!$T$5:$T$304,0),0)))</f>
        <v/>
      </c>
      <c r="H9" s="13">
        <f>IF(IFERROR(MATCH(SMALL('Sự kiện'!$T$5:$T$304,1),'Sự kiện'!$T$5:$T$304,0),0)=0,"",INDEX('Sự kiện'!$P$5:$P$304,IFERROR(MATCH(SMALL('Sự kiện'!$T$5:$T$304,1),'Sự kiện'!$T$5:$T$304,0),0)))</f>
        <v/>
      </c>
      <c r="I9" s="14">
        <f>IF(IFERROR(MATCH(SMALL('Sự kiện'!$T$5:$T$304,1),'Sự kiện'!$T$5:$T$304,0),0)=0,"",INDEX('Sự kiện'!$Q$5:$Q$304,IFERROR(MATCH(SMALL('Sự kiện'!$T$5:$T$304,1),'Sự kiện'!$T$5:$T$304,0),0)))</f>
        <v/>
      </c>
      <c r="J9" s="15">
        <f>IF(IFERROR(MATCH(SMALL('Sự kiện'!$T$5:$T$304,1),'Sự kiện'!$T$5:$T$304,0),0)=0,"",INDEX('Sự kiện'!$R$5:$R$304,IFERROR(MATCH(SMALL('Sự kiện'!$T$5:$T$304,1),'Sự kiện'!$T$5:$T$304,0),0))&amp;"")</f>
        <v/>
      </c>
    </row>
    <row r="10" ht="30" customHeight="1">
      <c r="A10" s="11">
        <f>IF(IFERROR(MATCH(SMALL('Sự kiện'!$T$5:$T$304,2),'Sự kiện'!$T$5:$T$304,0),0)=0,"",INDEX('Sự kiện'!$B$5:$B$304,IFERROR(MATCH(SMALL('Sự kiện'!$T$5:$T$304,2),'Sự kiện'!$T$5:$T$304,0),0))&amp;"")</f>
        <v/>
      </c>
      <c r="B10" s="12">
        <f>IF(IFERROR(MATCH(SMALL('Sự kiện'!$T$5:$T$304,2),'Sự kiện'!$T$5:$T$304,0),0)=0,"",INDEX('Sự kiện'!$C$5:$C$304,IFERROR(MATCH(SMALL('Sự kiện'!$T$5:$T$304,2),'Sự kiện'!$T$5:$T$304,0),0)))</f>
        <v/>
      </c>
      <c r="C10" s="13">
        <f>IF(IFERROR(MATCH(SMALL('Sự kiện'!$T$5:$T$304,2),'Sự kiện'!$T$5:$T$304,0),0)=0,"",INDEX('Sự kiện'!$S$5:$S$304,IFERROR(MATCH(SMALL('Sự kiện'!$T$5:$T$304,2),'Sự kiện'!$T$5:$T$304,0),0))&amp;"")</f>
        <v/>
      </c>
      <c r="D10" s="13">
        <f>IF(IFERROR(MATCH(SMALL('Sự kiện'!$T$5:$T$304,2),'Sự kiện'!$T$5:$T$304,0),0)=0,"",INDEX('Sự kiện'!$K$5:$K$304,IFERROR(MATCH(SMALL('Sự kiện'!$T$5:$T$304,2),'Sự kiện'!$T$5:$T$304,0),0))&amp;"")</f>
        <v/>
      </c>
      <c r="E10" s="13">
        <f>IF(IFERROR(MATCH(SMALL('Sự kiện'!$T$5:$T$304,2),'Sự kiện'!$T$5:$T$304,0),0)=0,"",INDEX('Sự kiện'!$N$5:$N$304,IFERROR(MATCH(SMALL('Sự kiện'!$T$5:$T$304,2),'Sự kiện'!$T$5:$T$304,0),0)))</f>
        <v/>
      </c>
      <c r="F10" s="13">
        <f>IF(A10="","",N(INDEX('Sự kiện'!$M$5:$M$304,IFERROR(MATCH(SMALL('Sự kiện'!$T$5:$T$304,2),'Sự kiện'!$T$5:$T$304,0),0)))-N(E10)-N(G10))</f>
        <v/>
      </c>
      <c r="G10" s="13">
        <f>IF(IFERROR(MATCH(SMALL('Sự kiện'!$T$5:$T$304,2),'Sự kiện'!$T$5:$T$304,0),0)=0,"",INDEX('Sự kiện'!$O$5:$O$304,IFERROR(MATCH(SMALL('Sự kiện'!$T$5:$T$304,2),'Sự kiện'!$T$5:$T$304,0),0)))</f>
        <v/>
      </c>
      <c r="H10" s="13">
        <f>IF(IFERROR(MATCH(SMALL('Sự kiện'!$T$5:$T$304,2),'Sự kiện'!$T$5:$T$304,0),0)=0,"",INDEX('Sự kiện'!$P$5:$P$304,IFERROR(MATCH(SMALL('Sự kiện'!$T$5:$T$304,2),'Sự kiện'!$T$5:$T$304,0),0)))</f>
        <v/>
      </c>
      <c r="I10" s="14">
        <f>IF(IFERROR(MATCH(SMALL('Sự kiện'!$T$5:$T$304,2),'Sự kiện'!$T$5:$T$304,0),0)=0,"",INDEX('Sự kiện'!$Q$5:$Q$304,IFERROR(MATCH(SMALL('Sự kiện'!$T$5:$T$304,2),'Sự kiện'!$T$5:$T$304,0),0)))</f>
        <v/>
      </c>
      <c r="J10" s="15">
        <f>IF(IFERROR(MATCH(SMALL('Sự kiện'!$T$5:$T$304,2),'Sự kiện'!$T$5:$T$304,0),0)=0,"",INDEX('Sự kiện'!$R$5:$R$304,IFERROR(MATCH(SMALL('Sự kiện'!$T$5:$T$304,2),'Sự kiện'!$T$5:$T$304,0),0))&amp;"")</f>
        <v/>
      </c>
    </row>
    <row r="11" ht="30" customHeight="1">
      <c r="A11" s="11">
        <f>IF(IFERROR(MATCH(SMALL('Sự kiện'!$T$5:$T$304,3),'Sự kiện'!$T$5:$T$304,0),0)=0,"",INDEX('Sự kiện'!$B$5:$B$304,IFERROR(MATCH(SMALL('Sự kiện'!$T$5:$T$304,3),'Sự kiện'!$T$5:$T$304,0),0))&amp;"")</f>
        <v/>
      </c>
      <c r="B11" s="12">
        <f>IF(IFERROR(MATCH(SMALL('Sự kiện'!$T$5:$T$304,3),'Sự kiện'!$T$5:$T$304,0),0)=0,"",INDEX('Sự kiện'!$C$5:$C$304,IFERROR(MATCH(SMALL('Sự kiện'!$T$5:$T$304,3),'Sự kiện'!$T$5:$T$304,0),0)))</f>
        <v/>
      </c>
      <c r="C11" s="13">
        <f>IF(IFERROR(MATCH(SMALL('Sự kiện'!$T$5:$T$304,3),'Sự kiện'!$T$5:$T$304,0),0)=0,"",INDEX('Sự kiện'!$S$5:$S$304,IFERROR(MATCH(SMALL('Sự kiện'!$T$5:$T$304,3),'Sự kiện'!$T$5:$T$304,0),0))&amp;"")</f>
        <v/>
      </c>
      <c r="D11" s="13">
        <f>IF(IFERROR(MATCH(SMALL('Sự kiện'!$T$5:$T$304,3),'Sự kiện'!$T$5:$T$304,0),0)=0,"",INDEX('Sự kiện'!$K$5:$K$304,IFERROR(MATCH(SMALL('Sự kiện'!$T$5:$T$304,3),'Sự kiện'!$T$5:$T$304,0),0))&amp;"")</f>
        <v/>
      </c>
      <c r="E11" s="13">
        <f>IF(IFERROR(MATCH(SMALL('Sự kiện'!$T$5:$T$304,3),'Sự kiện'!$T$5:$T$304,0),0)=0,"",INDEX('Sự kiện'!$N$5:$N$304,IFERROR(MATCH(SMALL('Sự kiện'!$T$5:$T$304,3),'Sự kiện'!$T$5:$T$304,0),0)))</f>
        <v/>
      </c>
      <c r="F11" s="13">
        <f>IF(A11="","",N(INDEX('Sự kiện'!$M$5:$M$304,IFERROR(MATCH(SMALL('Sự kiện'!$T$5:$T$304,3),'Sự kiện'!$T$5:$T$304,0),0)))-N(E11)-N(G11))</f>
        <v/>
      </c>
      <c r="G11" s="13">
        <f>IF(IFERROR(MATCH(SMALL('Sự kiện'!$T$5:$T$304,3),'Sự kiện'!$T$5:$T$304,0),0)=0,"",INDEX('Sự kiện'!$O$5:$O$304,IFERROR(MATCH(SMALL('Sự kiện'!$T$5:$T$304,3),'Sự kiện'!$T$5:$T$304,0),0)))</f>
        <v/>
      </c>
      <c r="H11" s="13">
        <f>IF(IFERROR(MATCH(SMALL('Sự kiện'!$T$5:$T$304,3),'Sự kiện'!$T$5:$T$304,0),0)=0,"",INDEX('Sự kiện'!$P$5:$P$304,IFERROR(MATCH(SMALL('Sự kiện'!$T$5:$T$304,3),'Sự kiện'!$T$5:$T$304,0),0)))</f>
        <v/>
      </c>
      <c r="I11" s="14">
        <f>IF(IFERROR(MATCH(SMALL('Sự kiện'!$T$5:$T$304,3),'Sự kiện'!$T$5:$T$304,0),0)=0,"",INDEX('Sự kiện'!$Q$5:$Q$304,IFERROR(MATCH(SMALL('Sự kiện'!$T$5:$T$304,3),'Sự kiện'!$T$5:$T$304,0),0)))</f>
        <v/>
      </c>
      <c r="J11" s="15">
        <f>IF(IFERROR(MATCH(SMALL('Sự kiện'!$T$5:$T$304,3),'Sự kiện'!$T$5:$T$304,0),0)=0,"",INDEX('Sự kiện'!$R$5:$R$304,IFERROR(MATCH(SMALL('Sự kiện'!$T$5:$T$304,3),'Sự kiện'!$T$5:$T$304,0),0))&amp;"")</f>
        <v/>
      </c>
    </row>
    <row r="12" ht="30" customHeight="1">
      <c r="A12" s="11">
        <f>IF(IFERROR(MATCH(SMALL('Sự kiện'!$T$5:$T$304,4),'Sự kiện'!$T$5:$T$304,0),0)=0,"",INDEX('Sự kiện'!$B$5:$B$304,IFERROR(MATCH(SMALL('Sự kiện'!$T$5:$T$304,4),'Sự kiện'!$T$5:$T$304,0),0))&amp;"")</f>
        <v/>
      </c>
      <c r="B12" s="12">
        <f>IF(IFERROR(MATCH(SMALL('Sự kiện'!$T$5:$T$304,4),'Sự kiện'!$T$5:$T$304,0),0)=0,"",INDEX('Sự kiện'!$C$5:$C$304,IFERROR(MATCH(SMALL('Sự kiện'!$T$5:$T$304,4),'Sự kiện'!$T$5:$T$304,0),0)))</f>
        <v/>
      </c>
      <c r="C12" s="13">
        <f>IF(IFERROR(MATCH(SMALL('Sự kiện'!$T$5:$T$304,4),'Sự kiện'!$T$5:$T$304,0),0)=0,"",INDEX('Sự kiện'!$S$5:$S$304,IFERROR(MATCH(SMALL('Sự kiện'!$T$5:$T$304,4),'Sự kiện'!$T$5:$T$304,0),0))&amp;"")</f>
        <v/>
      </c>
      <c r="D12" s="13">
        <f>IF(IFERROR(MATCH(SMALL('Sự kiện'!$T$5:$T$304,4),'Sự kiện'!$T$5:$T$304,0),0)=0,"",INDEX('Sự kiện'!$K$5:$K$304,IFERROR(MATCH(SMALL('Sự kiện'!$T$5:$T$304,4),'Sự kiện'!$T$5:$T$304,0),0))&amp;"")</f>
        <v/>
      </c>
      <c r="E12" s="13">
        <f>IF(IFERROR(MATCH(SMALL('Sự kiện'!$T$5:$T$304,4),'Sự kiện'!$T$5:$T$304,0),0)=0,"",INDEX('Sự kiện'!$N$5:$N$304,IFERROR(MATCH(SMALL('Sự kiện'!$T$5:$T$304,4),'Sự kiện'!$T$5:$T$304,0),0)))</f>
        <v/>
      </c>
      <c r="F12" s="13">
        <f>IF(A12="","",N(INDEX('Sự kiện'!$M$5:$M$304,IFERROR(MATCH(SMALL('Sự kiện'!$T$5:$T$304,4),'Sự kiện'!$T$5:$T$304,0),0)))-N(E12)-N(G12))</f>
        <v/>
      </c>
      <c r="G12" s="13">
        <f>IF(IFERROR(MATCH(SMALL('Sự kiện'!$T$5:$T$304,4),'Sự kiện'!$T$5:$T$304,0),0)=0,"",INDEX('Sự kiện'!$O$5:$O$304,IFERROR(MATCH(SMALL('Sự kiện'!$T$5:$T$304,4),'Sự kiện'!$T$5:$T$304,0),0)))</f>
        <v/>
      </c>
      <c r="H12" s="13">
        <f>IF(IFERROR(MATCH(SMALL('Sự kiện'!$T$5:$T$304,4),'Sự kiện'!$T$5:$T$304,0),0)=0,"",INDEX('Sự kiện'!$P$5:$P$304,IFERROR(MATCH(SMALL('Sự kiện'!$T$5:$T$304,4),'Sự kiện'!$T$5:$T$304,0),0)))</f>
        <v/>
      </c>
      <c r="I12" s="14">
        <f>IF(IFERROR(MATCH(SMALL('Sự kiện'!$T$5:$T$304,4),'Sự kiện'!$T$5:$T$304,0),0)=0,"",INDEX('Sự kiện'!$Q$5:$Q$304,IFERROR(MATCH(SMALL('Sự kiện'!$T$5:$T$304,4),'Sự kiện'!$T$5:$T$304,0),0)))</f>
        <v/>
      </c>
      <c r="J12" s="15">
        <f>IF(IFERROR(MATCH(SMALL('Sự kiện'!$T$5:$T$304,4),'Sự kiện'!$T$5:$T$304,0),0)=0,"",INDEX('Sự kiện'!$R$5:$R$304,IFERROR(MATCH(SMALL('Sự kiện'!$T$5:$T$304,4),'Sự kiện'!$T$5:$T$304,0),0))&amp;"")</f>
        <v/>
      </c>
    </row>
    <row r="13" ht="30" customHeight="1">
      <c r="A13" s="11">
        <f>IF(IFERROR(MATCH(SMALL('Sự kiện'!$T$5:$T$304,5),'Sự kiện'!$T$5:$T$304,0),0)=0,"",INDEX('Sự kiện'!$B$5:$B$304,IFERROR(MATCH(SMALL('Sự kiện'!$T$5:$T$304,5),'Sự kiện'!$T$5:$T$304,0),0))&amp;"")</f>
        <v/>
      </c>
      <c r="B13" s="12">
        <f>IF(IFERROR(MATCH(SMALL('Sự kiện'!$T$5:$T$304,5),'Sự kiện'!$T$5:$T$304,0),0)=0,"",INDEX('Sự kiện'!$C$5:$C$304,IFERROR(MATCH(SMALL('Sự kiện'!$T$5:$T$304,5),'Sự kiện'!$T$5:$T$304,0),0)))</f>
        <v/>
      </c>
      <c r="C13" s="13">
        <f>IF(IFERROR(MATCH(SMALL('Sự kiện'!$T$5:$T$304,5),'Sự kiện'!$T$5:$T$304,0),0)=0,"",INDEX('Sự kiện'!$S$5:$S$304,IFERROR(MATCH(SMALL('Sự kiện'!$T$5:$T$304,5),'Sự kiện'!$T$5:$T$304,0),0))&amp;"")</f>
        <v/>
      </c>
      <c r="D13" s="13">
        <f>IF(IFERROR(MATCH(SMALL('Sự kiện'!$T$5:$T$304,5),'Sự kiện'!$T$5:$T$304,0),0)=0,"",INDEX('Sự kiện'!$K$5:$K$304,IFERROR(MATCH(SMALL('Sự kiện'!$T$5:$T$304,5),'Sự kiện'!$T$5:$T$304,0),0))&amp;"")</f>
        <v/>
      </c>
      <c r="E13" s="13">
        <f>IF(IFERROR(MATCH(SMALL('Sự kiện'!$T$5:$T$304,5),'Sự kiện'!$T$5:$T$304,0),0)=0,"",INDEX('Sự kiện'!$N$5:$N$304,IFERROR(MATCH(SMALL('Sự kiện'!$T$5:$T$304,5),'Sự kiện'!$T$5:$T$304,0),0)))</f>
        <v/>
      </c>
      <c r="F13" s="13">
        <f>IF(A13="","",N(INDEX('Sự kiện'!$M$5:$M$304,IFERROR(MATCH(SMALL('Sự kiện'!$T$5:$T$304,5),'Sự kiện'!$T$5:$T$304,0),0)))-N(E13)-N(G13))</f>
        <v/>
      </c>
      <c r="G13" s="13">
        <f>IF(IFERROR(MATCH(SMALL('Sự kiện'!$T$5:$T$304,5),'Sự kiện'!$T$5:$T$304,0),0)=0,"",INDEX('Sự kiện'!$O$5:$O$304,IFERROR(MATCH(SMALL('Sự kiện'!$T$5:$T$304,5),'Sự kiện'!$T$5:$T$304,0),0)))</f>
        <v/>
      </c>
      <c r="H13" s="13">
        <f>IF(IFERROR(MATCH(SMALL('Sự kiện'!$T$5:$T$304,5),'Sự kiện'!$T$5:$T$304,0),0)=0,"",INDEX('Sự kiện'!$P$5:$P$304,IFERROR(MATCH(SMALL('Sự kiện'!$T$5:$T$304,5),'Sự kiện'!$T$5:$T$304,0),0)))</f>
        <v/>
      </c>
      <c r="I13" s="14">
        <f>IF(IFERROR(MATCH(SMALL('Sự kiện'!$T$5:$T$304,5),'Sự kiện'!$T$5:$T$304,0),0)=0,"",INDEX('Sự kiện'!$Q$5:$Q$304,IFERROR(MATCH(SMALL('Sự kiện'!$T$5:$T$304,5),'Sự kiện'!$T$5:$T$304,0),0)))</f>
        <v/>
      </c>
      <c r="J13" s="15">
        <f>IF(IFERROR(MATCH(SMALL('Sự kiện'!$T$5:$T$304,5),'Sự kiện'!$T$5:$T$304,0),0)=0,"",INDEX('Sự kiện'!$R$5:$R$304,IFERROR(MATCH(SMALL('Sự kiện'!$T$5:$T$304,5),'Sự kiện'!$T$5:$T$304,0),0))&amp;"")</f>
        <v/>
      </c>
    </row>
    <row r="14" ht="30" customHeight="1">
      <c r="A14" s="11">
        <f>IF(IFERROR(MATCH(SMALL('Sự kiện'!$T$5:$T$304,6),'Sự kiện'!$T$5:$T$304,0),0)=0,"",INDEX('Sự kiện'!$B$5:$B$304,IFERROR(MATCH(SMALL('Sự kiện'!$T$5:$T$304,6),'Sự kiện'!$T$5:$T$304,0),0))&amp;"")</f>
        <v/>
      </c>
      <c r="B14" s="12">
        <f>IF(IFERROR(MATCH(SMALL('Sự kiện'!$T$5:$T$304,6),'Sự kiện'!$T$5:$T$304,0),0)=0,"",INDEX('Sự kiện'!$C$5:$C$304,IFERROR(MATCH(SMALL('Sự kiện'!$T$5:$T$304,6),'Sự kiện'!$T$5:$T$304,0),0)))</f>
        <v/>
      </c>
      <c r="C14" s="13">
        <f>IF(IFERROR(MATCH(SMALL('Sự kiện'!$T$5:$T$304,6),'Sự kiện'!$T$5:$T$304,0),0)=0,"",INDEX('Sự kiện'!$S$5:$S$304,IFERROR(MATCH(SMALL('Sự kiện'!$T$5:$T$304,6),'Sự kiện'!$T$5:$T$304,0),0))&amp;"")</f>
        <v/>
      </c>
      <c r="D14" s="13">
        <f>IF(IFERROR(MATCH(SMALL('Sự kiện'!$T$5:$T$304,6),'Sự kiện'!$T$5:$T$304,0),0)=0,"",INDEX('Sự kiện'!$K$5:$K$304,IFERROR(MATCH(SMALL('Sự kiện'!$T$5:$T$304,6),'Sự kiện'!$T$5:$T$304,0),0))&amp;"")</f>
        <v/>
      </c>
      <c r="E14" s="13">
        <f>IF(IFERROR(MATCH(SMALL('Sự kiện'!$T$5:$T$304,6),'Sự kiện'!$T$5:$T$304,0),0)=0,"",INDEX('Sự kiện'!$N$5:$N$304,IFERROR(MATCH(SMALL('Sự kiện'!$T$5:$T$304,6),'Sự kiện'!$T$5:$T$304,0),0)))</f>
        <v/>
      </c>
      <c r="F14" s="13">
        <f>IF(A14="","",N(INDEX('Sự kiện'!$M$5:$M$304,IFERROR(MATCH(SMALL('Sự kiện'!$T$5:$T$304,6),'Sự kiện'!$T$5:$T$304,0),0)))-N(E14)-N(G14))</f>
        <v/>
      </c>
      <c r="G14" s="13">
        <f>IF(IFERROR(MATCH(SMALL('Sự kiện'!$T$5:$T$304,6),'Sự kiện'!$T$5:$T$304,0),0)=0,"",INDEX('Sự kiện'!$O$5:$O$304,IFERROR(MATCH(SMALL('Sự kiện'!$T$5:$T$304,6),'Sự kiện'!$T$5:$T$304,0),0)))</f>
        <v/>
      </c>
      <c r="H14" s="13">
        <f>IF(IFERROR(MATCH(SMALL('Sự kiện'!$T$5:$T$304,6),'Sự kiện'!$T$5:$T$304,0),0)=0,"",INDEX('Sự kiện'!$P$5:$P$304,IFERROR(MATCH(SMALL('Sự kiện'!$T$5:$T$304,6),'Sự kiện'!$T$5:$T$304,0),0)))</f>
        <v/>
      </c>
      <c r="I14" s="14">
        <f>IF(IFERROR(MATCH(SMALL('Sự kiện'!$T$5:$T$304,6),'Sự kiện'!$T$5:$T$304,0),0)=0,"",INDEX('Sự kiện'!$Q$5:$Q$304,IFERROR(MATCH(SMALL('Sự kiện'!$T$5:$T$304,6),'Sự kiện'!$T$5:$T$304,0),0)))</f>
        <v/>
      </c>
      <c r="J14" s="15">
        <f>IF(IFERROR(MATCH(SMALL('Sự kiện'!$T$5:$T$304,6),'Sự kiện'!$T$5:$T$304,0),0)=0,"",INDEX('Sự kiện'!$R$5:$R$304,IFERROR(MATCH(SMALL('Sự kiện'!$T$5:$T$304,6),'Sự kiện'!$T$5:$T$304,0),0))&amp;"")</f>
        <v/>
      </c>
    </row>
    <row r="15" ht="30" customHeight="1">
      <c r="A15" s="11">
        <f>IF(IFERROR(MATCH(SMALL('Sự kiện'!$T$5:$T$304,7),'Sự kiện'!$T$5:$T$304,0),0)=0,"",INDEX('Sự kiện'!$B$5:$B$304,IFERROR(MATCH(SMALL('Sự kiện'!$T$5:$T$304,7),'Sự kiện'!$T$5:$T$304,0),0))&amp;"")</f>
        <v/>
      </c>
      <c r="B15" s="12">
        <f>IF(IFERROR(MATCH(SMALL('Sự kiện'!$T$5:$T$304,7),'Sự kiện'!$T$5:$T$304,0),0)=0,"",INDEX('Sự kiện'!$C$5:$C$304,IFERROR(MATCH(SMALL('Sự kiện'!$T$5:$T$304,7),'Sự kiện'!$T$5:$T$304,0),0)))</f>
        <v/>
      </c>
      <c r="C15" s="13">
        <f>IF(IFERROR(MATCH(SMALL('Sự kiện'!$T$5:$T$304,7),'Sự kiện'!$T$5:$T$304,0),0)=0,"",INDEX('Sự kiện'!$S$5:$S$304,IFERROR(MATCH(SMALL('Sự kiện'!$T$5:$T$304,7),'Sự kiện'!$T$5:$T$304,0),0))&amp;"")</f>
        <v/>
      </c>
      <c r="D15" s="13">
        <f>IF(IFERROR(MATCH(SMALL('Sự kiện'!$T$5:$T$304,7),'Sự kiện'!$T$5:$T$304,0),0)=0,"",INDEX('Sự kiện'!$K$5:$K$304,IFERROR(MATCH(SMALL('Sự kiện'!$T$5:$T$304,7),'Sự kiện'!$T$5:$T$304,0),0))&amp;"")</f>
        <v/>
      </c>
      <c r="E15" s="13">
        <f>IF(IFERROR(MATCH(SMALL('Sự kiện'!$T$5:$T$304,7),'Sự kiện'!$T$5:$T$304,0),0)=0,"",INDEX('Sự kiện'!$N$5:$N$304,IFERROR(MATCH(SMALL('Sự kiện'!$T$5:$T$304,7),'Sự kiện'!$T$5:$T$304,0),0)))</f>
        <v/>
      </c>
      <c r="F15" s="13">
        <f>IF(A15="","",N(INDEX('Sự kiện'!$M$5:$M$304,IFERROR(MATCH(SMALL('Sự kiện'!$T$5:$T$304,7),'Sự kiện'!$T$5:$T$304,0),0)))-N(E15)-N(G15))</f>
        <v/>
      </c>
      <c r="G15" s="13">
        <f>IF(IFERROR(MATCH(SMALL('Sự kiện'!$T$5:$T$304,7),'Sự kiện'!$T$5:$T$304,0),0)=0,"",INDEX('Sự kiện'!$O$5:$O$304,IFERROR(MATCH(SMALL('Sự kiện'!$T$5:$T$304,7),'Sự kiện'!$T$5:$T$304,0),0)))</f>
        <v/>
      </c>
      <c r="H15" s="13">
        <f>IF(IFERROR(MATCH(SMALL('Sự kiện'!$T$5:$T$304,7),'Sự kiện'!$T$5:$T$304,0),0)=0,"",INDEX('Sự kiện'!$P$5:$P$304,IFERROR(MATCH(SMALL('Sự kiện'!$T$5:$T$304,7),'Sự kiện'!$T$5:$T$304,0),0)))</f>
        <v/>
      </c>
      <c r="I15" s="14">
        <f>IF(IFERROR(MATCH(SMALL('Sự kiện'!$T$5:$T$304,7),'Sự kiện'!$T$5:$T$304,0),0)=0,"",INDEX('Sự kiện'!$Q$5:$Q$304,IFERROR(MATCH(SMALL('Sự kiện'!$T$5:$T$304,7),'Sự kiện'!$T$5:$T$304,0),0)))</f>
        <v/>
      </c>
      <c r="J15" s="15">
        <f>IF(IFERROR(MATCH(SMALL('Sự kiện'!$T$5:$T$304,7),'Sự kiện'!$T$5:$T$304,0),0)=0,"",INDEX('Sự kiện'!$R$5:$R$304,IFERROR(MATCH(SMALL('Sự kiện'!$T$5:$T$304,7),'Sự kiện'!$T$5:$T$304,0),0))&amp;"")</f>
        <v/>
      </c>
    </row>
    <row r="16" ht="30" customHeight="1">
      <c r="A16" s="11">
        <f>IF(IFERROR(MATCH(SMALL('Sự kiện'!$T$5:$T$304,8),'Sự kiện'!$T$5:$T$304,0),0)=0,"",INDEX('Sự kiện'!$B$5:$B$304,IFERROR(MATCH(SMALL('Sự kiện'!$T$5:$T$304,8),'Sự kiện'!$T$5:$T$304,0),0))&amp;"")</f>
        <v/>
      </c>
      <c r="B16" s="12">
        <f>IF(IFERROR(MATCH(SMALL('Sự kiện'!$T$5:$T$304,8),'Sự kiện'!$T$5:$T$304,0),0)=0,"",INDEX('Sự kiện'!$C$5:$C$304,IFERROR(MATCH(SMALL('Sự kiện'!$T$5:$T$304,8),'Sự kiện'!$T$5:$T$304,0),0)))</f>
        <v/>
      </c>
      <c r="C16" s="13">
        <f>IF(IFERROR(MATCH(SMALL('Sự kiện'!$T$5:$T$304,8),'Sự kiện'!$T$5:$T$304,0),0)=0,"",INDEX('Sự kiện'!$S$5:$S$304,IFERROR(MATCH(SMALL('Sự kiện'!$T$5:$T$304,8),'Sự kiện'!$T$5:$T$304,0),0))&amp;"")</f>
        <v/>
      </c>
      <c r="D16" s="13">
        <f>IF(IFERROR(MATCH(SMALL('Sự kiện'!$T$5:$T$304,8),'Sự kiện'!$T$5:$T$304,0),0)=0,"",INDEX('Sự kiện'!$K$5:$K$304,IFERROR(MATCH(SMALL('Sự kiện'!$T$5:$T$304,8),'Sự kiện'!$T$5:$T$304,0),0))&amp;"")</f>
        <v/>
      </c>
      <c r="E16" s="13">
        <f>IF(IFERROR(MATCH(SMALL('Sự kiện'!$T$5:$T$304,8),'Sự kiện'!$T$5:$T$304,0),0)=0,"",INDEX('Sự kiện'!$N$5:$N$304,IFERROR(MATCH(SMALL('Sự kiện'!$T$5:$T$304,8),'Sự kiện'!$T$5:$T$304,0),0)))</f>
        <v/>
      </c>
      <c r="F16" s="13">
        <f>IF(A16="","",N(INDEX('Sự kiện'!$M$5:$M$304,IFERROR(MATCH(SMALL('Sự kiện'!$T$5:$T$304,8),'Sự kiện'!$T$5:$T$304,0),0)))-N(E16)-N(G16))</f>
        <v/>
      </c>
      <c r="G16" s="13">
        <f>IF(IFERROR(MATCH(SMALL('Sự kiện'!$T$5:$T$304,8),'Sự kiện'!$T$5:$T$304,0),0)=0,"",INDEX('Sự kiện'!$O$5:$O$304,IFERROR(MATCH(SMALL('Sự kiện'!$T$5:$T$304,8),'Sự kiện'!$T$5:$T$304,0),0)))</f>
        <v/>
      </c>
      <c r="H16" s="13">
        <f>IF(IFERROR(MATCH(SMALL('Sự kiện'!$T$5:$T$304,8),'Sự kiện'!$T$5:$T$304,0),0)=0,"",INDEX('Sự kiện'!$P$5:$P$304,IFERROR(MATCH(SMALL('Sự kiện'!$T$5:$T$304,8),'Sự kiện'!$T$5:$T$304,0),0)))</f>
        <v/>
      </c>
      <c r="I16" s="14">
        <f>IF(IFERROR(MATCH(SMALL('Sự kiện'!$T$5:$T$304,8),'Sự kiện'!$T$5:$T$304,0),0)=0,"",INDEX('Sự kiện'!$Q$5:$Q$304,IFERROR(MATCH(SMALL('Sự kiện'!$T$5:$T$304,8),'Sự kiện'!$T$5:$T$304,0),0)))</f>
        <v/>
      </c>
      <c r="J16" s="15">
        <f>IF(IFERROR(MATCH(SMALL('Sự kiện'!$T$5:$T$304,8),'Sự kiện'!$T$5:$T$304,0),0)=0,"",INDEX('Sự kiện'!$R$5:$R$304,IFERROR(MATCH(SMALL('Sự kiện'!$T$5:$T$304,8),'Sự kiện'!$T$5:$T$304,0),0))&amp;"")</f>
        <v/>
      </c>
    </row>
    <row r="17" ht="30" customHeight="1">
      <c r="A17" s="11">
        <f>IF(IFERROR(MATCH(SMALL('Sự kiện'!$T$5:$T$304,9),'Sự kiện'!$T$5:$T$304,0),0)=0,"",INDEX('Sự kiện'!$B$5:$B$304,IFERROR(MATCH(SMALL('Sự kiện'!$T$5:$T$304,9),'Sự kiện'!$T$5:$T$304,0),0))&amp;"")</f>
        <v/>
      </c>
      <c r="B17" s="12">
        <f>IF(IFERROR(MATCH(SMALL('Sự kiện'!$T$5:$T$304,9),'Sự kiện'!$T$5:$T$304,0),0)=0,"",INDEX('Sự kiện'!$C$5:$C$304,IFERROR(MATCH(SMALL('Sự kiện'!$T$5:$T$304,9),'Sự kiện'!$T$5:$T$304,0),0)))</f>
        <v/>
      </c>
      <c r="C17" s="13">
        <f>IF(IFERROR(MATCH(SMALL('Sự kiện'!$T$5:$T$304,9),'Sự kiện'!$T$5:$T$304,0),0)=0,"",INDEX('Sự kiện'!$S$5:$S$304,IFERROR(MATCH(SMALL('Sự kiện'!$T$5:$T$304,9),'Sự kiện'!$T$5:$T$304,0),0))&amp;"")</f>
        <v/>
      </c>
      <c r="D17" s="13">
        <f>IF(IFERROR(MATCH(SMALL('Sự kiện'!$T$5:$T$304,9),'Sự kiện'!$T$5:$T$304,0),0)=0,"",INDEX('Sự kiện'!$K$5:$K$304,IFERROR(MATCH(SMALL('Sự kiện'!$T$5:$T$304,9),'Sự kiện'!$T$5:$T$304,0),0))&amp;"")</f>
        <v/>
      </c>
      <c r="E17" s="13">
        <f>IF(IFERROR(MATCH(SMALL('Sự kiện'!$T$5:$T$304,9),'Sự kiện'!$T$5:$T$304,0),0)=0,"",INDEX('Sự kiện'!$N$5:$N$304,IFERROR(MATCH(SMALL('Sự kiện'!$T$5:$T$304,9),'Sự kiện'!$T$5:$T$304,0),0)))</f>
        <v/>
      </c>
      <c r="F17" s="13">
        <f>IF(A17="","",N(INDEX('Sự kiện'!$M$5:$M$304,IFERROR(MATCH(SMALL('Sự kiện'!$T$5:$T$304,9),'Sự kiện'!$T$5:$T$304,0),0)))-N(E17)-N(G17))</f>
        <v/>
      </c>
      <c r="G17" s="13">
        <f>IF(IFERROR(MATCH(SMALL('Sự kiện'!$T$5:$T$304,9),'Sự kiện'!$T$5:$T$304,0),0)=0,"",INDEX('Sự kiện'!$O$5:$O$304,IFERROR(MATCH(SMALL('Sự kiện'!$T$5:$T$304,9),'Sự kiện'!$T$5:$T$304,0),0)))</f>
        <v/>
      </c>
      <c r="H17" s="13">
        <f>IF(IFERROR(MATCH(SMALL('Sự kiện'!$T$5:$T$304,9),'Sự kiện'!$T$5:$T$304,0),0)=0,"",INDEX('Sự kiện'!$P$5:$P$304,IFERROR(MATCH(SMALL('Sự kiện'!$T$5:$T$304,9),'Sự kiện'!$T$5:$T$304,0),0)))</f>
        <v/>
      </c>
      <c r="I17" s="14">
        <f>IF(IFERROR(MATCH(SMALL('Sự kiện'!$T$5:$T$304,9),'Sự kiện'!$T$5:$T$304,0),0)=0,"",INDEX('Sự kiện'!$Q$5:$Q$304,IFERROR(MATCH(SMALL('Sự kiện'!$T$5:$T$304,9),'Sự kiện'!$T$5:$T$304,0),0)))</f>
        <v/>
      </c>
      <c r="J17" s="15">
        <f>IF(IFERROR(MATCH(SMALL('Sự kiện'!$T$5:$T$304,9),'Sự kiện'!$T$5:$T$304,0),0)=0,"",INDEX('Sự kiện'!$R$5:$R$304,IFERROR(MATCH(SMALL('Sự kiện'!$T$5:$T$304,9),'Sự kiện'!$T$5:$T$304,0),0))&amp;"")</f>
        <v/>
      </c>
    </row>
    <row r="18" ht="30" customHeight="1">
      <c r="A18" s="11">
        <f>IF(IFERROR(MATCH(SMALL('Sự kiện'!$T$5:$T$304,10),'Sự kiện'!$T$5:$T$304,0),0)=0,"",INDEX('Sự kiện'!$B$5:$B$304,IFERROR(MATCH(SMALL('Sự kiện'!$T$5:$T$304,10),'Sự kiện'!$T$5:$T$304,0),0))&amp;"")</f>
        <v/>
      </c>
      <c r="B18" s="12">
        <f>IF(IFERROR(MATCH(SMALL('Sự kiện'!$T$5:$T$304,10),'Sự kiện'!$T$5:$T$304,0),0)=0,"",INDEX('Sự kiện'!$C$5:$C$304,IFERROR(MATCH(SMALL('Sự kiện'!$T$5:$T$304,10),'Sự kiện'!$T$5:$T$304,0),0)))</f>
        <v/>
      </c>
      <c r="C18" s="13">
        <f>IF(IFERROR(MATCH(SMALL('Sự kiện'!$T$5:$T$304,10),'Sự kiện'!$T$5:$T$304,0),0)=0,"",INDEX('Sự kiện'!$S$5:$S$304,IFERROR(MATCH(SMALL('Sự kiện'!$T$5:$T$304,10),'Sự kiện'!$T$5:$T$304,0),0))&amp;"")</f>
        <v/>
      </c>
      <c r="D18" s="13">
        <f>IF(IFERROR(MATCH(SMALL('Sự kiện'!$T$5:$T$304,10),'Sự kiện'!$T$5:$T$304,0),0)=0,"",INDEX('Sự kiện'!$K$5:$K$304,IFERROR(MATCH(SMALL('Sự kiện'!$T$5:$T$304,10),'Sự kiện'!$T$5:$T$304,0),0))&amp;"")</f>
        <v/>
      </c>
      <c r="E18" s="13">
        <f>IF(IFERROR(MATCH(SMALL('Sự kiện'!$T$5:$T$304,10),'Sự kiện'!$T$5:$T$304,0),0)=0,"",INDEX('Sự kiện'!$N$5:$N$304,IFERROR(MATCH(SMALL('Sự kiện'!$T$5:$T$304,10),'Sự kiện'!$T$5:$T$304,0),0)))</f>
        <v/>
      </c>
      <c r="F18" s="13">
        <f>IF(A18="","",N(INDEX('Sự kiện'!$M$5:$M$304,IFERROR(MATCH(SMALL('Sự kiện'!$T$5:$T$304,10),'Sự kiện'!$T$5:$T$304,0),0)))-N(E18)-N(G18))</f>
        <v/>
      </c>
      <c r="G18" s="13">
        <f>IF(IFERROR(MATCH(SMALL('Sự kiện'!$T$5:$T$304,10),'Sự kiện'!$T$5:$T$304,0),0)=0,"",INDEX('Sự kiện'!$O$5:$O$304,IFERROR(MATCH(SMALL('Sự kiện'!$T$5:$T$304,10),'Sự kiện'!$T$5:$T$304,0),0)))</f>
        <v/>
      </c>
      <c r="H18" s="13">
        <f>IF(IFERROR(MATCH(SMALL('Sự kiện'!$T$5:$T$304,10),'Sự kiện'!$T$5:$T$304,0),0)=0,"",INDEX('Sự kiện'!$P$5:$P$304,IFERROR(MATCH(SMALL('Sự kiện'!$T$5:$T$304,10),'Sự kiện'!$T$5:$T$304,0),0)))</f>
        <v/>
      </c>
      <c r="I18" s="14">
        <f>IF(IFERROR(MATCH(SMALL('Sự kiện'!$T$5:$T$304,10),'Sự kiện'!$T$5:$T$304,0),0)=0,"",INDEX('Sự kiện'!$Q$5:$Q$304,IFERROR(MATCH(SMALL('Sự kiện'!$T$5:$T$304,10),'Sự kiện'!$T$5:$T$304,0),0)))</f>
        <v/>
      </c>
      <c r="J18" s="15">
        <f>IF(IFERROR(MATCH(SMALL('Sự kiện'!$T$5:$T$304,10),'Sự kiện'!$T$5:$T$304,0),0)=0,"",INDEX('Sự kiện'!$R$5:$R$304,IFERROR(MATCH(SMALL('Sự kiện'!$T$5:$T$304,10),'Sự kiện'!$T$5:$T$304,0),0))&amp;"")</f>
        <v/>
      </c>
    </row>
    <row r="19" ht="30" customHeight="1">
      <c r="A19" s="11">
        <f>IF(IFERROR(MATCH(SMALL('Sự kiện'!$T$5:$T$304,11),'Sự kiện'!$T$5:$T$304,0),0)=0,"",INDEX('Sự kiện'!$B$5:$B$304,IFERROR(MATCH(SMALL('Sự kiện'!$T$5:$T$304,11),'Sự kiện'!$T$5:$T$304,0),0))&amp;"")</f>
        <v/>
      </c>
      <c r="B19" s="12">
        <f>IF(IFERROR(MATCH(SMALL('Sự kiện'!$T$5:$T$304,11),'Sự kiện'!$T$5:$T$304,0),0)=0,"",INDEX('Sự kiện'!$C$5:$C$304,IFERROR(MATCH(SMALL('Sự kiện'!$T$5:$T$304,11),'Sự kiện'!$T$5:$T$304,0),0)))</f>
        <v/>
      </c>
      <c r="C19" s="13">
        <f>IF(IFERROR(MATCH(SMALL('Sự kiện'!$T$5:$T$304,11),'Sự kiện'!$T$5:$T$304,0),0)=0,"",INDEX('Sự kiện'!$S$5:$S$304,IFERROR(MATCH(SMALL('Sự kiện'!$T$5:$T$304,11),'Sự kiện'!$T$5:$T$304,0),0))&amp;"")</f>
        <v/>
      </c>
      <c r="D19" s="13">
        <f>IF(IFERROR(MATCH(SMALL('Sự kiện'!$T$5:$T$304,11),'Sự kiện'!$T$5:$T$304,0),0)=0,"",INDEX('Sự kiện'!$K$5:$K$304,IFERROR(MATCH(SMALL('Sự kiện'!$T$5:$T$304,11),'Sự kiện'!$T$5:$T$304,0),0))&amp;"")</f>
        <v/>
      </c>
      <c r="E19" s="13">
        <f>IF(IFERROR(MATCH(SMALL('Sự kiện'!$T$5:$T$304,11),'Sự kiện'!$T$5:$T$304,0),0)=0,"",INDEX('Sự kiện'!$N$5:$N$304,IFERROR(MATCH(SMALL('Sự kiện'!$T$5:$T$304,11),'Sự kiện'!$T$5:$T$304,0),0)))</f>
        <v/>
      </c>
      <c r="F19" s="13">
        <f>IF(A19="","",N(INDEX('Sự kiện'!$M$5:$M$304,IFERROR(MATCH(SMALL('Sự kiện'!$T$5:$T$304,11),'Sự kiện'!$T$5:$T$304,0),0)))-N(E19)-N(G19))</f>
        <v/>
      </c>
      <c r="G19" s="13">
        <f>IF(IFERROR(MATCH(SMALL('Sự kiện'!$T$5:$T$304,11),'Sự kiện'!$T$5:$T$304,0),0)=0,"",INDEX('Sự kiện'!$O$5:$O$304,IFERROR(MATCH(SMALL('Sự kiện'!$T$5:$T$304,11),'Sự kiện'!$T$5:$T$304,0),0)))</f>
        <v/>
      </c>
      <c r="H19" s="13">
        <f>IF(IFERROR(MATCH(SMALL('Sự kiện'!$T$5:$T$304,11),'Sự kiện'!$T$5:$T$304,0),0)=0,"",INDEX('Sự kiện'!$P$5:$P$304,IFERROR(MATCH(SMALL('Sự kiện'!$T$5:$T$304,11),'Sự kiện'!$T$5:$T$304,0),0)))</f>
        <v/>
      </c>
      <c r="I19" s="14">
        <f>IF(IFERROR(MATCH(SMALL('Sự kiện'!$T$5:$T$304,11),'Sự kiện'!$T$5:$T$304,0),0)=0,"",INDEX('Sự kiện'!$Q$5:$Q$304,IFERROR(MATCH(SMALL('Sự kiện'!$T$5:$T$304,11),'Sự kiện'!$T$5:$T$304,0),0)))</f>
        <v/>
      </c>
      <c r="J19" s="15">
        <f>IF(IFERROR(MATCH(SMALL('Sự kiện'!$T$5:$T$304,11),'Sự kiện'!$T$5:$T$304,0),0)=0,"",INDEX('Sự kiện'!$R$5:$R$304,IFERROR(MATCH(SMALL('Sự kiện'!$T$5:$T$304,11),'Sự kiện'!$T$5:$T$304,0),0))&amp;"")</f>
        <v/>
      </c>
    </row>
    <row r="20" ht="30" customHeight="1">
      <c r="A20" s="11">
        <f>IF(IFERROR(MATCH(SMALL('Sự kiện'!$T$5:$T$304,12),'Sự kiện'!$T$5:$T$304,0),0)=0,"",INDEX('Sự kiện'!$B$5:$B$304,IFERROR(MATCH(SMALL('Sự kiện'!$T$5:$T$304,12),'Sự kiện'!$T$5:$T$304,0),0))&amp;"")</f>
        <v/>
      </c>
      <c r="B20" s="12">
        <f>IF(IFERROR(MATCH(SMALL('Sự kiện'!$T$5:$T$304,12),'Sự kiện'!$T$5:$T$304,0),0)=0,"",INDEX('Sự kiện'!$C$5:$C$304,IFERROR(MATCH(SMALL('Sự kiện'!$T$5:$T$304,12),'Sự kiện'!$T$5:$T$304,0),0)))</f>
        <v/>
      </c>
      <c r="C20" s="13">
        <f>IF(IFERROR(MATCH(SMALL('Sự kiện'!$T$5:$T$304,12),'Sự kiện'!$T$5:$T$304,0),0)=0,"",INDEX('Sự kiện'!$S$5:$S$304,IFERROR(MATCH(SMALL('Sự kiện'!$T$5:$T$304,12),'Sự kiện'!$T$5:$T$304,0),0))&amp;"")</f>
        <v/>
      </c>
      <c r="D20" s="13">
        <f>IF(IFERROR(MATCH(SMALL('Sự kiện'!$T$5:$T$304,12),'Sự kiện'!$T$5:$T$304,0),0)=0,"",INDEX('Sự kiện'!$K$5:$K$304,IFERROR(MATCH(SMALL('Sự kiện'!$T$5:$T$304,12),'Sự kiện'!$T$5:$T$304,0),0))&amp;"")</f>
        <v/>
      </c>
      <c r="E20" s="13">
        <f>IF(IFERROR(MATCH(SMALL('Sự kiện'!$T$5:$T$304,12),'Sự kiện'!$T$5:$T$304,0),0)=0,"",INDEX('Sự kiện'!$N$5:$N$304,IFERROR(MATCH(SMALL('Sự kiện'!$T$5:$T$304,12),'Sự kiện'!$T$5:$T$304,0),0)))</f>
        <v/>
      </c>
      <c r="F20" s="13">
        <f>IF(A20="","",N(INDEX('Sự kiện'!$M$5:$M$304,IFERROR(MATCH(SMALL('Sự kiện'!$T$5:$T$304,12),'Sự kiện'!$T$5:$T$304,0),0)))-N(E20)-N(G20))</f>
        <v/>
      </c>
      <c r="G20" s="13">
        <f>IF(IFERROR(MATCH(SMALL('Sự kiện'!$T$5:$T$304,12),'Sự kiện'!$T$5:$T$304,0),0)=0,"",INDEX('Sự kiện'!$O$5:$O$304,IFERROR(MATCH(SMALL('Sự kiện'!$T$5:$T$304,12),'Sự kiện'!$T$5:$T$304,0),0)))</f>
        <v/>
      </c>
      <c r="H20" s="13">
        <f>IF(IFERROR(MATCH(SMALL('Sự kiện'!$T$5:$T$304,12),'Sự kiện'!$T$5:$T$304,0),0)=0,"",INDEX('Sự kiện'!$P$5:$P$304,IFERROR(MATCH(SMALL('Sự kiện'!$T$5:$T$304,12),'Sự kiện'!$T$5:$T$304,0),0)))</f>
        <v/>
      </c>
      <c r="I20" s="14">
        <f>IF(IFERROR(MATCH(SMALL('Sự kiện'!$T$5:$T$304,12),'Sự kiện'!$T$5:$T$304,0),0)=0,"",INDEX('Sự kiện'!$Q$5:$Q$304,IFERROR(MATCH(SMALL('Sự kiện'!$T$5:$T$304,12),'Sự kiện'!$T$5:$T$304,0),0)))</f>
        <v/>
      </c>
      <c r="J20" s="15">
        <f>IF(IFERROR(MATCH(SMALL('Sự kiện'!$T$5:$T$304,12),'Sự kiện'!$T$5:$T$304,0),0)=0,"",INDEX('Sự kiện'!$R$5:$R$304,IFERROR(MATCH(SMALL('Sự kiện'!$T$5:$T$304,12),'Sự kiện'!$T$5:$T$304,0),0))&amp;"")</f>
        <v/>
      </c>
    </row>
    <row r="22">
      <c r="A22" s="9" t="inlineStr">
        <is>
          <t>THEO NGƯỜI PHỤ TRÁCH</t>
        </is>
      </c>
    </row>
    <row r="23" ht="28" customHeight="1">
      <c r="A23" s="10" t="inlineStr">
        <is>
          <t>Người</t>
        </is>
      </c>
      <c r="B23" s="10" t="inlineStr">
        <is>
          <t>Đang mở</t>
        </is>
      </c>
      <c r="C23" s="10" t="inlineStr">
        <is>
          <t>Quá hạn</t>
        </is>
      </c>
      <c r="D23" s="10" t="inlineStr">
        <is>
          <t>Đến hạn ≤ 3 ngày</t>
        </is>
      </c>
      <c r="E23" s="10" t="inlineStr">
        <is>
          <t>Xong</t>
        </is>
      </c>
      <c r="F23" s="10" t="inlineStr">
        <is>
          <t>Tổng</t>
        </is>
      </c>
      <c r="G23" s="10" t="inlineStr">
        <is>
          <t>%</t>
        </is>
      </c>
      <c r="H23" s="16" t="n"/>
      <c r="I23" s="17" t="n"/>
      <c r="J23" s="10" t="inlineStr">
        <is>
          <t>Tiến độ</t>
        </is>
      </c>
    </row>
    <row r="24">
      <c r="A24" s="18">
        <f>IF('Cài đặt'!$D$5="","",'Cài đặt'!$D$5)</f>
        <v/>
      </c>
      <c r="B24" s="18">
        <f>IF(A24="","",COUNTIFS('Giao việc'!$F$5:$F$3004,A24,'Giao việc'!$R$5:$R$3004,"Có",'Giao việc'!$I$5:$I$3004,"&lt;&gt;Xong",'Giao việc'!$I$5:$I$3004,"&lt;&gt;Bỏ qua"))</f>
        <v/>
      </c>
      <c r="C24" s="18">
        <f>IF(A24="","",COUNTIFS('Giao việc'!$F$5:$F$3004,A24,'Giao việc'!$R$5:$R$3004,"Có",'Giao việc'!$L$5:$L$3004,"*QUÁ HẠN*"))</f>
        <v/>
      </c>
      <c r="D24" s="18">
        <f>IF(A24="","",COUNTIFS('Giao việc'!$F$5:$F$3004,A24,'Giao việc'!$R$5:$R$3004,"Có",'Giao việc'!$L$5:$L$3004,"*Đến hạn*"))</f>
        <v/>
      </c>
      <c r="E24" s="18">
        <f>IF(A24="","",COUNTIFS('Giao việc'!$F$5:$F$3004,A24,'Giao việc'!$R$5:$R$3004,"Có",'Giao việc'!$I$5:$I$3004,"Xong"))</f>
        <v/>
      </c>
      <c r="F24" s="18">
        <f>IF(A24="","",B24+E24)</f>
        <v/>
      </c>
      <c r="G24" s="19">
        <f>IF(OR(A24="",N(F24)=0),"",E24/F24)</f>
        <v/>
      </c>
      <c r="H24" s="18" t="n"/>
      <c r="I24" s="18" t="n"/>
      <c r="J24" s="20">
        <f>IF(G24="","",REPT("█",ROUND(G24*10,0))&amp;REPT("░",10-ROUND(G24*10,0)))</f>
        <v/>
      </c>
    </row>
    <row r="25">
      <c r="A25" s="18">
        <f>IF('Cài đặt'!$D$6="","",'Cài đặt'!$D$6)</f>
        <v/>
      </c>
      <c r="B25" s="18">
        <f>IF(A25="","",COUNTIFS('Giao việc'!$F$5:$F$3004,A25,'Giao việc'!$R$5:$R$3004,"Có",'Giao việc'!$I$5:$I$3004,"&lt;&gt;Xong",'Giao việc'!$I$5:$I$3004,"&lt;&gt;Bỏ qua"))</f>
        <v/>
      </c>
      <c r="C25" s="18">
        <f>IF(A25="","",COUNTIFS('Giao việc'!$F$5:$F$3004,A25,'Giao việc'!$R$5:$R$3004,"Có",'Giao việc'!$L$5:$L$3004,"*QUÁ HẠN*"))</f>
        <v/>
      </c>
      <c r="D25" s="18">
        <f>IF(A25="","",COUNTIFS('Giao việc'!$F$5:$F$3004,A25,'Giao việc'!$R$5:$R$3004,"Có",'Giao việc'!$L$5:$L$3004,"*Đến hạn*"))</f>
        <v/>
      </c>
      <c r="E25" s="18">
        <f>IF(A25="","",COUNTIFS('Giao việc'!$F$5:$F$3004,A25,'Giao việc'!$R$5:$R$3004,"Có",'Giao việc'!$I$5:$I$3004,"Xong"))</f>
        <v/>
      </c>
      <c r="F25" s="18">
        <f>IF(A25="","",B25+E25)</f>
        <v/>
      </c>
      <c r="G25" s="19">
        <f>IF(OR(A25="",N(F25)=0),"",E25/F25)</f>
        <v/>
      </c>
      <c r="H25" s="18" t="n"/>
      <c r="I25" s="18" t="n"/>
      <c r="J25" s="20">
        <f>IF(G25="","",REPT("█",ROUND(G25*10,0))&amp;REPT("░",10-ROUND(G25*10,0)))</f>
        <v/>
      </c>
    </row>
    <row r="26">
      <c r="A26" s="18">
        <f>IF('Cài đặt'!$D$7="","",'Cài đặt'!$D$7)</f>
        <v/>
      </c>
      <c r="B26" s="18">
        <f>IF(A26="","",COUNTIFS('Giao việc'!$F$5:$F$3004,A26,'Giao việc'!$R$5:$R$3004,"Có",'Giao việc'!$I$5:$I$3004,"&lt;&gt;Xong",'Giao việc'!$I$5:$I$3004,"&lt;&gt;Bỏ qua"))</f>
        <v/>
      </c>
      <c r="C26" s="18">
        <f>IF(A26="","",COUNTIFS('Giao việc'!$F$5:$F$3004,A26,'Giao việc'!$R$5:$R$3004,"Có",'Giao việc'!$L$5:$L$3004,"*QUÁ HẠN*"))</f>
        <v/>
      </c>
      <c r="D26" s="18">
        <f>IF(A26="","",COUNTIFS('Giao việc'!$F$5:$F$3004,A26,'Giao việc'!$R$5:$R$3004,"Có",'Giao việc'!$L$5:$L$3004,"*Đến hạn*"))</f>
        <v/>
      </c>
      <c r="E26" s="18">
        <f>IF(A26="","",COUNTIFS('Giao việc'!$F$5:$F$3004,A26,'Giao việc'!$R$5:$R$3004,"Có",'Giao việc'!$I$5:$I$3004,"Xong"))</f>
        <v/>
      </c>
      <c r="F26" s="18">
        <f>IF(A26="","",B26+E26)</f>
        <v/>
      </c>
      <c r="G26" s="19">
        <f>IF(OR(A26="",N(F26)=0),"",E26/F26)</f>
        <v/>
      </c>
      <c r="H26" s="18" t="n"/>
      <c r="I26" s="18" t="n"/>
      <c r="J26" s="20">
        <f>IF(G26="","",REPT("█",ROUND(G26*10,0))&amp;REPT("░",10-ROUND(G26*10,0)))</f>
        <v/>
      </c>
    </row>
    <row r="27">
      <c r="A27" s="18">
        <f>IF('Cài đặt'!$D$8="","",'Cài đặt'!$D$8)</f>
        <v/>
      </c>
      <c r="B27" s="18">
        <f>IF(A27="","",COUNTIFS('Giao việc'!$F$5:$F$3004,A27,'Giao việc'!$R$5:$R$3004,"Có",'Giao việc'!$I$5:$I$3004,"&lt;&gt;Xong",'Giao việc'!$I$5:$I$3004,"&lt;&gt;Bỏ qua"))</f>
        <v/>
      </c>
      <c r="C27" s="18">
        <f>IF(A27="","",COUNTIFS('Giao việc'!$F$5:$F$3004,A27,'Giao việc'!$R$5:$R$3004,"Có",'Giao việc'!$L$5:$L$3004,"*QUÁ HẠN*"))</f>
        <v/>
      </c>
      <c r="D27" s="18">
        <f>IF(A27="","",COUNTIFS('Giao việc'!$F$5:$F$3004,A27,'Giao việc'!$R$5:$R$3004,"Có",'Giao việc'!$L$5:$L$3004,"*Đến hạn*"))</f>
        <v/>
      </c>
      <c r="E27" s="18">
        <f>IF(A27="","",COUNTIFS('Giao việc'!$F$5:$F$3004,A27,'Giao việc'!$R$5:$R$3004,"Có",'Giao việc'!$I$5:$I$3004,"Xong"))</f>
        <v/>
      </c>
      <c r="F27" s="18">
        <f>IF(A27="","",B27+E27)</f>
        <v/>
      </c>
      <c r="G27" s="19">
        <f>IF(OR(A27="",N(F27)=0),"",E27/F27)</f>
        <v/>
      </c>
      <c r="H27" s="18" t="n"/>
      <c r="I27" s="18" t="n"/>
      <c r="J27" s="20">
        <f>IF(G27="","",REPT("█",ROUND(G27*10,0))&amp;REPT("░",10-ROUND(G27*10,0)))</f>
        <v/>
      </c>
    </row>
    <row r="28">
      <c r="A28" s="18">
        <f>IF('Cài đặt'!$D$9="","",'Cài đặt'!$D$9)</f>
        <v/>
      </c>
      <c r="B28" s="18">
        <f>IF(A28="","",COUNTIFS('Giao việc'!$F$5:$F$3004,A28,'Giao việc'!$R$5:$R$3004,"Có",'Giao việc'!$I$5:$I$3004,"&lt;&gt;Xong",'Giao việc'!$I$5:$I$3004,"&lt;&gt;Bỏ qua"))</f>
        <v/>
      </c>
      <c r="C28" s="18">
        <f>IF(A28="","",COUNTIFS('Giao việc'!$F$5:$F$3004,A28,'Giao việc'!$R$5:$R$3004,"Có",'Giao việc'!$L$5:$L$3004,"*QUÁ HẠN*"))</f>
        <v/>
      </c>
      <c r="D28" s="18">
        <f>IF(A28="","",COUNTIFS('Giao việc'!$F$5:$F$3004,A28,'Giao việc'!$R$5:$R$3004,"Có",'Giao việc'!$L$5:$L$3004,"*Đến hạn*"))</f>
        <v/>
      </c>
      <c r="E28" s="18">
        <f>IF(A28="","",COUNTIFS('Giao việc'!$F$5:$F$3004,A28,'Giao việc'!$R$5:$R$3004,"Có",'Giao việc'!$I$5:$I$3004,"Xong"))</f>
        <v/>
      </c>
      <c r="F28" s="18">
        <f>IF(A28="","",B28+E28)</f>
        <v/>
      </c>
      <c r="G28" s="19">
        <f>IF(OR(A28="",N(F28)=0),"",E28/F28)</f>
        <v/>
      </c>
      <c r="H28" s="18" t="n"/>
      <c r="I28" s="18" t="n"/>
      <c r="J28" s="20">
        <f>IF(G28="","",REPT("█",ROUND(G28*10,0))&amp;REPT("░",10-ROUND(G28*10,0)))</f>
        <v/>
      </c>
    </row>
    <row r="29">
      <c r="A29" s="18">
        <f>IF('Cài đặt'!$D$10="","",'Cài đặt'!$D$10)</f>
        <v/>
      </c>
      <c r="B29" s="18">
        <f>IF(A29="","",COUNTIFS('Giao việc'!$F$5:$F$3004,A29,'Giao việc'!$R$5:$R$3004,"Có",'Giao việc'!$I$5:$I$3004,"&lt;&gt;Xong",'Giao việc'!$I$5:$I$3004,"&lt;&gt;Bỏ qua"))</f>
        <v/>
      </c>
      <c r="C29" s="18">
        <f>IF(A29="","",COUNTIFS('Giao việc'!$F$5:$F$3004,A29,'Giao việc'!$R$5:$R$3004,"Có",'Giao việc'!$L$5:$L$3004,"*QUÁ HẠN*"))</f>
        <v/>
      </c>
      <c r="D29" s="18">
        <f>IF(A29="","",COUNTIFS('Giao việc'!$F$5:$F$3004,A29,'Giao việc'!$R$5:$R$3004,"Có",'Giao việc'!$L$5:$L$3004,"*Đến hạn*"))</f>
        <v/>
      </c>
      <c r="E29" s="18">
        <f>IF(A29="","",COUNTIFS('Giao việc'!$F$5:$F$3004,A29,'Giao việc'!$R$5:$R$3004,"Có",'Giao việc'!$I$5:$I$3004,"Xong"))</f>
        <v/>
      </c>
      <c r="F29" s="18">
        <f>IF(A29="","",B29+E29)</f>
        <v/>
      </c>
      <c r="G29" s="19">
        <f>IF(OR(A29="",N(F29)=0),"",E29/F29)</f>
        <v/>
      </c>
      <c r="H29" s="18" t="n"/>
      <c r="I29" s="18" t="n"/>
      <c r="J29" s="20">
        <f>IF(G29="","",REPT("█",ROUND(G29*10,0))&amp;REPT("░",10-ROUND(G29*10,0)))</f>
        <v/>
      </c>
    </row>
    <row r="30">
      <c r="A30" s="18">
        <f>IF('Cài đặt'!$D$11="","",'Cài đặt'!$D$11)</f>
        <v/>
      </c>
      <c r="B30" s="18">
        <f>IF(A30="","",COUNTIFS('Giao việc'!$F$5:$F$3004,A30,'Giao việc'!$R$5:$R$3004,"Có",'Giao việc'!$I$5:$I$3004,"&lt;&gt;Xong",'Giao việc'!$I$5:$I$3004,"&lt;&gt;Bỏ qua"))</f>
        <v/>
      </c>
      <c r="C30" s="18">
        <f>IF(A30="","",COUNTIFS('Giao việc'!$F$5:$F$3004,A30,'Giao việc'!$R$5:$R$3004,"Có",'Giao việc'!$L$5:$L$3004,"*QUÁ HẠN*"))</f>
        <v/>
      </c>
      <c r="D30" s="18">
        <f>IF(A30="","",COUNTIFS('Giao việc'!$F$5:$F$3004,A30,'Giao việc'!$R$5:$R$3004,"Có",'Giao việc'!$L$5:$L$3004,"*Đến hạn*"))</f>
        <v/>
      </c>
      <c r="E30" s="18">
        <f>IF(A30="","",COUNTIFS('Giao việc'!$F$5:$F$3004,A30,'Giao việc'!$R$5:$R$3004,"Có",'Giao việc'!$I$5:$I$3004,"Xong"))</f>
        <v/>
      </c>
      <c r="F30" s="18">
        <f>IF(A30="","",B30+E30)</f>
        <v/>
      </c>
      <c r="G30" s="19">
        <f>IF(OR(A30="",N(F30)=0),"",E30/F30)</f>
        <v/>
      </c>
      <c r="H30" s="18" t="n"/>
      <c r="I30" s="18" t="n"/>
      <c r="J30" s="20">
        <f>IF(G30="","",REPT("█",ROUND(G30*10,0))&amp;REPT("░",10-ROUND(G30*10,0)))</f>
        <v/>
      </c>
    </row>
    <row r="31">
      <c r="A31" s="18">
        <f>IF('Cài đặt'!$D$12="","",'Cài đặt'!$D$12)</f>
        <v/>
      </c>
      <c r="B31" s="18">
        <f>IF(A31="","",COUNTIFS('Giao việc'!$F$5:$F$3004,A31,'Giao việc'!$R$5:$R$3004,"Có",'Giao việc'!$I$5:$I$3004,"&lt;&gt;Xong",'Giao việc'!$I$5:$I$3004,"&lt;&gt;Bỏ qua"))</f>
        <v/>
      </c>
      <c r="C31" s="18">
        <f>IF(A31="","",COUNTIFS('Giao việc'!$F$5:$F$3004,A31,'Giao việc'!$R$5:$R$3004,"Có",'Giao việc'!$L$5:$L$3004,"*QUÁ HẠN*"))</f>
        <v/>
      </c>
      <c r="D31" s="18">
        <f>IF(A31="","",COUNTIFS('Giao việc'!$F$5:$F$3004,A31,'Giao việc'!$R$5:$R$3004,"Có",'Giao việc'!$L$5:$L$3004,"*Đến hạn*"))</f>
        <v/>
      </c>
      <c r="E31" s="18">
        <f>IF(A31="","",COUNTIFS('Giao việc'!$F$5:$F$3004,A31,'Giao việc'!$R$5:$R$3004,"Có",'Giao việc'!$I$5:$I$3004,"Xong"))</f>
        <v/>
      </c>
      <c r="F31" s="18">
        <f>IF(A31="","",B31+E31)</f>
        <v/>
      </c>
      <c r="G31" s="19">
        <f>IF(OR(A31="",N(F31)=0),"",E31/F31)</f>
        <v/>
      </c>
      <c r="H31" s="18" t="n"/>
      <c r="I31" s="18" t="n"/>
      <c r="J31" s="20">
        <f>IF(G31="","",REPT("█",ROUND(G31*10,0))&amp;REPT("░",10-ROUND(G31*10,0)))</f>
        <v/>
      </c>
    </row>
    <row r="32">
      <c r="A32" s="18">
        <f>IF('Cài đặt'!$D$13="","",'Cài đặt'!$D$13)</f>
        <v/>
      </c>
      <c r="B32" s="18">
        <f>IF(A32="","",COUNTIFS('Giao việc'!$F$5:$F$3004,A32,'Giao việc'!$R$5:$R$3004,"Có",'Giao việc'!$I$5:$I$3004,"&lt;&gt;Xong",'Giao việc'!$I$5:$I$3004,"&lt;&gt;Bỏ qua"))</f>
        <v/>
      </c>
      <c r="C32" s="18">
        <f>IF(A32="","",COUNTIFS('Giao việc'!$F$5:$F$3004,A32,'Giao việc'!$R$5:$R$3004,"Có",'Giao việc'!$L$5:$L$3004,"*QUÁ HẠN*"))</f>
        <v/>
      </c>
      <c r="D32" s="18">
        <f>IF(A32="","",COUNTIFS('Giao việc'!$F$5:$F$3004,A32,'Giao việc'!$R$5:$R$3004,"Có",'Giao việc'!$L$5:$L$3004,"*Đến hạn*"))</f>
        <v/>
      </c>
      <c r="E32" s="18">
        <f>IF(A32="","",COUNTIFS('Giao việc'!$F$5:$F$3004,A32,'Giao việc'!$R$5:$R$3004,"Có",'Giao việc'!$I$5:$I$3004,"Xong"))</f>
        <v/>
      </c>
      <c r="F32" s="18">
        <f>IF(A32="","",B32+E32)</f>
        <v/>
      </c>
      <c r="G32" s="19">
        <f>IF(OR(A32="",N(F32)=0),"",E32/F32)</f>
        <v/>
      </c>
      <c r="H32" s="18" t="n"/>
      <c r="I32" s="18" t="n"/>
      <c r="J32" s="20">
        <f>IF(G32="","",REPT("█",ROUND(G32*10,0))&amp;REPT("░",10-ROUND(G32*10,0)))</f>
        <v/>
      </c>
    </row>
    <row r="33">
      <c r="A33" s="18">
        <f>IF('Cài đặt'!$D$14="","",'Cài đặt'!$D$14)</f>
        <v/>
      </c>
      <c r="B33" s="18">
        <f>IF(A33="","",COUNTIFS('Giao việc'!$F$5:$F$3004,A33,'Giao việc'!$R$5:$R$3004,"Có",'Giao việc'!$I$5:$I$3004,"&lt;&gt;Xong",'Giao việc'!$I$5:$I$3004,"&lt;&gt;Bỏ qua"))</f>
        <v/>
      </c>
      <c r="C33" s="18">
        <f>IF(A33="","",COUNTIFS('Giao việc'!$F$5:$F$3004,A33,'Giao việc'!$R$5:$R$3004,"Có",'Giao việc'!$L$5:$L$3004,"*QUÁ HẠN*"))</f>
        <v/>
      </c>
      <c r="D33" s="18">
        <f>IF(A33="","",COUNTIFS('Giao việc'!$F$5:$F$3004,A33,'Giao việc'!$R$5:$R$3004,"Có",'Giao việc'!$L$5:$L$3004,"*Đến hạn*"))</f>
        <v/>
      </c>
      <c r="E33" s="18">
        <f>IF(A33="","",COUNTIFS('Giao việc'!$F$5:$F$3004,A33,'Giao việc'!$R$5:$R$3004,"Có",'Giao việc'!$I$5:$I$3004,"Xong"))</f>
        <v/>
      </c>
      <c r="F33" s="18">
        <f>IF(A33="","",B33+E33)</f>
        <v/>
      </c>
      <c r="G33" s="19">
        <f>IF(OR(A33="",N(F33)=0),"",E33/F33)</f>
        <v/>
      </c>
      <c r="H33" s="18" t="n"/>
      <c r="I33" s="18" t="n"/>
      <c r="J33" s="20">
        <f>IF(G33="","",REPT("█",ROUND(G33*10,0))&amp;REPT("░",10-ROUND(G33*10,0)))</f>
        <v/>
      </c>
    </row>
    <row r="34">
      <c r="A34" s="18">
        <f>IF('Cài đặt'!$D$15="","",'Cài đặt'!$D$15)</f>
        <v/>
      </c>
      <c r="B34" s="18">
        <f>IF(A34="","",COUNTIFS('Giao việc'!$F$5:$F$3004,A34,'Giao việc'!$R$5:$R$3004,"Có",'Giao việc'!$I$5:$I$3004,"&lt;&gt;Xong",'Giao việc'!$I$5:$I$3004,"&lt;&gt;Bỏ qua"))</f>
        <v/>
      </c>
      <c r="C34" s="18">
        <f>IF(A34="","",COUNTIFS('Giao việc'!$F$5:$F$3004,A34,'Giao việc'!$R$5:$R$3004,"Có",'Giao việc'!$L$5:$L$3004,"*QUÁ HẠN*"))</f>
        <v/>
      </c>
      <c r="D34" s="18">
        <f>IF(A34="","",COUNTIFS('Giao việc'!$F$5:$F$3004,A34,'Giao việc'!$R$5:$R$3004,"Có",'Giao việc'!$L$5:$L$3004,"*Đến hạn*"))</f>
        <v/>
      </c>
      <c r="E34" s="18">
        <f>IF(A34="","",COUNTIFS('Giao việc'!$F$5:$F$3004,A34,'Giao việc'!$R$5:$R$3004,"Có",'Giao việc'!$I$5:$I$3004,"Xong"))</f>
        <v/>
      </c>
      <c r="F34" s="18">
        <f>IF(A34="","",B34+E34)</f>
        <v/>
      </c>
      <c r="G34" s="19">
        <f>IF(OR(A34="",N(F34)=0),"",E34/F34)</f>
        <v/>
      </c>
      <c r="H34" s="18" t="n"/>
      <c r="I34" s="18" t="n"/>
      <c r="J34" s="20">
        <f>IF(G34="","",REPT("█",ROUND(G34*10,0))&amp;REPT("░",10-ROUND(G34*10,0)))</f>
        <v/>
      </c>
    </row>
    <row r="35">
      <c r="A35" s="18">
        <f>IF('Cài đặt'!$D$16="","",'Cài đặt'!$D$16)</f>
        <v/>
      </c>
      <c r="B35" s="18">
        <f>IF(A35="","",COUNTIFS('Giao việc'!$F$5:$F$3004,A35,'Giao việc'!$R$5:$R$3004,"Có",'Giao việc'!$I$5:$I$3004,"&lt;&gt;Xong",'Giao việc'!$I$5:$I$3004,"&lt;&gt;Bỏ qua"))</f>
        <v/>
      </c>
      <c r="C35" s="18">
        <f>IF(A35="","",COUNTIFS('Giao việc'!$F$5:$F$3004,A35,'Giao việc'!$R$5:$R$3004,"Có",'Giao việc'!$L$5:$L$3004,"*QUÁ HẠN*"))</f>
        <v/>
      </c>
      <c r="D35" s="18">
        <f>IF(A35="","",COUNTIFS('Giao việc'!$F$5:$F$3004,A35,'Giao việc'!$R$5:$R$3004,"Có",'Giao việc'!$L$5:$L$3004,"*Đến hạn*"))</f>
        <v/>
      </c>
      <c r="E35" s="18">
        <f>IF(A35="","",COUNTIFS('Giao việc'!$F$5:$F$3004,A35,'Giao việc'!$R$5:$R$3004,"Có",'Giao việc'!$I$5:$I$3004,"Xong"))</f>
        <v/>
      </c>
      <c r="F35" s="18">
        <f>IF(A35="","",B35+E35)</f>
        <v/>
      </c>
      <c r="G35" s="19">
        <f>IF(OR(A35="",N(F35)=0),"",E35/F35)</f>
        <v/>
      </c>
      <c r="H35" s="18" t="n"/>
      <c r="I35" s="18" t="n"/>
      <c r="J35" s="20">
        <f>IF(G35="","",REPT("█",ROUND(G35*10,0))&amp;REPT("░",10-ROUND(G35*10,0)))</f>
        <v/>
      </c>
    </row>
    <row r="36">
      <c r="A36" s="18">
        <f>IF('Cài đặt'!$D$17="","",'Cài đặt'!$D$17)</f>
        <v/>
      </c>
      <c r="B36" s="18">
        <f>IF(A36="","",COUNTIFS('Giao việc'!$F$5:$F$3004,A36,'Giao việc'!$R$5:$R$3004,"Có",'Giao việc'!$I$5:$I$3004,"&lt;&gt;Xong",'Giao việc'!$I$5:$I$3004,"&lt;&gt;Bỏ qua"))</f>
        <v/>
      </c>
      <c r="C36" s="18">
        <f>IF(A36="","",COUNTIFS('Giao việc'!$F$5:$F$3004,A36,'Giao việc'!$R$5:$R$3004,"Có",'Giao việc'!$L$5:$L$3004,"*QUÁ HẠN*"))</f>
        <v/>
      </c>
      <c r="D36" s="18">
        <f>IF(A36="","",COUNTIFS('Giao việc'!$F$5:$F$3004,A36,'Giao việc'!$R$5:$R$3004,"Có",'Giao việc'!$L$5:$L$3004,"*Đến hạn*"))</f>
        <v/>
      </c>
      <c r="E36" s="18">
        <f>IF(A36="","",COUNTIFS('Giao việc'!$F$5:$F$3004,A36,'Giao việc'!$R$5:$R$3004,"Có",'Giao việc'!$I$5:$I$3004,"Xong"))</f>
        <v/>
      </c>
      <c r="F36" s="18">
        <f>IF(A36="","",B36+E36)</f>
        <v/>
      </c>
      <c r="G36" s="19">
        <f>IF(OR(A36="",N(F36)=0),"",E36/F36)</f>
        <v/>
      </c>
      <c r="H36" s="18" t="n"/>
      <c r="I36" s="18" t="n"/>
      <c r="J36" s="20">
        <f>IF(G36="","",REPT("█",ROUND(G36*10,0))&amp;REPT("░",10-ROUND(G36*10,0)))</f>
        <v/>
      </c>
    </row>
    <row r="37">
      <c r="A37" s="18">
        <f>IF('Cài đặt'!$D$18="","",'Cài đặt'!$D$18)</f>
        <v/>
      </c>
      <c r="B37" s="18">
        <f>IF(A37="","",COUNTIFS('Giao việc'!$F$5:$F$3004,A37,'Giao việc'!$R$5:$R$3004,"Có",'Giao việc'!$I$5:$I$3004,"&lt;&gt;Xong",'Giao việc'!$I$5:$I$3004,"&lt;&gt;Bỏ qua"))</f>
        <v/>
      </c>
      <c r="C37" s="18">
        <f>IF(A37="","",COUNTIFS('Giao việc'!$F$5:$F$3004,A37,'Giao việc'!$R$5:$R$3004,"Có",'Giao việc'!$L$5:$L$3004,"*QUÁ HẠN*"))</f>
        <v/>
      </c>
      <c r="D37" s="18">
        <f>IF(A37="","",COUNTIFS('Giao việc'!$F$5:$F$3004,A37,'Giao việc'!$R$5:$R$3004,"Có",'Giao việc'!$L$5:$L$3004,"*Đến hạn*"))</f>
        <v/>
      </c>
      <c r="E37" s="18">
        <f>IF(A37="","",COUNTIFS('Giao việc'!$F$5:$F$3004,A37,'Giao việc'!$R$5:$R$3004,"Có",'Giao việc'!$I$5:$I$3004,"Xong"))</f>
        <v/>
      </c>
      <c r="F37" s="18">
        <f>IF(A37="","",B37+E37)</f>
        <v/>
      </c>
      <c r="G37" s="19">
        <f>IF(OR(A37="",N(F37)=0),"",E37/F37)</f>
        <v/>
      </c>
      <c r="H37" s="18" t="n"/>
      <c r="I37" s="18" t="n"/>
      <c r="J37" s="20">
        <f>IF(G37="","",REPT("█",ROUND(G37*10,0))&amp;REPT("░",10-ROUND(G37*10,0)))</f>
        <v/>
      </c>
    </row>
    <row r="38">
      <c r="A38" s="18">
        <f>IF('Cài đặt'!$D$19="","",'Cài đặt'!$D$19)</f>
        <v/>
      </c>
      <c r="B38" s="18">
        <f>IF(A38="","",COUNTIFS('Giao việc'!$F$5:$F$3004,A38,'Giao việc'!$R$5:$R$3004,"Có",'Giao việc'!$I$5:$I$3004,"&lt;&gt;Xong",'Giao việc'!$I$5:$I$3004,"&lt;&gt;Bỏ qua"))</f>
        <v/>
      </c>
      <c r="C38" s="18">
        <f>IF(A38="","",COUNTIFS('Giao việc'!$F$5:$F$3004,A38,'Giao việc'!$R$5:$R$3004,"Có",'Giao việc'!$L$5:$L$3004,"*QUÁ HẠN*"))</f>
        <v/>
      </c>
      <c r="D38" s="18">
        <f>IF(A38="","",COUNTIFS('Giao việc'!$F$5:$F$3004,A38,'Giao việc'!$R$5:$R$3004,"Có",'Giao việc'!$L$5:$L$3004,"*Đến hạn*"))</f>
        <v/>
      </c>
      <c r="E38" s="18">
        <f>IF(A38="","",COUNTIFS('Giao việc'!$F$5:$F$3004,A38,'Giao việc'!$R$5:$R$3004,"Có",'Giao việc'!$I$5:$I$3004,"Xong"))</f>
        <v/>
      </c>
      <c r="F38" s="18">
        <f>IF(A38="","",B38+E38)</f>
        <v/>
      </c>
      <c r="G38" s="19">
        <f>IF(OR(A38="",N(F38)=0),"",E38/F38)</f>
        <v/>
      </c>
      <c r="H38" s="18" t="n"/>
      <c r="I38" s="18" t="n"/>
      <c r="J38" s="20">
        <f>IF(G38="","",REPT("█",ROUND(G38*10,0))&amp;REPT("░",10-ROUND(G38*10,0)))</f>
        <v/>
      </c>
    </row>
    <row r="39">
      <c r="A39" s="21" t="inlineStr">
        <is>
          <t>Chưa giao người</t>
        </is>
      </c>
      <c r="B39" s="21">
        <f>COUNTIFS('Giao việc'!$R$5:$R$3004,"Có",'Giao việc'!$L$5:$L$3004,"CHƯA GIAO*")</f>
        <v/>
      </c>
    </row>
    <row r="41">
      <c r="A41" s="9" t="inlineStr">
        <is>
          <t>VIỆC CẦN XỬ LÝ (hạn gần nhất, chưa xong)</t>
        </is>
      </c>
    </row>
    <row r="42" ht="28" customHeight="1">
      <c r="A42" s="10" t="inlineStr">
        <is>
          <t>Việc</t>
        </is>
      </c>
      <c r="B42" s="10" t="inlineStr">
        <is>
          <t>Hạn</t>
        </is>
      </c>
      <c r="C42" s="10" t="inlineStr">
        <is>
          <t>Cảnh báo</t>
        </is>
      </c>
      <c r="D42" s="10" t="inlineStr">
        <is>
          <t>Người phụ trách</t>
        </is>
      </c>
      <c r="E42" s="10" t="inlineStr">
        <is>
          <t>Sự kiện</t>
        </is>
      </c>
      <c r="F42" s="16" t="n"/>
      <c r="G42" s="16" t="n"/>
      <c r="H42" s="16" t="n"/>
      <c r="I42" s="17" t="n"/>
      <c r="J42" s="10" t="inlineStr">
        <is>
          <t>Trạng thái</t>
        </is>
      </c>
    </row>
    <row r="43" ht="30" customHeight="1">
      <c r="A43" s="11">
        <f>IF(IFERROR(MATCH(SMALL('Giao việc'!$Q$5:$Q$3004,1),'Giao việc'!$Q$5:$Q$3004,0),0)=0,"",INDEX('Giao việc'!$E$5:$E$3004,IFERROR(MATCH(SMALL('Giao việc'!$Q$5:$Q$3004,1),'Giao việc'!$Q$5:$Q$3004,0),0))&amp;"")</f>
        <v/>
      </c>
      <c r="B43" s="22">
        <f>IF(IFERROR(MATCH(SMALL('Giao việc'!$Q$5:$Q$3004,1),'Giao việc'!$Q$5:$Q$3004,0),0)=0,"",INDEX('Giao việc'!$H$5:$H$3004,IFERROR(MATCH(SMALL('Giao việc'!$Q$5:$Q$3004,1),'Giao việc'!$Q$5:$Q$3004,0),0)))</f>
        <v/>
      </c>
      <c r="C43" s="11">
        <f>IF(IFERROR(MATCH(SMALL('Giao việc'!$Q$5:$Q$3004,1),'Giao việc'!$Q$5:$Q$3004,0),0)=0,"",INDEX('Giao việc'!$L$5:$L$3004,IFERROR(MATCH(SMALL('Giao việc'!$Q$5:$Q$3004,1),'Giao việc'!$Q$5:$Q$3004,0),0))&amp;"")</f>
        <v/>
      </c>
      <c r="D43" s="11">
        <f>IF(IFERROR(MATCH(SMALL('Giao việc'!$Q$5:$Q$3004,1),'Giao việc'!$Q$5:$Q$3004,0),0)=0,"",INDEX('Giao việc'!$F$5:$F$3004,IFERROR(MATCH(SMALL('Giao việc'!$Q$5:$Q$3004,1),'Giao việc'!$Q$5:$Q$3004,0),0))&amp;"")</f>
        <v/>
      </c>
      <c r="E43" s="11">
        <f>IF(IFERROR(MATCH(SMALL('Giao việc'!$Q$5:$Q$3004,1),'Giao việc'!$Q$5:$Q$3004,0),0)=0,"",INDEX('Giao việc'!$A$5:$A$3004,IFERROR(MATCH(SMALL('Giao việc'!$Q$5:$Q$3004,1),'Giao việc'!$Q$5:$Q$3004,0),0))&amp;"")</f>
        <v/>
      </c>
      <c r="F43" s="11" t="n"/>
      <c r="G43" s="11" t="n"/>
      <c r="H43" s="11" t="n"/>
      <c r="I43" s="11" t="n"/>
      <c r="J43" s="11">
        <f>IF(IFERROR(MATCH(SMALL('Giao việc'!$Q$5:$Q$3004,1),'Giao việc'!$Q$5:$Q$3004,0),0)=0,"",INDEX('Giao việc'!$I$5:$I$3004,IFERROR(MATCH(SMALL('Giao việc'!$Q$5:$Q$3004,1),'Giao việc'!$Q$5:$Q$3004,0),0))&amp;"")</f>
        <v/>
      </c>
    </row>
    <row r="44" ht="30" customHeight="1">
      <c r="A44" s="11">
        <f>IF(IFERROR(MATCH(SMALL('Giao việc'!$Q$5:$Q$3004,2),'Giao việc'!$Q$5:$Q$3004,0),0)=0,"",INDEX('Giao việc'!$E$5:$E$3004,IFERROR(MATCH(SMALL('Giao việc'!$Q$5:$Q$3004,2),'Giao việc'!$Q$5:$Q$3004,0),0))&amp;"")</f>
        <v/>
      </c>
      <c r="B44" s="22">
        <f>IF(IFERROR(MATCH(SMALL('Giao việc'!$Q$5:$Q$3004,2),'Giao việc'!$Q$5:$Q$3004,0),0)=0,"",INDEX('Giao việc'!$H$5:$H$3004,IFERROR(MATCH(SMALL('Giao việc'!$Q$5:$Q$3004,2),'Giao việc'!$Q$5:$Q$3004,0),0)))</f>
        <v/>
      </c>
      <c r="C44" s="11">
        <f>IF(IFERROR(MATCH(SMALL('Giao việc'!$Q$5:$Q$3004,2),'Giao việc'!$Q$5:$Q$3004,0),0)=0,"",INDEX('Giao việc'!$L$5:$L$3004,IFERROR(MATCH(SMALL('Giao việc'!$Q$5:$Q$3004,2),'Giao việc'!$Q$5:$Q$3004,0),0))&amp;"")</f>
        <v/>
      </c>
      <c r="D44" s="11">
        <f>IF(IFERROR(MATCH(SMALL('Giao việc'!$Q$5:$Q$3004,2),'Giao việc'!$Q$5:$Q$3004,0),0)=0,"",INDEX('Giao việc'!$F$5:$F$3004,IFERROR(MATCH(SMALL('Giao việc'!$Q$5:$Q$3004,2),'Giao việc'!$Q$5:$Q$3004,0),0))&amp;"")</f>
        <v/>
      </c>
      <c r="E44" s="11">
        <f>IF(IFERROR(MATCH(SMALL('Giao việc'!$Q$5:$Q$3004,2),'Giao việc'!$Q$5:$Q$3004,0),0)=0,"",INDEX('Giao việc'!$A$5:$A$3004,IFERROR(MATCH(SMALL('Giao việc'!$Q$5:$Q$3004,2),'Giao việc'!$Q$5:$Q$3004,0),0))&amp;"")</f>
        <v/>
      </c>
      <c r="F44" s="11" t="n"/>
      <c r="G44" s="11" t="n"/>
      <c r="H44" s="11" t="n"/>
      <c r="I44" s="11" t="n"/>
      <c r="J44" s="11">
        <f>IF(IFERROR(MATCH(SMALL('Giao việc'!$Q$5:$Q$3004,2),'Giao việc'!$Q$5:$Q$3004,0),0)=0,"",INDEX('Giao việc'!$I$5:$I$3004,IFERROR(MATCH(SMALL('Giao việc'!$Q$5:$Q$3004,2),'Giao việc'!$Q$5:$Q$3004,0),0))&amp;"")</f>
        <v/>
      </c>
    </row>
    <row r="45" ht="30" customHeight="1">
      <c r="A45" s="11">
        <f>IF(IFERROR(MATCH(SMALL('Giao việc'!$Q$5:$Q$3004,3),'Giao việc'!$Q$5:$Q$3004,0),0)=0,"",INDEX('Giao việc'!$E$5:$E$3004,IFERROR(MATCH(SMALL('Giao việc'!$Q$5:$Q$3004,3),'Giao việc'!$Q$5:$Q$3004,0),0))&amp;"")</f>
        <v/>
      </c>
      <c r="B45" s="22">
        <f>IF(IFERROR(MATCH(SMALL('Giao việc'!$Q$5:$Q$3004,3),'Giao việc'!$Q$5:$Q$3004,0),0)=0,"",INDEX('Giao việc'!$H$5:$H$3004,IFERROR(MATCH(SMALL('Giao việc'!$Q$5:$Q$3004,3),'Giao việc'!$Q$5:$Q$3004,0),0)))</f>
        <v/>
      </c>
      <c r="C45" s="11">
        <f>IF(IFERROR(MATCH(SMALL('Giao việc'!$Q$5:$Q$3004,3),'Giao việc'!$Q$5:$Q$3004,0),0)=0,"",INDEX('Giao việc'!$L$5:$L$3004,IFERROR(MATCH(SMALL('Giao việc'!$Q$5:$Q$3004,3),'Giao việc'!$Q$5:$Q$3004,0),0))&amp;"")</f>
        <v/>
      </c>
      <c r="D45" s="11">
        <f>IF(IFERROR(MATCH(SMALL('Giao việc'!$Q$5:$Q$3004,3),'Giao việc'!$Q$5:$Q$3004,0),0)=0,"",INDEX('Giao việc'!$F$5:$F$3004,IFERROR(MATCH(SMALL('Giao việc'!$Q$5:$Q$3004,3),'Giao việc'!$Q$5:$Q$3004,0),0))&amp;"")</f>
        <v/>
      </c>
      <c r="E45" s="11">
        <f>IF(IFERROR(MATCH(SMALL('Giao việc'!$Q$5:$Q$3004,3),'Giao việc'!$Q$5:$Q$3004,0),0)=0,"",INDEX('Giao việc'!$A$5:$A$3004,IFERROR(MATCH(SMALL('Giao việc'!$Q$5:$Q$3004,3),'Giao việc'!$Q$5:$Q$3004,0),0))&amp;"")</f>
        <v/>
      </c>
      <c r="F45" s="11" t="n"/>
      <c r="G45" s="11" t="n"/>
      <c r="H45" s="11" t="n"/>
      <c r="I45" s="11" t="n"/>
      <c r="J45" s="11">
        <f>IF(IFERROR(MATCH(SMALL('Giao việc'!$Q$5:$Q$3004,3),'Giao việc'!$Q$5:$Q$3004,0),0)=0,"",INDEX('Giao việc'!$I$5:$I$3004,IFERROR(MATCH(SMALL('Giao việc'!$Q$5:$Q$3004,3),'Giao việc'!$Q$5:$Q$3004,0),0))&amp;"")</f>
        <v/>
      </c>
    </row>
    <row r="46" ht="30" customHeight="1">
      <c r="A46" s="11">
        <f>IF(IFERROR(MATCH(SMALL('Giao việc'!$Q$5:$Q$3004,4),'Giao việc'!$Q$5:$Q$3004,0),0)=0,"",INDEX('Giao việc'!$E$5:$E$3004,IFERROR(MATCH(SMALL('Giao việc'!$Q$5:$Q$3004,4),'Giao việc'!$Q$5:$Q$3004,0),0))&amp;"")</f>
        <v/>
      </c>
      <c r="B46" s="22">
        <f>IF(IFERROR(MATCH(SMALL('Giao việc'!$Q$5:$Q$3004,4),'Giao việc'!$Q$5:$Q$3004,0),0)=0,"",INDEX('Giao việc'!$H$5:$H$3004,IFERROR(MATCH(SMALL('Giao việc'!$Q$5:$Q$3004,4),'Giao việc'!$Q$5:$Q$3004,0),0)))</f>
        <v/>
      </c>
      <c r="C46" s="11">
        <f>IF(IFERROR(MATCH(SMALL('Giao việc'!$Q$5:$Q$3004,4),'Giao việc'!$Q$5:$Q$3004,0),0)=0,"",INDEX('Giao việc'!$L$5:$L$3004,IFERROR(MATCH(SMALL('Giao việc'!$Q$5:$Q$3004,4),'Giao việc'!$Q$5:$Q$3004,0),0))&amp;"")</f>
        <v/>
      </c>
      <c r="D46" s="11">
        <f>IF(IFERROR(MATCH(SMALL('Giao việc'!$Q$5:$Q$3004,4),'Giao việc'!$Q$5:$Q$3004,0),0)=0,"",INDEX('Giao việc'!$F$5:$F$3004,IFERROR(MATCH(SMALL('Giao việc'!$Q$5:$Q$3004,4),'Giao việc'!$Q$5:$Q$3004,0),0))&amp;"")</f>
        <v/>
      </c>
      <c r="E46" s="11">
        <f>IF(IFERROR(MATCH(SMALL('Giao việc'!$Q$5:$Q$3004,4),'Giao việc'!$Q$5:$Q$3004,0),0)=0,"",INDEX('Giao việc'!$A$5:$A$3004,IFERROR(MATCH(SMALL('Giao việc'!$Q$5:$Q$3004,4),'Giao việc'!$Q$5:$Q$3004,0),0))&amp;"")</f>
        <v/>
      </c>
      <c r="F46" s="11" t="n"/>
      <c r="G46" s="11" t="n"/>
      <c r="H46" s="11" t="n"/>
      <c r="I46" s="11" t="n"/>
      <c r="J46" s="11">
        <f>IF(IFERROR(MATCH(SMALL('Giao việc'!$Q$5:$Q$3004,4),'Giao việc'!$Q$5:$Q$3004,0),0)=0,"",INDEX('Giao việc'!$I$5:$I$3004,IFERROR(MATCH(SMALL('Giao việc'!$Q$5:$Q$3004,4),'Giao việc'!$Q$5:$Q$3004,0),0))&amp;"")</f>
        <v/>
      </c>
    </row>
    <row r="47" ht="30" customHeight="1">
      <c r="A47" s="11">
        <f>IF(IFERROR(MATCH(SMALL('Giao việc'!$Q$5:$Q$3004,5),'Giao việc'!$Q$5:$Q$3004,0),0)=0,"",INDEX('Giao việc'!$E$5:$E$3004,IFERROR(MATCH(SMALL('Giao việc'!$Q$5:$Q$3004,5),'Giao việc'!$Q$5:$Q$3004,0),0))&amp;"")</f>
        <v/>
      </c>
      <c r="B47" s="22">
        <f>IF(IFERROR(MATCH(SMALL('Giao việc'!$Q$5:$Q$3004,5),'Giao việc'!$Q$5:$Q$3004,0),0)=0,"",INDEX('Giao việc'!$H$5:$H$3004,IFERROR(MATCH(SMALL('Giao việc'!$Q$5:$Q$3004,5),'Giao việc'!$Q$5:$Q$3004,0),0)))</f>
        <v/>
      </c>
      <c r="C47" s="11">
        <f>IF(IFERROR(MATCH(SMALL('Giao việc'!$Q$5:$Q$3004,5),'Giao việc'!$Q$5:$Q$3004,0),0)=0,"",INDEX('Giao việc'!$L$5:$L$3004,IFERROR(MATCH(SMALL('Giao việc'!$Q$5:$Q$3004,5),'Giao việc'!$Q$5:$Q$3004,0),0))&amp;"")</f>
        <v/>
      </c>
      <c r="D47" s="11">
        <f>IF(IFERROR(MATCH(SMALL('Giao việc'!$Q$5:$Q$3004,5),'Giao việc'!$Q$5:$Q$3004,0),0)=0,"",INDEX('Giao việc'!$F$5:$F$3004,IFERROR(MATCH(SMALL('Giao việc'!$Q$5:$Q$3004,5),'Giao việc'!$Q$5:$Q$3004,0),0))&amp;"")</f>
        <v/>
      </c>
      <c r="E47" s="11">
        <f>IF(IFERROR(MATCH(SMALL('Giao việc'!$Q$5:$Q$3004,5),'Giao việc'!$Q$5:$Q$3004,0),0)=0,"",INDEX('Giao việc'!$A$5:$A$3004,IFERROR(MATCH(SMALL('Giao việc'!$Q$5:$Q$3004,5),'Giao việc'!$Q$5:$Q$3004,0),0))&amp;"")</f>
        <v/>
      </c>
      <c r="F47" s="11" t="n"/>
      <c r="G47" s="11" t="n"/>
      <c r="H47" s="11" t="n"/>
      <c r="I47" s="11" t="n"/>
      <c r="J47" s="11">
        <f>IF(IFERROR(MATCH(SMALL('Giao việc'!$Q$5:$Q$3004,5),'Giao việc'!$Q$5:$Q$3004,0),0)=0,"",INDEX('Giao việc'!$I$5:$I$3004,IFERROR(MATCH(SMALL('Giao việc'!$Q$5:$Q$3004,5),'Giao việc'!$Q$5:$Q$3004,0),0))&amp;"")</f>
        <v/>
      </c>
    </row>
    <row r="48" ht="30" customHeight="1">
      <c r="A48" s="11">
        <f>IF(IFERROR(MATCH(SMALL('Giao việc'!$Q$5:$Q$3004,6),'Giao việc'!$Q$5:$Q$3004,0),0)=0,"",INDEX('Giao việc'!$E$5:$E$3004,IFERROR(MATCH(SMALL('Giao việc'!$Q$5:$Q$3004,6),'Giao việc'!$Q$5:$Q$3004,0),0))&amp;"")</f>
        <v/>
      </c>
      <c r="B48" s="22">
        <f>IF(IFERROR(MATCH(SMALL('Giao việc'!$Q$5:$Q$3004,6),'Giao việc'!$Q$5:$Q$3004,0),0)=0,"",INDEX('Giao việc'!$H$5:$H$3004,IFERROR(MATCH(SMALL('Giao việc'!$Q$5:$Q$3004,6),'Giao việc'!$Q$5:$Q$3004,0),0)))</f>
        <v/>
      </c>
      <c r="C48" s="11">
        <f>IF(IFERROR(MATCH(SMALL('Giao việc'!$Q$5:$Q$3004,6),'Giao việc'!$Q$5:$Q$3004,0),0)=0,"",INDEX('Giao việc'!$L$5:$L$3004,IFERROR(MATCH(SMALL('Giao việc'!$Q$5:$Q$3004,6),'Giao việc'!$Q$5:$Q$3004,0),0))&amp;"")</f>
        <v/>
      </c>
      <c r="D48" s="11">
        <f>IF(IFERROR(MATCH(SMALL('Giao việc'!$Q$5:$Q$3004,6),'Giao việc'!$Q$5:$Q$3004,0),0)=0,"",INDEX('Giao việc'!$F$5:$F$3004,IFERROR(MATCH(SMALL('Giao việc'!$Q$5:$Q$3004,6),'Giao việc'!$Q$5:$Q$3004,0),0))&amp;"")</f>
        <v/>
      </c>
      <c r="E48" s="11">
        <f>IF(IFERROR(MATCH(SMALL('Giao việc'!$Q$5:$Q$3004,6),'Giao việc'!$Q$5:$Q$3004,0),0)=0,"",INDEX('Giao việc'!$A$5:$A$3004,IFERROR(MATCH(SMALL('Giao việc'!$Q$5:$Q$3004,6),'Giao việc'!$Q$5:$Q$3004,0),0))&amp;"")</f>
        <v/>
      </c>
      <c r="F48" s="11" t="n"/>
      <c r="G48" s="11" t="n"/>
      <c r="H48" s="11" t="n"/>
      <c r="I48" s="11" t="n"/>
      <c r="J48" s="11">
        <f>IF(IFERROR(MATCH(SMALL('Giao việc'!$Q$5:$Q$3004,6),'Giao việc'!$Q$5:$Q$3004,0),0)=0,"",INDEX('Giao việc'!$I$5:$I$3004,IFERROR(MATCH(SMALL('Giao việc'!$Q$5:$Q$3004,6),'Giao việc'!$Q$5:$Q$3004,0),0))&amp;"")</f>
        <v/>
      </c>
    </row>
    <row r="49" ht="30" customHeight="1">
      <c r="A49" s="11">
        <f>IF(IFERROR(MATCH(SMALL('Giao việc'!$Q$5:$Q$3004,7),'Giao việc'!$Q$5:$Q$3004,0),0)=0,"",INDEX('Giao việc'!$E$5:$E$3004,IFERROR(MATCH(SMALL('Giao việc'!$Q$5:$Q$3004,7),'Giao việc'!$Q$5:$Q$3004,0),0))&amp;"")</f>
        <v/>
      </c>
      <c r="B49" s="22">
        <f>IF(IFERROR(MATCH(SMALL('Giao việc'!$Q$5:$Q$3004,7),'Giao việc'!$Q$5:$Q$3004,0),0)=0,"",INDEX('Giao việc'!$H$5:$H$3004,IFERROR(MATCH(SMALL('Giao việc'!$Q$5:$Q$3004,7),'Giao việc'!$Q$5:$Q$3004,0),0)))</f>
        <v/>
      </c>
      <c r="C49" s="11">
        <f>IF(IFERROR(MATCH(SMALL('Giao việc'!$Q$5:$Q$3004,7),'Giao việc'!$Q$5:$Q$3004,0),0)=0,"",INDEX('Giao việc'!$L$5:$L$3004,IFERROR(MATCH(SMALL('Giao việc'!$Q$5:$Q$3004,7),'Giao việc'!$Q$5:$Q$3004,0),0))&amp;"")</f>
        <v/>
      </c>
      <c r="D49" s="11">
        <f>IF(IFERROR(MATCH(SMALL('Giao việc'!$Q$5:$Q$3004,7),'Giao việc'!$Q$5:$Q$3004,0),0)=0,"",INDEX('Giao việc'!$F$5:$F$3004,IFERROR(MATCH(SMALL('Giao việc'!$Q$5:$Q$3004,7),'Giao việc'!$Q$5:$Q$3004,0),0))&amp;"")</f>
        <v/>
      </c>
      <c r="E49" s="11">
        <f>IF(IFERROR(MATCH(SMALL('Giao việc'!$Q$5:$Q$3004,7),'Giao việc'!$Q$5:$Q$3004,0),0)=0,"",INDEX('Giao việc'!$A$5:$A$3004,IFERROR(MATCH(SMALL('Giao việc'!$Q$5:$Q$3004,7),'Giao việc'!$Q$5:$Q$3004,0),0))&amp;"")</f>
        <v/>
      </c>
      <c r="F49" s="11" t="n"/>
      <c r="G49" s="11" t="n"/>
      <c r="H49" s="11" t="n"/>
      <c r="I49" s="11" t="n"/>
      <c r="J49" s="11">
        <f>IF(IFERROR(MATCH(SMALL('Giao việc'!$Q$5:$Q$3004,7),'Giao việc'!$Q$5:$Q$3004,0),0)=0,"",INDEX('Giao việc'!$I$5:$I$3004,IFERROR(MATCH(SMALL('Giao việc'!$Q$5:$Q$3004,7),'Giao việc'!$Q$5:$Q$3004,0),0))&amp;"")</f>
        <v/>
      </c>
    </row>
    <row r="50" ht="30" customHeight="1">
      <c r="A50" s="11">
        <f>IF(IFERROR(MATCH(SMALL('Giao việc'!$Q$5:$Q$3004,8),'Giao việc'!$Q$5:$Q$3004,0),0)=0,"",INDEX('Giao việc'!$E$5:$E$3004,IFERROR(MATCH(SMALL('Giao việc'!$Q$5:$Q$3004,8),'Giao việc'!$Q$5:$Q$3004,0),0))&amp;"")</f>
        <v/>
      </c>
      <c r="B50" s="22">
        <f>IF(IFERROR(MATCH(SMALL('Giao việc'!$Q$5:$Q$3004,8),'Giao việc'!$Q$5:$Q$3004,0),0)=0,"",INDEX('Giao việc'!$H$5:$H$3004,IFERROR(MATCH(SMALL('Giao việc'!$Q$5:$Q$3004,8),'Giao việc'!$Q$5:$Q$3004,0),0)))</f>
        <v/>
      </c>
      <c r="C50" s="11">
        <f>IF(IFERROR(MATCH(SMALL('Giao việc'!$Q$5:$Q$3004,8),'Giao việc'!$Q$5:$Q$3004,0),0)=0,"",INDEX('Giao việc'!$L$5:$L$3004,IFERROR(MATCH(SMALL('Giao việc'!$Q$5:$Q$3004,8),'Giao việc'!$Q$5:$Q$3004,0),0))&amp;"")</f>
        <v/>
      </c>
      <c r="D50" s="11">
        <f>IF(IFERROR(MATCH(SMALL('Giao việc'!$Q$5:$Q$3004,8),'Giao việc'!$Q$5:$Q$3004,0),0)=0,"",INDEX('Giao việc'!$F$5:$F$3004,IFERROR(MATCH(SMALL('Giao việc'!$Q$5:$Q$3004,8),'Giao việc'!$Q$5:$Q$3004,0),0))&amp;"")</f>
        <v/>
      </c>
      <c r="E50" s="11">
        <f>IF(IFERROR(MATCH(SMALL('Giao việc'!$Q$5:$Q$3004,8),'Giao việc'!$Q$5:$Q$3004,0),0)=0,"",INDEX('Giao việc'!$A$5:$A$3004,IFERROR(MATCH(SMALL('Giao việc'!$Q$5:$Q$3004,8),'Giao việc'!$Q$5:$Q$3004,0),0))&amp;"")</f>
        <v/>
      </c>
      <c r="F50" s="11" t="n"/>
      <c r="G50" s="11" t="n"/>
      <c r="H50" s="11" t="n"/>
      <c r="I50" s="11" t="n"/>
      <c r="J50" s="11">
        <f>IF(IFERROR(MATCH(SMALL('Giao việc'!$Q$5:$Q$3004,8),'Giao việc'!$Q$5:$Q$3004,0),0)=0,"",INDEX('Giao việc'!$I$5:$I$3004,IFERROR(MATCH(SMALL('Giao việc'!$Q$5:$Q$3004,8),'Giao việc'!$Q$5:$Q$3004,0),0))&amp;"")</f>
        <v/>
      </c>
    </row>
    <row r="51" ht="30" customHeight="1">
      <c r="A51" s="11">
        <f>IF(IFERROR(MATCH(SMALL('Giao việc'!$Q$5:$Q$3004,9),'Giao việc'!$Q$5:$Q$3004,0),0)=0,"",INDEX('Giao việc'!$E$5:$E$3004,IFERROR(MATCH(SMALL('Giao việc'!$Q$5:$Q$3004,9),'Giao việc'!$Q$5:$Q$3004,0),0))&amp;"")</f>
        <v/>
      </c>
      <c r="B51" s="22">
        <f>IF(IFERROR(MATCH(SMALL('Giao việc'!$Q$5:$Q$3004,9),'Giao việc'!$Q$5:$Q$3004,0),0)=0,"",INDEX('Giao việc'!$H$5:$H$3004,IFERROR(MATCH(SMALL('Giao việc'!$Q$5:$Q$3004,9),'Giao việc'!$Q$5:$Q$3004,0),0)))</f>
        <v/>
      </c>
      <c r="C51" s="11">
        <f>IF(IFERROR(MATCH(SMALL('Giao việc'!$Q$5:$Q$3004,9),'Giao việc'!$Q$5:$Q$3004,0),0)=0,"",INDEX('Giao việc'!$L$5:$L$3004,IFERROR(MATCH(SMALL('Giao việc'!$Q$5:$Q$3004,9),'Giao việc'!$Q$5:$Q$3004,0),0))&amp;"")</f>
        <v/>
      </c>
      <c r="D51" s="11">
        <f>IF(IFERROR(MATCH(SMALL('Giao việc'!$Q$5:$Q$3004,9),'Giao việc'!$Q$5:$Q$3004,0),0)=0,"",INDEX('Giao việc'!$F$5:$F$3004,IFERROR(MATCH(SMALL('Giao việc'!$Q$5:$Q$3004,9),'Giao việc'!$Q$5:$Q$3004,0),0))&amp;"")</f>
        <v/>
      </c>
      <c r="E51" s="11">
        <f>IF(IFERROR(MATCH(SMALL('Giao việc'!$Q$5:$Q$3004,9),'Giao việc'!$Q$5:$Q$3004,0),0)=0,"",INDEX('Giao việc'!$A$5:$A$3004,IFERROR(MATCH(SMALL('Giao việc'!$Q$5:$Q$3004,9),'Giao việc'!$Q$5:$Q$3004,0),0))&amp;"")</f>
        <v/>
      </c>
      <c r="F51" s="11" t="n"/>
      <c r="G51" s="11" t="n"/>
      <c r="H51" s="11" t="n"/>
      <c r="I51" s="11" t="n"/>
      <c r="J51" s="11">
        <f>IF(IFERROR(MATCH(SMALL('Giao việc'!$Q$5:$Q$3004,9),'Giao việc'!$Q$5:$Q$3004,0),0)=0,"",INDEX('Giao việc'!$I$5:$I$3004,IFERROR(MATCH(SMALL('Giao việc'!$Q$5:$Q$3004,9),'Giao việc'!$Q$5:$Q$3004,0),0))&amp;"")</f>
        <v/>
      </c>
    </row>
    <row r="52" ht="30" customHeight="1">
      <c r="A52" s="11">
        <f>IF(IFERROR(MATCH(SMALL('Giao việc'!$Q$5:$Q$3004,10),'Giao việc'!$Q$5:$Q$3004,0),0)=0,"",INDEX('Giao việc'!$E$5:$E$3004,IFERROR(MATCH(SMALL('Giao việc'!$Q$5:$Q$3004,10),'Giao việc'!$Q$5:$Q$3004,0),0))&amp;"")</f>
        <v/>
      </c>
      <c r="B52" s="22">
        <f>IF(IFERROR(MATCH(SMALL('Giao việc'!$Q$5:$Q$3004,10),'Giao việc'!$Q$5:$Q$3004,0),0)=0,"",INDEX('Giao việc'!$H$5:$H$3004,IFERROR(MATCH(SMALL('Giao việc'!$Q$5:$Q$3004,10),'Giao việc'!$Q$5:$Q$3004,0),0)))</f>
        <v/>
      </c>
      <c r="C52" s="11">
        <f>IF(IFERROR(MATCH(SMALL('Giao việc'!$Q$5:$Q$3004,10),'Giao việc'!$Q$5:$Q$3004,0),0)=0,"",INDEX('Giao việc'!$L$5:$L$3004,IFERROR(MATCH(SMALL('Giao việc'!$Q$5:$Q$3004,10),'Giao việc'!$Q$5:$Q$3004,0),0))&amp;"")</f>
        <v/>
      </c>
      <c r="D52" s="11">
        <f>IF(IFERROR(MATCH(SMALL('Giao việc'!$Q$5:$Q$3004,10),'Giao việc'!$Q$5:$Q$3004,0),0)=0,"",INDEX('Giao việc'!$F$5:$F$3004,IFERROR(MATCH(SMALL('Giao việc'!$Q$5:$Q$3004,10),'Giao việc'!$Q$5:$Q$3004,0),0))&amp;"")</f>
        <v/>
      </c>
      <c r="E52" s="11">
        <f>IF(IFERROR(MATCH(SMALL('Giao việc'!$Q$5:$Q$3004,10),'Giao việc'!$Q$5:$Q$3004,0),0)=0,"",INDEX('Giao việc'!$A$5:$A$3004,IFERROR(MATCH(SMALL('Giao việc'!$Q$5:$Q$3004,10),'Giao việc'!$Q$5:$Q$3004,0),0))&amp;"")</f>
        <v/>
      </c>
      <c r="F52" s="11" t="n"/>
      <c r="G52" s="11" t="n"/>
      <c r="H52" s="11" t="n"/>
      <c r="I52" s="11" t="n"/>
      <c r="J52" s="11">
        <f>IF(IFERROR(MATCH(SMALL('Giao việc'!$Q$5:$Q$3004,10),'Giao việc'!$Q$5:$Q$3004,0),0)=0,"",INDEX('Giao việc'!$I$5:$I$3004,IFERROR(MATCH(SMALL('Giao việc'!$Q$5:$Q$3004,10),'Giao việc'!$Q$5:$Q$3004,0),0))&amp;"")</f>
        <v/>
      </c>
    </row>
    <row r="53" ht="30" customHeight="1">
      <c r="A53" s="11">
        <f>IF(IFERROR(MATCH(SMALL('Giao việc'!$Q$5:$Q$3004,11),'Giao việc'!$Q$5:$Q$3004,0),0)=0,"",INDEX('Giao việc'!$E$5:$E$3004,IFERROR(MATCH(SMALL('Giao việc'!$Q$5:$Q$3004,11),'Giao việc'!$Q$5:$Q$3004,0),0))&amp;"")</f>
        <v/>
      </c>
      <c r="B53" s="22">
        <f>IF(IFERROR(MATCH(SMALL('Giao việc'!$Q$5:$Q$3004,11),'Giao việc'!$Q$5:$Q$3004,0),0)=0,"",INDEX('Giao việc'!$H$5:$H$3004,IFERROR(MATCH(SMALL('Giao việc'!$Q$5:$Q$3004,11),'Giao việc'!$Q$5:$Q$3004,0),0)))</f>
        <v/>
      </c>
      <c r="C53" s="11">
        <f>IF(IFERROR(MATCH(SMALL('Giao việc'!$Q$5:$Q$3004,11),'Giao việc'!$Q$5:$Q$3004,0),0)=0,"",INDEX('Giao việc'!$L$5:$L$3004,IFERROR(MATCH(SMALL('Giao việc'!$Q$5:$Q$3004,11),'Giao việc'!$Q$5:$Q$3004,0),0))&amp;"")</f>
        <v/>
      </c>
      <c r="D53" s="11">
        <f>IF(IFERROR(MATCH(SMALL('Giao việc'!$Q$5:$Q$3004,11),'Giao việc'!$Q$5:$Q$3004,0),0)=0,"",INDEX('Giao việc'!$F$5:$F$3004,IFERROR(MATCH(SMALL('Giao việc'!$Q$5:$Q$3004,11),'Giao việc'!$Q$5:$Q$3004,0),0))&amp;"")</f>
        <v/>
      </c>
      <c r="E53" s="11">
        <f>IF(IFERROR(MATCH(SMALL('Giao việc'!$Q$5:$Q$3004,11),'Giao việc'!$Q$5:$Q$3004,0),0)=0,"",INDEX('Giao việc'!$A$5:$A$3004,IFERROR(MATCH(SMALL('Giao việc'!$Q$5:$Q$3004,11),'Giao việc'!$Q$5:$Q$3004,0),0))&amp;"")</f>
        <v/>
      </c>
      <c r="F53" s="11" t="n"/>
      <c r="G53" s="11" t="n"/>
      <c r="H53" s="11" t="n"/>
      <c r="I53" s="11" t="n"/>
      <c r="J53" s="11">
        <f>IF(IFERROR(MATCH(SMALL('Giao việc'!$Q$5:$Q$3004,11),'Giao việc'!$Q$5:$Q$3004,0),0)=0,"",INDEX('Giao việc'!$I$5:$I$3004,IFERROR(MATCH(SMALL('Giao việc'!$Q$5:$Q$3004,11),'Giao việc'!$Q$5:$Q$3004,0),0))&amp;"")</f>
        <v/>
      </c>
    </row>
    <row r="54" ht="30" customHeight="1">
      <c r="A54" s="11">
        <f>IF(IFERROR(MATCH(SMALL('Giao việc'!$Q$5:$Q$3004,12),'Giao việc'!$Q$5:$Q$3004,0),0)=0,"",INDEX('Giao việc'!$E$5:$E$3004,IFERROR(MATCH(SMALL('Giao việc'!$Q$5:$Q$3004,12),'Giao việc'!$Q$5:$Q$3004,0),0))&amp;"")</f>
        <v/>
      </c>
      <c r="B54" s="22">
        <f>IF(IFERROR(MATCH(SMALL('Giao việc'!$Q$5:$Q$3004,12),'Giao việc'!$Q$5:$Q$3004,0),0)=0,"",INDEX('Giao việc'!$H$5:$H$3004,IFERROR(MATCH(SMALL('Giao việc'!$Q$5:$Q$3004,12),'Giao việc'!$Q$5:$Q$3004,0),0)))</f>
        <v/>
      </c>
      <c r="C54" s="11">
        <f>IF(IFERROR(MATCH(SMALL('Giao việc'!$Q$5:$Q$3004,12),'Giao việc'!$Q$5:$Q$3004,0),0)=0,"",INDEX('Giao việc'!$L$5:$L$3004,IFERROR(MATCH(SMALL('Giao việc'!$Q$5:$Q$3004,12),'Giao việc'!$Q$5:$Q$3004,0),0))&amp;"")</f>
        <v/>
      </c>
      <c r="D54" s="11">
        <f>IF(IFERROR(MATCH(SMALL('Giao việc'!$Q$5:$Q$3004,12),'Giao việc'!$Q$5:$Q$3004,0),0)=0,"",INDEX('Giao việc'!$F$5:$F$3004,IFERROR(MATCH(SMALL('Giao việc'!$Q$5:$Q$3004,12),'Giao việc'!$Q$5:$Q$3004,0),0))&amp;"")</f>
        <v/>
      </c>
      <c r="E54" s="11">
        <f>IF(IFERROR(MATCH(SMALL('Giao việc'!$Q$5:$Q$3004,12),'Giao việc'!$Q$5:$Q$3004,0),0)=0,"",INDEX('Giao việc'!$A$5:$A$3004,IFERROR(MATCH(SMALL('Giao việc'!$Q$5:$Q$3004,12),'Giao việc'!$Q$5:$Q$3004,0),0))&amp;"")</f>
        <v/>
      </c>
      <c r="F54" s="11" t="n"/>
      <c r="G54" s="11" t="n"/>
      <c r="H54" s="11" t="n"/>
      <c r="I54" s="11" t="n"/>
      <c r="J54" s="11">
        <f>IF(IFERROR(MATCH(SMALL('Giao việc'!$Q$5:$Q$3004,12),'Giao việc'!$Q$5:$Q$3004,0),0)=0,"",INDEX('Giao việc'!$I$5:$I$3004,IFERROR(MATCH(SMALL('Giao việc'!$Q$5:$Q$3004,12),'Giao việc'!$Q$5:$Q$3004,0),0))&amp;"")</f>
        <v/>
      </c>
    </row>
    <row r="55" ht="30" customHeight="1">
      <c r="A55" s="11">
        <f>IF(IFERROR(MATCH(SMALL('Giao việc'!$Q$5:$Q$3004,13),'Giao việc'!$Q$5:$Q$3004,0),0)=0,"",INDEX('Giao việc'!$E$5:$E$3004,IFERROR(MATCH(SMALL('Giao việc'!$Q$5:$Q$3004,13),'Giao việc'!$Q$5:$Q$3004,0),0))&amp;"")</f>
        <v/>
      </c>
      <c r="B55" s="22">
        <f>IF(IFERROR(MATCH(SMALL('Giao việc'!$Q$5:$Q$3004,13),'Giao việc'!$Q$5:$Q$3004,0),0)=0,"",INDEX('Giao việc'!$H$5:$H$3004,IFERROR(MATCH(SMALL('Giao việc'!$Q$5:$Q$3004,13),'Giao việc'!$Q$5:$Q$3004,0),0)))</f>
        <v/>
      </c>
      <c r="C55" s="11">
        <f>IF(IFERROR(MATCH(SMALL('Giao việc'!$Q$5:$Q$3004,13),'Giao việc'!$Q$5:$Q$3004,0),0)=0,"",INDEX('Giao việc'!$L$5:$L$3004,IFERROR(MATCH(SMALL('Giao việc'!$Q$5:$Q$3004,13),'Giao việc'!$Q$5:$Q$3004,0),0))&amp;"")</f>
        <v/>
      </c>
      <c r="D55" s="11">
        <f>IF(IFERROR(MATCH(SMALL('Giao việc'!$Q$5:$Q$3004,13),'Giao việc'!$Q$5:$Q$3004,0),0)=0,"",INDEX('Giao việc'!$F$5:$F$3004,IFERROR(MATCH(SMALL('Giao việc'!$Q$5:$Q$3004,13),'Giao việc'!$Q$5:$Q$3004,0),0))&amp;"")</f>
        <v/>
      </c>
      <c r="E55" s="11">
        <f>IF(IFERROR(MATCH(SMALL('Giao việc'!$Q$5:$Q$3004,13),'Giao việc'!$Q$5:$Q$3004,0),0)=0,"",INDEX('Giao việc'!$A$5:$A$3004,IFERROR(MATCH(SMALL('Giao việc'!$Q$5:$Q$3004,13),'Giao việc'!$Q$5:$Q$3004,0),0))&amp;"")</f>
        <v/>
      </c>
      <c r="F55" s="11" t="n"/>
      <c r="G55" s="11" t="n"/>
      <c r="H55" s="11" t="n"/>
      <c r="I55" s="11" t="n"/>
      <c r="J55" s="11">
        <f>IF(IFERROR(MATCH(SMALL('Giao việc'!$Q$5:$Q$3004,13),'Giao việc'!$Q$5:$Q$3004,0),0)=0,"",INDEX('Giao việc'!$I$5:$I$3004,IFERROR(MATCH(SMALL('Giao việc'!$Q$5:$Q$3004,13),'Giao việc'!$Q$5:$Q$3004,0),0))&amp;"")</f>
        <v/>
      </c>
    </row>
    <row r="56" ht="30" customHeight="1">
      <c r="A56" s="11">
        <f>IF(IFERROR(MATCH(SMALL('Giao việc'!$Q$5:$Q$3004,14),'Giao việc'!$Q$5:$Q$3004,0),0)=0,"",INDEX('Giao việc'!$E$5:$E$3004,IFERROR(MATCH(SMALL('Giao việc'!$Q$5:$Q$3004,14),'Giao việc'!$Q$5:$Q$3004,0),0))&amp;"")</f>
        <v/>
      </c>
      <c r="B56" s="22">
        <f>IF(IFERROR(MATCH(SMALL('Giao việc'!$Q$5:$Q$3004,14),'Giao việc'!$Q$5:$Q$3004,0),0)=0,"",INDEX('Giao việc'!$H$5:$H$3004,IFERROR(MATCH(SMALL('Giao việc'!$Q$5:$Q$3004,14),'Giao việc'!$Q$5:$Q$3004,0),0)))</f>
        <v/>
      </c>
      <c r="C56" s="11">
        <f>IF(IFERROR(MATCH(SMALL('Giao việc'!$Q$5:$Q$3004,14),'Giao việc'!$Q$5:$Q$3004,0),0)=0,"",INDEX('Giao việc'!$L$5:$L$3004,IFERROR(MATCH(SMALL('Giao việc'!$Q$5:$Q$3004,14),'Giao việc'!$Q$5:$Q$3004,0),0))&amp;"")</f>
        <v/>
      </c>
      <c r="D56" s="11">
        <f>IF(IFERROR(MATCH(SMALL('Giao việc'!$Q$5:$Q$3004,14),'Giao việc'!$Q$5:$Q$3004,0),0)=0,"",INDEX('Giao việc'!$F$5:$F$3004,IFERROR(MATCH(SMALL('Giao việc'!$Q$5:$Q$3004,14),'Giao việc'!$Q$5:$Q$3004,0),0))&amp;"")</f>
        <v/>
      </c>
      <c r="E56" s="11">
        <f>IF(IFERROR(MATCH(SMALL('Giao việc'!$Q$5:$Q$3004,14),'Giao việc'!$Q$5:$Q$3004,0),0)=0,"",INDEX('Giao việc'!$A$5:$A$3004,IFERROR(MATCH(SMALL('Giao việc'!$Q$5:$Q$3004,14),'Giao việc'!$Q$5:$Q$3004,0),0))&amp;"")</f>
        <v/>
      </c>
      <c r="F56" s="11" t="n"/>
      <c r="G56" s="11" t="n"/>
      <c r="H56" s="11" t="n"/>
      <c r="I56" s="11" t="n"/>
      <c r="J56" s="11">
        <f>IF(IFERROR(MATCH(SMALL('Giao việc'!$Q$5:$Q$3004,14),'Giao việc'!$Q$5:$Q$3004,0),0)=0,"",INDEX('Giao việc'!$I$5:$I$3004,IFERROR(MATCH(SMALL('Giao việc'!$Q$5:$Q$3004,14),'Giao việc'!$Q$5:$Q$3004,0),0))&amp;"")</f>
        <v/>
      </c>
    </row>
    <row r="57" ht="30" customHeight="1">
      <c r="A57" s="11">
        <f>IF(IFERROR(MATCH(SMALL('Giao việc'!$Q$5:$Q$3004,15),'Giao việc'!$Q$5:$Q$3004,0),0)=0,"",INDEX('Giao việc'!$E$5:$E$3004,IFERROR(MATCH(SMALL('Giao việc'!$Q$5:$Q$3004,15),'Giao việc'!$Q$5:$Q$3004,0),0))&amp;"")</f>
        <v/>
      </c>
      <c r="B57" s="22">
        <f>IF(IFERROR(MATCH(SMALL('Giao việc'!$Q$5:$Q$3004,15),'Giao việc'!$Q$5:$Q$3004,0),0)=0,"",INDEX('Giao việc'!$H$5:$H$3004,IFERROR(MATCH(SMALL('Giao việc'!$Q$5:$Q$3004,15),'Giao việc'!$Q$5:$Q$3004,0),0)))</f>
        <v/>
      </c>
      <c r="C57" s="11">
        <f>IF(IFERROR(MATCH(SMALL('Giao việc'!$Q$5:$Q$3004,15),'Giao việc'!$Q$5:$Q$3004,0),0)=0,"",INDEX('Giao việc'!$L$5:$L$3004,IFERROR(MATCH(SMALL('Giao việc'!$Q$5:$Q$3004,15),'Giao việc'!$Q$5:$Q$3004,0),0))&amp;"")</f>
        <v/>
      </c>
      <c r="D57" s="11">
        <f>IF(IFERROR(MATCH(SMALL('Giao việc'!$Q$5:$Q$3004,15),'Giao việc'!$Q$5:$Q$3004,0),0)=0,"",INDEX('Giao việc'!$F$5:$F$3004,IFERROR(MATCH(SMALL('Giao việc'!$Q$5:$Q$3004,15),'Giao việc'!$Q$5:$Q$3004,0),0))&amp;"")</f>
        <v/>
      </c>
      <c r="E57" s="11">
        <f>IF(IFERROR(MATCH(SMALL('Giao việc'!$Q$5:$Q$3004,15),'Giao việc'!$Q$5:$Q$3004,0),0)=0,"",INDEX('Giao việc'!$A$5:$A$3004,IFERROR(MATCH(SMALL('Giao việc'!$Q$5:$Q$3004,15),'Giao việc'!$Q$5:$Q$3004,0),0))&amp;"")</f>
        <v/>
      </c>
      <c r="F57" s="11" t="n"/>
      <c r="G57" s="11" t="n"/>
      <c r="H57" s="11" t="n"/>
      <c r="I57" s="11" t="n"/>
      <c r="J57" s="11">
        <f>IF(IFERROR(MATCH(SMALL('Giao việc'!$Q$5:$Q$3004,15),'Giao việc'!$Q$5:$Q$3004,0),0)=0,"",INDEX('Giao việc'!$I$5:$I$3004,IFERROR(MATCH(SMALL('Giao việc'!$Q$5:$Q$3004,15),'Giao việc'!$Q$5:$Q$3004,0),0))&amp;"")</f>
        <v/>
      </c>
    </row>
  </sheetData>
  <mergeCells count="40">
    <mergeCell ref="F4:G4"/>
    <mergeCell ref="G38:I38"/>
    <mergeCell ref="E43:I43"/>
    <mergeCell ref="E50:I50"/>
    <mergeCell ref="G28:I28"/>
    <mergeCell ref="G37:I37"/>
    <mergeCell ref="E55:I55"/>
    <mergeCell ref="E42:I42"/>
    <mergeCell ref="E52:I52"/>
    <mergeCell ref="G34:I34"/>
    <mergeCell ref="H4:I4"/>
    <mergeCell ref="G30:I30"/>
    <mergeCell ref="E48:I48"/>
    <mergeCell ref="G33:I33"/>
    <mergeCell ref="G24:I24"/>
    <mergeCell ref="E44:I44"/>
    <mergeCell ref="E51:I51"/>
    <mergeCell ref="F5:G5"/>
    <mergeCell ref="G35:I35"/>
    <mergeCell ref="G26:I26"/>
    <mergeCell ref="G29:I29"/>
    <mergeCell ref="G25:I25"/>
    <mergeCell ref="G32:I32"/>
    <mergeCell ref="E46:I46"/>
    <mergeCell ref="G31:I31"/>
    <mergeCell ref="E49:I49"/>
    <mergeCell ref="D4:E4"/>
    <mergeCell ref="E45:I45"/>
    <mergeCell ref="E57:I57"/>
    <mergeCell ref="G36:I36"/>
    <mergeCell ref="G27:I27"/>
    <mergeCell ref="E54:I54"/>
    <mergeCell ref="B5:C5"/>
    <mergeCell ref="D5:E5"/>
    <mergeCell ref="G23:I23"/>
    <mergeCell ref="H5:I5"/>
    <mergeCell ref="E53:I53"/>
    <mergeCell ref="E47:I47"/>
    <mergeCell ref="B4:C4"/>
    <mergeCell ref="E56:I56"/>
  </mergeCells>
  <conditionalFormatting sqref="G9:G20">
    <cfRule type="expression" priority="1" dxfId="0">
      <formula>N(G9)&gt;0</formula>
    </cfRule>
  </conditionalFormatting>
  <conditionalFormatting sqref="H9:H20">
    <cfRule type="expression" priority="2" dxfId="1">
      <formula>N(H9)&gt;0</formula>
    </cfRule>
  </conditionalFormatting>
  <conditionalFormatting sqref="C9:C20">
    <cfRule type="expression" priority="3" dxfId="2">
      <formula>LEFT(C9,3)="Còn"</formula>
    </cfRule>
  </conditionalFormatting>
  <conditionalFormatting sqref="C24:C38">
    <cfRule type="expression" priority="4" dxfId="0">
      <formula>N(C24)&gt;0</formula>
    </cfRule>
  </conditionalFormatting>
  <conditionalFormatting sqref="D24:D38">
    <cfRule type="expression" priority="5" dxfId="1">
      <formula>N(D24)&gt;0</formula>
    </cfRule>
  </conditionalFormatting>
  <conditionalFormatting sqref="A43:J57">
    <cfRule type="expression" priority="6" dxfId="3">
      <formula>ISNUMBER(SEARCH("QUÁ HẠN",$C43))</formula>
    </cfRule>
    <cfRule type="expression" priority="7" dxfId="4">
      <formula>ISNUMBER(SEARCH("Đến hạn",$C43))</formula>
    </cfRule>
  </conditionalFormatting>
  <conditionalFormatting sqref="D43:D57">
    <cfRule type="expression" priority="8" dxfId="5">
      <formula>AND($A43&lt;&gt;"",$D43="")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A5CAA"/>
    <outlinePr summaryBelow="1" summaryRight="1"/>
    <pageSetUpPr/>
  </sheetPr>
  <dimension ref="A1:R70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7" customWidth="1" min="3" max="3"/>
    <col width="15" customWidth="1" min="4" max="4"/>
    <col width="50" customWidth="1" min="5" max="5"/>
    <col width="18" customWidth="1" min="6" max="6"/>
    <col width="14" customWidth="1" min="7" max="7"/>
    <col width="10" customWidth="1" min="8" max="8"/>
    <col width="12" customWidth="1" min="9" max="9"/>
    <col width="10" customWidth="1" min="10" max="10"/>
    <col width="26" customWidth="1" min="11" max="11"/>
    <col width="20" customWidth="1" min="12" max="12"/>
    <col hidden="1" width="4" customWidth="1" min="13" max="13"/>
    <col hidden="1" width="4" customWidth="1" min="14" max="14"/>
    <col hidden="1" width="4" customWidth="1" min="15" max="15"/>
    <col hidden="1" width="4" customWidth="1" min="16" max="16"/>
    <col hidden="1" width="4" customWidth="1" min="17" max="17"/>
    <col hidden="1" width="4" customWidth="1" min="18" max="18"/>
  </cols>
  <sheetData>
    <row r="1" ht="26" customHeight="1">
      <c r="A1" s="1" t="inlineStr">
        <is>
          <t>GIAO VIỆC &amp; THEO DÕI</t>
        </is>
      </c>
    </row>
    <row r="2">
      <c r="A2" s="2" t="inlineStr">
        <is>
          <t>Mọi việc của mọi sự kiện. OWNER chọn Người phụ trách (cột F, có thể đổi Hạn ở cột H). NGƯỜI PHỤ TRÁCH cập nhật Trạng thái · Ngày xong · Ghi chú. Lọc cột F để xem việc của mình.</t>
        </is>
      </c>
    </row>
    <row r="4" ht="32" customHeight="1">
      <c r="A4" s="10" t="inlineStr">
        <is>
          <t>Sự kiện</t>
        </is>
      </c>
      <c r="B4" s="10" t="inlineStr">
        <is>
          <t>Ngày D</t>
        </is>
      </c>
      <c r="C4" s="10" t="inlineStr">
        <is>
          <t>Mốc</t>
        </is>
      </c>
      <c r="D4" s="10" t="inlineStr">
        <is>
          <t>Hạng mục</t>
        </is>
      </c>
      <c r="E4" s="10" t="inlineStr">
        <is>
          <t>Việc cần làm</t>
        </is>
      </c>
      <c r="F4" s="23" t="inlineStr">
        <is>
          <t>Người phụ trách</t>
        </is>
      </c>
      <c r="G4" s="23" t="inlineStr">
        <is>
          <t>Phối hợp</t>
        </is>
      </c>
      <c r="H4" s="23" t="inlineStr">
        <is>
          <t>Hạn</t>
        </is>
      </c>
      <c r="I4" s="23" t="inlineStr">
        <is>
          <t>Trạng thái</t>
        </is>
      </c>
      <c r="J4" s="23" t="inlineStr">
        <is>
          <t>Ngày xong</t>
        </is>
      </c>
      <c r="K4" s="23" t="inlineStr">
        <is>
          <t>Ghi chú / link</t>
        </is>
      </c>
      <c r="L4" s="10" t="inlineStr">
        <is>
          <t>Cảnh báo</t>
        </is>
      </c>
      <c r="M4" s="10" t="inlineStr">
        <is>
          <t>_sk</t>
        </is>
      </c>
      <c r="N4" s="10" t="inlineStr">
        <is>
          <t>_ma</t>
        </is>
      </c>
      <c r="O4" s="10" t="inlineStr">
        <is>
          <t>_n</t>
        </is>
      </c>
      <c r="P4" s="10" t="inlineStr">
        <is>
          <t>_t</t>
        </is>
      </c>
      <c r="Q4" s="10" t="inlineStr">
        <is>
          <t>_sort</t>
        </is>
      </c>
      <c r="R4" s="10" t="inlineStr">
        <is>
          <t>_td</t>
        </is>
      </c>
    </row>
    <row r="5">
      <c r="A5" s="11">
        <f>IF(M5="","",IFERROR(INDEX(SK_B,MATCH(M5,SK_A,0))&amp;"",""))</f>
        <v/>
      </c>
      <c r="B5" s="24">
        <f>IF(M5="","",IFERROR(INDEX(SK_C,MATCH(M5,SK_A,0)),""))</f>
        <v/>
      </c>
      <c r="C5" s="25">
        <f>IF(O5="","",IF(O5=0,"D",IF(O5&lt;0,"D"&amp;O5,"D+"&amp;O5)))</f>
        <v/>
      </c>
      <c r="D5" s="13" t="inlineStr">
        <is>
          <t>1. Kế hoạch</t>
        </is>
      </c>
      <c r="E5" s="11" t="inlineStr">
        <is>
          <t>Lập kế hoạch tổng quan (KOL, số khách, mục đích, KPI bán hàng, khuyến mại, khảo sát) + xin Giám đốc duyệt ngân sách</t>
        </is>
      </c>
      <c r="F5" s="26" t="inlineStr">
        <is>
          <t>Leader MKT (ví dụ)</t>
        </is>
      </c>
      <c r="G5" s="13" t="inlineStr">
        <is>
          <t>Sales, NPP</t>
        </is>
      </c>
      <c r="H5" s="12">
        <f>IF(OR(B5="",O5=""),"",IF(O5&gt;0,IF(P5="Làm việc",WORKDAY(IFERROR(IF(INDEX(SK_D,MATCH(M5,SK_A,0))="",B5,INDEX(SK_D,MATCH(M5,SK_A,0))),B5),O5,HOLI),IFERROR(IF(INDEX(SK_D,MATCH(M5,SK_A,0))="",B5,INDEX(SK_D,MATCH(M5,SK_A,0))),B5)+O5),B5+O5))</f>
        <v/>
      </c>
      <c r="I5" s="13" t="inlineStr">
        <is>
          <t>Xong</t>
        </is>
      </c>
      <c r="J5" s="12" t="n">
        <v>46282</v>
      </c>
      <c r="K5" s="11" t="n"/>
      <c r="L5" s="27">
        <f>IF(E5="","",IF(I5="Bỏ qua","—",IF(I5="Xong",IF(AND(ISNUMBER(J5),ISNUMBER(H5),J5&gt;H5),"Xong trễ","Xong"),IF(F5="","CHƯA GIAO","")&amp;IF(NOT(ISNUMBER(H5)),"",IF(TODAY()&gt;H5,IF(F5=""," · ","")&amp;"QUÁ HẠN "&amp;(TODAY()-H5)&amp;" ngày",IF(H5-TODAY()&lt;=3,IF(F5=""," · ","")&amp;"Đến hạn "&amp;IF(H5=TODAY(),"hôm nay","trong "&amp;(H5-TODAY())&amp;" ngày"),""))))))</f>
        <v/>
      </c>
      <c r="M5" t="inlineStr">
        <is>
          <t>VD-1</t>
        </is>
      </c>
      <c r="N5" t="inlineStr">
        <is>
          <t>K01</t>
        </is>
      </c>
      <c r="O5" t="n">
        <v>-30</v>
      </c>
      <c r="P5" t="inlineStr">
        <is>
          <t>Lịch</t>
        </is>
      </c>
      <c r="Q5">
        <f>IF(AND(E5&lt;&gt;"",R5="Có",I5&lt;&gt;"Xong",I5&lt;&gt;"Bỏ qua",ISNUMBER(H5)),H5+ROW()/100000,"")</f>
        <v/>
      </c>
      <c r="R5">
        <f>IF(M5="","",IFERROR(INDEX(SK_L,MATCH(M5,SK_A,0)),""))</f>
        <v/>
      </c>
    </row>
    <row r="6">
      <c r="A6" s="11">
        <f>IF(M6="","",IFERROR(INDEX(SK_B,MATCH(M6,SK_A,0))&amp;"",""))</f>
        <v/>
      </c>
      <c r="B6" s="24">
        <f>IF(M6="","",IFERROR(INDEX(SK_C,MATCH(M6,SK_A,0)),""))</f>
        <v/>
      </c>
      <c r="C6" s="25">
        <f>IF(O6="","",IF(O6=0,"D",IF(O6&lt;0,"D"&amp;O6,"D+"&amp;O6)))</f>
        <v/>
      </c>
      <c r="D6" s="13" t="inlineStr">
        <is>
          <t>1. Kế hoạch</t>
        </is>
      </c>
      <c r="E6" s="11" t="inlineStr">
        <is>
          <t>Chia việc với NPP, Trường / Viện (tuyển sinh, đồ thực hành, MC, số bàn trưng bày)</t>
        </is>
      </c>
      <c r="F6" s="26" t="inlineStr">
        <is>
          <t>Leader MKT (ví dụ)</t>
        </is>
      </c>
      <c r="G6" s="13" t="inlineStr">
        <is>
          <t>NPP, Viện</t>
        </is>
      </c>
      <c r="H6" s="12">
        <f>IF(OR(B6="",O6=""),"",IF(O6&gt;0,IF(P6="Làm việc",WORKDAY(IFERROR(IF(INDEX(SK_D,MATCH(M6,SK_A,0))="",B6,INDEX(SK_D,MATCH(M6,SK_A,0))),B6),O6,HOLI),IFERROR(IF(INDEX(SK_D,MATCH(M6,SK_A,0))="",B6,INDEX(SK_D,MATCH(M6,SK_A,0))),B6)+O6),B6+O6))</f>
        <v/>
      </c>
      <c r="I6" s="13" t="inlineStr">
        <is>
          <t>Xong</t>
        </is>
      </c>
      <c r="J6" s="12" t="n">
        <v>46281</v>
      </c>
      <c r="K6" s="11" t="n"/>
      <c r="L6" s="27">
        <f>IF(E6="","",IF(I6="Bỏ qua","—",IF(I6="Xong",IF(AND(ISNUMBER(J6),ISNUMBER(H6),J6&gt;H6),"Xong trễ","Xong"),IF(F6="","CHƯA GIAO","")&amp;IF(NOT(ISNUMBER(H6)),"",IF(TODAY()&gt;H6,IF(F6=""," · ","")&amp;"QUÁ HẠN "&amp;(TODAY()-H6)&amp;" ngày",IF(H6-TODAY()&lt;=3,IF(F6=""," · ","")&amp;"Đến hạn "&amp;IF(H6=TODAY(),"hôm nay","trong "&amp;(H6-TODAY())&amp;" ngày"),""))))))</f>
        <v/>
      </c>
      <c r="M6" t="inlineStr">
        <is>
          <t>VD-1</t>
        </is>
      </c>
      <c r="N6" t="inlineStr">
        <is>
          <t>K02</t>
        </is>
      </c>
      <c r="O6" t="n">
        <v>-30</v>
      </c>
      <c r="P6" t="inlineStr">
        <is>
          <t>Lịch</t>
        </is>
      </c>
      <c r="Q6">
        <f>IF(AND(E6&lt;&gt;"",R6="Có",I6&lt;&gt;"Xong",I6&lt;&gt;"Bỏ qua",ISNUMBER(H6)),H6+ROW()/100000,"")</f>
        <v/>
      </c>
      <c r="R6">
        <f>IF(M6="","",IFERROR(INDEX(SK_L,MATCH(M6,SK_A,0)),""))</f>
        <v/>
      </c>
    </row>
    <row r="7">
      <c r="A7" s="11">
        <f>IF(M7="","",IFERROR(INDEX(SK_B,MATCH(M7,SK_A,0))&amp;"",""))</f>
        <v/>
      </c>
      <c r="B7" s="24">
        <f>IF(M7="","",IFERROR(INDEX(SK_C,MATCH(M7,SK_A,0)),""))</f>
        <v/>
      </c>
      <c r="C7" s="25">
        <f>IF(O7="","",IF(O7=0,"D",IF(O7&lt;0,"D"&amp;O7,"D+"&amp;O7)))</f>
        <v/>
      </c>
      <c r="D7" s="13" t="inlineStr">
        <is>
          <t>2. KOL &amp; đối tác</t>
        </is>
      </c>
      <c r="E7" s="11" t="inlineStr">
        <is>
          <t>Chốt KOL: hợp đồng, lịch di chuyển, xem trước bài giảng, người chăm sóc KOL</t>
        </is>
      </c>
      <c r="F7" s="26" t="inlineStr">
        <is>
          <t>Leader MKT (ví dụ)</t>
        </is>
      </c>
      <c r="G7" s="13" t="inlineStr">
        <is>
          <t>KOL</t>
        </is>
      </c>
      <c r="H7" s="12">
        <f>IF(OR(B7="",O7=""),"",IF(O7&gt;0,IF(P7="Làm việc",WORKDAY(IFERROR(IF(INDEX(SK_D,MATCH(M7,SK_A,0))="",B7,INDEX(SK_D,MATCH(M7,SK_A,0))),B7),O7,HOLI),IFERROR(IF(INDEX(SK_D,MATCH(M7,SK_A,0))="",B7,INDEX(SK_D,MATCH(M7,SK_A,0))),B7)+O7),B7+O7))</f>
        <v/>
      </c>
      <c r="I7" s="13" t="inlineStr">
        <is>
          <t>Xong</t>
        </is>
      </c>
      <c r="J7" s="12" t="n">
        <v>46283</v>
      </c>
      <c r="K7" s="11" t="n"/>
      <c r="L7" s="27">
        <f>IF(E7="","",IF(I7="Bỏ qua","—",IF(I7="Xong",IF(AND(ISNUMBER(J7),ISNUMBER(H7),J7&gt;H7),"Xong trễ","Xong"),IF(F7="","CHƯA GIAO","")&amp;IF(NOT(ISNUMBER(H7)),"",IF(TODAY()&gt;H7,IF(F7=""," · ","")&amp;"QUÁ HẠN "&amp;(TODAY()-H7)&amp;" ngày",IF(H7-TODAY()&lt;=3,IF(F7=""," · ","")&amp;"Đến hạn "&amp;IF(H7=TODAY(),"hôm nay","trong "&amp;(H7-TODAY())&amp;" ngày"),""))))))</f>
        <v/>
      </c>
      <c r="M7" t="inlineStr">
        <is>
          <t>VD-1</t>
        </is>
      </c>
      <c r="N7" t="inlineStr">
        <is>
          <t>K03</t>
        </is>
      </c>
      <c r="O7" t="n">
        <v>-30</v>
      </c>
      <c r="P7" t="inlineStr">
        <is>
          <t>Lịch</t>
        </is>
      </c>
      <c r="Q7">
        <f>IF(AND(E7&lt;&gt;"",R7="Có",I7&lt;&gt;"Xong",I7&lt;&gt;"Bỏ qua",ISNUMBER(H7)),H7+ROW()/100000,"")</f>
        <v/>
      </c>
      <c r="R7">
        <f>IF(M7="","",IFERROR(INDEX(SK_L,MATCH(M7,SK_A,0)),""))</f>
        <v/>
      </c>
    </row>
    <row r="8">
      <c r="A8" s="11">
        <f>IF(M8="","",IFERROR(INDEX(SK_B,MATCH(M8,SK_A,0))&amp;"",""))</f>
        <v/>
      </c>
      <c r="B8" s="24">
        <f>IF(M8="","",IFERROR(INDEX(SK_C,MATCH(M8,SK_A,0)),""))</f>
        <v/>
      </c>
      <c r="C8" s="25">
        <f>IF(O8="","",IF(O8=0,"D",IF(O8&lt;0,"D"&amp;O8,"D+"&amp;O8)))</f>
        <v/>
      </c>
      <c r="D8" s="13" t="inlineStr">
        <is>
          <t>3. Tuyển sinh</t>
        </is>
      </c>
      <c r="E8" s="11" t="inlineStr">
        <is>
          <t>Mở tuyển sinh: form đăng ký (khảo sát trước, đồng ý dữ liệu, nguồn đăng ký) + nhóm Zalo khách</t>
        </is>
      </c>
      <c r="F8" s="26" t="inlineStr">
        <is>
          <t>Digital (ví dụ)</t>
        </is>
      </c>
      <c r="G8" s="13" t="inlineStr">
        <is>
          <t>Sales, NPP</t>
        </is>
      </c>
      <c r="H8" s="12">
        <f>IF(OR(B8="",O8=""),"",IF(O8&gt;0,IF(P8="Làm việc",WORKDAY(IFERROR(IF(INDEX(SK_D,MATCH(M8,SK_A,0))="",B8,INDEX(SK_D,MATCH(M8,SK_A,0))),B8),O8,HOLI),IFERROR(IF(INDEX(SK_D,MATCH(M8,SK_A,0))="",B8,INDEX(SK_D,MATCH(M8,SK_A,0))),B8)+O8),B8+O8))</f>
        <v/>
      </c>
      <c r="I8" s="13" t="inlineStr">
        <is>
          <t>Xong</t>
        </is>
      </c>
      <c r="J8" s="12" t="n">
        <v>46280</v>
      </c>
      <c r="K8" s="11" t="n"/>
      <c r="L8" s="27">
        <f>IF(E8="","",IF(I8="Bỏ qua","—",IF(I8="Xong",IF(AND(ISNUMBER(J8),ISNUMBER(H8),J8&gt;H8),"Xong trễ","Xong"),IF(F8="","CHƯA GIAO","")&amp;IF(NOT(ISNUMBER(H8)),"",IF(TODAY()&gt;H8,IF(F8=""," · ","")&amp;"QUÁ HẠN "&amp;(TODAY()-H8)&amp;" ngày",IF(H8-TODAY()&lt;=3,IF(F8=""," · ","")&amp;"Đến hạn "&amp;IF(H8=TODAY(),"hôm nay","trong "&amp;(H8-TODAY())&amp;" ngày"),""))))))</f>
        <v/>
      </c>
      <c r="M8" t="inlineStr">
        <is>
          <t>VD-1</t>
        </is>
      </c>
      <c r="N8" t="inlineStr">
        <is>
          <t>K04</t>
        </is>
      </c>
      <c r="O8" t="n">
        <v>-30</v>
      </c>
      <c r="P8" t="inlineStr">
        <is>
          <t>Lịch</t>
        </is>
      </c>
      <c r="Q8">
        <f>IF(AND(E8&lt;&gt;"",R8="Có",I8&lt;&gt;"Xong",I8&lt;&gt;"Bỏ qua",ISNUMBER(H8)),H8+ROW()/100000,"")</f>
        <v/>
      </c>
      <c r="R8">
        <f>IF(M8="","",IFERROR(INDEX(SK_L,MATCH(M8,SK_A,0)),""))</f>
        <v/>
      </c>
    </row>
    <row r="9">
      <c r="A9" s="11">
        <f>IF(M9="","",IFERROR(INDEX(SK_B,MATCH(M9,SK_A,0))&amp;"",""))</f>
        <v/>
      </c>
      <c r="B9" s="24">
        <f>IF(M9="","",IFERROR(INDEX(SK_C,MATCH(M9,SK_A,0)),""))</f>
        <v/>
      </c>
      <c r="C9" s="25">
        <f>IF(O9="","",IF(O9=0,"D",IF(O9&lt;0,"D"&amp;O9,"D+"&amp;O9)))</f>
        <v/>
      </c>
      <c r="D9" s="13" t="inlineStr">
        <is>
          <t>3. Tuyển sinh</t>
        </is>
      </c>
      <c r="E9" s="11" t="inlineStr">
        <is>
          <t>Báo cáo số đăng ký theo nguồn cho team (thứ Hai hằng tuần, đến D-1)</t>
        </is>
      </c>
      <c r="F9" s="26" t="inlineStr">
        <is>
          <t>Leader MKT (ví dụ)</t>
        </is>
      </c>
      <c r="G9" s="13" t="inlineStr">
        <is>
          <t>Sales, NPP</t>
        </is>
      </c>
      <c r="H9" s="12">
        <f>IF(OR(B9="",O9=""),"",IF(O9&gt;0,IF(P9="Làm việc",WORKDAY(IFERROR(IF(INDEX(SK_D,MATCH(M9,SK_A,0))="",B9,INDEX(SK_D,MATCH(M9,SK_A,0))),B9),O9,HOLI),IFERROR(IF(INDEX(SK_D,MATCH(M9,SK_A,0))="",B9,INDEX(SK_D,MATCH(M9,SK_A,0))),B9)+O9),B9+O9))</f>
        <v/>
      </c>
      <c r="I9" s="13" t="inlineStr">
        <is>
          <t>Xong</t>
        </is>
      </c>
      <c r="J9" s="12" t="n">
        <v>46309</v>
      </c>
      <c r="K9" s="11" t="n"/>
      <c r="L9" s="27">
        <f>IF(E9="","",IF(I9="Bỏ qua","—",IF(I9="Xong",IF(AND(ISNUMBER(J9),ISNUMBER(H9),J9&gt;H9),"Xong trễ","Xong"),IF(F9="","CHƯA GIAO","")&amp;IF(NOT(ISNUMBER(H9)),"",IF(TODAY()&gt;H9,IF(F9=""," · ","")&amp;"QUÁ HẠN "&amp;(TODAY()-H9)&amp;" ngày",IF(H9-TODAY()&lt;=3,IF(F9=""," · ","")&amp;"Đến hạn "&amp;IF(H9=TODAY(),"hôm nay","trong "&amp;(H9-TODAY())&amp;" ngày"),""))))))</f>
        <v/>
      </c>
      <c r="M9" t="inlineStr">
        <is>
          <t>VD-1</t>
        </is>
      </c>
      <c r="N9" t="inlineStr">
        <is>
          <t>K05</t>
        </is>
      </c>
      <c r="O9" t="n">
        <v>-1</v>
      </c>
      <c r="P9" t="inlineStr">
        <is>
          <t>Lịch</t>
        </is>
      </c>
      <c r="Q9">
        <f>IF(AND(E9&lt;&gt;"",R9="Có",I9&lt;&gt;"Xong",I9&lt;&gt;"Bỏ qua",ISNUMBER(H9)),H9+ROW()/100000,"")</f>
        <v/>
      </c>
      <c r="R9">
        <f>IF(M9="","",IFERROR(INDEX(SK_L,MATCH(M9,SK_A,0)),""))</f>
        <v/>
      </c>
    </row>
    <row r="10">
      <c r="A10" s="11">
        <f>IF(M10="","",IFERROR(INDEX(SK_B,MATCH(M10,SK_A,0))&amp;"",""))</f>
        <v/>
      </c>
      <c r="B10" s="24">
        <f>IF(M10="","",IFERROR(INDEX(SK_C,MATCH(M10,SK_A,0)),""))</f>
        <v/>
      </c>
      <c r="C10" s="25">
        <f>IF(O10="","",IF(O10=0,"D",IF(O10&lt;0,"D"&amp;O10,"D+"&amp;O10)))</f>
        <v/>
      </c>
      <c r="D10" s="13" t="inlineStr">
        <is>
          <t>3. Tuyển sinh</t>
        </is>
      </c>
      <c r="E10" s="11" t="inlineStr">
        <is>
          <t>Checkpoint D-14: đăng ký &lt; 60% target ⇒ báo Giám đốc phương án</t>
        </is>
      </c>
      <c r="F10" s="26" t="inlineStr">
        <is>
          <t>Leader MKT (ví dụ)</t>
        </is>
      </c>
      <c r="G10" s="13" t="inlineStr">
        <is>
          <t>Giám đốc</t>
        </is>
      </c>
      <c r="H10" s="12">
        <f>IF(OR(B10="",O10=""),"",IF(O10&gt;0,IF(P10="Làm việc",WORKDAY(IFERROR(IF(INDEX(SK_D,MATCH(M10,SK_A,0))="",B10,INDEX(SK_D,MATCH(M10,SK_A,0))),B10),O10,HOLI),IFERROR(IF(INDEX(SK_D,MATCH(M10,SK_A,0))="",B10,INDEX(SK_D,MATCH(M10,SK_A,0))),B10)+O10),B10+O10))</f>
        <v/>
      </c>
      <c r="I10" s="13" t="inlineStr">
        <is>
          <t>Xong</t>
        </is>
      </c>
      <c r="J10" s="12" t="n">
        <v>46298</v>
      </c>
      <c r="K10" s="11" t="n"/>
      <c r="L10" s="27">
        <f>IF(E10="","",IF(I10="Bỏ qua","—",IF(I10="Xong",IF(AND(ISNUMBER(J10),ISNUMBER(H10),J10&gt;H10),"Xong trễ","Xong"),IF(F10="","CHƯA GIAO","")&amp;IF(NOT(ISNUMBER(H10)),"",IF(TODAY()&gt;H10,IF(F10=""," · ","")&amp;"QUÁ HẠN "&amp;(TODAY()-H10)&amp;" ngày",IF(H10-TODAY()&lt;=3,IF(F10=""," · ","")&amp;"Đến hạn "&amp;IF(H10=TODAY(),"hôm nay","trong "&amp;(H10-TODAY())&amp;" ngày"),""))))))</f>
        <v/>
      </c>
      <c r="M10" t="inlineStr">
        <is>
          <t>VD-1</t>
        </is>
      </c>
      <c r="N10" t="inlineStr">
        <is>
          <t>K06</t>
        </is>
      </c>
      <c r="O10" t="n">
        <v>-14</v>
      </c>
      <c r="P10" t="inlineStr">
        <is>
          <t>Lịch</t>
        </is>
      </c>
      <c r="Q10">
        <f>IF(AND(E10&lt;&gt;"",R10="Có",I10&lt;&gt;"Xong",I10&lt;&gt;"Bỏ qua",ISNUMBER(H10)),H10+ROW()/100000,"")</f>
        <v/>
      </c>
      <c r="R10">
        <f>IF(M10="","",IFERROR(INDEX(SK_L,MATCH(M10,SK_A,0)),""))</f>
        <v/>
      </c>
    </row>
    <row r="11">
      <c r="A11" s="11">
        <f>IF(M11="","",IFERROR(INDEX(SK_B,MATCH(M11,SK_A,0))&amp;"",""))</f>
        <v/>
      </c>
      <c r="B11" s="24">
        <f>IF(M11="","",IFERROR(INDEX(SK_C,MATCH(M11,SK_A,0)),""))</f>
        <v/>
      </c>
      <c r="C11" s="25">
        <f>IF(O11="","",IF(O11=0,"D",IF(O11&lt;0,"D"&amp;O11,"D+"&amp;O11)))</f>
        <v/>
      </c>
      <c r="D11" s="13" t="inlineStr">
        <is>
          <t>3. Tuyển sinh</t>
        </is>
      </c>
      <c r="E11" s="11" t="inlineStr">
        <is>
          <t>Sales / NPP gửi đủ thông tin khách đăng ký hộ (Họ tên · SĐT · Nơi công tác)</t>
        </is>
      </c>
      <c r="F11" s="26" t="inlineStr">
        <is>
          <t>Sales Dental (ví dụ)</t>
        </is>
      </c>
      <c r="G11" s="13" t="inlineStr">
        <is>
          <t>NPP</t>
        </is>
      </c>
      <c r="H11" s="12">
        <f>IF(OR(B11="",O11=""),"",IF(O11&gt;0,IF(P11="Làm việc",WORKDAY(IFERROR(IF(INDEX(SK_D,MATCH(M11,SK_A,0))="",B11,INDEX(SK_D,MATCH(M11,SK_A,0))),B11),O11,HOLI),IFERROR(IF(INDEX(SK_D,MATCH(M11,SK_A,0))="",B11,INDEX(SK_D,MATCH(M11,SK_A,0))),B11)+O11),B11+O11))</f>
        <v/>
      </c>
      <c r="I11" s="13" t="inlineStr">
        <is>
          <t>Xong</t>
        </is>
      </c>
      <c r="J11" s="12" t="n">
        <v>46307</v>
      </c>
      <c r="K11" s="11" t="n"/>
      <c r="L11" s="27">
        <f>IF(E11="","",IF(I11="Bỏ qua","—",IF(I11="Xong",IF(AND(ISNUMBER(J11),ISNUMBER(H11),J11&gt;H11),"Xong trễ","Xong"),IF(F11="","CHƯA GIAO","")&amp;IF(NOT(ISNUMBER(H11)),"",IF(TODAY()&gt;H11,IF(F11=""," · ","")&amp;"QUÁ HẠN "&amp;(TODAY()-H11)&amp;" ngày",IF(H11-TODAY()&lt;=3,IF(F11=""," · ","")&amp;"Đến hạn "&amp;IF(H11=TODAY(),"hôm nay","trong "&amp;(H11-TODAY())&amp;" ngày"),""))))))</f>
        <v/>
      </c>
      <c r="M11" t="inlineStr">
        <is>
          <t>VD-1</t>
        </is>
      </c>
      <c r="N11" t="inlineStr">
        <is>
          <t>K07</t>
        </is>
      </c>
      <c r="O11" t="n">
        <v>-5</v>
      </c>
      <c r="P11" t="inlineStr">
        <is>
          <t>Lịch</t>
        </is>
      </c>
      <c r="Q11">
        <f>IF(AND(E11&lt;&gt;"",R11="Có",I11&lt;&gt;"Xong",I11&lt;&gt;"Bỏ qua",ISNUMBER(H11)),H11+ROW()/100000,"")</f>
        <v/>
      </c>
      <c r="R11">
        <f>IF(M11="","",IFERROR(INDEX(SK_L,MATCH(M11,SK_A,0)),""))</f>
        <v/>
      </c>
    </row>
    <row r="12">
      <c r="A12" s="11">
        <f>IF(M12="","",IFERROR(INDEX(SK_B,MATCH(M12,SK_A,0))&amp;"",""))</f>
        <v/>
      </c>
      <c r="B12" s="24">
        <f>IF(M12="","",IFERROR(INDEX(SK_C,MATCH(M12,SK_A,0)),""))</f>
        <v/>
      </c>
      <c r="C12" s="25">
        <f>IF(O12="","",IF(O12=0,"D",IF(O12&lt;0,"D"&amp;O12,"D+"&amp;O12)))</f>
        <v/>
      </c>
      <c r="D12" s="13" t="inlineStr">
        <is>
          <t>4. Truyền thông</t>
        </is>
      </c>
      <c r="E12" s="11" t="inlineStr">
        <is>
          <t>Đăng chuỗi bài truyền thông sự kiện</t>
        </is>
      </c>
      <c r="F12" s="26" t="inlineStr">
        <is>
          <t>Digital (ví dụ)</t>
        </is>
      </c>
      <c r="G12" s="13" t="inlineStr">
        <is>
          <t>Sales, NPP chia sẻ</t>
        </is>
      </c>
      <c r="H12" s="12">
        <f>IF(OR(B12="",O12=""),"",IF(O12&gt;0,IF(P12="Làm việc",WORKDAY(IFERROR(IF(INDEX(SK_D,MATCH(M12,SK_A,0))="",B12,INDEX(SK_D,MATCH(M12,SK_A,0))),B12),O12,HOLI),IFERROR(IF(INDEX(SK_D,MATCH(M12,SK_A,0))="",B12,INDEX(SK_D,MATCH(M12,SK_A,0))),B12)+O12),B12+O12))</f>
        <v/>
      </c>
      <c r="I12" s="13" t="inlineStr">
        <is>
          <t>Xong</t>
        </is>
      </c>
      <c r="J12" s="12" t="n">
        <v>46298</v>
      </c>
      <c r="K12" s="11" t="n"/>
      <c r="L12" s="27">
        <f>IF(E12="","",IF(I12="Bỏ qua","—",IF(I12="Xong",IF(AND(ISNUMBER(J12),ISNUMBER(H12),J12&gt;H12),"Xong trễ","Xong"),IF(F12="","CHƯA GIAO","")&amp;IF(NOT(ISNUMBER(H12)),"",IF(TODAY()&gt;H12,IF(F12=""," · ","")&amp;"QUÁ HẠN "&amp;(TODAY()-H12)&amp;" ngày",IF(H12-TODAY()&lt;=3,IF(F12=""," · ","")&amp;"Đến hạn "&amp;IF(H12=TODAY(),"hôm nay","trong "&amp;(H12-TODAY())&amp;" ngày"),""))))))</f>
        <v/>
      </c>
      <c r="M12" t="inlineStr">
        <is>
          <t>VD-1</t>
        </is>
      </c>
      <c r="N12" t="inlineStr">
        <is>
          <t>K08</t>
        </is>
      </c>
      <c r="O12" t="n">
        <v>-14</v>
      </c>
      <c r="P12" t="inlineStr">
        <is>
          <t>Lịch</t>
        </is>
      </c>
      <c r="Q12">
        <f>IF(AND(E12&lt;&gt;"",R12="Có",I12&lt;&gt;"Xong",I12&lt;&gt;"Bỏ qua",ISNUMBER(H12)),H12+ROW()/100000,"")</f>
        <v/>
      </c>
      <c r="R12">
        <f>IF(M12="","",IFERROR(INDEX(SK_L,MATCH(M12,SK_A,0)),""))</f>
        <v/>
      </c>
    </row>
    <row r="13">
      <c r="A13" s="11">
        <f>IF(M13="","",IFERROR(INDEX(SK_B,MATCH(M13,SK_A,0))&amp;"",""))</f>
        <v/>
      </c>
      <c r="B13" s="24">
        <f>IF(M13="","",IFERROR(INDEX(SK_C,MATCH(M13,SK_A,0)),""))</f>
        <v/>
      </c>
      <c r="C13" s="25">
        <f>IF(O13="","",IF(O13=0,"D",IF(O13&lt;0,"D"&amp;O13,"D+"&amp;O13)))</f>
        <v/>
      </c>
      <c r="D13" s="13" t="inlineStr">
        <is>
          <t>5. Địa điểm &amp; hậu cần</t>
        </is>
      </c>
      <c r="E13" s="11" t="inlineStr">
        <is>
          <t>Đặt địa điểm (ngày, phòng, sức chứa, báo giá)</t>
        </is>
      </c>
      <c r="F13" s="26" t="inlineStr">
        <is>
          <t>Trade (ví dụ)</t>
        </is>
      </c>
      <c r="G13" s="13" t="inlineStr">
        <is>
          <t>Địa điểm</t>
        </is>
      </c>
      <c r="H13" s="12">
        <f>IF(OR(B13="",O13=""),"",IF(O13&gt;0,IF(P13="Làm việc",WORKDAY(IFERROR(IF(INDEX(SK_D,MATCH(M13,SK_A,0))="",B13,INDEX(SK_D,MATCH(M13,SK_A,0))),B13),O13,HOLI),IFERROR(IF(INDEX(SK_D,MATCH(M13,SK_A,0))="",B13,INDEX(SK_D,MATCH(M13,SK_A,0))),B13)+O13),B13+O13))</f>
        <v/>
      </c>
      <c r="I13" s="13" t="inlineStr">
        <is>
          <t>Xong</t>
        </is>
      </c>
      <c r="J13" s="12" t="n">
        <v>46283</v>
      </c>
      <c r="K13" s="11" t="n"/>
      <c r="L13" s="27">
        <f>IF(E13="","",IF(I13="Bỏ qua","—",IF(I13="Xong",IF(AND(ISNUMBER(J13),ISNUMBER(H13),J13&gt;H13),"Xong trễ","Xong"),IF(F13="","CHƯA GIAO","")&amp;IF(NOT(ISNUMBER(H13)),"",IF(TODAY()&gt;H13,IF(F13=""," · ","")&amp;"QUÁ HẠN "&amp;(TODAY()-H13)&amp;" ngày",IF(H13-TODAY()&lt;=3,IF(F13=""," · ","")&amp;"Đến hạn "&amp;IF(H13=TODAY(),"hôm nay","trong "&amp;(H13-TODAY())&amp;" ngày"),""))))))</f>
        <v/>
      </c>
      <c r="M13" t="inlineStr">
        <is>
          <t>VD-1</t>
        </is>
      </c>
      <c r="N13" t="inlineStr">
        <is>
          <t>K09</t>
        </is>
      </c>
      <c r="O13" t="n">
        <v>-30</v>
      </c>
      <c r="P13" t="inlineStr">
        <is>
          <t>Lịch</t>
        </is>
      </c>
      <c r="Q13">
        <f>IF(AND(E13&lt;&gt;"",R13="Có",I13&lt;&gt;"Xong",I13&lt;&gt;"Bỏ qua",ISNUMBER(H13)),H13+ROW()/100000,"")</f>
        <v/>
      </c>
      <c r="R13">
        <f>IF(M13="","",IFERROR(INDEX(SK_L,MATCH(M13,SK_A,0)),""))</f>
        <v/>
      </c>
    </row>
    <row r="14">
      <c r="A14" s="11">
        <f>IF(M14="","",IFERROR(INDEX(SK_B,MATCH(M14,SK_A,0))&amp;"",""))</f>
        <v/>
      </c>
      <c r="B14" s="24">
        <f>IF(M14="","",IFERROR(INDEX(SK_C,MATCH(M14,SK_A,0)),""))</f>
        <v/>
      </c>
      <c r="C14" s="25">
        <f>IF(O14="","",IF(O14=0,"D",IF(O14&lt;0,"D"&amp;O14,"D+"&amp;O14)))</f>
        <v/>
      </c>
      <c r="D14" s="13" t="inlineStr">
        <is>
          <t>5. Địa điểm &amp; hậu cần</t>
        </is>
      </c>
      <c r="E14" s="11" t="inlineStr">
        <is>
          <t>Chốt setup với địa điểm: sơ đồ, tea break / ăn trưa, kỹ thuật, sự kiện khác cùng giờ</t>
        </is>
      </c>
      <c r="F14" s="26" t="inlineStr">
        <is>
          <t>Trade (ví dụ)</t>
        </is>
      </c>
      <c r="G14" s="13" t="inlineStr">
        <is>
          <t>Địa điểm</t>
        </is>
      </c>
      <c r="H14" s="12">
        <f>IF(OR(B14="",O14=""),"",IF(O14&gt;0,IF(P14="Làm việc",WORKDAY(IFERROR(IF(INDEX(SK_D,MATCH(M14,SK_A,0))="",B14,INDEX(SK_D,MATCH(M14,SK_A,0))),B14),O14,HOLI),IFERROR(IF(INDEX(SK_D,MATCH(M14,SK_A,0))="",B14,INDEX(SK_D,MATCH(M14,SK_A,0))),B14)+O14),B14+O14))</f>
        <v/>
      </c>
      <c r="I14" s="13" t="inlineStr">
        <is>
          <t>Xong</t>
        </is>
      </c>
      <c r="J14" s="12" t="n">
        <v>46298</v>
      </c>
      <c r="K14" s="11" t="n"/>
      <c r="L14" s="27">
        <f>IF(E14="","",IF(I14="Bỏ qua","—",IF(I14="Xong",IF(AND(ISNUMBER(J14),ISNUMBER(H14),J14&gt;H14),"Xong trễ","Xong"),IF(F14="","CHƯA GIAO","")&amp;IF(NOT(ISNUMBER(H14)),"",IF(TODAY()&gt;H14,IF(F14=""," · ","")&amp;"QUÁ HẠN "&amp;(TODAY()-H14)&amp;" ngày",IF(H14-TODAY()&lt;=3,IF(F14=""," · ","")&amp;"Đến hạn "&amp;IF(H14=TODAY(),"hôm nay","trong "&amp;(H14-TODAY())&amp;" ngày"),""))))))</f>
        <v/>
      </c>
      <c r="M14" t="inlineStr">
        <is>
          <t>VD-1</t>
        </is>
      </c>
      <c r="N14" t="inlineStr">
        <is>
          <t>K10</t>
        </is>
      </c>
      <c r="O14" t="n">
        <v>-14</v>
      </c>
      <c r="P14" t="inlineStr">
        <is>
          <t>Lịch</t>
        </is>
      </c>
      <c r="Q14">
        <f>IF(AND(E14&lt;&gt;"",R14="Có",I14&lt;&gt;"Xong",I14&lt;&gt;"Bỏ qua",ISNUMBER(H14)),H14+ROW()/100000,"")</f>
        <v/>
      </c>
      <c r="R14">
        <f>IF(M14="","",IFERROR(INDEX(SK_L,MATCH(M14,SK_A,0)),""))</f>
        <v/>
      </c>
    </row>
    <row r="15">
      <c r="A15" s="11">
        <f>IF(M15="","",IFERROR(INDEX(SK_B,MATCH(M15,SK_A,0))&amp;"",""))</f>
        <v/>
      </c>
      <c r="B15" s="24">
        <f>IF(M15="","",IFERROR(INDEX(SK_C,MATCH(M15,SK_A,0)),""))</f>
        <v/>
      </c>
      <c r="C15" s="25">
        <f>IF(O15="","",IF(O15=0,"D",IF(O15&lt;0,"D"&amp;O15,"D+"&amp;O15)))</f>
        <v/>
      </c>
      <c r="D15" s="13" t="inlineStr">
        <is>
          <t>6. Nội dung</t>
        </is>
      </c>
      <c r="E15" s="11" t="inlineStr">
        <is>
          <t>Timeline chi tiết ngày D</t>
        </is>
      </c>
      <c r="F15" s="26" t="inlineStr">
        <is>
          <t>Leader MKT (ví dụ)</t>
        </is>
      </c>
      <c r="G15" s="13" t="inlineStr">
        <is>
          <t>KOL, Viện</t>
        </is>
      </c>
      <c r="H15" s="12">
        <f>IF(OR(B15="",O15=""),"",IF(O15&gt;0,IF(P15="Làm việc",WORKDAY(IFERROR(IF(INDEX(SK_D,MATCH(M15,SK_A,0))="",B15,INDEX(SK_D,MATCH(M15,SK_A,0))),B15),O15,HOLI),IFERROR(IF(INDEX(SK_D,MATCH(M15,SK_A,0))="",B15,INDEX(SK_D,MATCH(M15,SK_A,0))),B15)+O15),B15+O15))</f>
        <v/>
      </c>
      <c r="I15" s="13" t="inlineStr">
        <is>
          <t>Xong</t>
        </is>
      </c>
      <c r="J15" s="12" t="n">
        <v>46305</v>
      </c>
      <c r="K15" s="11" t="n"/>
      <c r="L15" s="27">
        <f>IF(E15="","",IF(I15="Bỏ qua","—",IF(I15="Xong",IF(AND(ISNUMBER(J15),ISNUMBER(H15),J15&gt;H15),"Xong trễ","Xong"),IF(F15="","CHƯA GIAO","")&amp;IF(NOT(ISNUMBER(H15)),"",IF(TODAY()&gt;H15,IF(F15=""," · ","")&amp;"QUÁ HẠN "&amp;(TODAY()-H15)&amp;" ngày",IF(H15-TODAY()&lt;=3,IF(F15=""," · ","")&amp;"Đến hạn "&amp;IF(H15=TODAY(),"hôm nay","trong "&amp;(H15-TODAY())&amp;" ngày"),""))))))</f>
        <v/>
      </c>
      <c r="M15" t="inlineStr">
        <is>
          <t>VD-1</t>
        </is>
      </c>
      <c r="N15" t="inlineStr">
        <is>
          <t>K12</t>
        </is>
      </c>
      <c r="O15" t="n">
        <v>-7</v>
      </c>
      <c r="P15" t="inlineStr">
        <is>
          <t>Lịch</t>
        </is>
      </c>
      <c r="Q15">
        <f>IF(AND(E15&lt;&gt;"",R15="Có",I15&lt;&gt;"Xong",I15&lt;&gt;"Bỏ qua",ISNUMBER(H15)),H15+ROW()/100000,"")</f>
        <v/>
      </c>
      <c r="R15">
        <f>IF(M15="","",IFERROR(INDEX(SK_L,MATCH(M15,SK_A,0)),""))</f>
        <v/>
      </c>
    </row>
    <row r="16">
      <c r="A16" s="11">
        <f>IF(M16="","",IFERROR(INDEX(SK_B,MATCH(M16,SK_A,0))&amp;"",""))</f>
        <v/>
      </c>
      <c r="B16" s="24">
        <f>IF(M16="","",IFERROR(INDEX(SK_C,MATCH(M16,SK_A,0)),""))</f>
        <v/>
      </c>
      <c r="C16" s="25">
        <f>IF(O16="","",IF(O16=0,"D",IF(O16&lt;0,"D"&amp;O16,"D+"&amp;O16)))</f>
        <v/>
      </c>
      <c r="D16" s="13" t="inlineStr">
        <is>
          <t>6. Nội dung</t>
        </is>
      </c>
      <c r="E16" s="11" t="inlineStr">
        <is>
          <t>Kịch bản MC, kịch bản phát biểu, video trình chiếu</t>
        </is>
      </c>
      <c r="F16" s="26" t="inlineStr">
        <is>
          <t>Digital (ví dụ)</t>
        </is>
      </c>
      <c r="G16" s="13" t="inlineStr">
        <is>
          <t>KOL, Viện</t>
        </is>
      </c>
      <c r="H16" s="12">
        <f>IF(OR(B16="",O16=""),"",IF(O16&gt;0,IF(P16="Làm việc",WORKDAY(IFERROR(IF(INDEX(SK_D,MATCH(M16,SK_A,0))="",B16,INDEX(SK_D,MATCH(M16,SK_A,0))),B16),O16,HOLI),IFERROR(IF(INDEX(SK_D,MATCH(M16,SK_A,0))="",B16,INDEX(SK_D,MATCH(M16,SK_A,0))),B16)+O16),B16+O16))</f>
        <v/>
      </c>
      <c r="I16" s="13" t="inlineStr">
        <is>
          <t>Xong</t>
        </is>
      </c>
      <c r="J16" s="12" t="n">
        <v>46305</v>
      </c>
      <c r="K16" s="11" t="n"/>
      <c r="L16" s="27">
        <f>IF(E16="","",IF(I16="Bỏ qua","—",IF(I16="Xong",IF(AND(ISNUMBER(J16),ISNUMBER(H16),J16&gt;H16),"Xong trễ","Xong"),IF(F16="","CHƯA GIAO","")&amp;IF(NOT(ISNUMBER(H16)),"",IF(TODAY()&gt;H16,IF(F16=""," · ","")&amp;"QUÁ HẠN "&amp;(TODAY()-H16)&amp;" ngày",IF(H16-TODAY()&lt;=3,IF(F16=""," · ","")&amp;"Đến hạn "&amp;IF(H16=TODAY(),"hôm nay","trong "&amp;(H16-TODAY())&amp;" ngày"),""))))))</f>
        <v/>
      </c>
      <c r="M16" t="inlineStr">
        <is>
          <t>VD-1</t>
        </is>
      </c>
      <c r="N16" t="inlineStr">
        <is>
          <t>K13</t>
        </is>
      </c>
      <c r="O16" t="n">
        <v>-7</v>
      </c>
      <c r="P16" t="inlineStr">
        <is>
          <t>Lịch</t>
        </is>
      </c>
      <c r="Q16">
        <f>IF(AND(E16&lt;&gt;"",R16="Có",I16&lt;&gt;"Xong",I16&lt;&gt;"Bỏ qua",ISNUMBER(H16)),H16+ROW()/100000,"")</f>
        <v/>
      </c>
      <c r="R16">
        <f>IF(M16="","",IFERROR(INDEX(SK_L,MATCH(M16,SK_A,0)),""))</f>
        <v/>
      </c>
    </row>
    <row r="17">
      <c r="A17" s="11">
        <f>IF(M17="","",IFERROR(INDEX(SK_B,MATCH(M17,SK_A,0))&amp;"",""))</f>
        <v/>
      </c>
      <c r="B17" s="24">
        <f>IF(M17="","",IFERROR(INDEX(SK_C,MATCH(M17,SK_A,0)),""))</f>
        <v/>
      </c>
      <c r="C17" s="25">
        <f>IF(O17="","",IF(O17=0,"D",IF(O17&lt;0,"D"&amp;O17,"D+"&amp;O17)))</f>
        <v/>
      </c>
      <c r="D17" s="13" t="inlineStr">
        <is>
          <t>7. Ấn phẩm &amp; đồ</t>
        </is>
      </c>
      <c r="E17" s="11" t="inlineStr">
        <is>
          <t>Thiết kế &amp; in: backdrop, standee, thẻ đeo, bảng tên, folder, QR khảo sát, biểu mẫu check-in ký tay</t>
        </is>
      </c>
      <c r="F17" s="26" t="inlineStr">
        <is>
          <t>Digital (ví dụ)</t>
        </is>
      </c>
      <c r="G17" s="13" t="inlineStr">
        <is>
          <t>Trade MKT</t>
        </is>
      </c>
      <c r="H17" s="12">
        <f>IF(OR(B17="",O17=""),"",IF(O17&gt;0,IF(P17="Làm việc",WORKDAY(IFERROR(IF(INDEX(SK_D,MATCH(M17,SK_A,0))="",B17,INDEX(SK_D,MATCH(M17,SK_A,0))),B17),O17,HOLI),IFERROR(IF(INDEX(SK_D,MATCH(M17,SK_A,0))="",B17,INDEX(SK_D,MATCH(M17,SK_A,0))),B17)+O17),B17+O17))</f>
        <v/>
      </c>
      <c r="I17" s="13" t="inlineStr">
        <is>
          <t>Xong</t>
        </is>
      </c>
      <c r="J17" s="12" t="n">
        <v>46305</v>
      </c>
      <c r="K17" s="11" t="n"/>
      <c r="L17" s="27">
        <f>IF(E17="","",IF(I17="Bỏ qua","—",IF(I17="Xong",IF(AND(ISNUMBER(J17),ISNUMBER(H17),J17&gt;H17),"Xong trễ","Xong"),IF(F17="","CHƯA GIAO","")&amp;IF(NOT(ISNUMBER(H17)),"",IF(TODAY()&gt;H17,IF(F17=""," · ","")&amp;"QUÁ HẠN "&amp;(TODAY()-H17)&amp;" ngày",IF(H17-TODAY()&lt;=3,IF(F17=""," · ","")&amp;"Đến hạn "&amp;IF(H17=TODAY(),"hôm nay","trong "&amp;(H17-TODAY())&amp;" ngày"),""))))))</f>
        <v/>
      </c>
      <c r="M17" t="inlineStr">
        <is>
          <t>VD-1</t>
        </is>
      </c>
      <c r="N17" t="inlineStr">
        <is>
          <t>K14</t>
        </is>
      </c>
      <c r="O17" t="n">
        <v>-7</v>
      </c>
      <c r="P17" t="inlineStr">
        <is>
          <t>Lịch</t>
        </is>
      </c>
      <c r="Q17">
        <f>IF(AND(E17&lt;&gt;"",R17="Có",I17&lt;&gt;"Xong",I17&lt;&gt;"Bỏ qua",ISNUMBER(H17)),H17+ROW()/100000,"")</f>
        <v/>
      </c>
      <c r="R17">
        <f>IF(M17="","",IFERROR(INDEX(SK_L,MATCH(M17,SK_A,0)),""))</f>
        <v/>
      </c>
    </row>
    <row r="18">
      <c r="A18" s="11">
        <f>IF(M18="","",IFERROR(INDEX(SK_B,MATCH(M18,SK_A,0))&amp;"",""))</f>
        <v/>
      </c>
      <c r="B18" s="24">
        <f>IF(M18="","",IFERROR(INDEX(SK_C,MATCH(M18,SK_A,0)),""))</f>
        <v/>
      </c>
      <c r="C18" s="25">
        <f>IF(O18="","",IF(O18=0,"D",IF(O18&lt;0,"D"&amp;O18,"D+"&amp;O18)))</f>
        <v/>
      </c>
      <c r="D18" s="13" t="inlineStr">
        <is>
          <t>7. Ấn phẩm &amp; đồ</t>
        </is>
      </c>
      <c r="E18" s="11" t="inlineStr">
        <is>
          <t>Đồ marketing + đồ thực hành theo phiên (nguồn, báo giá, đồ mượn)</t>
        </is>
      </c>
      <c r="F18" s="26" t="inlineStr">
        <is>
          <t>Trade (ví dụ)</t>
        </is>
      </c>
      <c r="G18" s="13" t="inlineStr">
        <is>
          <t>KOL, NPP</t>
        </is>
      </c>
      <c r="H18" s="12">
        <f>IF(OR(B18="",O18=""),"",IF(O18&gt;0,IF(P18="Làm việc",WORKDAY(IFERROR(IF(INDEX(SK_D,MATCH(M18,SK_A,0))="",B18,INDEX(SK_D,MATCH(M18,SK_A,0))),B18),O18,HOLI),IFERROR(IF(INDEX(SK_D,MATCH(M18,SK_A,0))="",B18,INDEX(SK_D,MATCH(M18,SK_A,0))),B18)+O18),B18+O18))</f>
        <v/>
      </c>
      <c r="I18" s="13" t="inlineStr">
        <is>
          <t>Xong</t>
        </is>
      </c>
      <c r="J18" s="12" t="n">
        <v>46300</v>
      </c>
      <c r="K18" s="11" t="n"/>
      <c r="L18" s="27">
        <f>IF(E18="","",IF(I18="Bỏ qua","—",IF(I18="Xong",IF(AND(ISNUMBER(J18),ISNUMBER(H18),J18&gt;H18),"Xong trễ","Xong"),IF(F18="","CHƯA GIAO","")&amp;IF(NOT(ISNUMBER(H18)),"",IF(TODAY()&gt;H18,IF(F18=""," · ","")&amp;"QUÁ HẠN "&amp;(TODAY()-H18)&amp;" ngày",IF(H18-TODAY()&lt;=3,IF(F18=""," · ","")&amp;"Đến hạn "&amp;IF(H18=TODAY(),"hôm nay","trong "&amp;(H18-TODAY())&amp;" ngày"),""))))))</f>
        <v/>
      </c>
      <c r="M18" t="inlineStr">
        <is>
          <t>VD-1</t>
        </is>
      </c>
      <c r="N18" t="inlineStr">
        <is>
          <t>K15</t>
        </is>
      </c>
      <c r="O18" t="n">
        <v>-10</v>
      </c>
      <c r="P18" t="inlineStr">
        <is>
          <t>Lịch</t>
        </is>
      </c>
      <c r="Q18">
        <f>IF(AND(E18&lt;&gt;"",R18="Có",I18&lt;&gt;"Xong",I18&lt;&gt;"Bỏ qua",ISNUMBER(H18)),H18+ROW()/100000,"")</f>
        <v/>
      </c>
      <c r="R18">
        <f>IF(M18="","",IFERROR(INDEX(SK_L,MATCH(M18,SK_A,0)),""))</f>
        <v/>
      </c>
    </row>
    <row r="19">
      <c r="A19" s="11">
        <f>IF(M19="","",IFERROR(INDEX(SK_B,MATCH(M19,SK_A,0))&amp;"",""))</f>
        <v/>
      </c>
      <c r="B19" s="24">
        <f>IF(M19="","",IFERROR(INDEX(SK_C,MATCH(M19,SK_A,0)),""))</f>
        <v/>
      </c>
      <c r="C19" s="25">
        <f>IF(O19="","",IF(O19=0,"D",IF(O19&lt;0,"D"&amp;O19,"D+"&amp;O19)))</f>
        <v/>
      </c>
      <c r="D19" s="13" t="inlineStr">
        <is>
          <t>7. Ấn phẩm &amp; đồ</t>
        </is>
      </c>
      <c r="E19" s="11" t="inlineStr">
        <is>
          <t>VIP / đại biểu (nếu có Viện): danh sách, hoa, bảng tên mica, quà, lời giới thiệu</t>
        </is>
      </c>
      <c r="F19" s="26" t="inlineStr">
        <is>
          <t>Trade (ví dụ)</t>
        </is>
      </c>
      <c r="G19" s="13" t="inlineStr">
        <is>
          <t>Viện</t>
        </is>
      </c>
      <c r="H19" s="12">
        <f>IF(OR(B19="",O19=""),"",IF(O19&gt;0,IF(P19="Làm việc",WORKDAY(IFERROR(IF(INDEX(SK_D,MATCH(M19,SK_A,0))="",B19,INDEX(SK_D,MATCH(M19,SK_A,0))),B19),O19,HOLI),IFERROR(IF(INDEX(SK_D,MATCH(M19,SK_A,0))="",B19,INDEX(SK_D,MATCH(M19,SK_A,0))),B19)+O19),B19+O19))</f>
        <v/>
      </c>
      <c r="I19" s="13" t="inlineStr">
        <is>
          <t>Xong</t>
        </is>
      </c>
      <c r="J19" s="12" t="n">
        <v>46304</v>
      </c>
      <c r="K19" s="11" t="n"/>
      <c r="L19" s="27">
        <f>IF(E19="","",IF(I19="Bỏ qua","—",IF(I19="Xong",IF(AND(ISNUMBER(J19),ISNUMBER(H19),J19&gt;H19),"Xong trễ","Xong"),IF(F19="","CHƯA GIAO","")&amp;IF(NOT(ISNUMBER(H19)),"",IF(TODAY()&gt;H19,IF(F19=""," · ","")&amp;"QUÁ HẠN "&amp;(TODAY()-H19)&amp;" ngày",IF(H19-TODAY()&lt;=3,IF(F19=""," · ","")&amp;"Đến hạn "&amp;IF(H19=TODAY(),"hôm nay","trong "&amp;(H19-TODAY())&amp;" ngày"),""))))))</f>
        <v/>
      </c>
      <c r="M19" t="inlineStr">
        <is>
          <t>VD-1</t>
        </is>
      </c>
      <c r="N19" t="inlineStr">
        <is>
          <t>K16</t>
        </is>
      </c>
      <c r="O19" t="n">
        <v>-7</v>
      </c>
      <c r="P19" t="inlineStr">
        <is>
          <t>Lịch</t>
        </is>
      </c>
      <c r="Q19">
        <f>IF(AND(E19&lt;&gt;"",R19="Có",I19&lt;&gt;"Xong",I19&lt;&gt;"Bỏ qua",ISNUMBER(H19)),H19+ROW()/100000,"")</f>
        <v/>
      </c>
      <c r="R19">
        <f>IF(M19="","",IFERROR(INDEX(SK_L,MATCH(M19,SK_A,0)),""))</f>
        <v/>
      </c>
    </row>
    <row r="20">
      <c r="A20" s="11">
        <f>IF(M20="","",IFERROR(INDEX(SK_B,MATCH(M20,SK_A,0))&amp;"",""))</f>
        <v/>
      </c>
      <c r="B20" s="24">
        <f>IF(M20="","",IFERROR(INDEX(SK_C,MATCH(M20,SK_A,0)),""))</f>
        <v/>
      </c>
      <c r="C20" s="25">
        <f>IF(O20="","",IF(O20=0,"D",IF(O20&lt;0,"D"&amp;O20,"D+"&amp;O20)))</f>
        <v/>
      </c>
      <c r="D20" s="13" t="inlineStr">
        <is>
          <t>8. Chốt trước D</t>
        </is>
      </c>
      <c r="E20" s="11" t="inlineStr">
        <is>
          <t>Họp với NPP: agenda, nhân sự, bán hàng, sản phẩm</t>
        </is>
      </c>
      <c r="F20" s="26" t="inlineStr">
        <is>
          <t>Leader MKT (ví dụ)</t>
        </is>
      </c>
      <c r="G20" s="13" t="inlineStr">
        <is>
          <t>NPP, Sales</t>
        </is>
      </c>
      <c r="H20" s="12">
        <f>IF(OR(B20="",O20=""),"",IF(O20&gt;0,IF(P20="Làm việc",WORKDAY(IFERROR(IF(INDEX(SK_D,MATCH(M20,SK_A,0))="",B20,INDEX(SK_D,MATCH(M20,SK_A,0))),B20),O20,HOLI),IFERROR(IF(INDEX(SK_D,MATCH(M20,SK_A,0))="",B20,INDEX(SK_D,MATCH(M20,SK_A,0))),B20)+O20),B20+O20))</f>
        <v/>
      </c>
      <c r="I20" s="13" t="inlineStr">
        <is>
          <t>Xong</t>
        </is>
      </c>
      <c r="J20" s="12" t="n">
        <v>46310</v>
      </c>
      <c r="K20" s="11" t="n"/>
      <c r="L20" s="27">
        <f>IF(E20="","",IF(I20="Bỏ qua","—",IF(I20="Xong",IF(AND(ISNUMBER(J20),ISNUMBER(H20),J20&gt;H20),"Xong trễ","Xong"),IF(F20="","CHƯA GIAO","")&amp;IF(NOT(ISNUMBER(H20)),"",IF(TODAY()&gt;H20,IF(F20=""," · ","")&amp;"QUÁ HẠN "&amp;(TODAY()-H20)&amp;" ngày",IF(H20-TODAY()&lt;=3,IF(F20=""," · ","")&amp;"Đến hạn "&amp;IF(H20=TODAY(),"hôm nay","trong "&amp;(H20-TODAY())&amp;" ngày"),""))))))</f>
        <v/>
      </c>
      <c r="M20" t="inlineStr">
        <is>
          <t>VD-1</t>
        </is>
      </c>
      <c r="N20" t="inlineStr">
        <is>
          <t>K18</t>
        </is>
      </c>
      <c r="O20" t="n">
        <v>-3</v>
      </c>
      <c r="P20" t="inlineStr">
        <is>
          <t>Lịch</t>
        </is>
      </c>
      <c r="Q20">
        <f>IF(AND(E20&lt;&gt;"",R20="Có",I20&lt;&gt;"Xong",I20&lt;&gt;"Bỏ qua",ISNUMBER(H20)),H20+ROW()/100000,"")</f>
        <v/>
      </c>
      <c r="R20">
        <f>IF(M20="","",IFERROR(INDEX(SK_L,MATCH(M20,SK_A,0)),""))</f>
        <v/>
      </c>
    </row>
    <row r="21">
      <c r="A21" s="11">
        <f>IF(M21="","",IFERROR(INDEX(SK_B,MATCH(M21,SK_A,0))&amp;"",""))</f>
        <v/>
      </c>
      <c r="B21" s="24">
        <f>IF(M21="","",IFERROR(INDEX(SK_C,MATCH(M21,SK_A,0)),""))</f>
        <v/>
      </c>
      <c r="C21" s="25">
        <f>IF(O21="","",IF(O21=0,"D",IF(O21&lt;0,"D"&amp;O21,"D+"&amp;O21)))</f>
        <v/>
      </c>
      <c r="D21" s="13" t="inlineStr">
        <is>
          <t>8. Chốt trước D</t>
        </is>
      </c>
      <c r="E21" s="11" t="inlineStr">
        <is>
          <t>Rà soát dữ liệu khách (thiếu thông tin / chưa đồng ý dữ liệu)</t>
        </is>
      </c>
      <c r="F21" s="26" t="inlineStr">
        <is>
          <t>Digital (ví dụ)</t>
        </is>
      </c>
      <c r="G21" s="13" t="inlineStr">
        <is>
          <t>Sales, NPP</t>
        </is>
      </c>
      <c r="H21" s="12">
        <f>IF(OR(B21="",O21=""),"",IF(O21&gt;0,IF(P21="Làm việc",WORKDAY(IFERROR(IF(INDEX(SK_D,MATCH(M21,SK_A,0))="",B21,INDEX(SK_D,MATCH(M21,SK_A,0))),B21),O21,HOLI),IFERROR(IF(INDEX(SK_D,MATCH(M21,SK_A,0))="",B21,INDEX(SK_D,MATCH(M21,SK_A,0))),B21)+O21),B21+O21))</f>
        <v/>
      </c>
      <c r="I21" s="13" t="inlineStr">
        <is>
          <t>Xong</t>
        </is>
      </c>
      <c r="J21" s="12" t="n">
        <v>46309</v>
      </c>
      <c r="K21" s="11" t="n"/>
      <c r="L21" s="27">
        <f>IF(E21="","",IF(I21="Bỏ qua","—",IF(I21="Xong",IF(AND(ISNUMBER(J21),ISNUMBER(H21),J21&gt;H21),"Xong trễ","Xong"),IF(F21="","CHƯA GIAO","")&amp;IF(NOT(ISNUMBER(H21)),"",IF(TODAY()&gt;H21,IF(F21=""," · ","")&amp;"QUÁ HẠN "&amp;(TODAY()-H21)&amp;" ngày",IF(H21-TODAY()&lt;=3,IF(F21=""," · ","")&amp;"Đến hạn "&amp;IF(H21=TODAY(),"hôm nay","trong "&amp;(H21-TODAY())&amp;" ngày"),""))))))</f>
        <v/>
      </c>
      <c r="M21" t="inlineStr">
        <is>
          <t>VD-1</t>
        </is>
      </c>
      <c r="N21" t="inlineStr">
        <is>
          <t>K19</t>
        </is>
      </c>
      <c r="O21" t="n">
        <v>-3</v>
      </c>
      <c r="P21" t="inlineStr">
        <is>
          <t>Lịch</t>
        </is>
      </c>
      <c r="Q21">
        <f>IF(AND(E21&lt;&gt;"",R21="Có",I21&lt;&gt;"Xong",I21&lt;&gt;"Bỏ qua",ISNUMBER(H21)),H21+ROW()/100000,"")</f>
        <v/>
      </c>
      <c r="R21">
        <f>IF(M21="","",IFERROR(INDEX(SK_L,MATCH(M21,SK_A,0)),""))</f>
        <v/>
      </c>
    </row>
    <row r="22">
      <c r="A22" s="11">
        <f>IF(M22="","",IFERROR(INDEX(SK_B,MATCH(M22,SK_A,0))&amp;"",""))</f>
        <v/>
      </c>
      <c r="B22" s="24">
        <f>IF(M22="","",IFERROR(INDEX(SK_C,MATCH(M22,SK_A,0)),""))</f>
        <v/>
      </c>
      <c r="C22" s="25">
        <f>IF(O22="","",IF(O22=0,"D",IF(O22&lt;0,"D"&amp;O22,"D+"&amp;O22)))</f>
        <v/>
      </c>
      <c r="D22" s="13" t="inlineStr">
        <is>
          <t>8. Chốt trước D</t>
        </is>
      </c>
      <c r="E22" s="11" t="inlineStr">
        <is>
          <t>Phân công nhân sự trước / trong / sau, giờ có mặt</t>
        </is>
      </c>
      <c r="F22" s="26" t="inlineStr">
        <is>
          <t>Leader MKT (ví dụ)</t>
        </is>
      </c>
      <c r="G22" s="13" t="inlineStr">
        <is>
          <t>Sales, NPP</t>
        </is>
      </c>
      <c r="H22" s="12">
        <f>IF(OR(B22="",O22=""),"",IF(O22&gt;0,IF(P22="Làm việc",WORKDAY(IFERROR(IF(INDEX(SK_D,MATCH(M22,SK_A,0))="",B22,INDEX(SK_D,MATCH(M22,SK_A,0))),B22),O22,HOLI),IFERROR(IF(INDEX(SK_D,MATCH(M22,SK_A,0))="",B22,INDEX(SK_D,MATCH(M22,SK_A,0))),B22)+O22),B22+O22))</f>
        <v/>
      </c>
      <c r="I22" s="13" t="inlineStr">
        <is>
          <t>Xong</t>
        </is>
      </c>
      <c r="J22" s="12" t="n">
        <v>46308</v>
      </c>
      <c r="K22" s="11" t="n"/>
      <c r="L22" s="27">
        <f>IF(E22="","",IF(I22="Bỏ qua","—",IF(I22="Xong",IF(AND(ISNUMBER(J22),ISNUMBER(H22),J22&gt;H22),"Xong trễ","Xong"),IF(F22="","CHƯA GIAO","")&amp;IF(NOT(ISNUMBER(H22)),"",IF(TODAY()&gt;H22,IF(F22=""," · ","")&amp;"QUÁ HẠN "&amp;(TODAY()-H22)&amp;" ngày",IF(H22-TODAY()&lt;=3,IF(F22=""," · ","")&amp;"Đến hạn "&amp;IF(H22=TODAY(),"hôm nay","trong "&amp;(H22-TODAY())&amp;" ngày"),""))))))</f>
        <v/>
      </c>
      <c r="M22" t="inlineStr">
        <is>
          <t>VD-1</t>
        </is>
      </c>
      <c r="N22" t="inlineStr">
        <is>
          <t>K20</t>
        </is>
      </c>
      <c r="O22" t="n">
        <v>-3</v>
      </c>
      <c r="P22" t="inlineStr">
        <is>
          <t>Lịch</t>
        </is>
      </c>
      <c r="Q22">
        <f>IF(AND(E22&lt;&gt;"",R22="Có",I22&lt;&gt;"Xong",I22&lt;&gt;"Bỏ qua",ISNUMBER(H22)),H22+ROW()/100000,"")</f>
        <v/>
      </c>
      <c r="R22">
        <f>IF(M22="","",IFERROR(INDEX(SK_L,MATCH(M22,SK_A,0)),""))</f>
        <v/>
      </c>
    </row>
    <row r="23">
      <c r="A23" s="11">
        <f>IF(M23="","",IFERROR(INDEX(SK_B,MATCH(M23,SK_A,0))&amp;"",""))</f>
        <v/>
      </c>
      <c r="B23" s="24">
        <f>IF(M23="","",IFERROR(INDEX(SK_C,MATCH(M23,SK_A,0)),""))</f>
        <v/>
      </c>
      <c r="C23" s="25">
        <f>IF(O23="","",IF(O23=0,"D",IF(O23&lt;0,"D"&amp;O23,"D+"&amp;O23)))</f>
        <v/>
      </c>
      <c r="D23" s="13" t="inlineStr">
        <is>
          <t>8. Chốt trước D</t>
        </is>
      </c>
      <c r="E23" s="11" t="inlineStr">
        <is>
          <t>Họp review D-1 + gọi nhắc khách + set up địa điểm / chạy thử Zoom</t>
        </is>
      </c>
      <c r="F23" s="26" t="inlineStr">
        <is>
          <t>Leader MKT (ví dụ)</t>
        </is>
      </c>
      <c r="G23" s="13" t="inlineStr">
        <is>
          <t>Toàn team</t>
        </is>
      </c>
      <c r="H23" s="12">
        <f>IF(OR(B23="",O23=""),"",IF(O23&gt;0,IF(P23="Làm việc",WORKDAY(IFERROR(IF(INDEX(SK_D,MATCH(M23,SK_A,0))="",B23,INDEX(SK_D,MATCH(M23,SK_A,0))),B23),O23,HOLI),IFERROR(IF(INDEX(SK_D,MATCH(M23,SK_A,0))="",B23,INDEX(SK_D,MATCH(M23,SK_A,0))),B23)+O23),B23+O23))</f>
        <v/>
      </c>
      <c r="I23" s="13" t="inlineStr">
        <is>
          <t>Xong</t>
        </is>
      </c>
      <c r="J23" s="12" t="n">
        <v>46312</v>
      </c>
      <c r="K23" s="11" t="n"/>
      <c r="L23" s="27">
        <f>IF(E23="","",IF(I23="Bỏ qua","—",IF(I23="Xong",IF(AND(ISNUMBER(J23),ISNUMBER(H23),J23&gt;H23),"Xong trễ","Xong"),IF(F23="","CHƯA GIAO","")&amp;IF(NOT(ISNUMBER(H23)),"",IF(TODAY()&gt;H23,IF(F23=""," · ","")&amp;"QUÁ HẠN "&amp;(TODAY()-H23)&amp;" ngày",IF(H23-TODAY()&lt;=3,IF(F23=""," · ","")&amp;"Đến hạn "&amp;IF(H23=TODAY(),"hôm nay","trong "&amp;(H23-TODAY())&amp;" ngày"),""))))))</f>
        <v/>
      </c>
      <c r="M23" t="inlineStr">
        <is>
          <t>VD-1</t>
        </is>
      </c>
      <c r="N23" t="inlineStr">
        <is>
          <t>K21</t>
        </is>
      </c>
      <c r="O23" t="n">
        <v>-1</v>
      </c>
      <c r="P23" t="inlineStr">
        <is>
          <t>Lịch</t>
        </is>
      </c>
      <c r="Q23">
        <f>IF(AND(E23&lt;&gt;"",R23="Có",I23&lt;&gt;"Xong",I23&lt;&gt;"Bỏ qua",ISNUMBER(H23)),H23+ROW()/100000,"")</f>
        <v/>
      </c>
      <c r="R23">
        <f>IF(M23="","",IFERROR(INDEX(SK_L,MATCH(M23,SK_A,0)),""))</f>
        <v/>
      </c>
    </row>
    <row r="24">
      <c r="A24" s="11">
        <f>IF(M24="","",IFERROR(INDEX(SK_B,MATCH(M24,SK_A,0))&amp;"",""))</f>
        <v/>
      </c>
      <c r="B24" s="24">
        <f>IF(M24="","",IFERROR(INDEX(SK_C,MATCH(M24,SK_A,0)),""))</f>
        <v/>
      </c>
      <c r="C24" s="25">
        <f>IF(O24="","",IF(O24=0,"D",IF(O24&lt;0,"D"&amp;O24,"D+"&amp;O24)))</f>
        <v/>
      </c>
      <c r="D24" s="13" t="inlineStr">
        <is>
          <t>9. Ngày D</t>
        </is>
      </c>
      <c r="E24" s="11" t="inlineStr">
        <is>
          <t>Check-in có chữ ký + đồng ý dữ liệu (webinar: xuất báo cáo Zoom ngay sau buổi)</t>
        </is>
      </c>
      <c r="F24" s="26" t="inlineStr">
        <is>
          <t>Digital (ví dụ)</t>
        </is>
      </c>
      <c r="G24" s="13" t="inlineStr">
        <is>
          <t>Trade, NPP</t>
        </is>
      </c>
      <c r="H24" s="12">
        <f>IF(OR(B24="",O24=""),"",IF(O24&gt;0,IF(P24="Làm việc",WORKDAY(IFERROR(IF(INDEX(SK_D,MATCH(M24,SK_A,0))="",B24,INDEX(SK_D,MATCH(M24,SK_A,0))),B24),O24,HOLI),IFERROR(IF(INDEX(SK_D,MATCH(M24,SK_A,0))="",B24,INDEX(SK_D,MATCH(M24,SK_A,0))),B24)+O24),B24+O24))</f>
        <v/>
      </c>
      <c r="I24" s="13" t="inlineStr">
        <is>
          <t>Xong</t>
        </is>
      </c>
      <c r="J24" s="12" t="n">
        <v>46312</v>
      </c>
      <c r="K24" s="11" t="n"/>
      <c r="L24" s="27">
        <f>IF(E24="","",IF(I24="Bỏ qua","—",IF(I24="Xong",IF(AND(ISNUMBER(J24),ISNUMBER(H24),J24&gt;H24),"Xong trễ","Xong"),IF(F24="","CHƯA GIAO","")&amp;IF(NOT(ISNUMBER(H24)),"",IF(TODAY()&gt;H24,IF(F24=""," · ","")&amp;"QUÁ HẠN "&amp;(TODAY()-H24)&amp;" ngày",IF(H24-TODAY()&lt;=3,IF(F24=""," · ","")&amp;"Đến hạn "&amp;IF(H24=TODAY(),"hôm nay","trong "&amp;(H24-TODAY())&amp;" ngày"),""))))))</f>
        <v/>
      </c>
      <c r="M24" t="inlineStr">
        <is>
          <t>VD-1</t>
        </is>
      </c>
      <c r="N24" t="inlineStr">
        <is>
          <t>K22</t>
        </is>
      </c>
      <c r="O24" t="n">
        <v>0</v>
      </c>
      <c r="P24" t="inlineStr">
        <is>
          <t>Lịch</t>
        </is>
      </c>
      <c r="Q24">
        <f>IF(AND(E24&lt;&gt;"",R24="Có",I24&lt;&gt;"Xong",I24&lt;&gt;"Bỏ qua",ISNUMBER(H24)),H24+ROW()/100000,"")</f>
        <v/>
      </c>
      <c r="R24">
        <f>IF(M24="","",IFERROR(INDEX(SK_L,MATCH(M24,SK_A,0)),""))</f>
        <v/>
      </c>
    </row>
    <row r="25">
      <c r="A25" s="11">
        <f>IF(M25="","",IFERROR(INDEX(SK_B,MATCH(M25,SK_A,0))&amp;"",""))</f>
        <v/>
      </c>
      <c r="B25" s="24">
        <f>IF(M25="","",IFERROR(INDEX(SK_C,MATCH(M25,SK_A,0)),""))</f>
        <v/>
      </c>
      <c r="C25" s="25">
        <f>IF(O25="","",IF(O25=0,"D",IF(O25&lt;0,"D"&amp;O25,"D+"&amp;O25)))</f>
        <v/>
      </c>
      <c r="D25" s="13" t="inlineStr">
        <is>
          <t>9. Ngày D</t>
        </is>
      </c>
      <c r="E25" s="11" t="inlineStr">
        <is>
          <t>Điều phối chương trình, khảo sát QR trước bế mạc, ảnh / video</t>
        </is>
      </c>
      <c r="F25" s="26" t="inlineStr">
        <is>
          <t>Leader MKT (ví dụ)</t>
        </is>
      </c>
      <c r="G25" s="13" t="inlineStr">
        <is>
          <t>Digital MKT</t>
        </is>
      </c>
      <c r="H25" s="12">
        <f>IF(OR(B25="",O25=""),"",IF(O25&gt;0,IF(P25="Làm việc",WORKDAY(IFERROR(IF(INDEX(SK_D,MATCH(M25,SK_A,0))="",B25,INDEX(SK_D,MATCH(M25,SK_A,0))),B25),O25,HOLI),IFERROR(IF(INDEX(SK_D,MATCH(M25,SK_A,0))="",B25,INDEX(SK_D,MATCH(M25,SK_A,0))),B25)+O25),B25+O25))</f>
        <v/>
      </c>
      <c r="I25" s="13" t="inlineStr">
        <is>
          <t>Xong</t>
        </is>
      </c>
      <c r="J25" s="12" t="n">
        <v>46311</v>
      </c>
      <c r="K25" s="11" t="n"/>
      <c r="L25" s="27">
        <f>IF(E25="","",IF(I25="Bỏ qua","—",IF(I25="Xong",IF(AND(ISNUMBER(J25),ISNUMBER(H25),J25&gt;H25),"Xong trễ","Xong"),IF(F25="","CHƯA GIAO","")&amp;IF(NOT(ISNUMBER(H25)),"",IF(TODAY()&gt;H25,IF(F25=""," · ","")&amp;"QUÁ HẠN "&amp;(TODAY()-H25)&amp;" ngày",IF(H25-TODAY()&lt;=3,IF(F25=""," · ","")&amp;"Đến hạn "&amp;IF(H25=TODAY(),"hôm nay","trong "&amp;(H25-TODAY())&amp;" ngày"),""))))))</f>
        <v/>
      </c>
      <c r="M25" t="inlineStr">
        <is>
          <t>VD-1</t>
        </is>
      </c>
      <c r="N25" t="inlineStr">
        <is>
          <t>K23</t>
        </is>
      </c>
      <c r="O25" t="n">
        <v>0</v>
      </c>
      <c r="P25" t="inlineStr">
        <is>
          <t>Lịch</t>
        </is>
      </c>
      <c r="Q25">
        <f>IF(AND(E25&lt;&gt;"",R25="Có",I25&lt;&gt;"Xong",I25&lt;&gt;"Bỏ qua",ISNUMBER(H25)),H25+ROW()/100000,"")</f>
        <v/>
      </c>
      <c r="R25">
        <f>IF(M25="","",IFERROR(INDEX(SK_L,MATCH(M25,SK_A,0)),""))</f>
        <v/>
      </c>
    </row>
    <row r="26">
      <c r="A26" s="11">
        <f>IF(M26="","",IFERROR(INDEX(SK_B,MATCH(M26,SK_A,0))&amp;"",""))</f>
        <v/>
      </c>
      <c r="B26" s="24">
        <f>IF(M26="","",IFERROR(INDEX(SK_C,MATCH(M26,SK_A,0)),""))</f>
        <v/>
      </c>
      <c r="C26" s="25">
        <f>IF(O26="","",IF(O26=0,"D",IF(O26&lt;0,"D"&amp;O26,"D+"&amp;O26)))</f>
        <v/>
      </c>
      <c r="D26" s="13" t="inlineStr">
        <is>
          <t>9. Ngày D</t>
        </is>
      </c>
      <c r="E26" s="11" t="inlineStr">
        <is>
          <t>Bán hàng tại bàn trưng bày + ghi khách quan tâm</t>
        </is>
      </c>
      <c r="F26" s="26" t="inlineStr">
        <is>
          <t>Sales Dental (ví dụ)</t>
        </is>
      </c>
      <c r="G26" s="13" t="inlineStr">
        <is>
          <t>NPP</t>
        </is>
      </c>
      <c r="H26" s="12">
        <f>IF(OR(B26="",O26=""),"",IF(O26&gt;0,IF(P26="Làm việc",WORKDAY(IFERROR(IF(INDEX(SK_D,MATCH(M26,SK_A,0))="",B26,INDEX(SK_D,MATCH(M26,SK_A,0))),B26),O26,HOLI),IFERROR(IF(INDEX(SK_D,MATCH(M26,SK_A,0))="",B26,INDEX(SK_D,MATCH(M26,SK_A,0))),B26)+O26),B26+O26))</f>
        <v/>
      </c>
      <c r="I26" s="13" t="inlineStr">
        <is>
          <t>Xong</t>
        </is>
      </c>
      <c r="J26" s="12" t="n">
        <v>46312</v>
      </c>
      <c r="K26" s="11" t="n"/>
      <c r="L26" s="27">
        <f>IF(E26="","",IF(I26="Bỏ qua","—",IF(I26="Xong",IF(AND(ISNUMBER(J26),ISNUMBER(H26),J26&gt;H26),"Xong trễ","Xong"),IF(F26="","CHƯA GIAO","")&amp;IF(NOT(ISNUMBER(H26)),"",IF(TODAY()&gt;H26,IF(F26=""," · ","")&amp;"QUÁ HẠN "&amp;(TODAY()-H26)&amp;" ngày",IF(H26-TODAY()&lt;=3,IF(F26=""," · ","")&amp;"Đến hạn "&amp;IF(H26=TODAY(),"hôm nay","trong "&amp;(H26-TODAY())&amp;" ngày"),""))))))</f>
        <v/>
      </c>
      <c r="M26" t="inlineStr">
        <is>
          <t>VD-1</t>
        </is>
      </c>
      <c r="N26" t="inlineStr">
        <is>
          <t>K24</t>
        </is>
      </c>
      <c r="O26" t="n">
        <v>0</v>
      </c>
      <c r="P26" t="inlineStr">
        <is>
          <t>Lịch</t>
        </is>
      </c>
      <c r="Q26">
        <f>IF(AND(E26&lt;&gt;"",R26="Có",I26&lt;&gt;"Xong",I26&lt;&gt;"Bỏ qua",ISNUMBER(H26)),H26+ROW()/100000,"")</f>
        <v/>
      </c>
      <c r="R26">
        <f>IF(M26="","",IFERROR(INDEX(SK_L,MATCH(M26,SK_A,0)),""))</f>
        <v/>
      </c>
    </row>
    <row r="27">
      <c r="A27" s="11">
        <f>IF(M27="","",IFERROR(INDEX(SK_B,MATCH(M27,SK_A,0))&amp;"",""))</f>
        <v/>
      </c>
      <c r="B27" s="24">
        <f>IF(M27="","",IFERROR(INDEX(SK_C,MATCH(M27,SK_A,0)),""))</f>
        <v/>
      </c>
      <c r="C27" s="25">
        <f>IF(O27="","",IF(O27=0,"D",IF(O27&lt;0,"D"&amp;O27,"D+"&amp;O27)))</f>
        <v/>
      </c>
      <c r="D27" s="13" t="inlineStr">
        <is>
          <t>9. Ngày D</t>
        </is>
      </c>
      <c r="E27" s="11" t="inlineStr">
        <is>
          <t>Thu dọn, kiểm đếm, ghi POSM hỏng</t>
        </is>
      </c>
      <c r="F27" s="26" t="inlineStr">
        <is>
          <t>Trade (ví dụ)</t>
        </is>
      </c>
      <c r="G27" s="13" t="inlineStr">
        <is>
          <t>NPP</t>
        </is>
      </c>
      <c r="H27" s="12">
        <f>IF(OR(B27="",O27=""),"",IF(O27&gt;0,IF(P27="Làm việc",WORKDAY(IFERROR(IF(INDEX(SK_D,MATCH(M27,SK_A,0))="",B27,INDEX(SK_D,MATCH(M27,SK_A,0))),B27),O27,HOLI),IFERROR(IF(INDEX(SK_D,MATCH(M27,SK_A,0))="",B27,INDEX(SK_D,MATCH(M27,SK_A,0))),B27)+O27),B27+O27))</f>
        <v/>
      </c>
      <c r="I27" s="13" t="inlineStr">
        <is>
          <t>Chưa làm</t>
        </is>
      </c>
      <c r="J27" s="12" t="n"/>
      <c r="K27" s="11" t="n"/>
      <c r="L27" s="27">
        <f>IF(E27="","",IF(I27="Bỏ qua","—",IF(I27="Xong",IF(AND(ISNUMBER(J27),ISNUMBER(H27),J27&gt;H27),"Xong trễ","Xong"),IF(F27="","CHƯA GIAO","")&amp;IF(NOT(ISNUMBER(H27)),"",IF(TODAY()&gt;H27,IF(F27=""," · ","")&amp;"QUÁ HẠN "&amp;(TODAY()-H27)&amp;" ngày",IF(H27-TODAY()&lt;=3,IF(F27=""," · ","")&amp;"Đến hạn "&amp;IF(H27=TODAY(),"hôm nay","trong "&amp;(H27-TODAY())&amp;" ngày"),""))))))</f>
        <v/>
      </c>
      <c r="M27" t="inlineStr">
        <is>
          <t>VD-1</t>
        </is>
      </c>
      <c r="N27" t="inlineStr">
        <is>
          <t>K25</t>
        </is>
      </c>
      <c r="O27" t="n">
        <v>0</v>
      </c>
      <c r="P27" t="inlineStr">
        <is>
          <t>Lịch</t>
        </is>
      </c>
      <c r="Q27">
        <f>IF(AND(E27&lt;&gt;"",R27="Có",I27&lt;&gt;"Xong",I27&lt;&gt;"Bỏ qua",ISNUMBER(H27)),H27+ROW()/100000,"")</f>
        <v/>
      </c>
      <c r="R27">
        <f>IF(M27="","",IFERROR(INDEX(SK_L,MATCH(M27,SK_A,0)),""))</f>
        <v/>
      </c>
    </row>
    <row r="28">
      <c r="A28" s="11">
        <f>IF(M28="","",IFERROR(INDEX(SK_B,MATCH(M28,SK_A,0))&amp;"",""))</f>
        <v/>
      </c>
      <c r="B28" s="24">
        <f>IF(M28="","",IFERROR(INDEX(SK_C,MATCH(M28,SK_A,0)),""))</f>
        <v/>
      </c>
      <c r="C28" s="25">
        <f>IF(O28="","",IF(O28=0,"D",IF(O28&lt;0,"D"&amp;O28,"D+"&amp;O28)))</f>
        <v/>
      </c>
      <c r="D28" s="13" t="inlineStr">
        <is>
          <t>10. Sau sự kiện</t>
        </is>
      </c>
      <c r="E28" s="11" t="inlineStr">
        <is>
          <t>Bài cảm ơn + ảnh recap; video recap (nếu có)</t>
        </is>
      </c>
      <c r="F28" s="26" t="inlineStr">
        <is>
          <t>Digital (ví dụ)</t>
        </is>
      </c>
      <c r="G28" s="13" t="inlineStr"/>
      <c r="H28" s="12">
        <f>IF(OR(B28="",O28=""),"",IF(O28&gt;0,IF(P28="Làm việc",WORKDAY(IFERROR(IF(INDEX(SK_D,MATCH(M28,SK_A,0))="",B28,INDEX(SK_D,MATCH(M28,SK_A,0))),B28),O28,HOLI),IFERROR(IF(INDEX(SK_D,MATCH(M28,SK_A,0))="",B28,INDEX(SK_D,MATCH(M28,SK_A,0))),B28)+O28),B28+O28))</f>
        <v/>
      </c>
      <c r="I28" s="13" t="inlineStr">
        <is>
          <t>Xong</t>
        </is>
      </c>
      <c r="J28" s="12" t="n">
        <v>46314</v>
      </c>
      <c r="K28" s="11" t="n"/>
      <c r="L28" s="27">
        <f>IF(E28="","",IF(I28="Bỏ qua","—",IF(I28="Xong",IF(AND(ISNUMBER(J28),ISNUMBER(H28),J28&gt;H28),"Xong trễ","Xong"),IF(F28="","CHƯA GIAO","")&amp;IF(NOT(ISNUMBER(H28)),"",IF(TODAY()&gt;H28,IF(F28=""," · ","")&amp;"QUÁ HẠN "&amp;(TODAY()-H28)&amp;" ngày",IF(H28-TODAY()&lt;=3,IF(F28=""," · ","")&amp;"Đến hạn "&amp;IF(H28=TODAY(),"hôm nay","trong "&amp;(H28-TODAY())&amp;" ngày"),""))))))</f>
        <v/>
      </c>
      <c r="M28" t="inlineStr">
        <is>
          <t>VD-1</t>
        </is>
      </c>
      <c r="N28" t="inlineStr">
        <is>
          <t>K26</t>
        </is>
      </c>
      <c r="O28" t="n">
        <v>2</v>
      </c>
      <c r="P28" t="inlineStr">
        <is>
          <t>Làm việc</t>
        </is>
      </c>
      <c r="Q28">
        <f>IF(AND(E28&lt;&gt;"",R28="Có",I28&lt;&gt;"Xong",I28&lt;&gt;"Bỏ qua",ISNUMBER(H28)),H28+ROW()/100000,"")</f>
        <v/>
      </c>
      <c r="R28">
        <f>IF(M28="","",IFERROR(INDEX(SK_L,MATCH(M28,SK_A,0)),""))</f>
        <v/>
      </c>
    </row>
    <row r="29">
      <c r="A29" s="11">
        <f>IF(M29="","",IFERROR(INDEX(SK_B,MATCH(M29,SK_A,0))&amp;"",""))</f>
        <v/>
      </c>
      <c r="B29" s="24">
        <f>IF(M29="","",IFERROR(INDEX(SK_C,MATCH(M29,SK_A,0)),""))</f>
        <v/>
      </c>
      <c r="C29" s="25">
        <f>IF(O29="","",IF(O29=0,"D",IF(O29&lt;0,"D"&amp;O29,"D+"&amp;O29)))</f>
        <v/>
      </c>
      <c r="D29" s="13" t="inlineStr">
        <is>
          <t>10. Sau sự kiện</t>
        </is>
      </c>
      <c r="E29" s="11" t="inlineStr">
        <is>
          <t>Scan biểu mẫu ký tay + upload ảnh / video lên folder sự kiện</t>
        </is>
      </c>
      <c r="F29" s="26" t="inlineStr">
        <is>
          <t>Trade (ví dụ)</t>
        </is>
      </c>
      <c r="G29" s="13" t="inlineStr">
        <is>
          <t>Digital MKT</t>
        </is>
      </c>
      <c r="H29" s="12">
        <f>IF(OR(B29="",O29=""),"",IF(O29&gt;0,IF(P29="Làm việc",WORKDAY(IFERROR(IF(INDEX(SK_D,MATCH(M29,SK_A,0))="",B29,INDEX(SK_D,MATCH(M29,SK_A,0))),B29),O29,HOLI),IFERROR(IF(INDEX(SK_D,MATCH(M29,SK_A,0))="",B29,INDEX(SK_D,MATCH(M29,SK_A,0))),B29)+O29),B29+O29))</f>
        <v/>
      </c>
      <c r="I29" s="13" t="inlineStr">
        <is>
          <t>Xong</t>
        </is>
      </c>
      <c r="J29" s="12" t="n">
        <v>46313</v>
      </c>
      <c r="K29" s="11" t="n"/>
      <c r="L29" s="27">
        <f>IF(E29="","",IF(I29="Bỏ qua","—",IF(I29="Xong",IF(AND(ISNUMBER(J29),ISNUMBER(H29),J29&gt;H29),"Xong trễ","Xong"),IF(F29="","CHƯA GIAO","")&amp;IF(NOT(ISNUMBER(H29)),"",IF(TODAY()&gt;H29,IF(F29=""," · ","")&amp;"QUÁ HẠN "&amp;(TODAY()-H29)&amp;" ngày",IF(H29-TODAY()&lt;=3,IF(F29=""," · ","")&amp;"Đến hạn "&amp;IF(H29=TODAY(),"hôm nay","trong "&amp;(H29-TODAY())&amp;" ngày"),""))))))</f>
        <v/>
      </c>
      <c r="M29" t="inlineStr">
        <is>
          <t>VD-1</t>
        </is>
      </c>
      <c r="N29" t="inlineStr">
        <is>
          <t>K27</t>
        </is>
      </c>
      <c r="O29" t="n">
        <v>2</v>
      </c>
      <c r="P29" t="inlineStr">
        <is>
          <t>Làm việc</t>
        </is>
      </c>
      <c r="Q29">
        <f>IF(AND(E29&lt;&gt;"",R29="Có",I29&lt;&gt;"Xong",I29&lt;&gt;"Bỏ qua",ISNUMBER(H29)),H29+ROW()/100000,"")</f>
        <v/>
      </c>
      <c r="R29">
        <f>IF(M29="","",IFERROR(INDEX(SK_L,MATCH(M29,SK_A,0)),""))</f>
        <v/>
      </c>
    </row>
    <row r="30">
      <c r="A30" s="11">
        <f>IF(M30="","",IFERROR(INDEX(SK_B,MATCH(M30,SK_A,0))&amp;"",""))</f>
        <v/>
      </c>
      <c r="B30" s="24">
        <f>IF(M30="","",IFERROR(INDEX(SK_C,MATCH(M30,SK_A,0)),""))</f>
        <v/>
      </c>
      <c r="C30" s="25">
        <f>IF(O30="","",IF(O30=0,"D",IF(O30&lt;0,"D"&amp;O30,"D+"&amp;O30)))</f>
        <v/>
      </c>
      <c r="D30" s="13" t="inlineStr">
        <is>
          <t>10. Sau sự kiện</t>
        </is>
      </c>
      <c r="E30" s="11" t="inlineStr">
        <is>
          <t>Đối chiếu dữ liệu khách (loại trùng, đủ trường) ⇒ CUSTOMER LIST; tổng hợp khảo sát</t>
        </is>
      </c>
      <c r="F30" s="26" t="inlineStr">
        <is>
          <t>Digital (ví dụ)</t>
        </is>
      </c>
      <c r="G30" s="13" t="inlineStr">
        <is>
          <t>Sales, NPP</t>
        </is>
      </c>
      <c r="H30" s="12">
        <f>IF(OR(B30="",O30=""),"",IF(O30&gt;0,IF(P30="Làm việc",WORKDAY(IFERROR(IF(INDEX(SK_D,MATCH(M30,SK_A,0))="",B30,INDEX(SK_D,MATCH(M30,SK_A,0))),B30),O30,HOLI),IFERROR(IF(INDEX(SK_D,MATCH(M30,SK_A,0))="",B30,INDEX(SK_D,MATCH(M30,SK_A,0))),B30)+O30),B30+O30))</f>
        <v/>
      </c>
      <c r="I30" s="13" t="inlineStr">
        <is>
          <t>Xong</t>
        </is>
      </c>
      <c r="J30" s="12" t="n">
        <v>46316</v>
      </c>
      <c r="K30" s="11" t="n"/>
      <c r="L30" s="27">
        <f>IF(E30="","",IF(I30="Bỏ qua","—",IF(I30="Xong",IF(AND(ISNUMBER(J30),ISNUMBER(H30),J30&gt;H30),"Xong trễ","Xong"),IF(F30="","CHƯA GIAO","")&amp;IF(NOT(ISNUMBER(H30)),"",IF(TODAY()&gt;H30,IF(F30=""," · ","")&amp;"QUÁ HẠN "&amp;(TODAY()-H30)&amp;" ngày",IF(H30-TODAY()&lt;=3,IF(F30=""," · ","")&amp;"Đến hạn "&amp;IF(H30=TODAY(),"hôm nay","trong "&amp;(H30-TODAY())&amp;" ngày"),""))))))</f>
        <v/>
      </c>
      <c r="M30" t="inlineStr">
        <is>
          <t>VD-1</t>
        </is>
      </c>
      <c r="N30" t="inlineStr">
        <is>
          <t>K28</t>
        </is>
      </c>
      <c r="O30" t="n">
        <v>3</v>
      </c>
      <c r="P30" t="inlineStr">
        <is>
          <t>Làm việc</t>
        </is>
      </c>
      <c r="Q30">
        <f>IF(AND(E30&lt;&gt;"",R30="Có",I30&lt;&gt;"Xong",I30&lt;&gt;"Bỏ qua",ISNUMBER(H30)),H30+ROW()/100000,"")</f>
        <v/>
      </c>
      <c r="R30">
        <f>IF(M30="","",IFERROR(INDEX(SK_L,MATCH(M30,SK_A,0)),""))</f>
        <v/>
      </c>
    </row>
    <row r="31">
      <c r="A31" s="11">
        <f>IF(M31="","",IFERROR(INDEX(SK_B,MATCH(M31,SK_A,0))&amp;"",""))</f>
        <v/>
      </c>
      <c r="B31" s="24">
        <f>IF(M31="","",IFERROR(INDEX(SK_C,MATCH(M31,SK_A,0)),""))</f>
        <v/>
      </c>
      <c r="C31" s="25">
        <f>IF(O31="","",IF(O31=0,"D",IF(O31&lt;0,"D"&amp;O31,"D+"&amp;O31)))</f>
        <v/>
      </c>
      <c r="D31" s="13" t="inlineStr">
        <is>
          <t>10. Sau sự kiện</t>
        </is>
      </c>
      <c r="E31" s="11" t="inlineStr">
        <is>
          <t>Sales + NPP gửi số liệu bán hàng tại sự kiện</t>
        </is>
      </c>
      <c r="F31" s="26" t="inlineStr">
        <is>
          <t>Sales Dental (ví dụ)</t>
        </is>
      </c>
      <c r="G31" s="13" t="inlineStr">
        <is>
          <t>NPP</t>
        </is>
      </c>
      <c r="H31" s="12">
        <f>IF(OR(B31="",O31=""),"",IF(O31&gt;0,IF(P31="Làm việc",WORKDAY(IFERROR(IF(INDEX(SK_D,MATCH(M31,SK_A,0))="",B31,INDEX(SK_D,MATCH(M31,SK_A,0))),B31),O31,HOLI),IFERROR(IF(INDEX(SK_D,MATCH(M31,SK_A,0))="",B31,INDEX(SK_D,MATCH(M31,SK_A,0))),B31)+O31),B31+O31))</f>
        <v/>
      </c>
      <c r="I31" s="13" t="inlineStr">
        <is>
          <t>Chưa làm</t>
        </is>
      </c>
      <c r="J31" s="12" t="n"/>
      <c r="K31" s="11" t="n"/>
      <c r="L31" s="27">
        <f>IF(E31="","",IF(I31="Bỏ qua","—",IF(I31="Xong",IF(AND(ISNUMBER(J31),ISNUMBER(H31),J31&gt;H31),"Xong trễ","Xong"),IF(F31="","CHƯA GIAO","")&amp;IF(NOT(ISNUMBER(H31)),"",IF(TODAY()&gt;H31,IF(F31=""," · ","")&amp;"QUÁ HẠN "&amp;(TODAY()-H31)&amp;" ngày",IF(H31-TODAY()&lt;=3,IF(F31=""," · ","")&amp;"Đến hạn "&amp;IF(H31=TODAY(),"hôm nay","trong "&amp;(H31-TODAY())&amp;" ngày"),""))))))</f>
        <v/>
      </c>
      <c r="M31" t="inlineStr">
        <is>
          <t>VD-1</t>
        </is>
      </c>
      <c r="N31" t="inlineStr">
        <is>
          <t>K29</t>
        </is>
      </c>
      <c r="O31" t="n">
        <v>3</v>
      </c>
      <c r="P31" t="inlineStr">
        <is>
          <t>Làm việc</t>
        </is>
      </c>
      <c r="Q31">
        <f>IF(AND(E31&lt;&gt;"",R31="Có",I31&lt;&gt;"Xong",I31&lt;&gt;"Bỏ qua",ISNUMBER(H31)),H31+ROW()/100000,"")</f>
        <v/>
      </c>
      <c r="R31">
        <f>IF(M31="","",IFERROR(INDEX(SK_L,MATCH(M31,SK_A,0)),""))</f>
        <v/>
      </c>
    </row>
    <row r="32">
      <c r="A32" s="11">
        <f>IF(M32="","",IFERROR(INDEX(SK_B,MATCH(M32,SK_A,0))&amp;"",""))</f>
        <v/>
      </c>
      <c r="B32" s="24">
        <f>IF(M32="","",IFERROR(INDEX(SK_C,MATCH(M32,SK_A,0)),""))</f>
        <v/>
      </c>
      <c r="C32" s="25">
        <f>IF(O32="","",IF(O32=0,"D",IF(O32&lt;0,"D"&amp;O32,"D+"&amp;O32)))</f>
        <v/>
      </c>
      <c r="D32" s="13" t="inlineStr">
        <is>
          <t>10. Sau sự kiện</t>
        </is>
      </c>
      <c r="E32" s="11" t="inlineStr">
        <is>
          <t>Bàn giao danh sách khách cần follow-up cho Sales</t>
        </is>
      </c>
      <c r="F32" s="26" t="inlineStr">
        <is>
          <t>Digital (ví dụ)</t>
        </is>
      </c>
      <c r="G32" s="13" t="inlineStr">
        <is>
          <t>Sales</t>
        </is>
      </c>
      <c r="H32" s="12">
        <f>IF(OR(B32="",O32=""),"",IF(O32&gt;0,IF(P32="Làm việc",WORKDAY(IFERROR(IF(INDEX(SK_D,MATCH(M32,SK_A,0))="",B32,INDEX(SK_D,MATCH(M32,SK_A,0))),B32),O32,HOLI),IFERROR(IF(INDEX(SK_D,MATCH(M32,SK_A,0))="",B32,INDEX(SK_D,MATCH(M32,SK_A,0))),B32)+O32),B32+O32))</f>
        <v/>
      </c>
      <c r="I32" s="13" t="inlineStr">
        <is>
          <t>Xong</t>
        </is>
      </c>
      <c r="J32" s="12" t="n">
        <v>46316</v>
      </c>
      <c r="K32" s="11" t="n"/>
      <c r="L32" s="27">
        <f>IF(E32="","",IF(I32="Bỏ qua","—",IF(I32="Xong",IF(AND(ISNUMBER(J32),ISNUMBER(H32),J32&gt;H32),"Xong trễ","Xong"),IF(F32="","CHƯA GIAO","")&amp;IF(NOT(ISNUMBER(H32)),"",IF(TODAY()&gt;H32,IF(F32=""," · ","")&amp;"QUÁ HẠN "&amp;(TODAY()-H32)&amp;" ngày",IF(H32-TODAY()&lt;=3,IF(F32=""," · ","")&amp;"Đến hạn "&amp;IF(H32=TODAY(),"hôm nay","trong "&amp;(H32-TODAY())&amp;" ngày"),""))))))</f>
        <v/>
      </c>
      <c r="M32" t="inlineStr">
        <is>
          <t>VD-1</t>
        </is>
      </c>
      <c r="N32" t="inlineStr">
        <is>
          <t>K30</t>
        </is>
      </c>
      <c r="O32" t="n">
        <v>3</v>
      </c>
      <c r="P32" t="inlineStr">
        <is>
          <t>Làm việc</t>
        </is>
      </c>
      <c r="Q32">
        <f>IF(AND(E32&lt;&gt;"",R32="Có",I32&lt;&gt;"Xong",I32&lt;&gt;"Bỏ qua",ISNUMBER(H32)),H32+ROW()/100000,"")</f>
        <v/>
      </c>
      <c r="R32">
        <f>IF(M32="","",IFERROR(INDEX(SK_L,MATCH(M32,SK_A,0)),""))</f>
        <v/>
      </c>
    </row>
    <row r="33">
      <c r="A33" s="11">
        <f>IF(M33="","",IFERROR(INDEX(SK_B,MATCH(M33,SK_A,0))&amp;"",""))</f>
        <v/>
      </c>
      <c r="B33" s="24">
        <f>IF(M33="","",IFERROR(INDEX(SK_C,MATCH(M33,SK_A,0)),""))</f>
        <v/>
      </c>
      <c r="C33" s="25">
        <f>IF(O33="","",IF(O33=0,"D",IF(O33&lt;0,"D"&amp;O33,"D+"&amp;O33)))</f>
        <v/>
      </c>
      <c r="D33" s="13" t="inlineStr">
        <is>
          <t>10. Sau sự kiện</t>
        </is>
      </c>
      <c r="E33" s="11" t="inlineStr">
        <is>
          <t>Báo cáo sự kiện + chứng từ KOL, hoá đơn địa điểm</t>
        </is>
      </c>
      <c r="F33" s="26" t="inlineStr">
        <is>
          <t>Leader MKT (ví dụ)</t>
        </is>
      </c>
      <c r="G33" s="13" t="inlineStr">
        <is>
          <t>Trade MKT</t>
        </is>
      </c>
      <c r="H33" s="12">
        <f>IF(OR(B33="",O33=""),"",IF(O33&gt;0,IF(P33="Làm việc",WORKDAY(IFERROR(IF(INDEX(SK_D,MATCH(M33,SK_A,0))="",B33,INDEX(SK_D,MATCH(M33,SK_A,0))),B33),O33,HOLI),IFERROR(IF(INDEX(SK_D,MATCH(M33,SK_A,0))="",B33,INDEX(SK_D,MATCH(M33,SK_A,0))),B33)+O33),B33+O33))</f>
        <v/>
      </c>
      <c r="I33" s="13" t="inlineStr">
        <is>
          <t>Xong</t>
        </is>
      </c>
      <c r="J33" s="12" t="n">
        <v>46316</v>
      </c>
      <c r="K33" s="11" t="n"/>
      <c r="L33" s="27">
        <f>IF(E33="","",IF(I33="Bỏ qua","—",IF(I33="Xong",IF(AND(ISNUMBER(J33),ISNUMBER(H33),J33&gt;H33),"Xong trễ","Xong"),IF(F33="","CHƯA GIAO","")&amp;IF(NOT(ISNUMBER(H33)),"",IF(TODAY()&gt;H33,IF(F33=""," · ","")&amp;"QUÁ HẠN "&amp;(TODAY()-H33)&amp;" ngày",IF(H33-TODAY()&lt;=3,IF(F33=""," · ","")&amp;"Đến hạn "&amp;IF(H33=TODAY(),"hôm nay","trong "&amp;(H33-TODAY())&amp;" ngày"),""))))))</f>
        <v/>
      </c>
      <c r="M33" t="inlineStr">
        <is>
          <t>VD-1</t>
        </is>
      </c>
      <c r="N33" t="inlineStr">
        <is>
          <t>K31</t>
        </is>
      </c>
      <c r="O33" t="n">
        <v>5</v>
      </c>
      <c r="P33" t="inlineStr">
        <is>
          <t>Làm việc</t>
        </is>
      </c>
      <c r="Q33">
        <f>IF(AND(E33&lt;&gt;"",R33="Có",I33&lt;&gt;"Xong",I33&lt;&gt;"Bỏ qua",ISNUMBER(H33)),H33+ROW()/100000,"")</f>
        <v/>
      </c>
      <c r="R33">
        <f>IF(M33="","",IFERROR(INDEX(SK_L,MATCH(M33,SK_A,0)),""))</f>
        <v/>
      </c>
    </row>
    <row r="34">
      <c r="A34" s="11">
        <f>IF(M34="","",IFERROR(INDEX(SK_B,MATCH(M34,SK_A,0))&amp;"",""))</f>
        <v/>
      </c>
      <c r="B34" s="24">
        <f>IF(M34="","",IFERROR(INDEX(SK_C,MATCH(M34,SK_A,0)),""))</f>
        <v/>
      </c>
      <c r="C34" s="25">
        <f>IF(O34="","",IF(O34=0,"D",IF(O34&lt;0,"D"&amp;O34,"D+"&amp;O34)))</f>
        <v/>
      </c>
      <c r="D34" s="13" t="inlineStr">
        <is>
          <t>10. Sau sự kiện</t>
        </is>
      </c>
      <c r="E34" s="11" t="inlineStr">
        <is>
          <t>Email báo cáo toàn MMH (4 file đính kèm) + hoàn tất lưu hồ sơ</t>
        </is>
      </c>
      <c r="F34" s="26" t="inlineStr">
        <is>
          <t>Leader MKT (ví dụ)</t>
        </is>
      </c>
      <c r="G34" s="13" t="inlineStr"/>
      <c r="H34" s="12">
        <f>IF(OR(B34="",O34=""),"",IF(O34&gt;0,IF(P34="Làm việc",WORKDAY(IFERROR(IF(INDEX(SK_D,MATCH(M34,SK_A,0))="",B34,INDEX(SK_D,MATCH(M34,SK_A,0))),B34),O34,HOLI),IFERROR(IF(INDEX(SK_D,MATCH(M34,SK_A,0))="",B34,INDEX(SK_D,MATCH(M34,SK_A,0))),B34)+O34),B34+O34))</f>
        <v/>
      </c>
      <c r="I34" s="13" t="inlineStr">
        <is>
          <t>Xong</t>
        </is>
      </c>
      <c r="J34" s="12" t="n">
        <v>46321</v>
      </c>
      <c r="K34" s="11" t="n"/>
      <c r="L34" s="27">
        <f>IF(E34="","",IF(I34="Bỏ qua","—",IF(I34="Xong",IF(AND(ISNUMBER(J34),ISNUMBER(H34),J34&gt;H34),"Xong trễ","Xong"),IF(F34="","CHƯA GIAO","")&amp;IF(NOT(ISNUMBER(H34)),"",IF(TODAY()&gt;H34,IF(F34=""," · ","")&amp;"QUÁ HẠN "&amp;(TODAY()-H34)&amp;" ngày",IF(H34-TODAY()&lt;=3,IF(F34=""," · ","")&amp;"Đến hạn "&amp;IF(H34=TODAY(),"hôm nay","trong "&amp;(H34-TODAY())&amp;" ngày"),""))))))</f>
        <v/>
      </c>
      <c r="M34" t="inlineStr">
        <is>
          <t>VD-1</t>
        </is>
      </c>
      <c r="N34" t="inlineStr">
        <is>
          <t>K32</t>
        </is>
      </c>
      <c r="O34" t="n">
        <v>7</v>
      </c>
      <c r="P34" t="inlineStr">
        <is>
          <t>Làm việc</t>
        </is>
      </c>
      <c r="Q34">
        <f>IF(AND(E34&lt;&gt;"",R34="Có",I34&lt;&gt;"Xong",I34&lt;&gt;"Bỏ qua",ISNUMBER(H34)),H34+ROW()/100000,"")</f>
        <v/>
      </c>
      <c r="R34">
        <f>IF(M34="","",IFERROR(INDEX(SK_L,MATCH(M34,SK_A,0)),""))</f>
        <v/>
      </c>
    </row>
    <row r="35">
      <c r="A35" s="11">
        <f>IF(M35="","",IFERROR(INDEX(SK_B,MATCH(M35,SK_A,0))&amp;"",""))</f>
        <v/>
      </c>
      <c r="B35" s="24">
        <f>IF(M35="","",IFERROR(INDEX(SK_C,MATCH(M35,SK_A,0)),""))</f>
        <v/>
      </c>
      <c r="C35" s="25">
        <f>IF(O35="","",IF(O35=0,"D",IF(O35&lt;0,"D"&amp;O35,"D+"&amp;O35)))</f>
        <v/>
      </c>
      <c r="D35" s="13" t="inlineStr">
        <is>
          <t>11. Follow-up</t>
        </is>
      </c>
      <c r="E35" s="11" t="inlineStr">
        <is>
          <t>Sales liên hệ lần đầu khách cần follow-up</t>
        </is>
      </c>
      <c r="F35" s="26" t="inlineStr">
        <is>
          <t>Sales Dental (ví dụ)</t>
        </is>
      </c>
      <c r="G35" s="13" t="inlineStr">
        <is>
          <t>NPP</t>
        </is>
      </c>
      <c r="H35" s="12">
        <f>IF(OR(B35="",O35=""),"",IF(O35&gt;0,IF(P35="Làm việc",WORKDAY(IFERROR(IF(INDEX(SK_D,MATCH(M35,SK_A,0))="",B35,INDEX(SK_D,MATCH(M35,SK_A,0))),B35),O35,HOLI),IFERROR(IF(INDEX(SK_D,MATCH(M35,SK_A,0))="",B35,INDEX(SK_D,MATCH(M35,SK_A,0))),B35)+O35),B35+O35))</f>
        <v/>
      </c>
      <c r="I35" s="13" t="inlineStr">
        <is>
          <t>Xong</t>
        </is>
      </c>
      <c r="J35" s="12" t="n">
        <v>46318</v>
      </c>
      <c r="K35" s="11" t="n"/>
      <c r="L35" s="27">
        <f>IF(E35="","",IF(I35="Bỏ qua","—",IF(I35="Xong",IF(AND(ISNUMBER(J35),ISNUMBER(H35),J35&gt;H35),"Xong trễ","Xong"),IF(F35="","CHƯA GIAO","")&amp;IF(NOT(ISNUMBER(H35)),"",IF(TODAY()&gt;H35,IF(F35=""," · ","")&amp;"QUÁ HẠN "&amp;(TODAY()-H35)&amp;" ngày",IF(H35-TODAY()&lt;=3,IF(F35=""," · ","")&amp;"Đến hạn "&amp;IF(H35=TODAY(),"hôm nay","trong "&amp;(H35-TODAY())&amp;" ngày"),""))))))</f>
        <v/>
      </c>
      <c r="M35" t="inlineStr">
        <is>
          <t>VD-1</t>
        </is>
      </c>
      <c r="N35" t="inlineStr">
        <is>
          <t>K33</t>
        </is>
      </c>
      <c r="O35" t="n">
        <v>5</v>
      </c>
      <c r="P35" t="inlineStr">
        <is>
          <t>Làm việc</t>
        </is>
      </c>
      <c r="Q35">
        <f>IF(AND(E35&lt;&gt;"",R35="Có",I35&lt;&gt;"Xong",I35&lt;&gt;"Bỏ qua",ISNUMBER(H35)),H35+ROW()/100000,"")</f>
        <v/>
      </c>
      <c r="R35">
        <f>IF(M35="","",IFERROR(INDEX(SK_L,MATCH(M35,SK_A,0)),""))</f>
        <v/>
      </c>
    </row>
    <row r="36">
      <c r="A36" s="11">
        <f>IF(M36="","",IFERROR(INDEX(SK_B,MATCH(M36,SK_A,0))&amp;"",""))</f>
        <v/>
      </c>
      <c r="B36" s="24">
        <f>IF(M36="","",IFERROR(INDEX(SK_C,MATCH(M36,SK_A,0)),""))</f>
        <v/>
      </c>
      <c r="C36" s="25">
        <f>IF(O36="","",IF(O36=0,"D",IF(O36&lt;0,"D"&amp;O36,"D+"&amp;O36)))</f>
        <v/>
      </c>
      <c r="D36" s="13" t="inlineStr">
        <is>
          <t>11. Follow-up</t>
        </is>
      </c>
      <c r="E36" s="11" t="inlineStr">
        <is>
          <t>Sales báo kết quả chuyển đổi đơn hàng</t>
        </is>
      </c>
      <c r="F36" s="26" t="inlineStr">
        <is>
          <t>Sales Dental (ví dụ)</t>
        </is>
      </c>
      <c r="G36" s="13" t="inlineStr">
        <is>
          <t>NPP</t>
        </is>
      </c>
      <c r="H36" s="12">
        <f>IF(OR(B36="",O36=""),"",IF(O36&gt;0,IF(P36="Làm việc",WORKDAY(IFERROR(IF(INDEX(SK_D,MATCH(M36,SK_A,0))="",B36,INDEX(SK_D,MATCH(M36,SK_A,0))),B36),O36,HOLI),IFERROR(IF(INDEX(SK_D,MATCH(M36,SK_A,0))="",B36,INDEX(SK_D,MATCH(M36,SK_A,0))),B36)+O36),B36+O36))</f>
        <v/>
      </c>
      <c r="I36" s="13" t="inlineStr">
        <is>
          <t>Chưa làm</t>
        </is>
      </c>
      <c r="J36" s="12" t="n"/>
      <c r="K36" s="11" t="n"/>
      <c r="L36" s="27">
        <f>IF(E36="","",IF(I36="Bỏ qua","—",IF(I36="Xong",IF(AND(ISNUMBER(J36),ISNUMBER(H36),J36&gt;H36),"Xong trễ","Xong"),IF(F36="","CHƯA GIAO","")&amp;IF(NOT(ISNUMBER(H36)),"",IF(TODAY()&gt;H36,IF(F36=""," · ","")&amp;"QUÁ HẠN "&amp;(TODAY()-H36)&amp;" ngày",IF(H36-TODAY()&lt;=3,IF(F36=""," · ","")&amp;"Đến hạn "&amp;IF(H36=TODAY(),"hôm nay","trong "&amp;(H36-TODAY())&amp;" ngày"),""))))))</f>
        <v/>
      </c>
      <c r="M36" t="inlineStr">
        <is>
          <t>VD-1</t>
        </is>
      </c>
      <c r="N36" t="inlineStr">
        <is>
          <t>K34</t>
        </is>
      </c>
      <c r="O36" t="n">
        <v>20</v>
      </c>
      <c r="P36" t="inlineStr">
        <is>
          <t>Làm việc</t>
        </is>
      </c>
      <c r="Q36">
        <f>IF(AND(E36&lt;&gt;"",R36="Có",I36&lt;&gt;"Xong",I36&lt;&gt;"Bỏ qua",ISNUMBER(H36)),H36+ROW()/100000,"")</f>
        <v/>
      </c>
      <c r="R36">
        <f>IF(M36="","",IFERROR(INDEX(SK_L,MATCH(M36,SK_A,0)),""))</f>
        <v/>
      </c>
    </row>
    <row r="37">
      <c r="A37" s="11">
        <f>IF(M37="","",IFERROR(INDEX(SK_B,MATCH(M37,SK_A,0))&amp;"",""))</f>
        <v/>
      </c>
      <c r="B37" s="24">
        <f>IF(M37="","",IFERROR(INDEX(SK_C,MATCH(M37,SK_A,0)),""))</f>
        <v/>
      </c>
      <c r="C37" s="25">
        <f>IF(O37="","",IF(O37=0,"D",IF(O37&lt;0,"D"&amp;O37,"D+"&amp;O37)))</f>
        <v/>
      </c>
      <c r="D37" s="13" t="inlineStr">
        <is>
          <t>1. Kế hoạch</t>
        </is>
      </c>
      <c r="E37" s="11" t="inlineStr">
        <is>
          <t>Lập kế hoạch tổng quan (KOL, số khách, mục đích, KPI bán hàng, khuyến mại, khảo sát) + xin Giám đốc duyệt ngân sách</t>
        </is>
      </c>
      <c r="F37" s="26" t="inlineStr">
        <is>
          <t>Leader MKT (ví dụ)</t>
        </is>
      </c>
      <c r="G37" s="13" t="inlineStr">
        <is>
          <t>Sales, NPP</t>
        </is>
      </c>
      <c r="H37" s="12">
        <f>IF(OR(B37="",O37=""),"",IF(O37&gt;0,IF(P37="Làm việc",WORKDAY(IFERROR(IF(INDEX(SK_D,MATCH(M37,SK_A,0))="",B37,INDEX(SK_D,MATCH(M37,SK_A,0))),B37),O37,HOLI),IFERROR(IF(INDEX(SK_D,MATCH(M37,SK_A,0))="",B37,INDEX(SK_D,MATCH(M37,SK_A,0))),B37)+O37),B37+O37))</f>
        <v/>
      </c>
      <c r="I37" s="13" t="inlineStr">
        <is>
          <t>Xong</t>
        </is>
      </c>
      <c r="J37" s="12" t="n">
        <v>46304</v>
      </c>
      <c r="K37" s="11" t="n"/>
      <c r="L37" s="27">
        <f>IF(E37="","",IF(I37="Bỏ qua","—",IF(I37="Xong",IF(AND(ISNUMBER(J37),ISNUMBER(H37),J37&gt;H37),"Xong trễ","Xong"),IF(F37="","CHƯA GIAO","")&amp;IF(NOT(ISNUMBER(H37)),"",IF(TODAY()&gt;H37,IF(F37=""," · ","")&amp;"QUÁ HẠN "&amp;(TODAY()-H37)&amp;" ngày",IF(H37-TODAY()&lt;=3,IF(F37=""," · ","")&amp;"Đến hạn "&amp;IF(H37=TODAY(),"hôm nay","trong "&amp;(H37-TODAY())&amp;" ngày"),""))))))</f>
        <v/>
      </c>
      <c r="M37" t="inlineStr">
        <is>
          <t>VD-2</t>
        </is>
      </c>
      <c r="N37" t="inlineStr">
        <is>
          <t>K01</t>
        </is>
      </c>
      <c r="O37" t="n">
        <v>-30</v>
      </c>
      <c r="P37" t="inlineStr">
        <is>
          <t>Lịch</t>
        </is>
      </c>
      <c r="Q37">
        <f>IF(AND(E37&lt;&gt;"",R37="Có",I37&lt;&gt;"Xong",I37&lt;&gt;"Bỏ qua",ISNUMBER(H37)),H37+ROW()/100000,"")</f>
        <v/>
      </c>
      <c r="R37">
        <f>IF(M37="","",IFERROR(INDEX(SK_L,MATCH(M37,SK_A,0)),""))</f>
        <v/>
      </c>
    </row>
    <row r="38">
      <c r="A38" s="11">
        <f>IF(M38="","",IFERROR(INDEX(SK_B,MATCH(M38,SK_A,0))&amp;"",""))</f>
        <v/>
      </c>
      <c r="B38" s="24">
        <f>IF(M38="","",IFERROR(INDEX(SK_C,MATCH(M38,SK_A,0)),""))</f>
        <v/>
      </c>
      <c r="C38" s="25">
        <f>IF(O38="","",IF(O38=0,"D",IF(O38&lt;0,"D"&amp;O38,"D+"&amp;O38)))</f>
        <v/>
      </c>
      <c r="D38" s="13" t="inlineStr">
        <is>
          <t>1. Kế hoạch</t>
        </is>
      </c>
      <c r="E38" s="11" t="inlineStr">
        <is>
          <t>Chia việc với NPP, Trường / Viện (tuyển sinh, đồ thực hành, MC, số bàn trưng bày)</t>
        </is>
      </c>
      <c r="F38" s="26" t="inlineStr">
        <is>
          <t>Leader MKT (ví dụ)</t>
        </is>
      </c>
      <c r="G38" s="13" t="inlineStr">
        <is>
          <t>NPP, Viện</t>
        </is>
      </c>
      <c r="H38" s="12">
        <f>IF(OR(B38="",O38=""),"",IF(O38&gt;0,IF(P38="Làm việc",WORKDAY(IFERROR(IF(INDEX(SK_D,MATCH(M38,SK_A,0))="",B38,INDEX(SK_D,MATCH(M38,SK_A,0))),B38),O38,HOLI),IFERROR(IF(INDEX(SK_D,MATCH(M38,SK_A,0))="",B38,INDEX(SK_D,MATCH(M38,SK_A,0))),B38)+O38),B38+O38))</f>
        <v/>
      </c>
      <c r="I38" s="13" t="inlineStr">
        <is>
          <t>Xong</t>
        </is>
      </c>
      <c r="J38" s="12" t="n">
        <v>46304</v>
      </c>
      <c r="K38" s="11" t="n"/>
      <c r="L38" s="27">
        <f>IF(E38="","",IF(I38="Bỏ qua","—",IF(I38="Xong",IF(AND(ISNUMBER(J38),ISNUMBER(H38),J38&gt;H38),"Xong trễ","Xong"),IF(F38="","CHƯA GIAO","")&amp;IF(NOT(ISNUMBER(H38)),"",IF(TODAY()&gt;H38,IF(F38=""," · ","")&amp;"QUÁ HẠN "&amp;(TODAY()-H38)&amp;" ngày",IF(H38-TODAY()&lt;=3,IF(F38=""," · ","")&amp;"Đến hạn "&amp;IF(H38=TODAY(),"hôm nay","trong "&amp;(H38-TODAY())&amp;" ngày"),""))))))</f>
        <v/>
      </c>
      <c r="M38" t="inlineStr">
        <is>
          <t>VD-2</t>
        </is>
      </c>
      <c r="N38" t="inlineStr">
        <is>
          <t>K02</t>
        </is>
      </c>
      <c r="O38" t="n">
        <v>-30</v>
      </c>
      <c r="P38" t="inlineStr">
        <is>
          <t>Lịch</t>
        </is>
      </c>
      <c r="Q38">
        <f>IF(AND(E38&lt;&gt;"",R38="Có",I38&lt;&gt;"Xong",I38&lt;&gt;"Bỏ qua",ISNUMBER(H38)),H38+ROW()/100000,"")</f>
        <v/>
      </c>
      <c r="R38">
        <f>IF(M38="","",IFERROR(INDEX(SK_L,MATCH(M38,SK_A,0)),""))</f>
        <v/>
      </c>
    </row>
    <row r="39">
      <c r="A39" s="11">
        <f>IF(M39="","",IFERROR(INDEX(SK_B,MATCH(M39,SK_A,0))&amp;"",""))</f>
        <v/>
      </c>
      <c r="B39" s="24">
        <f>IF(M39="","",IFERROR(INDEX(SK_C,MATCH(M39,SK_A,0)),""))</f>
        <v/>
      </c>
      <c r="C39" s="25">
        <f>IF(O39="","",IF(O39=0,"D",IF(O39&lt;0,"D"&amp;O39,"D+"&amp;O39)))</f>
        <v/>
      </c>
      <c r="D39" s="13" t="inlineStr">
        <is>
          <t>2. KOL &amp; đối tác</t>
        </is>
      </c>
      <c r="E39" s="11" t="inlineStr">
        <is>
          <t>Chốt KOL: hợp đồng, lịch di chuyển, xem trước bài giảng, người chăm sóc KOL</t>
        </is>
      </c>
      <c r="F39" s="26" t="inlineStr">
        <is>
          <t>Leader MKT (ví dụ)</t>
        </is>
      </c>
      <c r="G39" s="13" t="inlineStr">
        <is>
          <t>KOL</t>
        </is>
      </c>
      <c r="H39" s="12">
        <f>IF(OR(B39="",O39=""),"",IF(O39&gt;0,IF(P39="Làm việc",WORKDAY(IFERROR(IF(INDEX(SK_D,MATCH(M39,SK_A,0))="",B39,INDEX(SK_D,MATCH(M39,SK_A,0))),B39),O39,HOLI),IFERROR(IF(INDEX(SK_D,MATCH(M39,SK_A,0))="",B39,INDEX(SK_D,MATCH(M39,SK_A,0))),B39)+O39),B39+O39))</f>
        <v/>
      </c>
      <c r="I39" s="13" t="inlineStr">
        <is>
          <t>Xong</t>
        </is>
      </c>
      <c r="J39" s="12" t="n">
        <v>46305</v>
      </c>
      <c r="K39" s="11" t="n"/>
      <c r="L39" s="27">
        <f>IF(E39="","",IF(I39="Bỏ qua","—",IF(I39="Xong",IF(AND(ISNUMBER(J39),ISNUMBER(H39),J39&gt;H39),"Xong trễ","Xong"),IF(F39="","CHƯA GIAO","")&amp;IF(NOT(ISNUMBER(H39)),"",IF(TODAY()&gt;H39,IF(F39=""," · ","")&amp;"QUÁ HẠN "&amp;(TODAY()-H39)&amp;" ngày",IF(H39-TODAY()&lt;=3,IF(F39=""," · ","")&amp;"Đến hạn "&amp;IF(H39=TODAY(),"hôm nay","trong "&amp;(H39-TODAY())&amp;" ngày"),""))))))</f>
        <v/>
      </c>
      <c r="M39" t="inlineStr">
        <is>
          <t>VD-2</t>
        </is>
      </c>
      <c r="N39" t="inlineStr">
        <is>
          <t>K03</t>
        </is>
      </c>
      <c r="O39" t="n">
        <v>-30</v>
      </c>
      <c r="P39" t="inlineStr">
        <is>
          <t>Lịch</t>
        </is>
      </c>
      <c r="Q39">
        <f>IF(AND(E39&lt;&gt;"",R39="Có",I39&lt;&gt;"Xong",I39&lt;&gt;"Bỏ qua",ISNUMBER(H39)),H39+ROW()/100000,"")</f>
        <v/>
      </c>
      <c r="R39">
        <f>IF(M39="","",IFERROR(INDEX(SK_L,MATCH(M39,SK_A,0)),""))</f>
        <v/>
      </c>
    </row>
    <row r="40">
      <c r="A40" s="11">
        <f>IF(M40="","",IFERROR(INDEX(SK_B,MATCH(M40,SK_A,0))&amp;"",""))</f>
        <v/>
      </c>
      <c r="B40" s="24">
        <f>IF(M40="","",IFERROR(INDEX(SK_C,MATCH(M40,SK_A,0)),""))</f>
        <v/>
      </c>
      <c r="C40" s="25">
        <f>IF(O40="","",IF(O40=0,"D",IF(O40&lt;0,"D"&amp;O40,"D+"&amp;O40)))</f>
        <v/>
      </c>
      <c r="D40" s="13" t="inlineStr">
        <is>
          <t>3. Tuyển sinh</t>
        </is>
      </c>
      <c r="E40" s="11" t="inlineStr">
        <is>
          <t>Mở tuyển sinh: form đăng ký (khảo sát trước, đồng ý dữ liệu, nguồn đăng ký) + nhóm Zalo khách</t>
        </is>
      </c>
      <c r="F40" s="26" t="inlineStr">
        <is>
          <t>Digital (ví dụ)</t>
        </is>
      </c>
      <c r="G40" s="13" t="inlineStr">
        <is>
          <t>Sales, NPP</t>
        </is>
      </c>
      <c r="H40" s="12">
        <f>IF(OR(B40="",O40=""),"",IF(O40&gt;0,IF(P40="Làm việc",WORKDAY(IFERROR(IF(INDEX(SK_D,MATCH(M40,SK_A,0))="",B40,INDEX(SK_D,MATCH(M40,SK_A,0))),B40),O40,HOLI),IFERROR(IF(INDEX(SK_D,MATCH(M40,SK_A,0))="",B40,INDEX(SK_D,MATCH(M40,SK_A,0))),B40)+O40),B40+O40))</f>
        <v/>
      </c>
      <c r="I40" s="13" t="inlineStr">
        <is>
          <t>Xong</t>
        </is>
      </c>
      <c r="J40" s="12" t="n">
        <v>46302</v>
      </c>
      <c r="K40" s="11" t="n"/>
      <c r="L40" s="27">
        <f>IF(E40="","",IF(I40="Bỏ qua","—",IF(I40="Xong",IF(AND(ISNUMBER(J40),ISNUMBER(H40),J40&gt;H40),"Xong trễ","Xong"),IF(F40="","CHƯA GIAO","")&amp;IF(NOT(ISNUMBER(H40)),"",IF(TODAY()&gt;H40,IF(F40=""," · ","")&amp;"QUÁ HẠN "&amp;(TODAY()-H40)&amp;" ngày",IF(H40-TODAY()&lt;=3,IF(F40=""," · ","")&amp;"Đến hạn "&amp;IF(H40=TODAY(),"hôm nay","trong "&amp;(H40-TODAY())&amp;" ngày"),""))))))</f>
        <v/>
      </c>
      <c r="M40" t="inlineStr">
        <is>
          <t>VD-2</t>
        </is>
      </c>
      <c r="N40" t="inlineStr">
        <is>
          <t>K04</t>
        </is>
      </c>
      <c r="O40" t="n">
        <v>-30</v>
      </c>
      <c r="P40" t="inlineStr">
        <is>
          <t>Lịch</t>
        </is>
      </c>
      <c r="Q40">
        <f>IF(AND(E40&lt;&gt;"",R40="Có",I40&lt;&gt;"Xong",I40&lt;&gt;"Bỏ qua",ISNUMBER(H40)),H40+ROW()/100000,"")</f>
        <v/>
      </c>
      <c r="R40">
        <f>IF(M40="","",IFERROR(INDEX(SK_L,MATCH(M40,SK_A,0)),""))</f>
        <v/>
      </c>
    </row>
    <row r="41">
      <c r="A41" s="11">
        <f>IF(M41="","",IFERROR(INDEX(SK_B,MATCH(M41,SK_A,0))&amp;"",""))</f>
        <v/>
      </c>
      <c r="B41" s="24">
        <f>IF(M41="","",IFERROR(INDEX(SK_C,MATCH(M41,SK_A,0)),""))</f>
        <v/>
      </c>
      <c r="C41" s="25">
        <f>IF(O41="","",IF(O41=0,"D",IF(O41&lt;0,"D"&amp;O41,"D+"&amp;O41)))</f>
        <v/>
      </c>
      <c r="D41" s="13" t="inlineStr">
        <is>
          <t>3. Tuyển sinh</t>
        </is>
      </c>
      <c r="E41" s="11" t="inlineStr">
        <is>
          <t>Báo cáo số đăng ký theo nguồn cho team (thứ Hai hằng tuần, đến D-1)</t>
        </is>
      </c>
      <c r="F41" s="26" t="inlineStr">
        <is>
          <t>Leader MKT (ví dụ)</t>
        </is>
      </c>
      <c r="G41" s="13" t="inlineStr">
        <is>
          <t>Sales, NPP</t>
        </is>
      </c>
      <c r="H41" s="12">
        <f>IF(OR(B41="",O41=""),"",IF(O41&gt;0,IF(P41="Làm việc",WORKDAY(IFERROR(IF(INDEX(SK_D,MATCH(M41,SK_A,0))="",B41,INDEX(SK_D,MATCH(M41,SK_A,0))),B41),O41,HOLI),IFERROR(IF(INDEX(SK_D,MATCH(M41,SK_A,0))="",B41,INDEX(SK_D,MATCH(M41,SK_A,0))),B41)+O41),B41+O41))</f>
        <v/>
      </c>
      <c r="I41" s="13" t="inlineStr">
        <is>
          <t>Chưa làm</t>
        </is>
      </c>
      <c r="J41" s="12" t="n"/>
      <c r="K41" s="11" t="n"/>
      <c r="L41" s="27">
        <f>IF(E41="","",IF(I41="Bỏ qua","—",IF(I41="Xong",IF(AND(ISNUMBER(J41),ISNUMBER(H41),J41&gt;H41),"Xong trễ","Xong"),IF(F41="","CHƯA GIAO","")&amp;IF(NOT(ISNUMBER(H41)),"",IF(TODAY()&gt;H41,IF(F41=""," · ","")&amp;"QUÁ HẠN "&amp;(TODAY()-H41)&amp;" ngày",IF(H41-TODAY()&lt;=3,IF(F41=""," · ","")&amp;"Đến hạn "&amp;IF(H41=TODAY(),"hôm nay","trong "&amp;(H41-TODAY())&amp;" ngày"),""))))))</f>
        <v/>
      </c>
      <c r="M41" t="inlineStr">
        <is>
          <t>VD-2</t>
        </is>
      </c>
      <c r="N41" t="inlineStr">
        <is>
          <t>K05</t>
        </is>
      </c>
      <c r="O41" t="n">
        <v>-1</v>
      </c>
      <c r="P41" t="inlineStr">
        <is>
          <t>Lịch</t>
        </is>
      </c>
      <c r="Q41">
        <f>IF(AND(E41&lt;&gt;"",R41="Có",I41&lt;&gt;"Xong",I41&lt;&gt;"Bỏ qua",ISNUMBER(H41)),H41+ROW()/100000,"")</f>
        <v/>
      </c>
      <c r="R41">
        <f>IF(M41="","",IFERROR(INDEX(SK_L,MATCH(M41,SK_A,0)),""))</f>
        <v/>
      </c>
    </row>
    <row r="42">
      <c r="A42" s="11">
        <f>IF(M42="","",IFERROR(INDEX(SK_B,MATCH(M42,SK_A,0))&amp;"",""))</f>
        <v/>
      </c>
      <c r="B42" s="24">
        <f>IF(M42="","",IFERROR(INDEX(SK_C,MATCH(M42,SK_A,0)),""))</f>
        <v/>
      </c>
      <c r="C42" s="25">
        <f>IF(O42="","",IF(O42=0,"D",IF(O42&lt;0,"D"&amp;O42,"D+"&amp;O42)))</f>
        <v/>
      </c>
      <c r="D42" s="13" t="inlineStr">
        <is>
          <t>3. Tuyển sinh</t>
        </is>
      </c>
      <c r="E42" s="11" t="inlineStr">
        <is>
          <t>Checkpoint D-14: đăng ký &lt; 60% target ⇒ báo Giám đốc phương án</t>
        </is>
      </c>
      <c r="F42" s="26" t="inlineStr">
        <is>
          <t>Leader MKT (ví dụ)</t>
        </is>
      </c>
      <c r="G42" s="13" t="inlineStr">
        <is>
          <t>Giám đốc</t>
        </is>
      </c>
      <c r="H42" s="12">
        <f>IF(OR(B42="",O42=""),"",IF(O42&gt;0,IF(P42="Làm việc",WORKDAY(IFERROR(IF(INDEX(SK_D,MATCH(M42,SK_A,0))="",B42,INDEX(SK_D,MATCH(M42,SK_A,0))),B42),O42,HOLI),IFERROR(IF(INDEX(SK_D,MATCH(M42,SK_A,0))="",B42,INDEX(SK_D,MATCH(M42,SK_A,0))),B42)+O42),B42+O42))</f>
        <v/>
      </c>
      <c r="I42" s="13" t="inlineStr">
        <is>
          <t>Xong</t>
        </is>
      </c>
      <c r="J42" s="12" t="n">
        <v>46321</v>
      </c>
      <c r="K42" s="11" t="n"/>
      <c r="L42" s="27">
        <f>IF(E42="","",IF(I42="Bỏ qua","—",IF(I42="Xong",IF(AND(ISNUMBER(J42),ISNUMBER(H42),J42&gt;H42),"Xong trễ","Xong"),IF(F42="","CHƯA GIAO","")&amp;IF(NOT(ISNUMBER(H42)),"",IF(TODAY()&gt;H42,IF(F42=""," · ","")&amp;"QUÁ HẠN "&amp;(TODAY()-H42)&amp;" ngày",IF(H42-TODAY()&lt;=3,IF(F42=""," · ","")&amp;"Đến hạn "&amp;IF(H42=TODAY(),"hôm nay","trong "&amp;(H42-TODAY())&amp;" ngày"),""))))))</f>
        <v/>
      </c>
      <c r="M42" t="inlineStr">
        <is>
          <t>VD-2</t>
        </is>
      </c>
      <c r="N42" t="inlineStr">
        <is>
          <t>K06</t>
        </is>
      </c>
      <c r="O42" t="n">
        <v>-14</v>
      </c>
      <c r="P42" t="inlineStr">
        <is>
          <t>Lịch</t>
        </is>
      </c>
      <c r="Q42">
        <f>IF(AND(E42&lt;&gt;"",R42="Có",I42&lt;&gt;"Xong",I42&lt;&gt;"Bỏ qua",ISNUMBER(H42)),H42+ROW()/100000,"")</f>
        <v/>
      </c>
      <c r="R42">
        <f>IF(M42="","",IFERROR(INDEX(SK_L,MATCH(M42,SK_A,0)),""))</f>
        <v/>
      </c>
    </row>
    <row r="43">
      <c r="A43" s="11">
        <f>IF(M43="","",IFERROR(INDEX(SK_B,MATCH(M43,SK_A,0))&amp;"",""))</f>
        <v/>
      </c>
      <c r="B43" s="24">
        <f>IF(M43="","",IFERROR(INDEX(SK_C,MATCH(M43,SK_A,0)),""))</f>
        <v/>
      </c>
      <c r="C43" s="25">
        <f>IF(O43="","",IF(O43=0,"D",IF(O43&lt;0,"D"&amp;O43,"D+"&amp;O43)))</f>
        <v/>
      </c>
      <c r="D43" s="13" t="inlineStr">
        <is>
          <t>3. Tuyển sinh</t>
        </is>
      </c>
      <c r="E43" s="11" t="inlineStr">
        <is>
          <t>Sales / NPP gửi đủ thông tin khách đăng ký hộ (Họ tên · SĐT · Nơi công tác)</t>
        </is>
      </c>
      <c r="F43" s="26" t="inlineStr">
        <is>
          <t>Sales Dental (ví dụ)</t>
        </is>
      </c>
      <c r="G43" s="13" t="inlineStr">
        <is>
          <t>NPP</t>
        </is>
      </c>
      <c r="H43" s="12">
        <f>IF(OR(B43="",O43=""),"",IF(O43&gt;0,IF(P43="Làm việc",WORKDAY(IFERROR(IF(INDEX(SK_D,MATCH(M43,SK_A,0))="",B43,INDEX(SK_D,MATCH(M43,SK_A,0))),B43),O43,HOLI),IFERROR(IF(INDEX(SK_D,MATCH(M43,SK_A,0))="",B43,INDEX(SK_D,MATCH(M43,SK_A,0))),B43)+O43),B43+O43))</f>
        <v/>
      </c>
      <c r="I43" s="13" t="inlineStr">
        <is>
          <t>Chờ đối tác</t>
        </is>
      </c>
      <c r="J43" s="12" t="n"/>
      <c r="K43" s="11" t="n"/>
      <c r="L43" s="27">
        <f>IF(E43="","",IF(I43="Bỏ qua","—",IF(I43="Xong",IF(AND(ISNUMBER(J43),ISNUMBER(H43),J43&gt;H43),"Xong trễ","Xong"),IF(F43="","CHƯA GIAO","")&amp;IF(NOT(ISNUMBER(H43)),"",IF(TODAY()&gt;H43,IF(F43=""," · ","")&amp;"QUÁ HẠN "&amp;(TODAY()-H43)&amp;" ngày",IF(H43-TODAY()&lt;=3,IF(F43=""," · ","")&amp;"Đến hạn "&amp;IF(H43=TODAY(),"hôm nay","trong "&amp;(H43-TODAY())&amp;" ngày"),""))))))</f>
        <v/>
      </c>
      <c r="M43" t="inlineStr">
        <is>
          <t>VD-2</t>
        </is>
      </c>
      <c r="N43" t="inlineStr">
        <is>
          <t>K07</t>
        </is>
      </c>
      <c r="O43" t="n">
        <v>-5</v>
      </c>
      <c r="P43" t="inlineStr">
        <is>
          <t>Lịch</t>
        </is>
      </c>
      <c r="Q43">
        <f>IF(AND(E43&lt;&gt;"",R43="Có",I43&lt;&gt;"Xong",I43&lt;&gt;"Bỏ qua",ISNUMBER(H43)),H43+ROW()/100000,"")</f>
        <v/>
      </c>
      <c r="R43">
        <f>IF(M43="","",IFERROR(INDEX(SK_L,MATCH(M43,SK_A,0)),""))</f>
        <v/>
      </c>
    </row>
    <row r="44">
      <c r="A44" s="11">
        <f>IF(M44="","",IFERROR(INDEX(SK_B,MATCH(M44,SK_A,0))&amp;"",""))</f>
        <v/>
      </c>
      <c r="B44" s="24">
        <f>IF(M44="","",IFERROR(INDEX(SK_C,MATCH(M44,SK_A,0)),""))</f>
        <v/>
      </c>
      <c r="C44" s="25">
        <f>IF(O44="","",IF(O44=0,"D",IF(O44&lt;0,"D"&amp;O44,"D+"&amp;O44)))</f>
        <v/>
      </c>
      <c r="D44" s="13" t="inlineStr">
        <is>
          <t>4. Truyền thông</t>
        </is>
      </c>
      <c r="E44" s="11" t="inlineStr">
        <is>
          <t>Đăng chuỗi bài truyền thông sự kiện</t>
        </is>
      </c>
      <c r="F44" s="26" t="inlineStr">
        <is>
          <t>Digital (ví dụ)</t>
        </is>
      </c>
      <c r="G44" s="13" t="inlineStr">
        <is>
          <t>Sales, NPP chia sẻ</t>
        </is>
      </c>
      <c r="H44" s="12">
        <f>IF(OR(B44="",O44=""),"",IF(O44&gt;0,IF(P44="Làm việc",WORKDAY(IFERROR(IF(INDEX(SK_D,MATCH(M44,SK_A,0))="",B44,INDEX(SK_D,MATCH(M44,SK_A,0))),B44),O44,HOLI),IFERROR(IF(INDEX(SK_D,MATCH(M44,SK_A,0))="",B44,INDEX(SK_D,MATCH(M44,SK_A,0))),B44)+O44),B44+O44))</f>
        <v/>
      </c>
      <c r="I44" s="13" t="inlineStr">
        <is>
          <t>Đang làm</t>
        </is>
      </c>
      <c r="J44" s="12" t="n"/>
      <c r="K44" s="11" t="n"/>
      <c r="L44" s="27">
        <f>IF(E44="","",IF(I44="Bỏ qua","—",IF(I44="Xong",IF(AND(ISNUMBER(J44),ISNUMBER(H44),J44&gt;H44),"Xong trễ","Xong"),IF(F44="","CHƯA GIAO","")&amp;IF(NOT(ISNUMBER(H44)),"",IF(TODAY()&gt;H44,IF(F44=""," · ","")&amp;"QUÁ HẠN "&amp;(TODAY()-H44)&amp;" ngày",IF(H44-TODAY()&lt;=3,IF(F44=""," · ","")&amp;"Đến hạn "&amp;IF(H44=TODAY(),"hôm nay","trong "&amp;(H44-TODAY())&amp;" ngày"),""))))))</f>
        <v/>
      </c>
      <c r="M44" t="inlineStr">
        <is>
          <t>VD-2</t>
        </is>
      </c>
      <c r="N44" t="inlineStr">
        <is>
          <t>K08</t>
        </is>
      </c>
      <c r="O44" t="n">
        <v>-14</v>
      </c>
      <c r="P44" t="inlineStr">
        <is>
          <t>Lịch</t>
        </is>
      </c>
      <c r="Q44">
        <f>IF(AND(E44&lt;&gt;"",R44="Có",I44&lt;&gt;"Xong",I44&lt;&gt;"Bỏ qua",ISNUMBER(H44)),H44+ROW()/100000,"")</f>
        <v/>
      </c>
      <c r="R44">
        <f>IF(M44="","",IFERROR(INDEX(SK_L,MATCH(M44,SK_A,0)),""))</f>
        <v/>
      </c>
    </row>
    <row r="45">
      <c r="A45" s="11">
        <f>IF(M45="","",IFERROR(INDEX(SK_B,MATCH(M45,SK_A,0))&amp;"",""))</f>
        <v/>
      </c>
      <c r="B45" s="24">
        <f>IF(M45="","",IFERROR(INDEX(SK_C,MATCH(M45,SK_A,0)),""))</f>
        <v/>
      </c>
      <c r="C45" s="25">
        <f>IF(O45="","",IF(O45=0,"D",IF(O45&lt;0,"D"&amp;O45,"D+"&amp;O45)))</f>
        <v/>
      </c>
      <c r="D45" s="13" t="inlineStr">
        <is>
          <t>5. Địa điểm &amp; hậu cần</t>
        </is>
      </c>
      <c r="E45" s="11" t="inlineStr">
        <is>
          <t>Đặt địa điểm (ngày, phòng, sức chứa, báo giá)</t>
        </is>
      </c>
      <c r="F45" s="26" t="inlineStr">
        <is>
          <t>Trade (ví dụ)</t>
        </is>
      </c>
      <c r="G45" s="13" t="inlineStr">
        <is>
          <t>Địa điểm</t>
        </is>
      </c>
      <c r="H45" s="12">
        <f>IF(OR(B45="",O45=""),"",IF(O45&gt;0,IF(P45="Làm việc",WORKDAY(IFERROR(IF(INDEX(SK_D,MATCH(M45,SK_A,0))="",B45,INDEX(SK_D,MATCH(M45,SK_A,0))),B45),O45,HOLI),IFERROR(IF(INDEX(SK_D,MATCH(M45,SK_A,0))="",B45,INDEX(SK_D,MATCH(M45,SK_A,0))),B45)+O45),B45+O45))</f>
        <v/>
      </c>
      <c r="I45" s="13" t="inlineStr">
        <is>
          <t>Xong</t>
        </is>
      </c>
      <c r="J45" s="12" t="n">
        <v>46303</v>
      </c>
      <c r="K45" s="11" t="n"/>
      <c r="L45" s="27">
        <f>IF(E45="","",IF(I45="Bỏ qua","—",IF(I45="Xong",IF(AND(ISNUMBER(J45),ISNUMBER(H45),J45&gt;H45),"Xong trễ","Xong"),IF(F45="","CHƯA GIAO","")&amp;IF(NOT(ISNUMBER(H45)),"",IF(TODAY()&gt;H45,IF(F45=""," · ","")&amp;"QUÁ HẠN "&amp;(TODAY()-H45)&amp;" ngày",IF(H45-TODAY()&lt;=3,IF(F45=""," · ","")&amp;"Đến hạn "&amp;IF(H45=TODAY(),"hôm nay","trong "&amp;(H45-TODAY())&amp;" ngày"),""))))))</f>
        <v/>
      </c>
      <c r="M45" t="inlineStr">
        <is>
          <t>VD-2</t>
        </is>
      </c>
      <c r="N45" t="inlineStr">
        <is>
          <t>K09</t>
        </is>
      </c>
      <c r="O45" t="n">
        <v>-30</v>
      </c>
      <c r="P45" t="inlineStr">
        <is>
          <t>Lịch</t>
        </is>
      </c>
      <c r="Q45">
        <f>IF(AND(E45&lt;&gt;"",R45="Có",I45&lt;&gt;"Xong",I45&lt;&gt;"Bỏ qua",ISNUMBER(H45)),H45+ROW()/100000,"")</f>
        <v/>
      </c>
      <c r="R45">
        <f>IF(M45="","",IFERROR(INDEX(SK_L,MATCH(M45,SK_A,0)),""))</f>
        <v/>
      </c>
    </row>
    <row r="46">
      <c r="A46" s="11">
        <f>IF(M46="","",IFERROR(INDEX(SK_B,MATCH(M46,SK_A,0))&amp;"",""))</f>
        <v/>
      </c>
      <c r="B46" s="24">
        <f>IF(M46="","",IFERROR(INDEX(SK_C,MATCH(M46,SK_A,0)),""))</f>
        <v/>
      </c>
      <c r="C46" s="25">
        <f>IF(O46="","",IF(O46=0,"D",IF(O46&lt;0,"D"&amp;O46,"D+"&amp;O46)))</f>
        <v/>
      </c>
      <c r="D46" s="13" t="inlineStr">
        <is>
          <t>5. Địa điểm &amp; hậu cần</t>
        </is>
      </c>
      <c r="E46" s="11" t="inlineStr">
        <is>
          <t>Chốt setup với địa điểm: sơ đồ, tea break / ăn trưa, kỹ thuật, sự kiện khác cùng giờ</t>
        </is>
      </c>
      <c r="F46" s="26" t="inlineStr">
        <is>
          <t>Trade (ví dụ)</t>
        </is>
      </c>
      <c r="G46" s="13" t="inlineStr">
        <is>
          <t>Địa điểm</t>
        </is>
      </c>
      <c r="H46" s="12">
        <f>IF(OR(B46="",O46=""),"",IF(O46&gt;0,IF(P46="Làm việc",WORKDAY(IFERROR(IF(INDEX(SK_D,MATCH(M46,SK_A,0))="",B46,INDEX(SK_D,MATCH(M46,SK_A,0))),B46),O46,HOLI),IFERROR(IF(INDEX(SK_D,MATCH(M46,SK_A,0))="",B46,INDEX(SK_D,MATCH(M46,SK_A,0))),B46)+O46),B46+O46))</f>
        <v/>
      </c>
      <c r="I46" s="13" t="inlineStr">
        <is>
          <t>Xong</t>
        </is>
      </c>
      <c r="J46" s="12" t="n">
        <v>46320</v>
      </c>
      <c r="K46" s="11" t="n"/>
      <c r="L46" s="27">
        <f>IF(E46="","",IF(I46="Bỏ qua","—",IF(I46="Xong",IF(AND(ISNUMBER(J46),ISNUMBER(H46),J46&gt;H46),"Xong trễ","Xong"),IF(F46="","CHƯA GIAO","")&amp;IF(NOT(ISNUMBER(H46)),"",IF(TODAY()&gt;H46,IF(F46=""," · ","")&amp;"QUÁ HẠN "&amp;(TODAY()-H46)&amp;" ngày",IF(H46-TODAY()&lt;=3,IF(F46=""," · ","")&amp;"Đến hạn "&amp;IF(H46=TODAY(),"hôm nay","trong "&amp;(H46-TODAY())&amp;" ngày"),""))))))</f>
        <v/>
      </c>
      <c r="M46" t="inlineStr">
        <is>
          <t>VD-2</t>
        </is>
      </c>
      <c r="N46" t="inlineStr">
        <is>
          <t>K10</t>
        </is>
      </c>
      <c r="O46" t="n">
        <v>-14</v>
      </c>
      <c r="P46" t="inlineStr">
        <is>
          <t>Lịch</t>
        </is>
      </c>
      <c r="Q46">
        <f>IF(AND(E46&lt;&gt;"",R46="Có",I46&lt;&gt;"Xong",I46&lt;&gt;"Bỏ qua",ISNUMBER(H46)),H46+ROW()/100000,"")</f>
        <v/>
      </c>
      <c r="R46">
        <f>IF(M46="","",IFERROR(INDEX(SK_L,MATCH(M46,SK_A,0)),""))</f>
        <v/>
      </c>
    </row>
    <row r="47">
      <c r="A47" s="11">
        <f>IF(M47="","",IFERROR(INDEX(SK_B,MATCH(M47,SK_A,0))&amp;"",""))</f>
        <v/>
      </c>
      <c r="B47" s="24">
        <f>IF(M47="","",IFERROR(INDEX(SK_C,MATCH(M47,SK_A,0)),""))</f>
        <v/>
      </c>
      <c r="C47" s="25">
        <f>IF(O47="","",IF(O47=0,"D",IF(O47&lt;0,"D"&amp;O47,"D+"&amp;O47)))</f>
        <v/>
      </c>
      <c r="D47" s="13" t="inlineStr">
        <is>
          <t>6. Nội dung</t>
        </is>
      </c>
      <c r="E47" s="11" t="inlineStr">
        <is>
          <t>Timeline chi tiết ngày D</t>
        </is>
      </c>
      <c r="F47" s="26" t="inlineStr">
        <is>
          <t>Leader MKT (ví dụ)</t>
        </is>
      </c>
      <c r="G47" s="13" t="inlineStr">
        <is>
          <t>KOL, Viện</t>
        </is>
      </c>
      <c r="H47" s="12">
        <f>IF(OR(B47="",O47=""),"",IF(O47&gt;0,IF(P47="Làm việc",WORKDAY(IFERROR(IF(INDEX(SK_D,MATCH(M47,SK_A,0))="",B47,INDEX(SK_D,MATCH(M47,SK_A,0))),B47),O47,HOLI),IFERROR(IF(INDEX(SK_D,MATCH(M47,SK_A,0))="",B47,INDEX(SK_D,MATCH(M47,SK_A,0))),B47)+O47),B47+O47))</f>
        <v/>
      </c>
      <c r="I47" s="13" t="inlineStr">
        <is>
          <t>Đang làm</t>
        </is>
      </c>
      <c r="J47" s="12" t="n"/>
      <c r="K47" s="11" t="n"/>
      <c r="L47" s="27">
        <f>IF(E47="","",IF(I47="Bỏ qua","—",IF(I47="Xong",IF(AND(ISNUMBER(J47),ISNUMBER(H47),J47&gt;H47),"Xong trễ","Xong"),IF(F47="","CHƯA GIAO","")&amp;IF(NOT(ISNUMBER(H47)),"",IF(TODAY()&gt;H47,IF(F47=""," · ","")&amp;"QUÁ HẠN "&amp;(TODAY()-H47)&amp;" ngày",IF(H47-TODAY()&lt;=3,IF(F47=""," · ","")&amp;"Đến hạn "&amp;IF(H47=TODAY(),"hôm nay","trong "&amp;(H47-TODAY())&amp;" ngày"),""))))))</f>
        <v/>
      </c>
      <c r="M47" t="inlineStr">
        <is>
          <t>VD-2</t>
        </is>
      </c>
      <c r="N47" t="inlineStr">
        <is>
          <t>K12</t>
        </is>
      </c>
      <c r="O47" t="n">
        <v>-7</v>
      </c>
      <c r="P47" t="inlineStr">
        <is>
          <t>Lịch</t>
        </is>
      </c>
      <c r="Q47">
        <f>IF(AND(E47&lt;&gt;"",R47="Có",I47&lt;&gt;"Xong",I47&lt;&gt;"Bỏ qua",ISNUMBER(H47)),H47+ROW()/100000,"")</f>
        <v/>
      </c>
      <c r="R47">
        <f>IF(M47="","",IFERROR(INDEX(SK_L,MATCH(M47,SK_A,0)),""))</f>
        <v/>
      </c>
    </row>
    <row r="48">
      <c r="A48" s="11">
        <f>IF(M48="","",IFERROR(INDEX(SK_B,MATCH(M48,SK_A,0))&amp;"",""))</f>
        <v/>
      </c>
      <c r="B48" s="24">
        <f>IF(M48="","",IFERROR(INDEX(SK_C,MATCH(M48,SK_A,0)),""))</f>
        <v/>
      </c>
      <c r="C48" s="25">
        <f>IF(O48="","",IF(O48=0,"D",IF(O48&lt;0,"D"&amp;O48,"D+"&amp;O48)))</f>
        <v/>
      </c>
      <c r="D48" s="13" t="inlineStr">
        <is>
          <t>6. Nội dung</t>
        </is>
      </c>
      <c r="E48" s="11" t="inlineStr">
        <is>
          <t>Kịch bản MC, kịch bản phát biểu, video trình chiếu</t>
        </is>
      </c>
      <c r="F48" s="26" t="inlineStr">
        <is>
          <t>Digital (ví dụ)</t>
        </is>
      </c>
      <c r="G48" s="13" t="inlineStr">
        <is>
          <t>KOL, Viện</t>
        </is>
      </c>
      <c r="H48" s="12">
        <f>IF(OR(B48="",O48=""),"",IF(O48&gt;0,IF(P48="Làm việc",WORKDAY(IFERROR(IF(INDEX(SK_D,MATCH(M48,SK_A,0))="",B48,INDEX(SK_D,MATCH(M48,SK_A,0))),B48),O48,HOLI),IFERROR(IF(INDEX(SK_D,MATCH(M48,SK_A,0))="",B48,INDEX(SK_D,MATCH(M48,SK_A,0))),B48)+O48),B48+O48))</f>
        <v/>
      </c>
      <c r="I48" s="13" t="inlineStr">
        <is>
          <t>Đang làm</t>
        </is>
      </c>
      <c r="J48" s="12" t="n"/>
      <c r="K48" s="11" t="n"/>
      <c r="L48" s="27">
        <f>IF(E48="","",IF(I48="Bỏ qua","—",IF(I48="Xong",IF(AND(ISNUMBER(J48),ISNUMBER(H48),J48&gt;H48),"Xong trễ","Xong"),IF(F48="","CHƯA GIAO","")&amp;IF(NOT(ISNUMBER(H48)),"",IF(TODAY()&gt;H48,IF(F48=""," · ","")&amp;"QUÁ HẠN "&amp;(TODAY()-H48)&amp;" ngày",IF(H48-TODAY()&lt;=3,IF(F48=""," · ","")&amp;"Đến hạn "&amp;IF(H48=TODAY(),"hôm nay","trong "&amp;(H48-TODAY())&amp;" ngày"),""))))))</f>
        <v/>
      </c>
      <c r="M48" t="inlineStr">
        <is>
          <t>VD-2</t>
        </is>
      </c>
      <c r="N48" t="inlineStr">
        <is>
          <t>K13</t>
        </is>
      </c>
      <c r="O48" t="n">
        <v>-7</v>
      </c>
      <c r="P48" t="inlineStr">
        <is>
          <t>Lịch</t>
        </is>
      </c>
      <c r="Q48">
        <f>IF(AND(E48&lt;&gt;"",R48="Có",I48&lt;&gt;"Xong",I48&lt;&gt;"Bỏ qua",ISNUMBER(H48)),H48+ROW()/100000,"")</f>
        <v/>
      </c>
      <c r="R48">
        <f>IF(M48="","",IFERROR(INDEX(SK_L,MATCH(M48,SK_A,0)),""))</f>
        <v/>
      </c>
    </row>
    <row r="49">
      <c r="A49" s="11">
        <f>IF(M49="","",IFERROR(INDEX(SK_B,MATCH(M49,SK_A,0))&amp;"",""))</f>
        <v/>
      </c>
      <c r="B49" s="24">
        <f>IF(M49="","",IFERROR(INDEX(SK_C,MATCH(M49,SK_A,0)),""))</f>
        <v/>
      </c>
      <c r="C49" s="25">
        <f>IF(O49="","",IF(O49=0,"D",IF(O49&lt;0,"D"&amp;O49,"D+"&amp;O49)))</f>
        <v/>
      </c>
      <c r="D49" s="13" t="inlineStr">
        <is>
          <t>7. Ấn phẩm &amp; đồ</t>
        </is>
      </c>
      <c r="E49" s="11" t="inlineStr">
        <is>
          <t>Thiết kế &amp; in: backdrop, standee, thẻ đeo, bảng tên, folder, QR khảo sát, biểu mẫu check-in ký tay</t>
        </is>
      </c>
      <c r="F49" s="26" t="inlineStr">
        <is>
          <t>Digital (ví dụ)</t>
        </is>
      </c>
      <c r="G49" s="13" t="inlineStr">
        <is>
          <t>Trade MKT</t>
        </is>
      </c>
      <c r="H49" s="12">
        <f>IF(OR(B49="",O49=""),"",IF(O49&gt;0,IF(P49="Làm việc",WORKDAY(IFERROR(IF(INDEX(SK_D,MATCH(M49,SK_A,0))="",B49,INDEX(SK_D,MATCH(M49,SK_A,0))),B49),O49,HOLI),IFERROR(IF(INDEX(SK_D,MATCH(M49,SK_A,0))="",B49,INDEX(SK_D,MATCH(M49,SK_A,0))),B49)+O49),B49+O49))</f>
        <v/>
      </c>
      <c r="I49" s="13" t="inlineStr">
        <is>
          <t>Đang làm</t>
        </is>
      </c>
      <c r="J49" s="12" t="n"/>
      <c r="K49" s="11" t="n"/>
      <c r="L49" s="27">
        <f>IF(E49="","",IF(I49="Bỏ qua","—",IF(I49="Xong",IF(AND(ISNUMBER(J49),ISNUMBER(H49),J49&gt;H49),"Xong trễ","Xong"),IF(F49="","CHƯA GIAO","")&amp;IF(NOT(ISNUMBER(H49)),"",IF(TODAY()&gt;H49,IF(F49=""," · ","")&amp;"QUÁ HẠN "&amp;(TODAY()-H49)&amp;" ngày",IF(H49-TODAY()&lt;=3,IF(F49=""," · ","")&amp;"Đến hạn "&amp;IF(H49=TODAY(),"hôm nay","trong "&amp;(H49-TODAY())&amp;" ngày"),""))))))</f>
        <v/>
      </c>
      <c r="M49" t="inlineStr">
        <is>
          <t>VD-2</t>
        </is>
      </c>
      <c r="N49" t="inlineStr">
        <is>
          <t>K14</t>
        </is>
      </c>
      <c r="O49" t="n">
        <v>-7</v>
      </c>
      <c r="P49" t="inlineStr">
        <is>
          <t>Lịch</t>
        </is>
      </c>
      <c r="Q49">
        <f>IF(AND(E49&lt;&gt;"",R49="Có",I49&lt;&gt;"Xong",I49&lt;&gt;"Bỏ qua",ISNUMBER(H49)),H49+ROW()/100000,"")</f>
        <v/>
      </c>
      <c r="R49">
        <f>IF(M49="","",IFERROR(INDEX(SK_L,MATCH(M49,SK_A,0)),""))</f>
        <v/>
      </c>
    </row>
    <row r="50">
      <c r="A50" s="11">
        <f>IF(M50="","",IFERROR(INDEX(SK_B,MATCH(M50,SK_A,0))&amp;"",""))</f>
        <v/>
      </c>
      <c r="B50" s="24">
        <f>IF(M50="","",IFERROR(INDEX(SK_C,MATCH(M50,SK_A,0)),""))</f>
        <v/>
      </c>
      <c r="C50" s="25">
        <f>IF(O50="","",IF(O50=0,"D",IF(O50&lt;0,"D"&amp;O50,"D+"&amp;O50)))</f>
        <v/>
      </c>
      <c r="D50" s="13" t="inlineStr">
        <is>
          <t>7. Ấn phẩm &amp; đồ</t>
        </is>
      </c>
      <c r="E50" s="11" t="inlineStr">
        <is>
          <t>Đồ marketing + đồ thực hành theo phiên (nguồn, báo giá, đồ mượn)</t>
        </is>
      </c>
      <c r="F50" s="26" t="inlineStr">
        <is>
          <t>Trade (ví dụ)</t>
        </is>
      </c>
      <c r="G50" s="13" t="inlineStr">
        <is>
          <t>KOL, NPP</t>
        </is>
      </c>
      <c r="H50" s="12">
        <f>IF(OR(B50="",O50=""),"",IF(O50&gt;0,IF(P50="Làm việc",WORKDAY(IFERROR(IF(INDEX(SK_D,MATCH(M50,SK_A,0))="",B50,INDEX(SK_D,MATCH(M50,SK_A,0))),B50),O50,HOLI),IFERROR(IF(INDEX(SK_D,MATCH(M50,SK_A,0))="",B50,INDEX(SK_D,MATCH(M50,SK_A,0))),B50)+O50),B50+O50))</f>
        <v/>
      </c>
      <c r="I50" s="13" t="inlineStr">
        <is>
          <t>Xong</t>
        </is>
      </c>
      <c r="J50" s="12" t="n">
        <v>46324</v>
      </c>
      <c r="K50" s="11" t="n"/>
      <c r="L50" s="27">
        <f>IF(E50="","",IF(I50="Bỏ qua","—",IF(I50="Xong",IF(AND(ISNUMBER(J50),ISNUMBER(H50),J50&gt;H50),"Xong trễ","Xong"),IF(F50="","CHƯA GIAO","")&amp;IF(NOT(ISNUMBER(H50)),"",IF(TODAY()&gt;H50,IF(F50=""," · ","")&amp;"QUÁ HẠN "&amp;(TODAY()-H50)&amp;" ngày",IF(H50-TODAY()&lt;=3,IF(F50=""," · ","")&amp;"Đến hạn "&amp;IF(H50=TODAY(),"hôm nay","trong "&amp;(H50-TODAY())&amp;" ngày"),""))))))</f>
        <v/>
      </c>
      <c r="M50" t="inlineStr">
        <is>
          <t>VD-2</t>
        </is>
      </c>
      <c r="N50" t="inlineStr">
        <is>
          <t>K15</t>
        </is>
      </c>
      <c r="O50" t="n">
        <v>-10</v>
      </c>
      <c r="P50" t="inlineStr">
        <is>
          <t>Lịch</t>
        </is>
      </c>
      <c r="Q50">
        <f>IF(AND(E50&lt;&gt;"",R50="Có",I50&lt;&gt;"Xong",I50&lt;&gt;"Bỏ qua",ISNUMBER(H50)),H50+ROW()/100000,"")</f>
        <v/>
      </c>
      <c r="R50">
        <f>IF(M50="","",IFERROR(INDEX(SK_L,MATCH(M50,SK_A,0)),""))</f>
        <v/>
      </c>
    </row>
    <row r="51">
      <c r="A51" s="11">
        <f>IF(M51="","",IFERROR(INDEX(SK_B,MATCH(M51,SK_A,0))&amp;"",""))</f>
        <v/>
      </c>
      <c r="B51" s="24">
        <f>IF(M51="","",IFERROR(INDEX(SK_C,MATCH(M51,SK_A,0)),""))</f>
        <v/>
      </c>
      <c r="C51" s="25">
        <f>IF(O51="","",IF(O51=0,"D",IF(O51&lt;0,"D"&amp;O51,"D+"&amp;O51)))</f>
        <v/>
      </c>
      <c r="D51" s="13" t="inlineStr">
        <is>
          <t>7. Ấn phẩm &amp; đồ</t>
        </is>
      </c>
      <c r="E51" s="11" t="inlineStr">
        <is>
          <t>VIP / đại biểu (nếu có Viện): danh sách, hoa, bảng tên mica, quà, lời giới thiệu</t>
        </is>
      </c>
      <c r="F51" s="26" t="inlineStr">
        <is>
          <t>Trade (ví dụ)</t>
        </is>
      </c>
      <c r="G51" s="13" t="inlineStr">
        <is>
          <t>Viện</t>
        </is>
      </c>
      <c r="H51" s="12">
        <f>IF(OR(B51="",O51=""),"",IF(O51&gt;0,IF(P51="Làm việc",WORKDAY(IFERROR(IF(INDEX(SK_D,MATCH(M51,SK_A,0))="",B51,INDEX(SK_D,MATCH(M51,SK_A,0))),B51),O51,HOLI),IFERROR(IF(INDEX(SK_D,MATCH(M51,SK_A,0))="",B51,INDEX(SK_D,MATCH(M51,SK_A,0))),B51)+O51),B51+O51))</f>
        <v/>
      </c>
      <c r="I51" s="13" t="inlineStr">
        <is>
          <t>Chờ đối tác</t>
        </is>
      </c>
      <c r="J51" s="12" t="n"/>
      <c r="K51" s="11" t="n"/>
      <c r="L51" s="27">
        <f>IF(E51="","",IF(I51="Bỏ qua","—",IF(I51="Xong",IF(AND(ISNUMBER(J51),ISNUMBER(H51),J51&gt;H51),"Xong trễ","Xong"),IF(F51="","CHƯA GIAO","")&amp;IF(NOT(ISNUMBER(H51)),"",IF(TODAY()&gt;H51,IF(F51=""," · ","")&amp;"QUÁ HẠN "&amp;(TODAY()-H51)&amp;" ngày",IF(H51-TODAY()&lt;=3,IF(F51=""," · ","")&amp;"Đến hạn "&amp;IF(H51=TODAY(),"hôm nay","trong "&amp;(H51-TODAY())&amp;" ngày"),""))))))</f>
        <v/>
      </c>
      <c r="M51" t="inlineStr">
        <is>
          <t>VD-2</t>
        </is>
      </c>
      <c r="N51" t="inlineStr">
        <is>
          <t>K16</t>
        </is>
      </c>
      <c r="O51" t="n">
        <v>-7</v>
      </c>
      <c r="P51" t="inlineStr">
        <is>
          <t>Lịch</t>
        </is>
      </c>
      <c r="Q51">
        <f>IF(AND(E51&lt;&gt;"",R51="Có",I51&lt;&gt;"Xong",I51&lt;&gt;"Bỏ qua",ISNUMBER(H51)),H51+ROW()/100000,"")</f>
        <v/>
      </c>
      <c r="R51">
        <f>IF(M51="","",IFERROR(INDEX(SK_L,MATCH(M51,SK_A,0)),""))</f>
        <v/>
      </c>
    </row>
    <row r="52">
      <c r="A52" s="11">
        <f>IF(M52="","",IFERROR(INDEX(SK_B,MATCH(M52,SK_A,0))&amp;"",""))</f>
        <v/>
      </c>
      <c r="B52" s="24">
        <f>IF(M52="","",IFERROR(INDEX(SK_C,MATCH(M52,SK_A,0)),""))</f>
        <v/>
      </c>
      <c r="C52" s="25">
        <f>IF(O52="","",IF(O52=0,"D",IF(O52&lt;0,"D"&amp;O52,"D+"&amp;O52)))</f>
        <v/>
      </c>
      <c r="D52" s="13" t="inlineStr">
        <is>
          <t>8. Chốt trước D</t>
        </is>
      </c>
      <c r="E52" s="11" t="inlineStr">
        <is>
          <t>Họp với NPP: agenda, nhân sự, bán hàng, sản phẩm</t>
        </is>
      </c>
      <c r="F52" s="26" t="inlineStr">
        <is>
          <t>Leader MKT (ví dụ)</t>
        </is>
      </c>
      <c r="G52" s="13" t="inlineStr">
        <is>
          <t>NPP, Sales</t>
        </is>
      </c>
      <c r="H52" s="12">
        <f>IF(OR(B52="",O52=""),"",IF(O52&gt;0,IF(P52="Làm việc",WORKDAY(IFERROR(IF(INDEX(SK_D,MATCH(M52,SK_A,0))="",B52,INDEX(SK_D,MATCH(M52,SK_A,0))),B52),O52,HOLI),IFERROR(IF(INDEX(SK_D,MATCH(M52,SK_A,0))="",B52,INDEX(SK_D,MATCH(M52,SK_A,0))),B52)+O52),B52+O52))</f>
        <v/>
      </c>
      <c r="I52" s="13" t="inlineStr">
        <is>
          <t>Đang làm</t>
        </is>
      </c>
      <c r="J52" s="12" t="n"/>
      <c r="K52" s="11" t="n"/>
      <c r="L52" s="27">
        <f>IF(E52="","",IF(I52="Bỏ qua","—",IF(I52="Xong",IF(AND(ISNUMBER(J52),ISNUMBER(H52),J52&gt;H52),"Xong trễ","Xong"),IF(F52="","CHƯA GIAO","")&amp;IF(NOT(ISNUMBER(H52)),"",IF(TODAY()&gt;H52,IF(F52=""," · ","")&amp;"QUÁ HẠN "&amp;(TODAY()-H52)&amp;" ngày",IF(H52-TODAY()&lt;=3,IF(F52=""," · ","")&amp;"Đến hạn "&amp;IF(H52=TODAY(),"hôm nay","trong "&amp;(H52-TODAY())&amp;" ngày"),""))))))</f>
        <v/>
      </c>
      <c r="M52" t="inlineStr">
        <is>
          <t>VD-2</t>
        </is>
      </c>
      <c r="N52" t="inlineStr">
        <is>
          <t>K18</t>
        </is>
      </c>
      <c r="O52" t="n">
        <v>-3</v>
      </c>
      <c r="P52" t="inlineStr">
        <is>
          <t>Lịch</t>
        </is>
      </c>
      <c r="Q52">
        <f>IF(AND(E52&lt;&gt;"",R52="Có",I52&lt;&gt;"Xong",I52&lt;&gt;"Bỏ qua",ISNUMBER(H52)),H52+ROW()/100000,"")</f>
        <v/>
      </c>
      <c r="R52">
        <f>IF(M52="","",IFERROR(INDEX(SK_L,MATCH(M52,SK_A,0)),""))</f>
        <v/>
      </c>
    </row>
    <row r="53">
      <c r="A53" s="11">
        <f>IF(M53="","",IFERROR(INDEX(SK_B,MATCH(M53,SK_A,0))&amp;"",""))</f>
        <v/>
      </c>
      <c r="B53" s="24">
        <f>IF(M53="","",IFERROR(INDEX(SK_C,MATCH(M53,SK_A,0)),""))</f>
        <v/>
      </c>
      <c r="C53" s="25">
        <f>IF(O53="","",IF(O53=0,"D",IF(O53&lt;0,"D"&amp;O53,"D+"&amp;O53)))</f>
        <v/>
      </c>
      <c r="D53" s="13" t="inlineStr">
        <is>
          <t>8. Chốt trước D</t>
        </is>
      </c>
      <c r="E53" s="11" t="inlineStr">
        <is>
          <t>Rà soát dữ liệu khách (thiếu thông tin / chưa đồng ý dữ liệu)</t>
        </is>
      </c>
      <c r="F53" s="26" t="inlineStr">
        <is>
          <t>Digital (ví dụ)</t>
        </is>
      </c>
      <c r="G53" s="13" t="inlineStr">
        <is>
          <t>Sales, NPP</t>
        </is>
      </c>
      <c r="H53" s="12">
        <f>IF(OR(B53="",O53=""),"",IF(O53&gt;0,IF(P53="Làm việc",WORKDAY(IFERROR(IF(INDEX(SK_D,MATCH(M53,SK_A,0))="",B53,INDEX(SK_D,MATCH(M53,SK_A,0))),B53),O53,HOLI),IFERROR(IF(INDEX(SK_D,MATCH(M53,SK_A,0))="",B53,INDEX(SK_D,MATCH(M53,SK_A,0))),B53)+O53),B53+O53))</f>
        <v/>
      </c>
      <c r="I53" s="13" t="inlineStr">
        <is>
          <t>Chưa làm</t>
        </is>
      </c>
      <c r="J53" s="12" t="n"/>
      <c r="K53" s="11" t="n"/>
      <c r="L53" s="27">
        <f>IF(E53="","",IF(I53="Bỏ qua","—",IF(I53="Xong",IF(AND(ISNUMBER(J53),ISNUMBER(H53),J53&gt;H53),"Xong trễ","Xong"),IF(F53="","CHƯA GIAO","")&amp;IF(NOT(ISNUMBER(H53)),"",IF(TODAY()&gt;H53,IF(F53=""," · ","")&amp;"QUÁ HẠN "&amp;(TODAY()-H53)&amp;" ngày",IF(H53-TODAY()&lt;=3,IF(F53=""," · ","")&amp;"Đến hạn "&amp;IF(H53=TODAY(),"hôm nay","trong "&amp;(H53-TODAY())&amp;" ngày"),""))))))</f>
        <v/>
      </c>
      <c r="M53" t="inlineStr">
        <is>
          <t>VD-2</t>
        </is>
      </c>
      <c r="N53" t="inlineStr">
        <is>
          <t>K19</t>
        </is>
      </c>
      <c r="O53" t="n">
        <v>-3</v>
      </c>
      <c r="P53" t="inlineStr">
        <is>
          <t>Lịch</t>
        </is>
      </c>
      <c r="Q53">
        <f>IF(AND(E53&lt;&gt;"",R53="Có",I53&lt;&gt;"Xong",I53&lt;&gt;"Bỏ qua",ISNUMBER(H53)),H53+ROW()/100000,"")</f>
        <v/>
      </c>
      <c r="R53">
        <f>IF(M53="","",IFERROR(INDEX(SK_L,MATCH(M53,SK_A,0)),""))</f>
        <v/>
      </c>
    </row>
    <row r="54">
      <c r="A54" s="11">
        <f>IF(M54="","",IFERROR(INDEX(SK_B,MATCH(M54,SK_A,0))&amp;"",""))</f>
        <v/>
      </c>
      <c r="B54" s="24">
        <f>IF(M54="","",IFERROR(INDEX(SK_C,MATCH(M54,SK_A,0)),""))</f>
        <v/>
      </c>
      <c r="C54" s="25">
        <f>IF(O54="","",IF(O54=0,"D",IF(O54&lt;0,"D"&amp;O54,"D+"&amp;O54)))</f>
        <v/>
      </c>
      <c r="D54" s="13" t="inlineStr">
        <is>
          <t>8. Chốt trước D</t>
        </is>
      </c>
      <c r="E54" s="11" t="inlineStr">
        <is>
          <t>Phân công nhân sự trước / trong / sau, giờ có mặt</t>
        </is>
      </c>
      <c r="F54" s="26" t="inlineStr">
        <is>
          <t>Leader MKT (ví dụ)</t>
        </is>
      </c>
      <c r="G54" s="13" t="inlineStr">
        <is>
          <t>Sales, NPP</t>
        </is>
      </c>
      <c r="H54" s="12">
        <f>IF(OR(B54="",O54=""),"",IF(O54&gt;0,IF(P54="Làm việc",WORKDAY(IFERROR(IF(INDEX(SK_D,MATCH(M54,SK_A,0))="",B54,INDEX(SK_D,MATCH(M54,SK_A,0))),B54),O54,HOLI),IFERROR(IF(INDEX(SK_D,MATCH(M54,SK_A,0))="",B54,INDEX(SK_D,MATCH(M54,SK_A,0))),B54)+O54),B54+O54))</f>
        <v/>
      </c>
      <c r="I54" s="13" t="inlineStr">
        <is>
          <t>Chưa làm</t>
        </is>
      </c>
      <c r="J54" s="12" t="n"/>
      <c r="K54" s="11" t="n"/>
      <c r="L54" s="27">
        <f>IF(E54="","",IF(I54="Bỏ qua","—",IF(I54="Xong",IF(AND(ISNUMBER(J54),ISNUMBER(H54),J54&gt;H54),"Xong trễ","Xong"),IF(F54="","CHƯA GIAO","")&amp;IF(NOT(ISNUMBER(H54)),"",IF(TODAY()&gt;H54,IF(F54=""," · ","")&amp;"QUÁ HẠN "&amp;(TODAY()-H54)&amp;" ngày",IF(H54-TODAY()&lt;=3,IF(F54=""," · ","")&amp;"Đến hạn "&amp;IF(H54=TODAY(),"hôm nay","trong "&amp;(H54-TODAY())&amp;" ngày"),""))))))</f>
        <v/>
      </c>
      <c r="M54" t="inlineStr">
        <is>
          <t>VD-2</t>
        </is>
      </c>
      <c r="N54" t="inlineStr">
        <is>
          <t>K20</t>
        </is>
      </c>
      <c r="O54" t="n">
        <v>-3</v>
      </c>
      <c r="P54" t="inlineStr">
        <is>
          <t>Lịch</t>
        </is>
      </c>
      <c r="Q54">
        <f>IF(AND(E54&lt;&gt;"",R54="Có",I54&lt;&gt;"Xong",I54&lt;&gt;"Bỏ qua",ISNUMBER(H54)),H54+ROW()/100000,"")</f>
        <v/>
      </c>
      <c r="R54">
        <f>IF(M54="","",IFERROR(INDEX(SK_L,MATCH(M54,SK_A,0)),""))</f>
        <v/>
      </c>
    </row>
    <row r="55">
      <c r="A55" s="11">
        <f>IF(M55="","",IFERROR(INDEX(SK_B,MATCH(M55,SK_A,0))&amp;"",""))</f>
        <v/>
      </c>
      <c r="B55" s="24">
        <f>IF(M55="","",IFERROR(INDEX(SK_C,MATCH(M55,SK_A,0)),""))</f>
        <v/>
      </c>
      <c r="C55" s="25">
        <f>IF(O55="","",IF(O55=0,"D",IF(O55&lt;0,"D"&amp;O55,"D+"&amp;O55)))</f>
        <v/>
      </c>
      <c r="D55" s="13" t="inlineStr">
        <is>
          <t>8. Chốt trước D</t>
        </is>
      </c>
      <c r="E55" s="11" t="inlineStr">
        <is>
          <t>Họp review D-1 + gọi nhắc khách + set up địa điểm / chạy thử Zoom</t>
        </is>
      </c>
      <c r="F55" s="26" t="inlineStr">
        <is>
          <t>Leader MKT (ví dụ)</t>
        </is>
      </c>
      <c r="G55" s="13" t="inlineStr">
        <is>
          <t>Toàn team</t>
        </is>
      </c>
      <c r="H55" s="12">
        <f>IF(OR(B55="",O55=""),"",IF(O55&gt;0,IF(P55="Làm việc",WORKDAY(IFERROR(IF(INDEX(SK_D,MATCH(M55,SK_A,0))="",B55,INDEX(SK_D,MATCH(M55,SK_A,0))),B55),O55,HOLI),IFERROR(IF(INDEX(SK_D,MATCH(M55,SK_A,0))="",B55,INDEX(SK_D,MATCH(M55,SK_A,0))),B55)+O55),B55+O55))</f>
        <v/>
      </c>
      <c r="I55" s="13" t="inlineStr">
        <is>
          <t>Chưa làm</t>
        </is>
      </c>
      <c r="J55" s="12" t="n"/>
      <c r="K55" s="11" t="n"/>
      <c r="L55" s="27">
        <f>IF(E55="","",IF(I55="Bỏ qua","—",IF(I55="Xong",IF(AND(ISNUMBER(J55),ISNUMBER(H55),J55&gt;H55),"Xong trễ","Xong"),IF(F55="","CHƯA GIAO","")&amp;IF(NOT(ISNUMBER(H55)),"",IF(TODAY()&gt;H55,IF(F55=""," · ","")&amp;"QUÁ HẠN "&amp;(TODAY()-H55)&amp;" ngày",IF(H55-TODAY()&lt;=3,IF(F55=""," · ","")&amp;"Đến hạn "&amp;IF(H55=TODAY(),"hôm nay","trong "&amp;(H55-TODAY())&amp;" ngày"),""))))))</f>
        <v/>
      </c>
      <c r="M55" t="inlineStr">
        <is>
          <t>VD-2</t>
        </is>
      </c>
      <c r="N55" t="inlineStr">
        <is>
          <t>K21</t>
        </is>
      </c>
      <c r="O55" t="n">
        <v>-1</v>
      </c>
      <c r="P55" t="inlineStr">
        <is>
          <t>Lịch</t>
        </is>
      </c>
      <c r="Q55">
        <f>IF(AND(E55&lt;&gt;"",R55="Có",I55&lt;&gt;"Xong",I55&lt;&gt;"Bỏ qua",ISNUMBER(H55)),H55+ROW()/100000,"")</f>
        <v/>
      </c>
      <c r="R55">
        <f>IF(M55="","",IFERROR(INDEX(SK_L,MATCH(M55,SK_A,0)),""))</f>
        <v/>
      </c>
    </row>
    <row r="56">
      <c r="A56" s="11">
        <f>IF(M56="","",IFERROR(INDEX(SK_B,MATCH(M56,SK_A,0))&amp;"",""))</f>
        <v/>
      </c>
      <c r="B56" s="24">
        <f>IF(M56="","",IFERROR(INDEX(SK_C,MATCH(M56,SK_A,0)),""))</f>
        <v/>
      </c>
      <c r="C56" s="25">
        <f>IF(O56="","",IF(O56=0,"D",IF(O56&lt;0,"D"&amp;O56,"D+"&amp;O56)))</f>
        <v/>
      </c>
      <c r="D56" s="13" t="inlineStr">
        <is>
          <t>9. Ngày D</t>
        </is>
      </c>
      <c r="E56" s="11" t="inlineStr">
        <is>
          <t>Check-in có chữ ký + đồng ý dữ liệu (webinar: xuất báo cáo Zoom ngay sau buổi)</t>
        </is>
      </c>
      <c r="F56" s="26" t="inlineStr">
        <is>
          <t>Digital (ví dụ)</t>
        </is>
      </c>
      <c r="G56" s="13" t="inlineStr">
        <is>
          <t>Trade, NPP</t>
        </is>
      </c>
      <c r="H56" s="12">
        <f>IF(OR(B56="",O56=""),"",IF(O56&gt;0,IF(P56="Làm việc",WORKDAY(IFERROR(IF(INDEX(SK_D,MATCH(M56,SK_A,0))="",B56,INDEX(SK_D,MATCH(M56,SK_A,0))),B56),O56,HOLI),IFERROR(IF(INDEX(SK_D,MATCH(M56,SK_A,0))="",B56,INDEX(SK_D,MATCH(M56,SK_A,0))),B56)+O56),B56+O56))</f>
        <v/>
      </c>
      <c r="I56" s="13" t="inlineStr">
        <is>
          <t>Chưa làm</t>
        </is>
      </c>
      <c r="J56" s="12" t="n"/>
      <c r="K56" s="11" t="n"/>
      <c r="L56" s="27">
        <f>IF(E56="","",IF(I56="Bỏ qua","—",IF(I56="Xong",IF(AND(ISNUMBER(J56),ISNUMBER(H56),J56&gt;H56),"Xong trễ","Xong"),IF(F56="","CHƯA GIAO","")&amp;IF(NOT(ISNUMBER(H56)),"",IF(TODAY()&gt;H56,IF(F56=""," · ","")&amp;"QUÁ HẠN "&amp;(TODAY()-H56)&amp;" ngày",IF(H56-TODAY()&lt;=3,IF(F56=""," · ","")&amp;"Đến hạn "&amp;IF(H56=TODAY(),"hôm nay","trong "&amp;(H56-TODAY())&amp;" ngày"),""))))))</f>
        <v/>
      </c>
      <c r="M56" t="inlineStr">
        <is>
          <t>VD-2</t>
        </is>
      </c>
      <c r="N56" t="inlineStr">
        <is>
          <t>K22</t>
        </is>
      </c>
      <c r="O56" t="n">
        <v>0</v>
      </c>
      <c r="P56" t="inlineStr">
        <is>
          <t>Lịch</t>
        </is>
      </c>
      <c r="Q56">
        <f>IF(AND(E56&lt;&gt;"",R56="Có",I56&lt;&gt;"Xong",I56&lt;&gt;"Bỏ qua",ISNUMBER(H56)),H56+ROW()/100000,"")</f>
        <v/>
      </c>
      <c r="R56">
        <f>IF(M56="","",IFERROR(INDEX(SK_L,MATCH(M56,SK_A,0)),""))</f>
        <v/>
      </c>
    </row>
    <row r="57">
      <c r="A57" s="11">
        <f>IF(M57="","",IFERROR(INDEX(SK_B,MATCH(M57,SK_A,0))&amp;"",""))</f>
        <v/>
      </c>
      <c r="B57" s="24">
        <f>IF(M57="","",IFERROR(INDEX(SK_C,MATCH(M57,SK_A,0)),""))</f>
        <v/>
      </c>
      <c r="C57" s="25">
        <f>IF(O57="","",IF(O57=0,"D",IF(O57&lt;0,"D"&amp;O57,"D+"&amp;O57)))</f>
        <v/>
      </c>
      <c r="D57" s="13" t="inlineStr">
        <is>
          <t>9. Ngày D</t>
        </is>
      </c>
      <c r="E57" s="11" t="inlineStr">
        <is>
          <t>Điều phối chương trình, khảo sát QR trước bế mạc, ảnh / video</t>
        </is>
      </c>
      <c r="F57" s="26" t="inlineStr">
        <is>
          <t>Leader MKT (ví dụ)</t>
        </is>
      </c>
      <c r="G57" s="13" t="inlineStr">
        <is>
          <t>Digital MKT</t>
        </is>
      </c>
      <c r="H57" s="12">
        <f>IF(OR(B57="",O57=""),"",IF(O57&gt;0,IF(P57="Làm việc",WORKDAY(IFERROR(IF(INDEX(SK_D,MATCH(M57,SK_A,0))="",B57,INDEX(SK_D,MATCH(M57,SK_A,0))),B57),O57,HOLI),IFERROR(IF(INDEX(SK_D,MATCH(M57,SK_A,0))="",B57,INDEX(SK_D,MATCH(M57,SK_A,0))),B57)+O57),B57+O57))</f>
        <v/>
      </c>
      <c r="I57" s="13" t="inlineStr">
        <is>
          <t>Chưa làm</t>
        </is>
      </c>
      <c r="J57" s="12" t="n"/>
      <c r="K57" s="11" t="n"/>
      <c r="L57" s="27">
        <f>IF(E57="","",IF(I57="Bỏ qua","—",IF(I57="Xong",IF(AND(ISNUMBER(J57),ISNUMBER(H57),J57&gt;H57),"Xong trễ","Xong"),IF(F57="","CHƯA GIAO","")&amp;IF(NOT(ISNUMBER(H57)),"",IF(TODAY()&gt;H57,IF(F57=""," · ","")&amp;"QUÁ HẠN "&amp;(TODAY()-H57)&amp;" ngày",IF(H57-TODAY()&lt;=3,IF(F57=""," · ","")&amp;"Đến hạn "&amp;IF(H57=TODAY(),"hôm nay","trong "&amp;(H57-TODAY())&amp;" ngày"),""))))))</f>
        <v/>
      </c>
      <c r="M57" t="inlineStr">
        <is>
          <t>VD-2</t>
        </is>
      </c>
      <c r="N57" t="inlineStr">
        <is>
          <t>K23</t>
        </is>
      </c>
      <c r="O57" t="n">
        <v>0</v>
      </c>
      <c r="P57" t="inlineStr">
        <is>
          <t>Lịch</t>
        </is>
      </c>
      <c r="Q57">
        <f>IF(AND(E57&lt;&gt;"",R57="Có",I57&lt;&gt;"Xong",I57&lt;&gt;"Bỏ qua",ISNUMBER(H57)),H57+ROW()/100000,"")</f>
        <v/>
      </c>
      <c r="R57">
        <f>IF(M57="","",IFERROR(INDEX(SK_L,MATCH(M57,SK_A,0)),""))</f>
        <v/>
      </c>
    </row>
    <row r="58">
      <c r="A58" s="11">
        <f>IF(M58="","",IFERROR(INDEX(SK_B,MATCH(M58,SK_A,0))&amp;"",""))</f>
        <v/>
      </c>
      <c r="B58" s="24">
        <f>IF(M58="","",IFERROR(INDEX(SK_C,MATCH(M58,SK_A,0)),""))</f>
        <v/>
      </c>
      <c r="C58" s="25">
        <f>IF(O58="","",IF(O58=0,"D",IF(O58&lt;0,"D"&amp;O58,"D+"&amp;O58)))</f>
        <v/>
      </c>
      <c r="D58" s="13" t="inlineStr">
        <is>
          <t>9. Ngày D</t>
        </is>
      </c>
      <c r="E58" s="11" t="inlineStr">
        <is>
          <t>Bán hàng tại bàn trưng bày + ghi khách quan tâm</t>
        </is>
      </c>
      <c r="F58" s="26" t="inlineStr">
        <is>
          <t>Sales Dental (ví dụ)</t>
        </is>
      </c>
      <c r="G58" s="13" t="inlineStr">
        <is>
          <t>NPP</t>
        </is>
      </c>
      <c r="H58" s="12">
        <f>IF(OR(B58="",O58=""),"",IF(O58&gt;0,IF(P58="Làm việc",WORKDAY(IFERROR(IF(INDEX(SK_D,MATCH(M58,SK_A,0))="",B58,INDEX(SK_D,MATCH(M58,SK_A,0))),B58),O58,HOLI),IFERROR(IF(INDEX(SK_D,MATCH(M58,SK_A,0))="",B58,INDEX(SK_D,MATCH(M58,SK_A,0))),B58)+O58),B58+O58))</f>
        <v/>
      </c>
      <c r="I58" s="13" t="inlineStr">
        <is>
          <t>Chưa làm</t>
        </is>
      </c>
      <c r="J58" s="12" t="n"/>
      <c r="K58" s="11" t="n"/>
      <c r="L58" s="27">
        <f>IF(E58="","",IF(I58="Bỏ qua","—",IF(I58="Xong",IF(AND(ISNUMBER(J58),ISNUMBER(H58),J58&gt;H58),"Xong trễ","Xong"),IF(F58="","CHƯA GIAO","")&amp;IF(NOT(ISNUMBER(H58)),"",IF(TODAY()&gt;H58,IF(F58=""," · ","")&amp;"QUÁ HẠN "&amp;(TODAY()-H58)&amp;" ngày",IF(H58-TODAY()&lt;=3,IF(F58=""," · ","")&amp;"Đến hạn "&amp;IF(H58=TODAY(),"hôm nay","trong "&amp;(H58-TODAY())&amp;" ngày"),""))))))</f>
        <v/>
      </c>
      <c r="M58" t="inlineStr">
        <is>
          <t>VD-2</t>
        </is>
      </c>
      <c r="N58" t="inlineStr">
        <is>
          <t>K24</t>
        </is>
      </c>
      <c r="O58" t="n">
        <v>0</v>
      </c>
      <c r="P58" t="inlineStr">
        <is>
          <t>Lịch</t>
        </is>
      </c>
      <c r="Q58">
        <f>IF(AND(E58&lt;&gt;"",R58="Có",I58&lt;&gt;"Xong",I58&lt;&gt;"Bỏ qua",ISNUMBER(H58)),H58+ROW()/100000,"")</f>
        <v/>
      </c>
      <c r="R58">
        <f>IF(M58="","",IFERROR(INDEX(SK_L,MATCH(M58,SK_A,0)),""))</f>
        <v/>
      </c>
    </row>
    <row r="59">
      <c r="A59" s="11">
        <f>IF(M59="","",IFERROR(INDEX(SK_B,MATCH(M59,SK_A,0))&amp;"",""))</f>
        <v/>
      </c>
      <c r="B59" s="24">
        <f>IF(M59="","",IFERROR(INDEX(SK_C,MATCH(M59,SK_A,0)),""))</f>
        <v/>
      </c>
      <c r="C59" s="25">
        <f>IF(O59="","",IF(O59=0,"D",IF(O59&lt;0,"D"&amp;O59,"D+"&amp;O59)))</f>
        <v/>
      </c>
      <c r="D59" s="13" t="inlineStr">
        <is>
          <t>9. Ngày D</t>
        </is>
      </c>
      <c r="E59" s="11" t="inlineStr">
        <is>
          <t>Thu dọn, kiểm đếm, ghi POSM hỏng</t>
        </is>
      </c>
      <c r="F59" s="26" t="inlineStr">
        <is>
          <t>Trade (ví dụ)</t>
        </is>
      </c>
      <c r="G59" s="13" t="inlineStr">
        <is>
          <t>NPP</t>
        </is>
      </c>
      <c r="H59" s="12">
        <f>IF(OR(B59="",O59=""),"",IF(O59&gt;0,IF(P59="Làm việc",WORKDAY(IFERROR(IF(INDEX(SK_D,MATCH(M59,SK_A,0))="",B59,INDEX(SK_D,MATCH(M59,SK_A,0))),B59),O59,HOLI),IFERROR(IF(INDEX(SK_D,MATCH(M59,SK_A,0))="",B59,INDEX(SK_D,MATCH(M59,SK_A,0))),B59)+O59),B59+O59))</f>
        <v/>
      </c>
      <c r="I59" s="13" t="inlineStr">
        <is>
          <t>Chưa làm</t>
        </is>
      </c>
      <c r="J59" s="12" t="n"/>
      <c r="K59" s="11" t="n"/>
      <c r="L59" s="27">
        <f>IF(E59="","",IF(I59="Bỏ qua","—",IF(I59="Xong",IF(AND(ISNUMBER(J59),ISNUMBER(H59),J59&gt;H59),"Xong trễ","Xong"),IF(F59="","CHƯA GIAO","")&amp;IF(NOT(ISNUMBER(H59)),"",IF(TODAY()&gt;H59,IF(F59=""," · ","")&amp;"QUÁ HẠN "&amp;(TODAY()-H59)&amp;" ngày",IF(H59-TODAY()&lt;=3,IF(F59=""," · ","")&amp;"Đến hạn "&amp;IF(H59=TODAY(),"hôm nay","trong "&amp;(H59-TODAY())&amp;" ngày"),""))))))</f>
        <v/>
      </c>
      <c r="M59" t="inlineStr">
        <is>
          <t>VD-2</t>
        </is>
      </c>
      <c r="N59" t="inlineStr">
        <is>
          <t>K25</t>
        </is>
      </c>
      <c r="O59" t="n">
        <v>0</v>
      </c>
      <c r="P59" t="inlineStr">
        <is>
          <t>Lịch</t>
        </is>
      </c>
      <c r="Q59">
        <f>IF(AND(E59&lt;&gt;"",R59="Có",I59&lt;&gt;"Xong",I59&lt;&gt;"Bỏ qua",ISNUMBER(H59)),H59+ROW()/100000,"")</f>
        <v/>
      </c>
      <c r="R59">
        <f>IF(M59="","",IFERROR(INDEX(SK_L,MATCH(M59,SK_A,0)),""))</f>
        <v/>
      </c>
    </row>
    <row r="60">
      <c r="A60" s="11">
        <f>IF(M60="","",IFERROR(INDEX(SK_B,MATCH(M60,SK_A,0))&amp;"",""))</f>
        <v/>
      </c>
      <c r="B60" s="24">
        <f>IF(M60="","",IFERROR(INDEX(SK_C,MATCH(M60,SK_A,0)),""))</f>
        <v/>
      </c>
      <c r="C60" s="25">
        <f>IF(O60="","",IF(O60=0,"D",IF(O60&lt;0,"D"&amp;O60,"D+"&amp;O60)))</f>
        <v/>
      </c>
      <c r="D60" s="13" t="inlineStr">
        <is>
          <t>10. Sau sự kiện</t>
        </is>
      </c>
      <c r="E60" s="11" t="inlineStr">
        <is>
          <t>Bài cảm ơn + ảnh recap; video recap (nếu có)</t>
        </is>
      </c>
      <c r="F60" s="26" t="inlineStr">
        <is>
          <t>Digital (ví dụ)</t>
        </is>
      </c>
      <c r="G60" s="13" t="inlineStr"/>
      <c r="H60" s="12">
        <f>IF(OR(B60="",O60=""),"",IF(O60&gt;0,IF(P60="Làm việc",WORKDAY(IFERROR(IF(INDEX(SK_D,MATCH(M60,SK_A,0))="",B60,INDEX(SK_D,MATCH(M60,SK_A,0))),B60),O60,HOLI),IFERROR(IF(INDEX(SK_D,MATCH(M60,SK_A,0))="",B60,INDEX(SK_D,MATCH(M60,SK_A,0))),B60)+O60),B60+O60))</f>
        <v/>
      </c>
      <c r="I60" s="13" t="inlineStr">
        <is>
          <t>Chưa làm</t>
        </is>
      </c>
      <c r="J60" s="12" t="n"/>
      <c r="K60" s="11" t="n"/>
      <c r="L60" s="27">
        <f>IF(E60="","",IF(I60="Bỏ qua","—",IF(I60="Xong",IF(AND(ISNUMBER(J60),ISNUMBER(H60),J60&gt;H60),"Xong trễ","Xong"),IF(F60="","CHƯA GIAO","")&amp;IF(NOT(ISNUMBER(H60)),"",IF(TODAY()&gt;H60,IF(F60=""," · ","")&amp;"QUÁ HẠN "&amp;(TODAY()-H60)&amp;" ngày",IF(H60-TODAY()&lt;=3,IF(F60=""," · ","")&amp;"Đến hạn "&amp;IF(H60=TODAY(),"hôm nay","trong "&amp;(H60-TODAY())&amp;" ngày"),""))))))</f>
        <v/>
      </c>
      <c r="M60" t="inlineStr">
        <is>
          <t>VD-2</t>
        </is>
      </c>
      <c r="N60" t="inlineStr">
        <is>
          <t>K26</t>
        </is>
      </c>
      <c r="O60" t="n">
        <v>2</v>
      </c>
      <c r="P60" t="inlineStr">
        <is>
          <t>Làm việc</t>
        </is>
      </c>
      <c r="Q60">
        <f>IF(AND(E60&lt;&gt;"",R60="Có",I60&lt;&gt;"Xong",I60&lt;&gt;"Bỏ qua",ISNUMBER(H60)),H60+ROW()/100000,"")</f>
        <v/>
      </c>
      <c r="R60">
        <f>IF(M60="","",IFERROR(INDEX(SK_L,MATCH(M60,SK_A,0)),""))</f>
        <v/>
      </c>
    </row>
    <row r="61">
      <c r="A61" s="11">
        <f>IF(M61="","",IFERROR(INDEX(SK_B,MATCH(M61,SK_A,0))&amp;"",""))</f>
        <v/>
      </c>
      <c r="B61" s="24">
        <f>IF(M61="","",IFERROR(INDEX(SK_C,MATCH(M61,SK_A,0)),""))</f>
        <v/>
      </c>
      <c r="C61" s="25">
        <f>IF(O61="","",IF(O61=0,"D",IF(O61&lt;0,"D"&amp;O61,"D+"&amp;O61)))</f>
        <v/>
      </c>
      <c r="D61" s="13" t="inlineStr">
        <is>
          <t>10. Sau sự kiện</t>
        </is>
      </c>
      <c r="E61" s="11" t="inlineStr">
        <is>
          <t>Scan biểu mẫu ký tay + upload ảnh / video lên folder sự kiện</t>
        </is>
      </c>
      <c r="F61" s="26" t="inlineStr">
        <is>
          <t>Trade (ví dụ)</t>
        </is>
      </c>
      <c r="G61" s="13" t="inlineStr">
        <is>
          <t>Digital MKT</t>
        </is>
      </c>
      <c r="H61" s="12">
        <f>IF(OR(B61="",O61=""),"",IF(O61&gt;0,IF(P61="Làm việc",WORKDAY(IFERROR(IF(INDEX(SK_D,MATCH(M61,SK_A,0))="",B61,INDEX(SK_D,MATCH(M61,SK_A,0))),B61),O61,HOLI),IFERROR(IF(INDEX(SK_D,MATCH(M61,SK_A,0))="",B61,INDEX(SK_D,MATCH(M61,SK_A,0))),B61)+O61),B61+O61))</f>
        <v/>
      </c>
      <c r="I61" s="13" t="inlineStr">
        <is>
          <t>Chưa làm</t>
        </is>
      </c>
      <c r="J61" s="12" t="n"/>
      <c r="K61" s="11" t="n"/>
      <c r="L61" s="27">
        <f>IF(E61="","",IF(I61="Bỏ qua","—",IF(I61="Xong",IF(AND(ISNUMBER(J61),ISNUMBER(H61),J61&gt;H61),"Xong trễ","Xong"),IF(F61="","CHƯA GIAO","")&amp;IF(NOT(ISNUMBER(H61)),"",IF(TODAY()&gt;H61,IF(F61=""," · ","")&amp;"QUÁ HẠN "&amp;(TODAY()-H61)&amp;" ngày",IF(H61-TODAY()&lt;=3,IF(F61=""," · ","")&amp;"Đến hạn "&amp;IF(H61=TODAY(),"hôm nay","trong "&amp;(H61-TODAY())&amp;" ngày"),""))))))</f>
        <v/>
      </c>
      <c r="M61" t="inlineStr">
        <is>
          <t>VD-2</t>
        </is>
      </c>
      <c r="N61" t="inlineStr">
        <is>
          <t>K27</t>
        </is>
      </c>
      <c r="O61" t="n">
        <v>2</v>
      </c>
      <c r="P61" t="inlineStr">
        <is>
          <t>Làm việc</t>
        </is>
      </c>
      <c r="Q61">
        <f>IF(AND(E61&lt;&gt;"",R61="Có",I61&lt;&gt;"Xong",I61&lt;&gt;"Bỏ qua",ISNUMBER(H61)),H61+ROW()/100000,"")</f>
        <v/>
      </c>
      <c r="R61">
        <f>IF(M61="","",IFERROR(INDEX(SK_L,MATCH(M61,SK_A,0)),""))</f>
        <v/>
      </c>
    </row>
    <row r="62">
      <c r="A62" s="11">
        <f>IF(M62="","",IFERROR(INDEX(SK_B,MATCH(M62,SK_A,0))&amp;"",""))</f>
        <v/>
      </c>
      <c r="B62" s="24">
        <f>IF(M62="","",IFERROR(INDEX(SK_C,MATCH(M62,SK_A,0)),""))</f>
        <v/>
      </c>
      <c r="C62" s="25">
        <f>IF(O62="","",IF(O62=0,"D",IF(O62&lt;0,"D"&amp;O62,"D+"&amp;O62)))</f>
        <v/>
      </c>
      <c r="D62" s="13" t="inlineStr">
        <is>
          <t>10. Sau sự kiện</t>
        </is>
      </c>
      <c r="E62" s="11" t="inlineStr">
        <is>
          <t>Đối chiếu dữ liệu khách (loại trùng, đủ trường) ⇒ CUSTOMER LIST; tổng hợp khảo sát</t>
        </is>
      </c>
      <c r="F62" s="26" t="inlineStr">
        <is>
          <t>Digital (ví dụ)</t>
        </is>
      </c>
      <c r="G62" s="13" t="inlineStr">
        <is>
          <t>Sales, NPP</t>
        </is>
      </c>
      <c r="H62" s="12">
        <f>IF(OR(B62="",O62=""),"",IF(O62&gt;0,IF(P62="Làm việc",WORKDAY(IFERROR(IF(INDEX(SK_D,MATCH(M62,SK_A,0))="",B62,INDEX(SK_D,MATCH(M62,SK_A,0))),B62),O62,HOLI),IFERROR(IF(INDEX(SK_D,MATCH(M62,SK_A,0))="",B62,INDEX(SK_D,MATCH(M62,SK_A,0))),B62)+O62),B62+O62))</f>
        <v/>
      </c>
      <c r="I62" s="13" t="inlineStr">
        <is>
          <t>Chưa làm</t>
        </is>
      </c>
      <c r="J62" s="12" t="n"/>
      <c r="K62" s="11" t="n"/>
      <c r="L62" s="27">
        <f>IF(E62="","",IF(I62="Bỏ qua","—",IF(I62="Xong",IF(AND(ISNUMBER(J62),ISNUMBER(H62),J62&gt;H62),"Xong trễ","Xong"),IF(F62="","CHƯA GIAO","")&amp;IF(NOT(ISNUMBER(H62)),"",IF(TODAY()&gt;H62,IF(F62=""," · ","")&amp;"QUÁ HẠN "&amp;(TODAY()-H62)&amp;" ngày",IF(H62-TODAY()&lt;=3,IF(F62=""," · ","")&amp;"Đến hạn "&amp;IF(H62=TODAY(),"hôm nay","trong "&amp;(H62-TODAY())&amp;" ngày"),""))))))</f>
        <v/>
      </c>
      <c r="M62" t="inlineStr">
        <is>
          <t>VD-2</t>
        </is>
      </c>
      <c r="N62" t="inlineStr">
        <is>
          <t>K28</t>
        </is>
      </c>
      <c r="O62" t="n">
        <v>3</v>
      </c>
      <c r="P62" t="inlineStr">
        <is>
          <t>Làm việc</t>
        </is>
      </c>
      <c r="Q62">
        <f>IF(AND(E62&lt;&gt;"",R62="Có",I62&lt;&gt;"Xong",I62&lt;&gt;"Bỏ qua",ISNUMBER(H62)),H62+ROW()/100000,"")</f>
        <v/>
      </c>
      <c r="R62">
        <f>IF(M62="","",IFERROR(INDEX(SK_L,MATCH(M62,SK_A,0)),""))</f>
        <v/>
      </c>
    </row>
    <row r="63">
      <c r="A63" s="11">
        <f>IF(M63="","",IFERROR(INDEX(SK_B,MATCH(M63,SK_A,0))&amp;"",""))</f>
        <v/>
      </c>
      <c r="B63" s="24">
        <f>IF(M63="","",IFERROR(INDEX(SK_C,MATCH(M63,SK_A,0)),""))</f>
        <v/>
      </c>
      <c r="C63" s="25">
        <f>IF(O63="","",IF(O63=0,"D",IF(O63&lt;0,"D"&amp;O63,"D+"&amp;O63)))</f>
        <v/>
      </c>
      <c r="D63" s="13" t="inlineStr">
        <is>
          <t>10. Sau sự kiện</t>
        </is>
      </c>
      <c r="E63" s="11" t="inlineStr">
        <is>
          <t>Sales + NPP gửi số liệu bán hàng tại sự kiện</t>
        </is>
      </c>
      <c r="F63" s="26" t="inlineStr">
        <is>
          <t>Sales Dental (ví dụ)</t>
        </is>
      </c>
      <c r="G63" s="13" t="inlineStr">
        <is>
          <t>NPP</t>
        </is>
      </c>
      <c r="H63" s="12">
        <f>IF(OR(B63="",O63=""),"",IF(O63&gt;0,IF(P63="Làm việc",WORKDAY(IFERROR(IF(INDEX(SK_D,MATCH(M63,SK_A,0))="",B63,INDEX(SK_D,MATCH(M63,SK_A,0))),B63),O63,HOLI),IFERROR(IF(INDEX(SK_D,MATCH(M63,SK_A,0))="",B63,INDEX(SK_D,MATCH(M63,SK_A,0))),B63)+O63),B63+O63))</f>
        <v/>
      </c>
      <c r="I63" s="13" t="inlineStr">
        <is>
          <t>Chưa làm</t>
        </is>
      </c>
      <c r="J63" s="12" t="n"/>
      <c r="K63" s="11" t="n"/>
      <c r="L63" s="27">
        <f>IF(E63="","",IF(I63="Bỏ qua","—",IF(I63="Xong",IF(AND(ISNUMBER(J63),ISNUMBER(H63),J63&gt;H63),"Xong trễ","Xong"),IF(F63="","CHƯA GIAO","")&amp;IF(NOT(ISNUMBER(H63)),"",IF(TODAY()&gt;H63,IF(F63=""," · ","")&amp;"QUÁ HẠN "&amp;(TODAY()-H63)&amp;" ngày",IF(H63-TODAY()&lt;=3,IF(F63=""," · ","")&amp;"Đến hạn "&amp;IF(H63=TODAY(),"hôm nay","trong "&amp;(H63-TODAY())&amp;" ngày"),""))))))</f>
        <v/>
      </c>
      <c r="M63" t="inlineStr">
        <is>
          <t>VD-2</t>
        </is>
      </c>
      <c r="N63" t="inlineStr">
        <is>
          <t>K29</t>
        </is>
      </c>
      <c r="O63" t="n">
        <v>3</v>
      </c>
      <c r="P63" t="inlineStr">
        <is>
          <t>Làm việc</t>
        </is>
      </c>
      <c r="Q63">
        <f>IF(AND(E63&lt;&gt;"",R63="Có",I63&lt;&gt;"Xong",I63&lt;&gt;"Bỏ qua",ISNUMBER(H63)),H63+ROW()/100000,"")</f>
        <v/>
      </c>
      <c r="R63">
        <f>IF(M63="","",IFERROR(INDEX(SK_L,MATCH(M63,SK_A,0)),""))</f>
        <v/>
      </c>
    </row>
    <row r="64">
      <c r="A64" s="11">
        <f>IF(M64="","",IFERROR(INDEX(SK_B,MATCH(M64,SK_A,0))&amp;"",""))</f>
        <v/>
      </c>
      <c r="B64" s="24">
        <f>IF(M64="","",IFERROR(INDEX(SK_C,MATCH(M64,SK_A,0)),""))</f>
        <v/>
      </c>
      <c r="C64" s="25">
        <f>IF(O64="","",IF(O64=0,"D",IF(O64&lt;0,"D"&amp;O64,"D+"&amp;O64)))</f>
        <v/>
      </c>
      <c r="D64" s="13" t="inlineStr">
        <is>
          <t>10. Sau sự kiện</t>
        </is>
      </c>
      <c r="E64" s="11" t="inlineStr">
        <is>
          <t>Bàn giao danh sách khách cần follow-up cho Sales</t>
        </is>
      </c>
      <c r="F64" s="26" t="inlineStr">
        <is>
          <t>Digital (ví dụ)</t>
        </is>
      </c>
      <c r="G64" s="13" t="inlineStr">
        <is>
          <t>Sales</t>
        </is>
      </c>
      <c r="H64" s="12">
        <f>IF(OR(B64="",O64=""),"",IF(O64&gt;0,IF(P64="Làm việc",WORKDAY(IFERROR(IF(INDEX(SK_D,MATCH(M64,SK_A,0))="",B64,INDEX(SK_D,MATCH(M64,SK_A,0))),B64),O64,HOLI),IFERROR(IF(INDEX(SK_D,MATCH(M64,SK_A,0))="",B64,INDEX(SK_D,MATCH(M64,SK_A,0))),B64)+O64),B64+O64))</f>
        <v/>
      </c>
      <c r="I64" s="13" t="inlineStr">
        <is>
          <t>Chưa làm</t>
        </is>
      </c>
      <c r="J64" s="12" t="n"/>
      <c r="K64" s="11" t="n"/>
      <c r="L64" s="27">
        <f>IF(E64="","",IF(I64="Bỏ qua","—",IF(I64="Xong",IF(AND(ISNUMBER(J64),ISNUMBER(H64),J64&gt;H64),"Xong trễ","Xong"),IF(F64="","CHƯA GIAO","")&amp;IF(NOT(ISNUMBER(H64)),"",IF(TODAY()&gt;H64,IF(F64=""," · ","")&amp;"QUÁ HẠN "&amp;(TODAY()-H64)&amp;" ngày",IF(H64-TODAY()&lt;=3,IF(F64=""," · ","")&amp;"Đến hạn "&amp;IF(H64=TODAY(),"hôm nay","trong "&amp;(H64-TODAY())&amp;" ngày"),""))))))</f>
        <v/>
      </c>
      <c r="M64" t="inlineStr">
        <is>
          <t>VD-2</t>
        </is>
      </c>
      <c r="N64" t="inlineStr">
        <is>
          <t>K30</t>
        </is>
      </c>
      <c r="O64" t="n">
        <v>3</v>
      </c>
      <c r="P64" t="inlineStr">
        <is>
          <t>Làm việc</t>
        </is>
      </c>
      <c r="Q64">
        <f>IF(AND(E64&lt;&gt;"",R64="Có",I64&lt;&gt;"Xong",I64&lt;&gt;"Bỏ qua",ISNUMBER(H64)),H64+ROW()/100000,"")</f>
        <v/>
      </c>
      <c r="R64">
        <f>IF(M64="","",IFERROR(INDEX(SK_L,MATCH(M64,SK_A,0)),""))</f>
        <v/>
      </c>
    </row>
    <row r="65">
      <c r="A65" s="11">
        <f>IF(M65="","",IFERROR(INDEX(SK_B,MATCH(M65,SK_A,0))&amp;"",""))</f>
        <v/>
      </c>
      <c r="B65" s="24">
        <f>IF(M65="","",IFERROR(INDEX(SK_C,MATCH(M65,SK_A,0)),""))</f>
        <v/>
      </c>
      <c r="C65" s="25">
        <f>IF(O65="","",IF(O65=0,"D",IF(O65&lt;0,"D"&amp;O65,"D+"&amp;O65)))</f>
        <v/>
      </c>
      <c r="D65" s="13" t="inlineStr">
        <is>
          <t>10. Sau sự kiện</t>
        </is>
      </c>
      <c r="E65" s="11" t="inlineStr">
        <is>
          <t>Báo cáo sự kiện + chứng từ KOL, hoá đơn địa điểm</t>
        </is>
      </c>
      <c r="F65" s="26" t="inlineStr">
        <is>
          <t>Leader MKT (ví dụ)</t>
        </is>
      </c>
      <c r="G65" s="13" t="inlineStr">
        <is>
          <t>Trade MKT</t>
        </is>
      </c>
      <c r="H65" s="12">
        <f>IF(OR(B65="",O65=""),"",IF(O65&gt;0,IF(P65="Làm việc",WORKDAY(IFERROR(IF(INDEX(SK_D,MATCH(M65,SK_A,0))="",B65,INDEX(SK_D,MATCH(M65,SK_A,0))),B65),O65,HOLI),IFERROR(IF(INDEX(SK_D,MATCH(M65,SK_A,0))="",B65,INDEX(SK_D,MATCH(M65,SK_A,0))),B65)+O65),B65+O65))</f>
        <v/>
      </c>
      <c r="I65" s="13" t="inlineStr">
        <is>
          <t>Chưa làm</t>
        </is>
      </c>
      <c r="J65" s="12" t="n"/>
      <c r="K65" s="11" t="n"/>
      <c r="L65" s="27">
        <f>IF(E65="","",IF(I65="Bỏ qua","—",IF(I65="Xong",IF(AND(ISNUMBER(J65),ISNUMBER(H65),J65&gt;H65),"Xong trễ","Xong"),IF(F65="","CHƯA GIAO","")&amp;IF(NOT(ISNUMBER(H65)),"",IF(TODAY()&gt;H65,IF(F65=""," · ","")&amp;"QUÁ HẠN "&amp;(TODAY()-H65)&amp;" ngày",IF(H65-TODAY()&lt;=3,IF(F65=""," · ","")&amp;"Đến hạn "&amp;IF(H65=TODAY(),"hôm nay","trong "&amp;(H65-TODAY())&amp;" ngày"),""))))))</f>
        <v/>
      </c>
      <c r="M65" t="inlineStr">
        <is>
          <t>VD-2</t>
        </is>
      </c>
      <c r="N65" t="inlineStr">
        <is>
          <t>K31</t>
        </is>
      </c>
      <c r="O65" t="n">
        <v>5</v>
      </c>
      <c r="P65" t="inlineStr">
        <is>
          <t>Làm việc</t>
        </is>
      </c>
      <c r="Q65">
        <f>IF(AND(E65&lt;&gt;"",R65="Có",I65&lt;&gt;"Xong",I65&lt;&gt;"Bỏ qua",ISNUMBER(H65)),H65+ROW()/100000,"")</f>
        <v/>
      </c>
      <c r="R65">
        <f>IF(M65="","",IFERROR(INDEX(SK_L,MATCH(M65,SK_A,0)),""))</f>
        <v/>
      </c>
    </row>
    <row r="66">
      <c r="A66" s="11">
        <f>IF(M66="","",IFERROR(INDEX(SK_B,MATCH(M66,SK_A,0))&amp;"",""))</f>
        <v/>
      </c>
      <c r="B66" s="24">
        <f>IF(M66="","",IFERROR(INDEX(SK_C,MATCH(M66,SK_A,0)),""))</f>
        <v/>
      </c>
      <c r="C66" s="25">
        <f>IF(O66="","",IF(O66=0,"D",IF(O66&lt;0,"D"&amp;O66,"D+"&amp;O66)))</f>
        <v/>
      </c>
      <c r="D66" s="13" t="inlineStr">
        <is>
          <t>10. Sau sự kiện</t>
        </is>
      </c>
      <c r="E66" s="11" t="inlineStr">
        <is>
          <t>Email báo cáo toàn MMH (4 file đính kèm) + hoàn tất lưu hồ sơ</t>
        </is>
      </c>
      <c r="F66" s="26" t="inlineStr">
        <is>
          <t>Leader MKT (ví dụ)</t>
        </is>
      </c>
      <c r="G66" s="13" t="inlineStr"/>
      <c r="H66" s="12">
        <f>IF(OR(B66="",O66=""),"",IF(O66&gt;0,IF(P66="Làm việc",WORKDAY(IFERROR(IF(INDEX(SK_D,MATCH(M66,SK_A,0))="",B66,INDEX(SK_D,MATCH(M66,SK_A,0))),B66),O66,HOLI),IFERROR(IF(INDEX(SK_D,MATCH(M66,SK_A,0))="",B66,INDEX(SK_D,MATCH(M66,SK_A,0))),B66)+O66),B66+O66))</f>
        <v/>
      </c>
      <c r="I66" s="13" t="inlineStr">
        <is>
          <t>Chưa làm</t>
        </is>
      </c>
      <c r="J66" s="12" t="n"/>
      <c r="K66" s="11" t="n"/>
      <c r="L66" s="27">
        <f>IF(E66="","",IF(I66="Bỏ qua","—",IF(I66="Xong",IF(AND(ISNUMBER(J66),ISNUMBER(H66),J66&gt;H66),"Xong trễ","Xong"),IF(F66="","CHƯA GIAO","")&amp;IF(NOT(ISNUMBER(H66)),"",IF(TODAY()&gt;H66,IF(F66=""," · ","")&amp;"QUÁ HẠN "&amp;(TODAY()-H66)&amp;" ngày",IF(H66-TODAY()&lt;=3,IF(F66=""," · ","")&amp;"Đến hạn "&amp;IF(H66=TODAY(),"hôm nay","trong "&amp;(H66-TODAY())&amp;" ngày"),""))))))</f>
        <v/>
      </c>
      <c r="M66" t="inlineStr">
        <is>
          <t>VD-2</t>
        </is>
      </c>
      <c r="N66" t="inlineStr">
        <is>
          <t>K32</t>
        </is>
      </c>
      <c r="O66" t="n">
        <v>7</v>
      </c>
      <c r="P66" t="inlineStr">
        <is>
          <t>Làm việc</t>
        </is>
      </c>
      <c r="Q66">
        <f>IF(AND(E66&lt;&gt;"",R66="Có",I66&lt;&gt;"Xong",I66&lt;&gt;"Bỏ qua",ISNUMBER(H66)),H66+ROW()/100000,"")</f>
        <v/>
      </c>
      <c r="R66">
        <f>IF(M66="","",IFERROR(INDEX(SK_L,MATCH(M66,SK_A,0)),""))</f>
        <v/>
      </c>
    </row>
    <row r="67">
      <c r="A67" s="11">
        <f>IF(M67="","",IFERROR(INDEX(SK_B,MATCH(M67,SK_A,0))&amp;"",""))</f>
        <v/>
      </c>
      <c r="B67" s="24">
        <f>IF(M67="","",IFERROR(INDEX(SK_C,MATCH(M67,SK_A,0)),""))</f>
        <v/>
      </c>
      <c r="C67" s="25">
        <f>IF(O67="","",IF(O67=0,"D",IF(O67&lt;0,"D"&amp;O67,"D+"&amp;O67)))</f>
        <v/>
      </c>
      <c r="D67" s="13" t="inlineStr">
        <is>
          <t>11. Follow-up</t>
        </is>
      </c>
      <c r="E67" s="11" t="inlineStr">
        <is>
          <t>Sales liên hệ lần đầu khách cần follow-up</t>
        </is>
      </c>
      <c r="F67" s="26" t="inlineStr">
        <is>
          <t>Sales Dental (ví dụ)</t>
        </is>
      </c>
      <c r="G67" s="13" t="inlineStr">
        <is>
          <t>NPP</t>
        </is>
      </c>
      <c r="H67" s="12">
        <f>IF(OR(B67="",O67=""),"",IF(O67&gt;0,IF(P67="Làm việc",WORKDAY(IFERROR(IF(INDEX(SK_D,MATCH(M67,SK_A,0))="",B67,INDEX(SK_D,MATCH(M67,SK_A,0))),B67),O67,HOLI),IFERROR(IF(INDEX(SK_D,MATCH(M67,SK_A,0))="",B67,INDEX(SK_D,MATCH(M67,SK_A,0))),B67)+O67),B67+O67))</f>
        <v/>
      </c>
      <c r="I67" s="13" t="inlineStr">
        <is>
          <t>Chưa làm</t>
        </is>
      </c>
      <c r="J67" s="12" t="n"/>
      <c r="K67" s="11" t="n"/>
      <c r="L67" s="27">
        <f>IF(E67="","",IF(I67="Bỏ qua","—",IF(I67="Xong",IF(AND(ISNUMBER(J67),ISNUMBER(H67),J67&gt;H67),"Xong trễ","Xong"),IF(F67="","CHƯA GIAO","")&amp;IF(NOT(ISNUMBER(H67)),"",IF(TODAY()&gt;H67,IF(F67=""," · ","")&amp;"QUÁ HẠN "&amp;(TODAY()-H67)&amp;" ngày",IF(H67-TODAY()&lt;=3,IF(F67=""," · ","")&amp;"Đến hạn "&amp;IF(H67=TODAY(),"hôm nay","trong "&amp;(H67-TODAY())&amp;" ngày"),""))))))</f>
        <v/>
      </c>
      <c r="M67" t="inlineStr">
        <is>
          <t>VD-2</t>
        </is>
      </c>
      <c r="N67" t="inlineStr">
        <is>
          <t>K33</t>
        </is>
      </c>
      <c r="O67" t="n">
        <v>5</v>
      </c>
      <c r="P67" t="inlineStr">
        <is>
          <t>Làm việc</t>
        </is>
      </c>
      <c r="Q67">
        <f>IF(AND(E67&lt;&gt;"",R67="Có",I67&lt;&gt;"Xong",I67&lt;&gt;"Bỏ qua",ISNUMBER(H67)),H67+ROW()/100000,"")</f>
        <v/>
      </c>
      <c r="R67">
        <f>IF(M67="","",IFERROR(INDEX(SK_L,MATCH(M67,SK_A,0)),""))</f>
        <v/>
      </c>
    </row>
    <row r="68">
      <c r="A68" s="11">
        <f>IF(M68="","",IFERROR(INDEX(SK_B,MATCH(M68,SK_A,0))&amp;"",""))</f>
        <v/>
      </c>
      <c r="B68" s="24">
        <f>IF(M68="","",IFERROR(INDEX(SK_C,MATCH(M68,SK_A,0)),""))</f>
        <v/>
      </c>
      <c r="C68" s="25">
        <f>IF(O68="","",IF(O68=0,"D",IF(O68&lt;0,"D"&amp;O68,"D+"&amp;O68)))</f>
        <v/>
      </c>
      <c r="D68" s="13" t="inlineStr">
        <is>
          <t>11. Follow-up</t>
        </is>
      </c>
      <c r="E68" s="11" t="inlineStr">
        <is>
          <t>Sales báo kết quả chuyển đổi đơn hàng</t>
        </is>
      </c>
      <c r="F68" s="26" t="inlineStr">
        <is>
          <t>Sales Dental (ví dụ)</t>
        </is>
      </c>
      <c r="G68" s="13" t="inlineStr">
        <is>
          <t>NPP</t>
        </is>
      </c>
      <c r="H68" s="12">
        <f>IF(OR(B68="",O68=""),"",IF(O68&gt;0,IF(P68="Làm việc",WORKDAY(IFERROR(IF(INDEX(SK_D,MATCH(M68,SK_A,0))="",B68,INDEX(SK_D,MATCH(M68,SK_A,0))),B68),O68,HOLI),IFERROR(IF(INDEX(SK_D,MATCH(M68,SK_A,0))="",B68,INDEX(SK_D,MATCH(M68,SK_A,0))),B68)+O68),B68+O68))</f>
        <v/>
      </c>
      <c r="I68" s="13" t="inlineStr">
        <is>
          <t>Chưa làm</t>
        </is>
      </c>
      <c r="J68" s="12" t="n"/>
      <c r="K68" s="11" t="n"/>
      <c r="L68" s="27">
        <f>IF(E68="","",IF(I68="Bỏ qua","—",IF(I68="Xong",IF(AND(ISNUMBER(J68),ISNUMBER(H68),J68&gt;H68),"Xong trễ","Xong"),IF(F68="","CHƯA GIAO","")&amp;IF(NOT(ISNUMBER(H68)),"",IF(TODAY()&gt;H68,IF(F68=""," · ","")&amp;"QUÁ HẠN "&amp;(TODAY()-H68)&amp;" ngày",IF(H68-TODAY()&lt;=3,IF(F68=""," · ","")&amp;"Đến hạn "&amp;IF(H68=TODAY(),"hôm nay","trong "&amp;(H68-TODAY())&amp;" ngày"),""))))))</f>
        <v/>
      </c>
      <c r="M68" t="inlineStr">
        <is>
          <t>VD-2</t>
        </is>
      </c>
      <c r="N68" t="inlineStr">
        <is>
          <t>K34</t>
        </is>
      </c>
      <c r="O68" t="n">
        <v>20</v>
      </c>
      <c r="P68" t="inlineStr">
        <is>
          <t>Làm việc</t>
        </is>
      </c>
      <c r="Q68">
        <f>IF(AND(E68&lt;&gt;"",R68="Có",I68&lt;&gt;"Xong",I68&lt;&gt;"Bỏ qua",ISNUMBER(H68)),H68+ROW()/100000,"")</f>
        <v/>
      </c>
      <c r="R68">
        <f>IF(M68="","",IFERROR(INDEX(SK_L,MATCH(M68,SK_A,0)),""))</f>
        <v/>
      </c>
    </row>
    <row r="69">
      <c r="A69" s="11">
        <f>IF(M69="","",IFERROR(INDEX(SK_B,MATCH(M69,SK_A,0))&amp;"",""))</f>
        <v/>
      </c>
      <c r="B69" s="24">
        <f>IF(M69="","",IFERROR(INDEX(SK_C,MATCH(M69,SK_A,0)),""))</f>
        <v/>
      </c>
      <c r="C69" s="25">
        <f>IF(O69="","",IF(O69=0,"D",IF(O69&lt;0,"D"&amp;O69,"D+"&amp;O69)))</f>
        <v/>
      </c>
      <c r="D69" s="13" t="inlineStr">
        <is>
          <t>1. Kế hoạch</t>
        </is>
      </c>
      <c r="E69" s="11" t="inlineStr">
        <is>
          <t>Lập kế hoạch tổng quan (KOL, số khách, mục đích, KPI bán hàng, khuyến mại, khảo sát) + xin Giám đốc duyệt ngân sách</t>
        </is>
      </c>
      <c r="F69" s="26" t="inlineStr">
        <is>
          <t>Leader MKT (ví dụ)</t>
        </is>
      </c>
      <c r="G69" s="13" t="inlineStr">
        <is>
          <t>Sales, NPP</t>
        </is>
      </c>
      <c r="H69" s="12">
        <f>IF(OR(B69="",O69=""),"",IF(O69&gt;0,IF(P69="Làm việc",WORKDAY(IFERROR(IF(INDEX(SK_D,MATCH(M69,SK_A,0))="",B69,INDEX(SK_D,MATCH(M69,SK_A,0))),B69),O69,HOLI),IFERROR(IF(INDEX(SK_D,MATCH(M69,SK_A,0))="",B69,INDEX(SK_D,MATCH(M69,SK_A,0))),B69)+O69),B69+O69))</f>
        <v/>
      </c>
      <c r="I69" s="13" t="inlineStr">
        <is>
          <t>Xong</t>
        </is>
      </c>
      <c r="J69" s="12" t="n">
        <v>46315</v>
      </c>
      <c r="K69" s="11" t="n"/>
      <c r="L69" s="27">
        <f>IF(E69="","",IF(I69="Bỏ qua","—",IF(I69="Xong",IF(AND(ISNUMBER(J69),ISNUMBER(H69),J69&gt;H69),"Xong trễ","Xong"),IF(F69="","CHƯA GIAO","")&amp;IF(NOT(ISNUMBER(H69)),"",IF(TODAY()&gt;H69,IF(F69=""," · ","")&amp;"QUÁ HẠN "&amp;(TODAY()-H69)&amp;" ngày",IF(H69-TODAY()&lt;=3,IF(F69=""," · ","")&amp;"Đến hạn "&amp;IF(H69=TODAY(),"hôm nay","trong "&amp;(H69-TODAY())&amp;" ngày"),""))))))</f>
        <v/>
      </c>
      <c r="M69" t="inlineStr">
        <is>
          <t>VD-3</t>
        </is>
      </c>
      <c r="N69" t="inlineStr">
        <is>
          <t>K01</t>
        </is>
      </c>
      <c r="O69" t="n">
        <v>-30</v>
      </c>
      <c r="P69" t="inlineStr">
        <is>
          <t>Lịch</t>
        </is>
      </c>
      <c r="Q69">
        <f>IF(AND(E69&lt;&gt;"",R69="Có",I69&lt;&gt;"Xong",I69&lt;&gt;"Bỏ qua",ISNUMBER(H69)),H69+ROW()/100000,"")</f>
        <v/>
      </c>
      <c r="R69">
        <f>IF(M69="","",IFERROR(INDEX(SK_L,MATCH(M69,SK_A,0)),""))</f>
        <v/>
      </c>
    </row>
    <row r="70">
      <c r="A70" s="11">
        <f>IF(M70="","",IFERROR(INDEX(SK_B,MATCH(M70,SK_A,0))&amp;"",""))</f>
        <v/>
      </c>
      <c r="B70" s="24">
        <f>IF(M70="","",IFERROR(INDEX(SK_C,MATCH(M70,SK_A,0)),""))</f>
        <v/>
      </c>
      <c r="C70" s="25">
        <f>IF(O70="","",IF(O70=0,"D",IF(O70&lt;0,"D"&amp;O70,"D+"&amp;O70)))</f>
        <v/>
      </c>
      <c r="D70" s="13" t="inlineStr">
        <is>
          <t>1. Kế hoạch</t>
        </is>
      </c>
      <c r="E70" s="11" t="inlineStr">
        <is>
          <t>Chia việc với NPP, Trường / Viện (tuyển sinh, đồ thực hành, MC, số bàn trưng bày)</t>
        </is>
      </c>
      <c r="F70" s="26" t="inlineStr">
        <is>
          <t>Leader MKT (ví dụ)</t>
        </is>
      </c>
      <c r="G70" s="13" t="inlineStr">
        <is>
          <t>NPP, Viện</t>
        </is>
      </c>
      <c r="H70" s="12">
        <f>IF(OR(B70="",O70=""),"",IF(O70&gt;0,IF(P70="Làm việc",WORKDAY(IFERROR(IF(INDEX(SK_D,MATCH(M70,SK_A,0))="",B70,INDEX(SK_D,MATCH(M70,SK_A,0))),B70),O70,HOLI),IFERROR(IF(INDEX(SK_D,MATCH(M70,SK_A,0))="",B70,INDEX(SK_D,MATCH(M70,SK_A,0))),B70)+O70),B70+O70))</f>
        <v/>
      </c>
      <c r="I70" s="13" t="inlineStr">
        <is>
          <t>Xong</t>
        </is>
      </c>
      <c r="J70" s="12" t="n">
        <v>46316</v>
      </c>
      <c r="K70" s="11" t="n"/>
      <c r="L70" s="27">
        <f>IF(E70="","",IF(I70="Bỏ qua","—",IF(I70="Xong",IF(AND(ISNUMBER(J70),ISNUMBER(H70),J70&gt;H70),"Xong trễ","Xong"),IF(F70="","CHƯA GIAO","")&amp;IF(NOT(ISNUMBER(H70)),"",IF(TODAY()&gt;H70,IF(F70=""," · ","")&amp;"QUÁ HẠN "&amp;(TODAY()-H70)&amp;" ngày",IF(H70-TODAY()&lt;=3,IF(F70=""," · ","")&amp;"Đến hạn "&amp;IF(H70=TODAY(),"hôm nay","trong "&amp;(H70-TODAY())&amp;" ngày"),""))))))</f>
        <v/>
      </c>
      <c r="M70" t="inlineStr">
        <is>
          <t>VD-3</t>
        </is>
      </c>
      <c r="N70" t="inlineStr">
        <is>
          <t>K02</t>
        </is>
      </c>
      <c r="O70" t="n">
        <v>-30</v>
      </c>
      <c r="P70" t="inlineStr">
        <is>
          <t>Lịch</t>
        </is>
      </c>
      <c r="Q70">
        <f>IF(AND(E70&lt;&gt;"",R70="Có",I70&lt;&gt;"Xong",I70&lt;&gt;"Bỏ qua",ISNUMBER(H70)),H70+ROW()/100000,"")</f>
        <v/>
      </c>
      <c r="R70">
        <f>IF(M70="","",IFERROR(INDEX(SK_L,MATCH(M70,SK_A,0)),""))</f>
        <v/>
      </c>
    </row>
    <row r="71">
      <c r="A71" s="11">
        <f>IF(M71="","",IFERROR(INDEX(SK_B,MATCH(M71,SK_A,0))&amp;"",""))</f>
        <v/>
      </c>
      <c r="B71" s="24">
        <f>IF(M71="","",IFERROR(INDEX(SK_C,MATCH(M71,SK_A,0)),""))</f>
        <v/>
      </c>
      <c r="C71" s="25">
        <f>IF(O71="","",IF(O71=0,"D",IF(O71&lt;0,"D"&amp;O71,"D+"&amp;O71)))</f>
        <v/>
      </c>
      <c r="D71" s="13" t="inlineStr">
        <is>
          <t>2. KOL &amp; đối tác</t>
        </is>
      </c>
      <c r="E71" s="11" t="inlineStr">
        <is>
          <t>Chốt KOL: hợp đồng, lịch di chuyển, xem trước bài giảng, người chăm sóc KOL</t>
        </is>
      </c>
      <c r="F71" s="26" t="inlineStr">
        <is>
          <t>Leader MKT (ví dụ)</t>
        </is>
      </c>
      <c r="G71" s="13" t="inlineStr">
        <is>
          <t>KOL</t>
        </is>
      </c>
      <c r="H71" s="12">
        <f>IF(OR(B71="",O71=""),"",IF(O71&gt;0,IF(P71="Làm việc",WORKDAY(IFERROR(IF(INDEX(SK_D,MATCH(M71,SK_A,0))="",B71,INDEX(SK_D,MATCH(M71,SK_A,0))),B71),O71,HOLI),IFERROR(IF(INDEX(SK_D,MATCH(M71,SK_A,0))="",B71,INDEX(SK_D,MATCH(M71,SK_A,0))),B71)+O71),B71+O71))</f>
        <v/>
      </c>
      <c r="I71" s="13" t="inlineStr">
        <is>
          <t>Xong</t>
        </is>
      </c>
      <c r="J71" s="12" t="n">
        <v>46316</v>
      </c>
      <c r="K71" s="11" t="n"/>
      <c r="L71" s="27">
        <f>IF(E71="","",IF(I71="Bỏ qua","—",IF(I71="Xong",IF(AND(ISNUMBER(J71),ISNUMBER(H71),J71&gt;H71),"Xong trễ","Xong"),IF(F71="","CHƯA GIAO","")&amp;IF(NOT(ISNUMBER(H71)),"",IF(TODAY()&gt;H71,IF(F71=""," · ","")&amp;"QUÁ HẠN "&amp;(TODAY()-H71)&amp;" ngày",IF(H71-TODAY()&lt;=3,IF(F71=""," · ","")&amp;"Đến hạn "&amp;IF(H71=TODAY(),"hôm nay","trong "&amp;(H71-TODAY())&amp;" ngày"),""))))))</f>
        <v/>
      </c>
      <c r="M71" t="inlineStr">
        <is>
          <t>VD-3</t>
        </is>
      </c>
      <c r="N71" t="inlineStr">
        <is>
          <t>K03</t>
        </is>
      </c>
      <c r="O71" t="n">
        <v>-30</v>
      </c>
      <c r="P71" t="inlineStr">
        <is>
          <t>Lịch</t>
        </is>
      </c>
      <c r="Q71">
        <f>IF(AND(E71&lt;&gt;"",R71="Có",I71&lt;&gt;"Xong",I71&lt;&gt;"Bỏ qua",ISNUMBER(H71)),H71+ROW()/100000,"")</f>
        <v/>
      </c>
      <c r="R71">
        <f>IF(M71="","",IFERROR(INDEX(SK_L,MATCH(M71,SK_A,0)),""))</f>
        <v/>
      </c>
    </row>
    <row r="72">
      <c r="A72" s="11">
        <f>IF(M72="","",IFERROR(INDEX(SK_B,MATCH(M72,SK_A,0))&amp;"",""))</f>
        <v/>
      </c>
      <c r="B72" s="24">
        <f>IF(M72="","",IFERROR(INDEX(SK_C,MATCH(M72,SK_A,0)),""))</f>
        <v/>
      </c>
      <c r="C72" s="25">
        <f>IF(O72="","",IF(O72=0,"D",IF(O72&lt;0,"D"&amp;O72,"D+"&amp;O72)))</f>
        <v/>
      </c>
      <c r="D72" s="13" t="inlineStr">
        <is>
          <t>3. Tuyển sinh</t>
        </is>
      </c>
      <c r="E72" s="11" t="inlineStr">
        <is>
          <t>Mở tuyển sinh: form đăng ký (khảo sát trước, đồng ý dữ liệu, nguồn đăng ký) + nhóm Zalo khách</t>
        </is>
      </c>
      <c r="F72" s="26" t="inlineStr">
        <is>
          <t>Digital (ví dụ)</t>
        </is>
      </c>
      <c r="G72" s="13" t="inlineStr">
        <is>
          <t>Sales, NPP</t>
        </is>
      </c>
      <c r="H72" s="12">
        <f>IF(OR(B72="",O72=""),"",IF(O72&gt;0,IF(P72="Làm việc",WORKDAY(IFERROR(IF(INDEX(SK_D,MATCH(M72,SK_A,0))="",B72,INDEX(SK_D,MATCH(M72,SK_A,0))),B72),O72,HOLI),IFERROR(IF(INDEX(SK_D,MATCH(M72,SK_A,0))="",B72,INDEX(SK_D,MATCH(M72,SK_A,0))),B72)+O72),B72+O72))</f>
        <v/>
      </c>
      <c r="I72" s="13" t="inlineStr">
        <is>
          <t>Xong</t>
        </is>
      </c>
      <c r="J72" s="12" t="n">
        <v>46317</v>
      </c>
      <c r="K72" s="11" t="n"/>
      <c r="L72" s="27">
        <f>IF(E72="","",IF(I72="Bỏ qua","—",IF(I72="Xong",IF(AND(ISNUMBER(J72),ISNUMBER(H72),J72&gt;H72),"Xong trễ","Xong"),IF(F72="","CHƯA GIAO","")&amp;IF(NOT(ISNUMBER(H72)),"",IF(TODAY()&gt;H72,IF(F72=""," · ","")&amp;"QUÁ HẠN "&amp;(TODAY()-H72)&amp;" ngày",IF(H72-TODAY()&lt;=3,IF(F72=""," · ","")&amp;"Đến hạn "&amp;IF(H72=TODAY(),"hôm nay","trong "&amp;(H72-TODAY())&amp;" ngày"),""))))))</f>
        <v/>
      </c>
      <c r="M72" t="inlineStr">
        <is>
          <t>VD-3</t>
        </is>
      </c>
      <c r="N72" t="inlineStr">
        <is>
          <t>K04</t>
        </is>
      </c>
      <c r="O72" t="n">
        <v>-30</v>
      </c>
      <c r="P72" t="inlineStr">
        <is>
          <t>Lịch</t>
        </is>
      </c>
      <c r="Q72">
        <f>IF(AND(E72&lt;&gt;"",R72="Có",I72&lt;&gt;"Xong",I72&lt;&gt;"Bỏ qua",ISNUMBER(H72)),H72+ROW()/100000,"")</f>
        <v/>
      </c>
      <c r="R72">
        <f>IF(M72="","",IFERROR(INDEX(SK_L,MATCH(M72,SK_A,0)),""))</f>
        <v/>
      </c>
    </row>
    <row r="73">
      <c r="A73" s="11">
        <f>IF(M73="","",IFERROR(INDEX(SK_B,MATCH(M73,SK_A,0))&amp;"",""))</f>
        <v/>
      </c>
      <c r="B73" s="24">
        <f>IF(M73="","",IFERROR(INDEX(SK_C,MATCH(M73,SK_A,0)),""))</f>
        <v/>
      </c>
      <c r="C73" s="25">
        <f>IF(O73="","",IF(O73=0,"D",IF(O73&lt;0,"D"&amp;O73,"D+"&amp;O73)))</f>
        <v/>
      </c>
      <c r="D73" s="13" t="inlineStr">
        <is>
          <t>3. Tuyển sinh</t>
        </is>
      </c>
      <c r="E73" s="11" t="inlineStr">
        <is>
          <t>Báo cáo số đăng ký theo nguồn cho team (thứ Hai hằng tuần, đến D-1)</t>
        </is>
      </c>
      <c r="F73" s="26" t="inlineStr">
        <is>
          <t>Leader MKT (ví dụ)</t>
        </is>
      </c>
      <c r="G73" s="13" t="inlineStr">
        <is>
          <t>Sales, NPP</t>
        </is>
      </c>
      <c r="H73" s="12">
        <f>IF(OR(B73="",O73=""),"",IF(O73&gt;0,IF(P73="Làm việc",WORKDAY(IFERROR(IF(INDEX(SK_D,MATCH(M73,SK_A,0))="",B73,INDEX(SK_D,MATCH(M73,SK_A,0))),B73),O73,HOLI),IFERROR(IF(INDEX(SK_D,MATCH(M73,SK_A,0))="",B73,INDEX(SK_D,MATCH(M73,SK_A,0))),B73)+O73),B73+O73))</f>
        <v/>
      </c>
      <c r="I73" s="13" t="inlineStr">
        <is>
          <t>Chưa làm</t>
        </is>
      </c>
      <c r="J73" s="12" t="n"/>
      <c r="K73" s="11" t="n"/>
      <c r="L73" s="27">
        <f>IF(E73="","",IF(I73="Bỏ qua","—",IF(I73="Xong",IF(AND(ISNUMBER(J73),ISNUMBER(H73),J73&gt;H73),"Xong trễ","Xong"),IF(F73="","CHƯA GIAO","")&amp;IF(NOT(ISNUMBER(H73)),"",IF(TODAY()&gt;H73,IF(F73=""," · ","")&amp;"QUÁ HẠN "&amp;(TODAY()-H73)&amp;" ngày",IF(H73-TODAY()&lt;=3,IF(F73=""," · ","")&amp;"Đến hạn "&amp;IF(H73=TODAY(),"hôm nay","trong "&amp;(H73-TODAY())&amp;" ngày"),""))))))</f>
        <v/>
      </c>
      <c r="M73" t="inlineStr">
        <is>
          <t>VD-3</t>
        </is>
      </c>
      <c r="N73" t="inlineStr">
        <is>
          <t>K05</t>
        </is>
      </c>
      <c r="O73" t="n">
        <v>-1</v>
      </c>
      <c r="P73" t="inlineStr">
        <is>
          <t>Lịch</t>
        </is>
      </c>
      <c r="Q73">
        <f>IF(AND(E73&lt;&gt;"",R73="Có",I73&lt;&gt;"Xong",I73&lt;&gt;"Bỏ qua",ISNUMBER(H73)),H73+ROW()/100000,"")</f>
        <v/>
      </c>
      <c r="R73">
        <f>IF(M73="","",IFERROR(INDEX(SK_L,MATCH(M73,SK_A,0)),""))</f>
        <v/>
      </c>
    </row>
    <row r="74">
      <c r="A74" s="11">
        <f>IF(M74="","",IFERROR(INDEX(SK_B,MATCH(M74,SK_A,0))&amp;"",""))</f>
        <v/>
      </c>
      <c r="B74" s="24">
        <f>IF(M74="","",IFERROR(INDEX(SK_C,MATCH(M74,SK_A,0)),""))</f>
        <v/>
      </c>
      <c r="C74" s="25">
        <f>IF(O74="","",IF(O74=0,"D",IF(O74&lt;0,"D"&amp;O74,"D+"&amp;O74)))</f>
        <v/>
      </c>
      <c r="D74" s="13" t="inlineStr">
        <is>
          <t>3. Tuyển sinh</t>
        </is>
      </c>
      <c r="E74" s="11" t="inlineStr">
        <is>
          <t>Checkpoint D-14: đăng ký &lt; 60% target ⇒ báo Giám đốc phương án</t>
        </is>
      </c>
      <c r="F74" s="26" t="inlineStr">
        <is>
          <t>Leader MKT (ví dụ)</t>
        </is>
      </c>
      <c r="G74" s="13" t="inlineStr">
        <is>
          <t>Giám đốc</t>
        </is>
      </c>
      <c r="H74" s="12">
        <f>IF(OR(B74="",O74=""),"",IF(O74&gt;0,IF(P74="Làm việc",WORKDAY(IFERROR(IF(INDEX(SK_D,MATCH(M74,SK_A,0))="",B74,INDEX(SK_D,MATCH(M74,SK_A,0))),B74),O74,HOLI),IFERROR(IF(INDEX(SK_D,MATCH(M74,SK_A,0))="",B74,INDEX(SK_D,MATCH(M74,SK_A,0))),B74)+O74),B74+O74))</f>
        <v/>
      </c>
      <c r="I74" s="13" t="inlineStr">
        <is>
          <t>Chờ đối tác</t>
        </is>
      </c>
      <c r="J74" s="12" t="n"/>
      <c r="K74" s="11" t="n"/>
      <c r="L74" s="27">
        <f>IF(E74="","",IF(I74="Bỏ qua","—",IF(I74="Xong",IF(AND(ISNUMBER(J74),ISNUMBER(H74),J74&gt;H74),"Xong trễ","Xong"),IF(F74="","CHƯA GIAO","")&amp;IF(NOT(ISNUMBER(H74)),"",IF(TODAY()&gt;H74,IF(F74=""," · ","")&amp;"QUÁ HẠN "&amp;(TODAY()-H74)&amp;" ngày",IF(H74-TODAY()&lt;=3,IF(F74=""," · ","")&amp;"Đến hạn "&amp;IF(H74=TODAY(),"hôm nay","trong "&amp;(H74-TODAY())&amp;" ngày"),""))))))</f>
        <v/>
      </c>
      <c r="M74" t="inlineStr">
        <is>
          <t>VD-3</t>
        </is>
      </c>
      <c r="N74" t="inlineStr">
        <is>
          <t>K06</t>
        </is>
      </c>
      <c r="O74" t="n">
        <v>-14</v>
      </c>
      <c r="P74" t="inlineStr">
        <is>
          <t>Lịch</t>
        </is>
      </c>
      <c r="Q74">
        <f>IF(AND(E74&lt;&gt;"",R74="Có",I74&lt;&gt;"Xong",I74&lt;&gt;"Bỏ qua",ISNUMBER(H74)),H74+ROW()/100000,"")</f>
        <v/>
      </c>
      <c r="R74">
        <f>IF(M74="","",IFERROR(INDEX(SK_L,MATCH(M74,SK_A,0)),""))</f>
        <v/>
      </c>
    </row>
    <row r="75">
      <c r="A75" s="11">
        <f>IF(M75="","",IFERROR(INDEX(SK_B,MATCH(M75,SK_A,0))&amp;"",""))</f>
        <v/>
      </c>
      <c r="B75" s="24">
        <f>IF(M75="","",IFERROR(INDEX(SK_C,MATCH(M75,SK_A,0)),""))</f>
        <v/>
      </c>
      <c r="C75" s="25">
        <f>IF(O75="","",IF(O75=0,"D",IF(O75&lt;0,"D"&amp;O75,"D+"&amp;O75)))</f>
        <v/>
      </c>
      <c r="D75" s="13" t="inlineStr">
        <is>
          <t>3. Tuyển sinh</t>
        </is>
      </c>
      <c r="E75" s="11" t="inlineStr">
        <is>
          <t>Sales / NPP gửi đủ thông tin khách đăng ký hộ (Họ tên · SĐT · Nơi công tác)</t>
        </is>
      </c>
      <c r="F75" s="26" t="inlineStr">
        <is>
          <t>Sales Dental (ví dụ)</t>
        </is>
      </c>
      <c r="G75" s="13" t="inlineStr">
        <is>
          <t>NPP</t>
        </is>
      </c>
      <c r="H75" s="12">
        <f>IF(OR(B75="",O75=""),"",IF(O75&gt;0,IF(P75="Làm việc",WORKDAY(IFERROR(IF(INDEX(SK_D,MATCH(M75,SK_A,0))="",B75,INDEX(SK_D,MATCH(M75,SK_A,0))),B75),O75,HOLI),IFERROR(IF(INDEX(SK_D,MATCH(M75,SK_A,0))="",B75,INDEX(SK_D,MATCH(M75,SK_A,0))),B75)+O75),B75+O75))</f>
        <v/>
      </c>
      <c r="I75" s="13" t="inlineStr">
        <is>
          <t>Chưa làm</t>
        </is>
      </c>
      <c r="J75" s="12" t="n"/>
      <c r="K75" s="11" t="n"/>
      <c r="L75" s="27">
        <f>IF(E75="","",IF(I75="Bỏ qua","—",IF(I75="Xong",IF(AND(ISNUMBER(J75),ISNUMBER(H75),J75&gt;H75),"Xong trễ","Xong"),IF(F75="","CHƯA GIAO","")&amp;IF(NOT(ISNUMBER(H75)),"",IF(TODAY()&gt;H75,IF(F75=""," · ","")&amp;"QUÁ HẠN "&amp;(TODAY()-H75)&amp;" ngày",IF(H75-TODAY()&lt;=3,IF(F75=""," · ","")&amp;"Đến hạn "&amp;IF(H75=TODAY(),"hôm nay","trong "&amp;(H75-TODAY())&amp;" ngày"),""))))))</f>
        <v/>
      </c>
      <c r="M75" t="inlineStr">
        <is>
          <t>VD-3</t>
        </is>
      </c>
      <c r="N75" t="inlineStr">
        <is>
          <t>K07</t>
        </is>
      </c>
      <c r="O75" t="n">
        <v>-5</v>
      </c>
      <c r="P75" t="inlineStr">
        <is>
          <t>Lịch</t>
        </is>
      </c>
      <c r="Q75">
        <f>IF(AND(E75&lt;&gt;"",R75="Có",I75&lt;&gt;"Xong",I75&lt;&gt;"Bỏ qua",ISNUMBER(H75)),H75+ROW()/100000,"")</f>
        <v/>
      </c>
      <c r="R75">
        <f>IF(M75="","",IFERROR(INDEX(SK_L,MATCH(M75,SK_A,0)),""))</f>
        <v/>
      </c>
    </row>
    <row r="76">
      <c r="A76" s="11">
        <f>IF(M76="","",IFERROR(INDEX(SK_B,MATCH(M76,SK_A,0))&amp;"",""))</f>
        <v/>
      </c>
      <c r="B76" s="24">
        <f>IF(M76="","",IFERROR(INDEX(SK_C,MATCH(M76,SK_A,0)),""))</f>
        <v/>
      </c>
      <c r="C76" s="25">
        <f>IF(O76="","",IF(O76=0,"D",IF(O76&lt;0,"D"&amp;O76,"D+"&amp;O76)))</f>
        <v/>
      </c>
      <c r="D76" s="13" t="inlineStr">
        <is>
          <t>4. Truyền thông</t>
        </is>
      </c>
      <c r="E76" s="11" t="inlineStr">
        <is>
          <t>Đăng chuỗi bài truyền thông sự kiện</t>
        </is>
      </c>
      <c r="F76" s="26" t="inlineStr">
        <is>
          <t>Digital (ví dụ)</t>
        </is>
      </c>
      <c r="G76" s="13" t="inlineStr">
        <is>
          <t>Sales, NPP chia sẻ</t>
        </is>
      </c>
      <c r="H76" s="12">
        <f>IF(OR(B76="",O76=""),"",IF(O76&gt;0,IF(P76="Làm việc",WORKDAY(IFERROR(IF(INDEX(SK_D,MATCH(M76,SK_A,0))="",B76,INDEX(SK_D,MATCH(M76,SK_A,0))),B76),O76,HOLI),IFERROR(IF(INDEX(SK_D,MATCH(M76,SK_A,0))="",B76,INDEX(SK_D,MATCH(M76,SK_A,0))),B76)+O76),B76+O76))</f>
        <v/>
      </c>
      <c r="I76" s="13" t="inlineStr">
        <is>
          <t>Chờ đối tác</t>
        </is>
      </c>
      <c r="J76" s="12" t="n"/>
      <c r="K76" s="11" t="n"/>
      <c r="L76" s="27">
        <f>IF(E76="","",IF(I76="Bỏ qua","—",IF(I76="Xong",IF(AND(ISNUMBER(J76),ISNUMBER(H76),J76&gt;H76),"Xong trễ","Xong"),IF(F76="","CHƯA GIAO","")&amp;IF(NOT(ISNUMBER(H76)),"",IF(TODAY()&gt;H76,IF(F76=""," · ","")&amp;"QUÁ HẠN "&amp;(TODAY()-H76)&amp;" ngày",IF(H76-TODAY()&lt;=3,IF(F76=""," · ","")&amp;"Đến hạn "&amp;IF(H76=TODAY(),"hôm nay","trong "&amp;(H76-TODAY())&amp;" ngày"),""))))))</f>
        <v/>
      </c>
      <c r="M76" t="inlineStr">
        <is>
          <t>VD-3</t>
        </is>
      </c>
      <c r="N76" t="inlineStr">
        <is>
          <t>K08</t>
        </is>
      </c>
      <c r="O76" t="n">
        <v>-14</v>
      </c>
      <c r="P76" t="inlineStr">
        <is>
          <t>Lịch</t>
        </is>
      </c>
      <c r="Q76">
        <f>IF(AND(E76&lt;&gt;"",R76="Có",I76&lt;&gt;"Xong",I76&lt;&gt;"Bỏ qua",ISNUMBER(H76)),H76+ROW()/100000,"")</f>
        <v/>
      </c>
      <c r="R76">
        <f>IF(M76="","",IFERROR(INDEX(SK_L,MATCH(M76,SK_A,0)),""))</f>
        <v/>
      </c>
    </row>
    <row r="77">
      <c r="A77" s="11">
        <f>IF(M77="","",IFERROR(INDEX(SK_B,MATCH(M77,SK_A,0))&amp;"",""))</f>
        <v/>
      </c>
      <c r="B77" s="24">
        <f>IF(M77="","",IFERROR(INDEX(SK_C,MATCH(M77,SK_A,0)),""))</f>
        <v/>
      </c>
      <c r="C77" s="25">
        <f>IF(O77="","",IF(O77=0,"D",IF(O77&lt;0,"D"&amp;O77,"D+"&amp;O77)))</f>
        <v/>
      </c>
      <c r="D77" s="13" t="inlineStr">
        <is>
          <t>5. Địa điểm &amp; hậu cần</t>
        </is>
      </c>
      <c r="E77" s="11" t="inlineStr">
        <is>
          <t>Webinar: tạo phòng Zoom (đăng ký, ghi hình, báo cáo người tham dự)</t>
        </is>
      </c>
      <c r="F77" s="26" t="inlineStr">
        <is>
          <t>Digital (ví dụ)</t>
        </is>
      </c>
      <c r="G77" s="13" t="inlineStr">
        <is>
          <t>KOL</t>
        </is>
      </c>
      <c r="H77" s="12">
        <f>IF(OR(B77="",O77=""),"",IF(O77&gt;0,IF(P77="Làm việc",WORKDAY(IFERROR(IF(INDEX(SK_D,MATCH(M77,SK_A,0))="",B77,INDEX(SK_D,MATCH(M77,SK_A,0))),B77),O77,HOLI),IFERROR(IF(INDEX(SK_D,MATCH(M77,SK_A,0))="",B77,INDEX(SK_D,MATCH(M77,SK_A,0))),B77)+O77),B77+O77))</f>
        <v/>
      </c>
      <c r="I77" s="13" t="inlineStr">
        <is>
          <t>Xong</t>
        </is>
      </c>
      <c r="J77" s="12" t="n">
        <v>46314</v>
      </c>
      <c r="K77" s="11" t="n"/>
      <c r="L77" s="27">
        <f>IF(E77="","",IF(I77="Bỏ qua","—",IF(I77="Xong",IF(AND(ISNUMBER(J77),ISNUMBER(H77),J77&gt;H77),"Xong trễ","Xong"),IF(F77="","CHƯA GIAO","")&amp;IF(NOT(ISNUMBER(H77)),"",IF(TODAY()&gt;H77,IF(F77=""," · ","")&amp;"QUÁ HẠN "&amp;(TODAY()-H77)&amp;" ngày",IF(H77-TODAY()&lt;=3,IF(F77=""," · ","")&amp;"Đến hạn "&amp;IF(H77=TODAY(),"hôm nay","trong "&amp;(H77-TODAY())&amp;" ngày"),""))))))</f>
        <v/>
      </c>
      <c r="M77" t="inlineStr">
        <is>
          <t>VD-3</t>
        </is>
      </c>
      <c r="N77" t="inlineStr">
        <is>
          <t>K11</t>
        </is>
      </c>
      <c r="O77" t="n">
        <v>-30</v>
      </c>
      <c r="P77" t="inlineStr">
        <is>
          <t>Lịch</t>
        </is>
      </c>
      <c r="Q77">
        <f>IF(AND(E77&lt;&gt;"",R77="Có",I77&lt;&gt;"Xong",I77&lt;&gt;"Bỏ qua",ISNUMBER(H77)),H77+ROW()/100000,"")</f>
        <v/>
      </c>
      <c r="R77">
        <f>IF(M77="","",IFERROR(INDEX(SK_L,MATCH(M77,SK_A,0)),""))</f>
        <v/>
      </c>
    </row>
    <row r="78">
      <c r="A78" s="11">
        <f>IF(M78="","",IFERROR(INDEX(SK_B,MATCH(M78,SK_A,0))&amp;"",""))</f>
        <v/>
      </c>
      <c r="B78" s="24">
        <f>IF(M78="","",IFERROR(INDEX(SK_C,MATCH(M78,SK_A,0)),""))</f>
        <v/>
      </c>
      <c r="C78" s="25">
        <f>IF(O78="","",IF(O78=0,"D",IF(O78&lt;0,"D"&amp;O78,"D+"&amp;O78)))</f>
        <v/>
      </c>
      <c r="D78" s="13" t="inlineStr">
        <is>
          <t>6. Nội dung</t>
        </is>
      </c>
      <c r="E78" s="11" t="inlineStr">
        <is>
          <t>Timeline chi tiết ngày D</t>
        </is>
      </c>
      <c r="F78" s="26" t="inlineStr">
        <is>
          <t>Leader MKT (ví dụ)</t>
        </is>
      </c>
      <c r="G78" s="13" t="inlineStr">
        <is>
          <t>KOL, Viện</t>
        </is>
      </c>
      <c r="H78" s="12">
        <f>IF(OR(B78="",O78=""),"",IF(O78&gt;0,IF(P78="Làm việc",WORKDAY(IFERROR(IF(INDEX(SK_D,MATCH(M78,SK_A,0))="",B78,INDEX(SK_D,MATCH(M78,SK_A,0))),B78),O78,HOLI),IFERROR(IF(INDEX(SK_D,MATCH(M78,SK_A,0))="",B78,INDEX(SK_D,MATCH(M78,SK_A,0))),B78)+O78),B78+O78))</f>
        <v/>
      </c>
      <c r="I78" s="13" t="inlineStr">
        <is>
          <t>Chưa làm</t>
        </is>
      </c>
      <c r="J78" s="12" t="n"/>
      <c r="K78" s="11" t="n"/>
      <c r="L78" s="27">
        <f>IF(E78="","",IF(I78="Bỏ qua","—",IF(I78="Xong",IF(AND(ISNUMBER(J78),ISNUMBER(H78),J78&gt;H78),"Xong trễ","Xong"),IF(F78="","CHƯA GIAO","")&amp;IF(NOT(ISNUMBER(H78)),"",IF(TODAY()&gt;H78,IF(F78=""," · ","")&amp;"QUÁ HẠN "&amp;(TODAY()-H78)&amp;" ngày",IF(H78-TODAY()&lt;=3,IF(F78=""," · ","")&amp;"Đến hạn "&amp;IF(H78=TODAY(),"hôm nay","trong "&amp;(H78-TODAY())&amp;" ngày"),""))))))</f>
        <v/>
      </c>
      <c r="M78" t="inlineStr">
        <is>
          <t>VD-3</t>
        </is>
      </c>
      <c r="N78" t="inlineStr">
        <is>
          <t>K12</t>
        </is>
      </c>
      <c r="O78" t="n">
        <v>-7</v>
      </c>
      <c r="P78" t="inlineStr">
        <is>
          <t>Lịch</t>
        </is>
      </c>
      <c r="Q78">
        <f>IF(AND(E78&lt;&gt;"",R78="Có",I78&lt;&gt;"Xong",I78&lt;&gt;"Bỏ qua",ISNUMBER(H78)),H78+ROW()/100000,"")</f>
        <v/>
      </c>
      <c r="R78">
        <f>IF(M78="","",IFERROR(INDEX(SK_L,MATCH(M78,SK_A,0)),""))</f>
        <v/>
      </c>
    </row>
    <row r="79">
      <c r="A79" s="11">
        <f>IF(M79="","",IFERROR(INDEX(SK_B,MATCH(M79,SK_A,0))&amp;"",""))</f>
        <v/>
      </c>
      <c r="B79" s="24">
        <f>IF(M79="","",IFERROR(INDEX(SK_C,MATCH(M79,SK_A,0)),""))</f>
        <v/>
      </c>
      <c r="C79" s="25">
        <f>IF(O79="","",IF(O79=0,"D",IF(O79&lt;0,"D"&amp;O79,"D+"&amp;O79)))</f>
        <v/>
      </c>
      <c r="D79" s="13" t="inlineStr">
        <is>
          <t>6. Nội dung</t>
        </is>
      </c>
      <c r="E79" s="11" t="inlineStr">
        <is>
          <t>Kịch bản MC, kịch bản phát biểu, video trình chiếu</t>
        </is>
      </c>
      <c r="F79" s="26" t="inlineStr">
        <is>
          <t>Digital (ví dụ)</t>
        </is>
      </c>
      <c r="G79" s="13" t="inlineStr">
        <is>
          <t>KOL, Viện</t>
        </is>
      </c>
      <c r="H79" s="12">
        <f>IF(OR(B79="",O79=""),"",IF(O79&gt;0,IF(P79="Làm việc",WORKDAY(IFERROR(IF(INDEX(SK_D,MATCH(M79,SK_A,0))="",B79,INDEX(SK_D,MATCH(M79,SK_A,0))),B79),O79,HOLI),IFERROR(IF(INDEX(SK_D,MATCH(M79,SK_A,0))="",B79,INDEX(SK_D,MATCH(M79,SK_A,0))),B79)+O79),B79+O79))</f>
        <v/>
      </c>
      <c r="I79" s="13" t="inlineStr">
        <is>
          <t>Chưa làm</t>
        </is>
      </c>
      <c r="J79" s="12" t="n"/>
      <c r="K79" s="11" t="n"/>
      <c r="L79" s="27">
        <f>IF(E79="","",IF(I79="Bỏ qua","—",IF(I79="Xong",IF(AND(ISNUMBER(J79),ISNUMBER(H79),J79&gt;H79),"Xong trễ","Xong"),IF(F79="","CHƯA GIAO","")&amp;IF(NOT(ISNUMBER(H79)),"",IF(TODAY()&gt;H79,IF(F79=""," · ","")&amp;"QUÁ HẠN "&amp;(TODAY()-H79)&amp;" ngày",IF(H79-TODAY()&lt;=3,IF(F79=""," · ","")&amp;"Đến hạn "&amp;IF(H79=TODAY(),"hôm nay","trong "&amp;(H79-TODAY())&amp;" ngày"),""))))))</f>
        <v/>
      </c>
      <c r="M79" t="inlineStr">
        <is>
          <t>VD-3</t>
        </is>
      </c>
      <c r="N79" t="inlineStr">
        <is>
          <t>K13</t>
        </is>
      </c>
      <c r="O79" t="n">
        <v>-7</v>
      </c>
      <c r="P79" t="inlineStr">
        <is>
          <t>Lịch</t>
        </is>
      </c>
      <c r="Q79">
        <f>IF(AND(E79&lt;&gt;"",R79="Có",I79&lt;&gt;"Xong",I79&lt;&gt;"Bỏ qua",ISNUMBER(H79)),H79+ROW()/100000,"")</f>
        <v/>
      </c>
      <c r="R79">
        <f>IF(M79="","",IFERROR(INDEX(SK_L,MATCH(M79,SK_A,0)),""))</f>
        <v/>
      </c>
    </row>
    <row r="80">
      <c r="A80" s="11">
        <f>IF(M80="","",IFERROR(INDEX(SK_B,MATCH(M80,SK_A,0))&amp;"",""))</f>
        <v/>
      </c>
      <c r="B80" s="24">
        <f>IF(M80="","",IFERROR(INDEX(SK_C,MATCH(M80,SK_A,0)),""))</f>
        <v/>
      </c>
      <c r="C80" s="25">
        <f>IF(O80="","",IF(O80=0,"D",IF(O80&lt;0,"D"&amp;O80,"D+"&amp;O80)))</f>
        <v/>
      </c>
      <c r="D80" s="13" t="inlineStr">
        <is>
          <t>8. Chốt trước D</t>
        </is>
      </c>
      <c r="E80" s="11" t="inlineStr">
        <is>
          <t>Họp với NPP: agenda, nhân sự, bán hàng, sản phẩm</t>
        </is>
      </c>
      <c r="F80" s="26" t="inlineStr">
        <is>
          <t>Leader MKT (ví dụ)</t>
        </is>
      </c>
      <c r="G80" s="13" t="inlineStr">
        <is>
          <t>NPP, Sales</t>
        </is>
      </c>
      <c r="H80" s="12">
        <f>IF(OR(B80="",O80=""),"",IF(O80&gt;0,IF(P80="Làm việc",WORKDAY(IFERROR(IF(INDEX(SK_D,MATCH(M80,SK_A,0))="",B80,INDEX(SK_D,MATCH(M80,SK_A,0))),B80),O80,HOLI),IFERROR(IF(INDEX(SK_D,MATCH(M80,SK_A,0))="",B80,INDEX(SK_D,MATCH(M80,SK_A,0))),B80)+O80),B80+O80))</f>
        <v/>
      </c>
      <c r="I80" s="13" t="inlineStr">
        <is>
          <t>Chưa làm</t>
        </is>
      </c>
      <c r="J80" s="12" t="n"/>
      <c r="K80" s="11" t="n"/>
      <c r="L80" s="27">
        <f>IF(E80="","",IF(I80="Bỏ qua","—",IF(I80="Xong",IF(AND(ISNUMBER(J80),ISNUMBER(H80),J80&gt;H80),"Xong trễ","Xong"),IF(F80="","CHƯA GIAO","")&amp;IF(NOT(ISNUMBER(H80)),"",IF(TODAY()&gt;H80,IF(F80=""," · ","")&amp;"QUÁ HẠN "&amp;(TODAY()-H80)&amp;" ngày",IF(H80-TODAY()&lt;=3,IF(F80=""," · ","")&amp;"Đến hạn "&amp;IF(H80=TODAY(),"hôm nay","trong "&amp;(H80-TODAY())&amp;" ngày"),""))))))</f>
        <v/>
      </c>
      <c r="M80" t="inlineStr">
        <is>
          <t>VD-3</t>
        </is>
      </c>
      <c r="N80" t="inlineStr">
        <is>
          <t>K18</t>
        </is>
      </c>
      <c r="O80" t="n">
        <v>-3</v>
      </c>
      <c r="P80" t="inlineStr">
        <is>
          <t>Lịch</t>
        </is>
      </c>
      <c r="Q80">
        <f>IF(AND(E80&lt;&gt;"",R80="Có",I80&lt;&gt;"Xong",I80&lt;&gt;"Bỏ qua",ISNUMBER(H80)),H80+ROW()/100000,"")</f>
        <v/>
      </c>
      <c r="R80">
        <f>IF(M80="","",IFERROR(INDEX(SK_L,MATCH(M80,SK_A,0)),""))</f>
        <v/>
      </c>
    </row>
    <row r="81">
      <c r="A81" s="11">
        <f>IF(M81="","",IFERROR(INDEX(SK_B,MATCH(M81,SK_A,0))&amp;"",""))</f>
        <v/>
      </c>
      <c r="B81" s="24">
        <f>IF(M81="","",IFERROR(INDEX(SK_C,MATCH(M81,SK_A,0)),""))</f>
        <v/>
      </c>
      <c r="C81" s="25">
        <f>IF(O81="","",IF(O81=0,"D",IF(O81&lt;0,"D"&amp;O81,"D+"&amp;O81)))</f>
        <v/>
      </c>
      <c r="D81" s="13" t="inlineStr">
        <is>
          <t>8. Chốt trước D</t>
        </is>
      </c>
      <c r="E81" s="11" t="inlineStr">
        <is>
          <t>Rà soát dữ liệu khách (thiếu thông tin / chưa đồng ý dữ liệu)</t>
        </is>
      </c>
      <c r="F81" s="26" t="inlineStr">
        <is>
          <t>Digital (ví dụ)</t>
        </is>
      </c>
      <c r="G81" s="13" t="inlineStr">
        <is>
          <t>Sales, NPP</t>
        </is>
      </c>
      <c r="H81" s="12">
        <f>IF(OR(B81="",O81=""),"",IF(O81&gt;0,IF(P81="Làm việc",WORKDAY(IFERROR(IF(INDEX(SK_D,MATCH(M81,SK_A,0))="",B81,INDEX(SK_D,MATCH(M81,SK_A,0))),B81),O81,HOLI),IFERROR(IF(INDEX(SK_D,MATCH(M81,SK_A,0))="",B81,INDEX(SK_D,MATCH(M81,SK_A,0))),B81)+O81),B81+O81))</f>
        <v/>
      </c>
      <c r="I81" s="13" t="inlineStr">
        <is>
          <t>Chưa làm</t>
        </is>
      </c>
      <c r="J81" s="12" t="n"/>
      <c r="K81" s="11" t="n"/>
      <c r="L81" s="27">
        <f>IF(E81="","",IF(I81="Bỏ qua","—",IF(I81="Xong",IF(AND(ISNUMBER(J81),ISNUMBER(H81),J81&gt;H81),"Xong trễ","Xong"),IF(F81="","CHƯA GIAO","")&amp;IF(NOT(ISNUMBER(H81)),"",IF(TODAY()&gt;H81,IF(F81=""," · ","")&amp;"QUÁ HẠN "&amp;(TODAY()-H81)&amp;" ngày",IF(H81-TODAY()&lt;=3,IF(F81=""," · ","")&amp;"Đến hạn "&amp;IF(H81=TODAY(),"hôm nay","trong "&amp;(H81-TODAY())&amp;" ngày"),""))))))</f>
        <v/>
      </c>
      <c r="M81" t="inlineStr">
        <is>
          <t>VD-3</t>
        </is>
      </c>
      <c r="N81" t="inlineStr">
        <is>
          <t>K19</t>
        </is>
      </c>
      <c r="O81" t="n">
        <v>-3</v>
      </c>
      <c r="P81" t="inlineStr">
        <is>
          <t>Lịch</t>
        </is>
      </c>
      <c r="Q81">
        <f>IF(AND(E81&lt;&gt;"",R81="Có",I81&lt;&gt;"Xong",I81&lt;&gt;"Bỏ qua",ISNUMBER(H81)),H81+ROW()/100000,"")</f>
        <v/>
      </c>
      <c r="R81">
        <f>IF(M81="","",IFERROR(INDEX(SK_L,MATCH(M81,SK_A,0)),""))</f>
        <v/>
      </c>
    </row>
    <row r="82">
      <c r="A82" s="11">
        <f>IF(M82="","",IFERROR(INDEX(SK_B,MATCH(M82,SK_A,0))&amp;"",""))</f>
        <v/>
      </c>
      <c r="B82" s="24">
        <f>IF(M82="","",IFERROR(INDEX(SK_C,MATCH(M82,SK_A,0)),""))</f>
        <v/>
      </c>
      <c r="C82" s="25">
        <f>IF(O82="","",IF(O82=0,"D",IF(O82&lt;0,"D"&amp;O82,"D+"&amp;O82)))</f>
        <v/>
      </c>
      <c r="D82" s="13" t="inlineStr">
        <is>
          <t>8. Chốt trước D</t>
        </is>
      </c>
      <c r="E82" s="11" t="inlineStr">
        <is>
          <t>Phân công nhân sự trước / trong / sau, giờ có mặt</t>
        </is>
      </c>
      <c r="F82" s="26" t="inlineStr">
        <is>
          <t>Leader MKT (ví dụ)</t>
        </is>
      </c>
      <c r="G82" s="13" t="inlineStr">
        <is>
          <t>Sales, NPP</t>
        </is>
      </c>
      <c r="H82" s="12">
        <f>IF(OR(B82="",O82=""),"",IF(O82&gt;0,IF(P82="Làm việc",WORKDAY(IFERROR(IF(INDEX(SK_D,MATCH(M82,SK_A,0))="",B82,INDEX(SK_D,MATCH(M82,SK_A,0))),B82),O82,HOLI),IFERROR(IF(INDEX(SK_D,MATCH(M82,SK_A,0))="",B82,INDEX(SK_D,MATCH(M82,SK_A,0))),B82)+O82),B82+O82))</f>
        <v/>
      </c>
      <c r="I82" s="13" t="inlineStr">
        <is>
          <t>Chưa làm</t>
        </is>
      </c>
      <c r="J82" s="12" t="n"/>
      <c r="K82" s="11" t="n"/>
      <c r="L82" s="27">
        <f>IF(E82="","",IF(I82="Bỏ qua","—",IF(I82="Xong",IF(AND(ISNUMBER(J82),ISNUMBER(H82),J82&gt;H82),"Xong trễ","Xong"),IF(F82="","CHƯA GIAO","")&amp;IF(NOT(ISNUMBER(H82)),"",IF(TODAY()&gt;H82,IF(F82=""," · ","")&amp;"QUÁ HẠN "&amp;(TODAY()-H82)&amp;" ngày",IF(H82-TODAY()&lt;=3,IF(F82=""," · ","")&amp;"Đến hạn "&amp;IF(H82=TODAY(),"hôm nay","trong "&amp;(H82-TODAY())&amp;" ngày"),""))))))</f>
        <v/>
      </c>
      <c r="M82" t="inlineStr">
        <is>
          <t>VD-3</t>
        </is>
      </c>
      <c r="N82" t="inlineStr">
        <is>
          <t>K20</t>
        </is>
      </c>
      <c r="O82" t="n">
        <v>-3</v>
      </c>
      <c r="P82" t="inlineStr">
        <is>
          <t>Lịch</t>
        </is>
      </c>
      <c r="Q82">
        <f>IF(AND(E82&lt;&gt;"",R82="Có",I82&lt;&gt;"Xong",I82&lt;&gt;"Bỏ qua",ISNUMBER(H82)),H82+ROW()/100000,"")</f>
        <v/>
      </c>
      <c r="R82">
        <f>IF(M82="","",IFERROR(INDEX(SK_L,MATCH(M82,SK_A,0)),""))</f>
        <v/>
      </c>
    </row>
    <row r="83">
      <c r="A83" s="11">
        <f>IF(M83="","",IFERROR(INDEX(SK_B,MATCH(M83,SK_A,0))&amp;"",""))</f>
        <v/>
      </c>
      <c r="B83" s="24">
        <f>IF(M83="","",IFERROR(INDEX(SK_C,MATCH(M83,SK_A,0)),""))</f>
        <v/>
      </c>
      <c r="C83" s="25">
        <f>IF(O83="","",IF(O83=0,"D",IF(O83&lt;0,"D"&amp;O83,"D+"&amp;O83)))</f>
        <v/>
      </c>
      <c r="D83" s="13" t="inlineStr">
        <is>
          <t>8. Chốt trước D</t>
        </is>
      </c>
      <c r="E83" s="11" t="inlineStr">
        <is>
          <t>Họp review D-1 + gọi nhắc khách + set up địa điểm / chạy thử Zoom</t>
        </is>
      </c>
      <c r="F83" s="26" t="inlineStr">
        <is>
          <t>Leader MKT (ví dụ)</t>
        </is>
      </c>
      <c r="G83" s="13" t="inlineStr">
        <is>
          <t>Toàn team</t>
        </is>
      </c>
      <c r="H83" s="12">
        <f>IF(OR(B83="",O83=""),"",IF(O83&gt;0,IF(P83="Làm việc",WORKDAY(IFERROR(IF(INDEX(SK_D,MATCH(M83,SK_A,0))="",B83,INDEX(SK_D,MATCH(M83,SK_A,0))),B83),O83,HOLI),IFERROR(IF(INDEX(SK_D,MATCH(M83,SK_A,0))="",B83,INDEX(SK_D,MATCH(M83,SK_A,0))),B83)+O83),B83+O83))</f>
        <v/>
      </c>
      <c r="I83" s="13" t="inlineStr">
        <is>
          <t>Chưa làm</t>
        </is>
      </c>
      <c r="J83" s="12" t="n"/>
      <c r="K83" s="11" t="n"/>
      <c r="L83" s="27">
        <f>IF(E83="","",IF(I83="Bỏ qua","—",IF(I83="Xong",IF(AND(ISNUMBER(J83),ISNUMBER(H83),J83&gt;H83),"Xong trễ","Xong"),IF(F83="","CHƯA GIAO","")&amp;IF(NOT(ISNUMBER(H83)),"",IF(TODAY()&gt;H83,IF(F83=""," · ","")&amp;"QUÁ HẠN "&amp;(TODAY()-H83)&amp;" ngày",IF(H83-TODAY()&lt;=3,IF(F83=""," · ","")&amp;"Đến hạn "&amp;IF(H83=TODAY(),"hôm nay","trong "&amp;(H83-TODAY())&amp;" ngày"),""))))))</f>
        <v/>
      </c>
      <c r="M83" t="inlineStr">
        <is>
          <t>VD-3</t>
        </is>
      </c>
      <c r="N83" t="inlineStr">
        <is>
          <t>K21</t>
        </is>
      </c>
      <c r="O83" t="n">
        <v>-1</v>
      </c>
      <c r="P83" t="inlineStr">
        <is>
          <t>Lịch</t>
        </is>
      </c>
      <c r="Q83">
        <f>IF(AND(E83&lt;&gt;"",R83="Có",I83&lt;&gt;"Xong",I83&lt;&gt;"Bỏ qua",ISNUMBER(H83)),H83+ROW()/100000,"")</f>
        <v/>
      </c>
      <c r="R83">
        <f>IF(M83="","",IFERROR(INDEX(SK_L,MATCH(M83,SK_A,0)),""))</f>
        <v/>
      </c>
    </row>
    <row r="84">
      <c r="A84" s="11">
        <f>IF(M84="","",IFERROR(INDEX(SK_B,MATCH(M84,SK_A,0))&amp;"",""))</f>
        <v/>
      </c>
      <c r="B84" s="24">
        <f>IF(M84="","",IFERROR(INDEX(SK_C,MATCH(M84,SK_A,0)),""))</f>
        <v/>
      </c>
      <c r="C84" s="25">
        <f>IF(O84="","",IF(O84=0,"D",IF(O84&lt;0,"D"&amp;O84,"D+"&amp;O84)))</f>
        <v/>
      </c>
      <c r="D84" s="13" t="inlineStr">
        <is>
          <t>9. Ngày D</t>
        </is>
      </c>
      <c r="E84" s="11" t="inlineStr">
        <is>
          <t>Check-in có chữ ký + đồng ý dữ liệu (webinar: xuất báo cáo Zoom ngay sau buổi)</t>
        </is>
      </c>
      <c r="F84" s="26" t="inlineStr">
        <is>
          <t>Digital (ví dụ)</t>
        </is>
      </c>
      <c r="G84" s="13" t="inlineStr">
        <is>
          <t>Trade, NPP</t>
        </is>
      </c>
      <c r="H84" s="12">
        <f>IF(OR(B84="",O84=""),"",IF(O84&gt;0,IF(P84="Làm việc",WORKDAY(IFERROR(IF(INDEX(SK_D,MATCH(M84,SK_A,0))="",B84,INDEX(SK_D,MATCH(M84,SK_A,0))),B84),O84,HOLI),IFERROR(IF(INDEX(SK_D,MATCH(M84,SK_A,0))="",B84,INDEX(SK_D,MATCH(M84,SK_A,0))),B84)+O84),B84+O84))</f>
        <v/>
      </c>
      <c r="I84" s="13" t="inlineStr">
        <is>
          <t>Chưa làm</t>
        </is>
      </c>
      <c r="J84" s="12" t="n"/>
      <c r="K84" s="11" t="n"/>
      <c r="L84" s="27">
        <f>IF(E84="","",IF(I84="Bỏ qua","—",IF(I84="Xong",IF(AND(ISNUMBER(J84),ISNUMBER(H84),J84&gt;H84),"Xong trễ","Xong"),IF(F84="","CHƯA GIAO","")&amp;IF(NOT(ISNUMBER(H84)),"",IF(TODAY()&gt;H84,IF(F84=""," · ","")&amp;"QUÁ HẠN "&amp;(TODAY()-H84)&amp;" ngày",IF(H84-TODAY()&lt;=3,IF(F84=""," · ","")&amp;"Đến hạn "&amp;IF(H84=TODAY(),"hôm nay","trong "&amp;(H84-TODAY())&amp;" ngày"),""))))))</f>
        <v/>
      </c>
      <c r="M84" t="inlineStr">
        <is>
          <t>VD-3</t>
        </is>
      </c>
      <c r="N84" t="inlineStr">
        <is>
          <t>K22</t>
        </is>
      </c>
      <c r="O84" t="n">
        <v>0</v>
      </c>
      <c r="P84" t="inlineStr">
        <is>
          <t>Lịch</t>
        </is>
      </c>
      <c r="Q84">
        <f>IF(AND(E84&lt;&gt;"",R84="Có",I84&lt;&gt;"Xong",I84&lt;&gt;"Bỏ qua",ISNUMBER(H84)),H84+ROW()/100000,"")</f>
        <v/>
      </c>
      <c r="R84">
        <f>IF(M84="","",IFERROR(INDEX(SK_L,MATCH(M84,SK_A,0)),""))</f>
        <v/>
      </c>
    </row>
    <row r="85">
      <c r="A85" s="11">
        <f>IF(M85="","",IFERROR(INDEX(SK_B,MATCH(M85,SK_A,0))&amp;"",""))</f>
        <v/>
      </c>
      <c r="B85" s="24">
        <f>IF(M85="","",IFERROR(INDEX(SK_C,MATCH(M85,SK_A,0)),""))</f>
        <v/>
      </c>
      <c r="C85" s="25">
        <f>IF(O85="","",IF(O85=0,"D",IF(O85&lt;0,"D"&amp;O85,"D+"&amp;O85)))</f>
        <v/>
      </c>
      <c r="D85" s="13" t="inlineStr">
        <is>
          <t>9. Ngày D</t>
        </is>
      </c>
      <c r="E85" s="11" t="inlineStr">
        <is>
          <t>Điều phối chương trình, khảo sát QR trước bế mạc, ảnh / video</t>
        </is>
      </c>
      <c r="F85" s="26" t="inlineStr">
        <is>
          <t>Leader MKT (ví dụ)</t>
        </is>
      </c>
      <c r="G85" s="13" t="inlineStr">
        <is>
          <t>Digital MKT</t>
        </is>
      </c>
      <c r="H85" s="12">
        <f>IF(OR(B85="",O85=""),"",IF(O85&gt;0,IF(P85="Làm việc",WORKDAY(IFERROR(IF(INDEX(SK_D,MATCH(M85,SK_A,0))="",B85,INDEX(SK_D,MATCH(M85,SK_A,0))),B85),O85,HOLI),IFERROR(IF(INDEX(SK_D,MATCH(M85,SK_A,0))="",B85,INDEX(SK_D,MATCH(M85,SK_A,0))),B85)+O85),B85+O85))</f>
        <v/>
      </c>
      <c r="I85" s="13" t="inlineStr">
        <is>
          <t>Chưa làm</t>
        </is>
      </c>
      <c r="J85" s="12" t="n"/>
      <c r="K85" s="11" t="n"/>
      <c r="L85" s="27">
        <f>IF(E85="","",IF(I85="Bỏ qua","—",IF(I85="Xong",IF(AND(ISNUMBER(J85),ISNUMBER(H85),J85&gt;H85),"Xong trễ","Xong"),IF(F85="","CHƯA GIAO","")&amp;IF(NOT(ISNUMBER(H85)),"",IF(TODAY()&gt;H85,IF(F85=""," · ","")&amp;"QUÁ HẠN "&amp;(TODAY()-H85)&amp;" ngày",IF(H85-TODAY()&lt;=3,IF(F85=""," · ","")&amp;"Đến hạn "&amp;IF(H85=TODAY(),"hôm nay","trong "&amp;(H85-TODAY())&amp;" ngày"),""))))))</f>
        <v/>
      </c>
      <c r="M85" t="inlineStr">
        <is>
          <t>VD-3</t>
        </is>
      </c>
      <c r="N85" t="inlineStr">
        <is>
          <t>K23</t>
        </is>
      </c>
      <c r="O85" t="n">
        <v>0</v>
      </c>
      <c r="P85" t="inlineStr">
        <is>
          <t>Lịch</t>
        </is>
      </c>
      <c r="Q85">
        <f>IF(AND(E85&lt;&gt;"",R85="Có",I85&lt;&gt;"Xong",I85&lt;&gt;"Bỏ qua",ISNUMBER(H85)),H85+ROW()/100000,"")</f>
        <v/>
      </c>
      <c r="R85">
        <f>IF(M85="","",IFERROR(INDEX(SK_L,MATCH(M85,SK_A,0)),""))</f>
        <v/>
      </c>
    </row>
    <row r="86">
      <c r="A86" s="11">
        <f>IF(M86="","",IFERROR(INDEX(SK_B,MATCH(M86,SK_A,0))&amp;"",""))</f>
        <v/>
      </c>
      <c r="B86" s="24">
        <f>IF(M86="","",IFERROR(INDEX(SK_C,MATCH(M86,SK_A,0)),""))</f>
        <v/>
      </c>
      <c r="C86" s="25">
        <f>IF(O86="","",IF(O86=0,"D",IF(O86&lt;0,"D"&amp;O86,"D+"&amp;O86)))</f>
        <v/>
      </c>
      <c r="D86" s="13" t="inlineStr">
        <is>
          <t>10. Sau sự kiện</t>
        </is>
      </c>
      <c r="E86" s="11" t="inlineStr">
        <is>
          <t>Bài cảm ơn + ảnh recap; video recap (nếu có)</t>
        </is>
      </c>
      <c r="F86" s="26" t="inlineStr">
        <is>
          <t>Digital (ví dụ)</t>
        </is>
      </c>
      <c r="G86" s="13" t="inlineStr"/>
      <c r="H86" s="12">
        <f>IF(OR(B86="",O86=""),"",IF(O86&gt;0,IF(P86="Làm việc",WORKDAY(IFERROR(IF(INDEX(SK_D,MATCH(M86,SK_A,0))="",B86,INDEX(SK_D,MATCH(M86,SK_A,0))),B86),O86,HOLI),IFERROR(IF(INDEX(SK_D,MATCH(M86,SK_A,0))="",B86,INDEX(SK_D,MATCH(M86,SK_A,0))),B86)+O86),B86+O86))</f>
        <v/>
      </c>
      <c r="I86" s="13" t="inlineStr">
        <is>
          <t>Chưa làm</t>
        </is>
      </c>
      <c r="J86" s="12" t="n"/>
      <c r="K86" s="11" t="n"/>
      <c r="L86" s="27">
        <f>IF(E86="","",IF(I86="Bỏ qua","—",IF(I86="Xong",IF(AND(ISNUMBER(J86),ISNUMBER(H86),J86&gt;H86),"Xong trễ","Xong"),IF(F86="","CHƯA GIAO","")&amp;IF(NOT(ISNUMBER(H86)),"",IF(TODAY()&gt;H86,IF(F86=""," · ","")&amp;"QUÁ HẠN "&amp;(TODAY()-H86)&amp;" ngày",IF(H86-TODAY()&lt;=3,IF(F86=""," · ","")&amp;"Đến hạn "&amp;IF(H86=TODAY(),"hôm nay","trong "&amp;(H86-TODAY())&amp;" ngày"),""))))))</f>
        <v/>
      </c>
      <c r="M86" t="inlineStr">
        <is>
          <t>VD-3</t>
        </is>
      </c>
      <c r="N86" t="inlineStr">
        <is>
          <t>K26</t>
        </is>
      </c>
      <c r="O86" t="n">
        <v>2</v>
      </c>
      <c r="P86" t="inlineStr">
        <is>
          <t>Làm việc</t>
        </is>
      </c>
      <c r="Q86">
        <f>IF(AND(E86&lt;&gt;"",R86="Có",I86&lt;&gt;"Xong",I86&lt;&gt;"Bỏ qua",ISNUMBER(H86)),H86+ROW()/100000,"")</f>
        <v/>
      </c>
      <c r="R86">
        <f>IF(M86="","",IFERROR(INDEX(SK_L,MATCH(M86,SK_A,0)),""))</f>
        <v/>
      </c>
    </row>
    <row r="87">
      <c r="A87" s="11">
        <f>IF(M87="","",IFERROR(INDEX(SK_B,MATCH(M87,SK_A,0))&amp;"",""))</f>
        <v/>
      </c>
      <c r="B87" s="24">
        <f>IF(M87="","",IFERROR(INDEX(SK_C,MATCH(M87,SK_A,0)),""))</f>
        <v/>
      </c>
      <c r="C87" s="25">
        <f>IF(O87="","",IF(O87=0,"D",IF(O87&lt;0,"D"&amp;O87,"D+"&amp;O87)))</f>
        <v/>
      </c>
      <c r="D87" s="13" t="inlineStr">
        <is>
          <t>10. Sau sự kiện</t>
        </is>
      </c>
      <c r="E87" s="11" t="inlineStr">
        <is>
          <t>Đối chiếu dữ liệu khách (loại trùng, đủ trường) ⇒ CUSTOMER LIST; tổng hợp khảo sát</t>
        </is>
      </c>
      <c r="F87" s="26" t="inlineStr">
        <is>
          <t>Digital (ví dụ)</t>
        </is>
      </c>
      <c r="G87" s="13" t="inlineStr">
        <is>
          <t>Sales, NPP</t>
        </is>
      </c>
      <c r="H87" s="12">
        <f>IF(OR(B87="",O87=""),"",IF(O87&gt;0,IF(P87="Làm việc",WORKDAY(IFERROR(IF(INDEX(SK_D,MATCH(M87,SK_A,0))="",B87,INDEX(SK_D,MATCH(M87,SK_A,0))),B87),O87,HOLI),IFERROR(IF(INDEX(SK_D,MATCH(M87,SK_A,0))="",B87,INDEX(SK_D,MATCH(M87,SK_A,0))),B87)+O87),B87+O87))</f>
        <v/>
      </c>
      <c r="I87" s="13" t="inlineStr">
        <is>
          <t>Chưa làm</t>
        </is>
      </c>
      <c r="J87" s="12" t="n"/>
      <c r="K87" s="11" t="n"/>
      <c r="L87" s="27">
        <f>IF(E87="","",IF(I87="Bỏ qua","—",IF(I87="Xong",IF(AND(ISNUMBER(J87),ISNUMBER(H87),J87&gt;H87),"Xong trễ","Xong"),IF(F87="","CHƯA GIAO","")&amp;IF(NOT(ISNUMBER(H87)),"",IF(TODAY()&gt;H87,IF(F87=""," · ","")&amp;"QUÁ HẠN "&amp;(TODAY()-H87)&amp;" ngày",IF(H87-TODAY()&lt;=3,IF(F87=""," · ","")&amp;"Đến hạn "&amp;IF(H87=TODAY(),"hôm nay","trong "&amp;(H87-TODAY())&amp;" ngày"),""))))))</f>
        <v/>
      </c>
      <c r="M87" t="inlineStr">
        <is>
          <t>VD-3</t>
        </is>
      </c>
      <c r="N87" t="inlineStr">
        <is>
          <t>K28</t>
        </is>
      </c>
      <c r="O87" t="n">
        <v>3</v>
      </c>
      <c r="P87" t="inlineStr">
        <is>
          <t>Làm việc</t>
        </is>
      </c>
      <c r="Q87">
        <f>IF(AND(E87&lt;&gt;"",R87="Có",I87&lt;&gt;"Xong",I87&lt;&gt;"Bỏ qua",ISNUMBER(H87)),H87+ROW()/100000,"")</f>
        <v/>
      </c>
      <c r="R87">
        <f>IF(M87="","",IFERROR(INDEX(SK_L,MATCH(M87,SK_A,0)),""))</f>
        <v/>
      </c>
    </row>
    <row r="88">
      <c r="A88" s="11">
        <f>IF(M88="","",IFERROR(INDEX(SK_B,MATCH(M88,SK_A,0))&amp;"",""))</f>
        <v/>
      </c>
      <c r="B88" s="24">
        <f>IF(M88="","",IFERROR(INDEX(SK_C,MATCH(M88,SK_A,0)),""))</f>
        <v/>
      </c>
      <c r="C88" s="25">
        <f>IF(O88="","",IF(O88=0,"D",IF(O88&lt;0,"D"&amp;O88,"D+"&amp;O88)))</f>
        <v/>
      </c>
      <c r="D88" s="13" t="inlineStr">
        <is>
          <t>10. Sau sự kiện</t>
        </is>
      </c>
      <c r="E88" s="11" t="inlineStr">
        <is>
          <t>Sales + NPP gửi số liệu bán hàng tại sự kiện</t>
        </is>
      </c>
      <c r="F88" s="26" t="inlineStr">
        <is>
          <t>Sales Dental (ví dụ)</t>
        </is>
      </c>
      <c r="G88" s="13" t="inlineStr">
        <is>
          <t>NPP</t>
        </is>
      </c>
      <c r="H88" s="12">
        <f>IF(OR(B88="",O88=""),"",IF(O88&gt;0,IF(P88="Làm việc",WORKDAY(IFERROR(IF(INDEX(SK_D,MATCH(M88,SK_A,0))="",B88,INDEX(SK_D,MATCH(M88,SK_A,0))),B88),O88,HOLI),IFERROR(IF(INDEX(SK_D,MATCH(M88,SK_A,0))="",B88,INDEX(SK_D,MATCH(M88,SK_A,0))),B88)+O88),B88+O88))</f>
        <v/>
      </c>
      <c r="I88" s="13" t="inlineStr">
        <is>
          <t>Chưa làm</t>
        </is>
      </c>
      <c r="J88" s="12" t="n"/>
      <c r="K88" s="11" t="n"/>
      <c r="L88" s="27">
        <f>IF(E88="","",IF(I88="Bỏ qua","—",IF(I88="Xong",IF(AND(ISNUMBER(J88),ISNUMBER(H88),J88&gt;H88),"Xong trễ","Xong"),IF(F88="","CHƯA GIAO","")&amp;IF(NOT(ISNUMBER(H88)),"",IF(TODAY()&gt;H88,IF(F88=""," · ","")&amp;"QUÁ HẠN "&amp;(TODAY()-H88)&amp;" ngày",IF(H88-TODAY()&lt;=3,IF(F88=""," · ","")&amp;"Đến hạn "&amp;IF(H88=TODAY(),"hôm nay","trong "&amp;(H88-TODAY())&amp;" ngày"),""))))))</f>
        <v/>
      </c>
      <c r="M88" t="inlineStr">
        <is>
          <t>VD-3</t>
        </is>
      </c>
      <c r="N88" t="inlineStr">
        <is>
          <t>K29</t>
        </is>
      </c>
      <c r="O88" t="n">
        <v>3</v>
      </c>
      <c r="P88" t="inlineStr">
        <is>
          <t>Làm việc</t>
        </is>
      </c>
      <c r="Q88">
        <f>IF(AND(E88&lt;&gt;"",R88="Có",I88&lt;&gt;"Xong",I88&lt;&gt;"Bỏ qua",ISNUMBER(H88)),H88+ROW()/100000,"")</f>
        <v/>
      </c>
      <c r="R88">
        <f>IF(M88="","",IFERROR(INDEX(SK_L,MATCH(M88,SK_A,0)),""))</f>
        <v/>
      </c>
    </row>
    <row r="89">
      <c r="A89" s="11">
        <f>IF(M89="","",IFERROR(INDEX(SK_B,MATCH(M89,SK_A,0))&amp;"",""))</f>
        <v/>
      </c>
      <c r="B89" s="24">
        <f>IF(M89="","",IFERROR(INDEX(SK_C,MATCH(M89,SK_A,0)),""))</f>
        <v/>
      </c>
      <c r="C89" s="25">
        <f>IF(O89="","",IF(O89=0,"D",IF(O89&lt;0,"D"&amp;O89,"D+"&amp;O89)))</f>
        <v/>
      </c>
      <c r="D89" s="13" t="inlineStr">
        <is>
          <t>10. Sau sự kiện</t>
        </is>
      </c>
      <c r="E89" s="11" t="inlineStr">
        <is>
          <t>Bàn giao danh sách khách cần follow-up cho Sales</t>
        </is>
      </c>
      <c r="F89" s="26" t="inlineStr">
        <is>
          <t>Digital (ví dụ)</t>
        </is>
      </c>
      <c r="G89" s="13" t="inlineStr">
        <is>
          <t>Sales</t>
        </is>
      </c>
      <c r="H89" s="12">
        <f>IF(OR(B89="",O89=""),"",IF(O89&gt;0,IF(P89="Làm việc",WORKDAY(IFERROR(IF(INDEX(SK_D,MATCH(M89,SK_A,0))="",B89,INDEX(SK_D,MATCH(M89,SK_A,0))),B89),O89,HOLI),IFERROR(IF(INDEX(SK_D,MATCH(M89,SK_A,0))="",B89,INDEX(SK_D,MATCH(M89,SK_A,0))),B89)+O89),B89+O89))</f>
        <v/>
      </c>
      <c r="I89" s="13" t="inlineStr">
        <is>
          <t>Chưa làm</t>
        </is>
      </c>
      <c r="J89" s="12" t="n"/>
      <c r="K89" s="11" t="n"/>
      <c r="L89" s="27">
        <f>IF(E89="","",IF(I89="Bỏ qua","—",IF(I89="Xong",IF(AND(ISNUMBER(J89),ISNUMBER(H89),J89&gt;H89),"Xong trễ","Xong"),IF(F89="","CHƯA GIAO","")&amp;IF(NOT(ISNUMBER(H89)),"",IF(TODAY()&gt;H89,IF(F89=""," · ","")&amp;"QUÁ HẠN "&amp;(TODAY()-H89)&amp;" ngày",IF(H89-TODAY()&lt;=3,IF(F89=""," · ","")&amp;"Đến hạn "&amp;IF(H89=TODAY(),"hôm nay","trong "&amp;(H89-TODAY())&amp;" ngày"),""))))))</f>
        <v/>
      </c>
      <c r="M89" t="inlineStr">
        <is>
          <t>VD-3</t>
        </is>
      </c>
      <c r="N89" t="inlineStr">
        <is>
          <t>K30</t>
        </is>
      </c>
      <c r="O89" t="n">
        <v>3</v>
      </c>
      <c r="P89" t="inlineStr">
        <is>
          <t>Làm việc</t>
        </is>
      </c>
      <c r="Q89">
        <f>IF(AND(E89&lt;&gt;"",R89="Có",I89&lt;&gt;"Xong",I89&lt;&gt;"Bỏ qua",ISNUMBER(H89)),H89+ROW()/100000,"")</f>
        <v/>
      </c>
      <c r="R89">
        <f>IF(M89="","",IFERROR(INDEX(SK_L,MATCH(M89,SK_A,0)),""))</f>
        <v/>
      </c>
    </row>
    <row r="90">
      <c r="A90" s="11">
        <f>IF(M90="","",IFERROR(INDEX(SK_B,MATCH(M90,SK_A,0))&amp;"",""))</f>
        <v/>
      </c>
      <c r="B90" s="24">
        <f>IF(M90="","",IFERROR(INDEX(SK_C,MATCH(M90,SK_A,0)),""))</f>
        <v/>
      </c>
      <c r="C90" s="25">
        <f>IF(O90="","",IF(O90=0,"D",IF(O90&lt;0,"D"&amp;O90,"D+"&amp;O90)))</f>
        <v/>
      </c>
      <c r="D90" s="13" t="inlineStr">
        <is>
          <t>10. Sau sự kiện</t>
        </is>
      </c>
      <c r="E90" s="11" t="inlineStr">
        <is>
          <t>Báo cáo sự kiện + chứng từ KOL, hoá đơn địa điểm</t>
        </is>
      </c>
      <c r="F90" s="26" t="inlineStr">
        <is>
          <t>Leader MKT (ví dụ)</t>
        </is>
      </c>
      <c r="G90" s="13" t="inlineStr">
        <is>
          <t>Trade MKT</t>
        </is>
      </c>
      <c r="H90" s="12">
        <f>IF(OR(B90="",O90=""),"",IF(O90&gt;0,IF(P90="Làm việc",WORKDAY(IFERROR(IF(INDEX(SK_D,MATCH(M90,SK_A,0))="",B90,INDEX(SK_D,MATCH(M90,SK_A,0))),B90),O90,HOLI),IFERROR(IF(INDEX(SK_D,MATCH(M90,SK_A,0))="",B90,INDEX(SK_D,MATCH(M90,SK_A,0))),B90)+O90),B90+O90))</f>
        <v/>
      </c>
      <c r="I90" s="13" t="inlineStr">
        <is>
          <t>Chưa làm</t>
        </is>
      </c>
      <c r="J90" s="12" t="n"/>
      <c r="K90" s="11" t="n"/>
      <c r="L90" s="27">
        <f>IF(E90="","",IF(I90="Bỏ qua","—",IF(I90="Xong",IF(AND(ISNUMBER(J90),ISNUMBER(H90),J90&gt;H90),"Xong trễ","Xong"),IF(F90="","CHƯA GIAO","")&amp;IF(NOT(ISNUMBER(H90)),"",IF(TODAY()&gt;H90,IF(F90=""," · ","")&amp;"QUÁ HẠN "&amp;(TODAY()-H90)&amp;" ngày",IF(H90-TODAY()&lt;=3,IF(F90=""," · ","")&amp;"Đến hạn "&amp;IF(H90=TODAY(),"hôm nay","trong "&amp;(H90-TODAY())&amp;" ngày"),""))))))</f>
        <v/>
      </c>
      <c r="M90" t="inlineStr">
        <is>
          <t>VD-3</t>
        </is>
      </c>
      <c r="N90" t="inlineStr">
        <is>
          <t>K31</t>
        </is>
      </c>
      <c r="O90" t="n">
        <v>5</v>
      </c>
      <c r="P90" t="inlineStr">
        <is>
          <t>Làm việc</t>
        </is>
      </c>
      <c r="Q90">
        <f>IF(AND(E90&lt;&gt;"",R90="Có",I90&lt;&gt;"Xong",I90&lt;&gt;"Bỏ qua",ISNUMBER(H90)),H90+ROW()/100000,"")</f>
        <v/>
      </c>
      <c r="R90">
        <f>IF(M90="","",IFERROR(INDEX(SK_L,MATCH(M90,SK_A,0)),""))</f>
        <v/>
      </c>
    </row>
    <row r="91">
      <c r="A91" s="11">
        <f>IF(M91="","",IFERROR(INDEX(SK_B,MATCH(M91,SK_A,0))&amp;"",""))</f>
        <v/>
      </c>
      <c r="B91" s="24">
        <f>IF(M91="","",IFERROR(INDEX(SK_C,MATCH(M91,SK_A,0)),""))</f>
        <v/>
      </c>
      <c r="C91" s="25">
        <f>IF(O91="","",IF(O91=0,"D",IF(O91&lt;0,"D"&amp;O91,"D+"&amp;O91)))</f>
        <v/>
      </c>
      <c r="D91" s="13" t="inlineStr">
        <is>
          <t>10. Sau sự kiện</t>
        </is>
      </c>
      <c r="E91" s="11" t="inlineStr">
        <is>
          <t>Email báo cáo toàn MMH (4 file đính kèm) + hoàn tất lưu hồ sơ</t>
        </is>
      </c>
      <c r="F91" s="26" t="inlineStr">
        <is>
          <t>Leader MKT (ví dụ)</t>
        </is>
      </c>
      <c r="G91" s="13" t="inlineStr"/>
      <c r="H91" s="12">
        <f>IF(OR(B91="",O91=""),"",IF(O91&gt;0,IF(P91="Làm việc",WORKDAY(IFERROR(IF(INDEX(SK_D,MATCH(M91,SK_A,0))="",B91,INDEX(SK_D,MATCH(M91,SK_A,0))),B91),O91,HOLI),IFERROR(IF(INDEX(SK_D,MATCH(M91,SK_A,0))="",B91,INDEX(SK_D,MATCH(M91,SK_A,0))),B91)+O91),B91+O91))</f>
        <v/>
      </c>
      <c r="I91" s="13" t="inlineStr">
        <is>
          <t>Chưa làm</t>
        </is>
      </c>
      <c r="J91" s="12" t="n"/>
      <c r="K91" s="11" t="n"/>
      <c r="L91" s="27">
        <f>IF(E91="","",IF(I91="Bỏ qua","—",IF(I91="Xong",IF(AND(ISNUMBER(J91),ISNUMBER(H91),J91&gt;H91),"Xong trễ","Xong"),IF(F91="","CHƯA GIAO","")&amp;IF(NOT(ISNUMBER(H91)),"",IF(TODAY()&gt;H91,IF(F91=""," · ","")&amp;"QUÁ HẠN "&amp;(TODAY()-H91)&amp;" ngày",IF(H91-TODAY()&lt;=3,IF(F91=""," · ","")&amp;"Đến hạn "&amp;IF(H91=TODAY(),"hôm nay","trong "&amp;(H91-TODAY())&amp;" ngày"),""))))))</f>
        <v/>
      </c>
      <c r="M91" t="inlineStr">
        <is>
          <t>VD-3</t>
        </is>
      </c>
      <c r="N91" t="inlineStr">
        <is>
          <t>K32</t>
        </is>
      </c>
      <c r="O91" t="n">
        <v>7</v>
      </c>
      <c r="P91" t="inlineStr">
        <is>
          <t>Làm việc</t>
        </is>
      </c>
      <c r="Q91">
        <f>IF(AND(E91&lt;&gt;"",R91="Có",I91&lt;&gt;"Xong",I91&lt;&gt;"Bỏ qua",ISNUMBER(H91)),H91+ROW()/100000,"")</f>
        <v/>
      </c>
      <c r="R91">
        <f>IF(M91="","",IFERROR(INDEX(SK_L,MATCH(M91,SK_A,0)),""))</f>
        <v/>
      </c>
    </row>
    <row r="92">
      <c r="A92" s="11">
        <f>IF(M92="","",IFERROR(INDEX(SK_B,MATCH(M92,SK_A,0))&amp;"",""))</f>
        <v/>
      </c>
      <c r="B92" s="24">
        <f>IF(M92="","",IFERROR(INDEX(SK_C,MATCH(M92,SK_A,0)),""))</f>
        <v/>
      </c>
      <c r="C92" s="25">
        <f>IF(O92="","",IF(O92=0,"D",IF(O92&lt;0,"D"&amp;O92,"D+"&amp;O92)))</f>
        <v/>
      </c>
      <c r="D92" s="13" t="inlineStr">
        <is>
          <t>11. Follow-up</t>
        </is>
      </c>
      <c r="E92" s="11" t="inlineStr">
        <is>
          <t>Sales liên hệ lần đầu khách cần follow-up</t>
        </is>
      </c>
      <c r="F92" s="26" t="inlineStr">
        <is>
          <t>Sales Dental (ví dụ)</t>
        </is>
      </c>
      <c r="G92" s="13" t="inlineStr">
        <is>
          <t>NPP</t>
        </is>
      </c>
      <c r="H92" s="12">
        <f>IF(OR(B92="",O92=""),"",IF(O92&gt;0,IF(P92="Làm việc",WORKDAY(IFERROR(IF(INDEX(SK_D,MATCH(M92,SK_A,0))="",B92,INDEX(SK_D,MATCH(M92,SK_A,0))),B92),O92,HOLI),IFERROR(IF(INDEX(SK_D,MATCH(M92,SK_A,0))="",B92,INDEX(SK_D,MATCH(M92,SK_A,0))),B92)+O92),B92+O92))</f>
        <v/>
      </c>
      <c r="I92" s="13" t="inlineStr">
        <is>
          <t>Chưa làm</t>
        </is>
      </c>
      <c r="J92" s="12" t="n"/>
      <c r="K92" s="11" t="n"/>
      <c r="L92" s="27">
        <f>IF(E92="","",IF(I92="Bỏ qua","—",IF(I92="Xong",IF(AND(ISNUMBER(J92),ISNUMBER(H92),J92&gt;H92),"Xong trễ","Xong"),IF(F92="","CHƯA GIAO","")&amp;IF(NOT(ISNUMBER(H92)),"",IF(TODAY()&gt;H92,IF(F92=""," · ","")&amp;"QUÁ HẠN "&amp;(TODAY()-H92)&amp;" ngày",IF(H92-TODAY()&lt;=3,IF(F92=""," · ","")&amp;"Đến hạn "&amp;IF(H92=TODAY(),"hôm nay","trong "&amp;(H92-TODAY())&amp;" ngày"),""))))))</f>
        <v/>
      </c>
      <c r="M92" t="inlineStr">
        <is>
          <t>VD-3</t>
        </is>
      </c>
      <c r="N92" t="inlineStr">
        <is>
          <t>K33</t>
        </is>
      </c>
      <c r="O92" t="n">
        <v>5</v>
      </c>
      <c r="P92" t="inlineStr">
        <is>
          <t>Làm việc</t>
        </is>
      </c>
      <c r="Q92">
        <f>IF(AND(E92&lt;&gt;"",R92="Có",I92&lt;&gt;"Xong",I92&lt;&gt;"Bỏ qua",ISNUMBER(H92)),H92+ROW()/100000,"")</f>
        <v/>
      </c>
      <c r="R92">
        <f>IF(M92="","",IFERROR(INDEX(SK_L,MATCH(M92,SK_A,0)),""))</f>
        <v/>
      </c>
    </row>
    <row r="93">
      <c r="A93" s="11">
        <f>IF(M93="","",IFERROR(INDEX(SK_B,MATCH(M93,SK_A,0))&amp;"",""))</f>
        <v/>
      </c>
      <c r="B93" s="24">
        <f>IF(M93="","",IFERROR(INDEX(SK_C,MATCH(M93,SK_A,0)),""))</f>
        <v/>
      </c>
      <c r="C93" s="25">
        <f>IF(O93="","",IF(O93=0,"D",IF(O93&lt;0,"D"&amp;O93,"D+"&amp;O93)))</f>
        <v/>
      </c>
      <c r="D93" s="13" t="inlineStr">
        <is>
          <t>11. Follow-up</t>
        </is>
      </c>
      <c r="E93" s="11" t="inlineStr">
        <is>
          <t>Sales báo kết quả chuyển đổi đơn hàng</t>
        </is>
      </c>
      <c r="F93" s="26" t="inlineStr">
        <is>
          <t>Sales Dental (ví dụ)</t>
        </is>
      </c>
      <c r="G93" s="13" t="inlineStr">
        <is>
          <t>NPP</t>
        </is>
      </c>
      <c r="H93" s="12">
        <f>IF(OR(B93="",O93=""),"",IF(O93&gt;0,IF(P93="Làm việc",WORKDAY(IFERROR(IF(INDEX(SK_D,MATCH(M93,SK_A,0))="",B93,INDEX(SK_D,MATCH(M93,SK_A,0))),B93),O93,HOLI),IFERROR(IF(INDEX(SK_D,MATCH(M93,SK_A,0))="",B93,INDEX(SK_D,MATCH(M93,SK_A,0))),B93)+O93),B93+O93))</f>
        <v/>
      </c>
      <c r="I93" s="13" t="inlineStr">
        <is>
          <t>Chưa làm</t>
        </is>
      </c>
      <c r="J93" s="12" t="n"/>
      <c r="K93" s="11" t="n"/>
      <c r="L93" s="27">
        <f>IF(E93="","",IF(I93="Bỏ qua","—",IF(I93="Xong",IF(AND(ISNUMBER(J93),ISNUMBER(H93),J93&gt;H93),"Xong trễ","Xong"),IF(F93="","CHƯA GIAO","")&amp;IF(NOT(ISNUMBER(H93)),"",IF(TODAY()&gt;H93,IF(F93=""," · ","")&amp;"QUÁ HẠN "&amp;(TODAY()-H93)&amp;" ngày",IF(H93-TODAY()&lt;=3,IF(F93=""," · ","")&amp;"Đến hạn "&amp;IF(H93=TODAY(),"hôm nay","trong "&amp;(H93-TODAY())&amp;" ngày"),""))))))</f>
        <v/>
      </c>
      <c r="M93" t="inlineStr">
        <is>
          <t>VD-3</t>
        </is>
      </c>
      <c r="N93" t="inlineStr">
        <is>
          <t>K34</t>
        </is>
      </c>
      <c r="O93" t="n">
        <v>20</v>
      </c>
      <c r="P93" t="inlineStr">
        <is>
          <t>Làm việc</t>
        </is>
      </c>
      <c r="Q93">
        <f>IF(AND(E93&lt;&gt;"",R93="Có",I93&lt;&gt;"Xong",I93&lt;&gt;"Bỏ qua",ISNUMBER(H93)),H93+ROW()/100000,"")</f>
        <v/>
      </c>
      <c r="R93">
        <f>IF(M93="","",IFERROR(INDEX(SK_L,MATCH(M93,SK_A,0)),""))</f>
        <v/>
      </c>
    </row>
    <row r="94">
      <c r="A94" s="11">
        <f>IF(M94="","",IFERROR(INDEX(SK_B,MATCH(M94,SK_A,0))&amp;"",""))</f>
        <v/>
      </c>
      <c r="B94" s="24">
        <f>IF(M94="","",IFERROR(INDEX(SK_C,MATCH(M94,SK_A,0)),""))</f>
        <v/>
      </c>
      <c r="C94" s="25">
        <f>IF(O94="","",IF(O94=0,"D",IF(O94&lt;0,"D"&amp;O94,"D+"&amp;O94)))</f>
        <v/>
      </c>
      <c r="D94" s="13" t="inlineStr">
        <is>
          <t>1. Kế hoạch</t>
        </is>
      </c>
      <c r="E94" s="11" t="inlineStr">
        <is>
          <t>Lập kế hoạch tổng quan (KOL, số khách, mục đích, KPI bán hàng, khuyến mại, khảo sát) + xin Giám đốc duyệt ngân sách</t>
        </is>
      </c>
      <c r="F94" s="26" t="inlineStr">
        <is>
          <t>Leader MKT (ví dụ)</t>
        </is>
      </c>
      <c r="G94" s="13" t="inlineStr">
        <is>
          <t>Sales, NPP</t>
        </is>
      </c>
      <c r="H94" s="12">
        <f>IF(OR(B94="",O94=""),"",IF(O94&gt;0,IF(P94="Làm việc",WORKDAY(IFERROR(IF(INDEX(SK_D,MATCH(M94,SK_A,0))="",B94,INDEX(SK_D,MATCH(M94,SK_A,0))),B94),O94,HOLI),IFERROR(IF(INDEX(SK_D,MATCH(M94,SK_A,0))="",B94,INDEX(SK_D,MATCH(M94,SK_A,0))),B94)+O94),B94+O94))</f>
        <v/>
      </c>
      <c r="I94" s="13" t="inlineStr">
        <is>
          <t>Chưa làm</t>
        </is>
      </c>
      <c r="J94" s="12" t="n"/>
      <c r="K94" s="11" t="n"/>
      <c r="L94" s="27">
        <f>IF(E94="","",IF(I94="Bỏ qua","—",IF(I94="Xong",IF(AND(ISNUMBER(J94),ISNUMBER(H94),J94&gt;H94),"Xong trễ","Xong"),IF(F94="","CHƯA GIAO","")&amp;IF(NOT(ISNUMBER(H94)),"",IF(TODAY()&gt;H94,IF(F94=""," · ","")&amp;"QUÁ HẠN "&amp;(TODAY()-H94)&amp;" ngày",IF(H94-TODAY()&lt;=3,IF(F94=""," · ","")&amp;"Đến hạn "&amp;IF(H94=TODAY(),"hôm nay","trong "&amp;(H94-TODAY())&amp;" ngày"),""))))))</f>
        <v/>
      </c>
      <c r="M94" t="inlineStr">
        <is>
          <t>VD-4</t>
        </is>
      </c>
      <c r="N94" t="inlineStr">
        <is>
          <t>K01</t>
        </is>
      </c>
      <c r="O94" t="n">
        <v>-30</v>
      </c>
      <c r="P94" t="inlineStr">
        <is>
          <t>Lịch</t>
        </is>
      </c>
      <c r="Q94">
        <f>IF(AND(E94&lt;&gt;"",R94="Có",I94&lt;&gt;"Xong",I94&lt;&gt;"Bỏ qua",ISNUMBER(H94)),H94+ROW()/100000,"")</f>
        <v/>
      </c>
      <c r="R94">
        <f>IF(M94="","",IFERROR(INDEX(SK_L,MATCH(M94,SK_A,0)),""))</f>
        <v/>
      </c>
    </row>
    <row r="95">
      <c r="A95" s="11">
        <f>IF(M95="","",IFERROR(INDEX(SK_B,MATCH(M95,SK_A,0))&amp;"",""))</f>
        <v/>
      </c>
      <c r="B95" s="24">
        <f>IF(M95="","",IFERROR(INDEX(SK_C,MATCH(M95,SK_A,0)),""))</f>
        <v/>
      </c>
      <c r="C95" s="25">
        <f>IF(O95="","",IF(O95=0,"D",IF(O95&lt;0,"D"&amp;O95,"D+"&amp;O95)))</f>
        <v/>
      </c>
      <c r="D95" s="13" t="inlineStr">
        <is>
          <t>1. Kế hoạch</t>
        </is>
      </c>
      <c r="E95" s="11" t="inlineStr">
        <is>
          <t>Chia việc với NPP, Trường / Viện (tuyển sinh, đồ thực hành, MC, số bàn trưng bày)</t>
        </is>
      </c>
      <c r="F95" s="26" t="inlineStr">
        <is>
          <t>Leader MKT (ví dụ)</t>
        </is>
      </c>
      <c r="G95" s="13" t="inlineStr">
        <is>
          <t>NPP, Viện</t>
        </is>
      </c>
      <c r="H95" s="12">
        <f>IF(OR(B95="",O95=""),"",IF(O95&gt;0,IF(P95="Làm việc",WORKDAY(IFERROR(IF(INDEX(SK_D,MATCH(M95,SK_A,0))="",B95,INDEX(SK_D,MATCH(M95,SK_A,0))),B95),O95,HOLI),IFERROR(IF(INDEX(SK_D,MATCH(M95,SK_A,0))="",B95,INDEX(SK_D,MATCH(M95,SK_A,0))),B95)+O95),B95+O95))</f>
        <v/>
      </c>
      <c r="I95" s="13" t="inlineStr">
        <is>
          <t>Chưa làm</t>
        </is>
      </c>
      <c r="J95" s="12" t="n"/>
      <c r="K95" s="11" t="n"/>
      <c r="L95" s="27">
        <f>IF(E95="","",IF(I95="Bỏ qua","—",IF(I95="Xong",IF(AND(ISNUMBER(J95),ISNUMBER(H95),J95&gt;H95),"Xong trễ","Xong"),IF(F95="","CHƯA GIAO","")&amp;IF(NOT(ISNUMBER(H95)),"",IF(TODAY()&gt;H95,IF(F95=""," · ","")&amp;"QUÁ HẠN "&amp;(TODAY()-H95)&amp;" ngày",IF(H95-TODAY()&lt;=3,IF(F95=""," · ","")&amp;"Đến hạn "&amp;IF(H95=TODAY(),"hôm nay","trong "&amp;(H95-TODAY())&amp;" ngày"),""))))))</f>
        <v/>
      </c>
      <c r="M95" t="inlineStr">
        <is>
          <t>VD-4</t>
        </is>
      </c>
      <c r="N95" t="inlineStr">
        <is>
          <t>K02</t>
        </is>
      </c>
      <c r="O95" t="n">
        <v>-30</v>
      </c>
      <c r="P95" t="inlineStr">
        <is>
          <t>Lịch</t>
        </is>
      </c>
      <c r="Q95">
        <f>IF(AND(E95&lt;&gt;"",R95="Có",I95&lt;&gt;"Xong",I95&lt;&gt;"Bỏ qua",ISNUMBER(H95)),H95+ROW()/100000,"")</f>
        <v/>
      </c>
      <c r="R95">
        <f>IF(M95="","",IFERROR(INDEX(SK_L,MATCH(M95,SK_A,0)),""))</f>
        <v/>
      </c>
    </row>
    <row r="96">
      <c r="A96" s="11">
        <f>IF(M96="","",IFERROR(INDEX(SK_B,MATCH(M96,SK_A,0))&amp;"",""))</f>
        <v/>
      </c>
      <c r="B96" s="24">
        <f>IF(M96="","",IFERROR(INDEX(SK_C,MATCH(M96,SK_A,0)),""))</f>
        <v/>
      </c>
      <c r="C96" s="25">
        <f>IF(O96="","",IF(O96=0,"D",IF(O96&lt;0,"D"&amp;O96,"D+"&amp;O96)))</f>
        <v/>
      </c>
      <c r="D96" s="13" t="inlineStr">
        <is>
          <t>2. KOL &amp; đối tác</t>
        </is>
      </c>
      <c r="E96" s="11" t="inlineStr">
        <is>
          <t>Chốt KOL: hợp đồng, lịch di chuyển, xem trước bài giảng, người chăm sóc KOL</t>
        </is>
      </c>
      <c r="F96" s="26" t="inlineStr">
        <is>
          <t>Leader MKT (ví dụ)</t>
        </is>
      </c>
      <c r="G96" s="13" t="inlineStr">
        <is>
          <t>KOL</t>
        </is>
      </c>
      <c r="H96" s="12">
        <f>IF(OR(B96="",O96=""),"",IF(O96&gt;0,IF(P96="Làm việc",WORKDAY(IFERROR(IF(INDEX(SK_D,MATCH(M96,SK_A,0))="",B96,INDEX(SK_D,MATCH(M96,SK_A,0))),B96),O96,HOLI),IFERROR(IF(INDEX(SK_D,MATCH(M96,SK_A,0))="",B96,INDEX(SK_D,MATCH(M96,SK_A,0))),B96)+O96),B96+O96))</f>
        <v/>
      </c>
      <c r="I96" s="13" t="inlineStr">
        <is>
          <t>Chưa làm</t>
        </is>
      </c>
      <c r="J96" s="12" t="n"/>
      <c r="K96" s="11" t="n"/>
      <c r="L96" s="27">
        <f>IF(E96="","",IF(I96="Bỏ qua","—",IF(I96="Xong",IF(AND(ISNUMBER(J96),ISNUMBER(H96),J96&gt;H96),"Xong trễ","Xong"),IF(F96="","CHƯA GIAO","")&amp;IF(NOT(ISNUMBER(H96)),"",IF(TODAY()&gt;H96,IF(F96=""," · ","")&amp;"QUÁ HẠN "&amp;(TODAY()-H96)&amp;" ngày",IF(H96-TODAY()&lt;=3,IF(F96=""," · ","")&amp;"Đến hạn "&amp;IF(H96=TODAY(),"hôm nay","trong "&amp;(H96-TODAY())&amp;" ngày"),""))))))</f>
        <v/>
      </c>
      <c r="M96" t="inlineStr">
        <is>
          <t>VD-4</t>
        </is>
      </c>
      <c r="N96" t="inlineStr">
        <is>
          <t>K03</t>
        </is>
      </c>
      <c r="O96" t="n">
        <v>-30</v>
      </c>
      <c r="P96" t="inlineStr">
        <is>
          <t>Lịch</t>
        </is>
      </c>
      <c r="Q96">
        <f>IF(AND(E96&lt;&gt;"",R96="Có",I96&lt;&gt;"Xong",I96&lt;&gt;"Bỏ qua",ISNUMBER(H96)),H96+ROW()/100000,"")</f>
        <v/>
      </c>
      <c r="R96">
        <f>IF(M96="","",IFERROR(INDEX(SK_L,MATCH(M96,SK_A,0)),""))</f>
        <v/>
      </c>
    </row>
    <row r="97">
      <c r="A97" s="11">
        <f>IF(M97="","",IFERROR(INDEX(SK_B,MATCH(M97,SK_A,0))&amp;"",""))</f>
        <v/>
      </c>
      <c r="B97" s="24">
        <f>IF(M97="","",IFERROR(INDEX(SK_C,MATCH(M97,SK_A,0)),""))</f>
        <v/>
      </c>
      <c r="C97" s="25">
        <f>IF(O97="","",IF(O97=0,"D",IF(O97&lt;0,"D"&amp;O97,"D+"&amp;O97)))</f>
        <v/>
      </c>
      <c r="D97" s="13" t="inlineStr">
        <is>
          <t>3. Tuyển sinh</t>
        </is>
      </c>
      <c r="E97" s="11" t="inlineStr">
        <is>
          <t>Mở tuyển sinh: form đăng ký (khảo sát trước, đồng ý dữ liệu, nguồn đăng ký) + nhóm Zalo khách</t>
        </is>
      </c>
      <c r="F97" s="26" t="inlineStr">
        <is>
          <t>Digital (ví dụ)</t>
        </is>
      </c>
      <c r="G97" s="13" t="inlineStr">
        <is>
          <t>Sales, NPP</t>
        </is>
      </c>
      <c r="H97" s="12">
        <f>IF(OR(B97="",O97=""),"",IF(O97&gt;0,IF(P97="Làm việc",WORKDAY(IFERROR(IF(INDEX(SK_D,MATCH(M97,SK_A,0))="",B97,INDEX(SK_D,MATCH(M97,SK_A,0))),B97),O97,HOLI),IFERROR(IF(INDEX(SK_D,MATCH(M97,SK_A,0))="",B97,INDEX(SK_D,MATCH(M97,SK_A,0))),B97)+O97),B97+O97))</f>
        <v/>
      </c>
      <c r="I97" s="13" t="inlineStr">
        <is>
          <t>Chưa làm</t>
        </is>
      </c>
      <c r="J97" s="12" t="n"/>
      <c r="K97" s="11" t="n"/>
      <c r="L97" s="27">
        <f>IF(E97="","",IF(I97="Bỏ qua","—",IF(I97="Xong",IF(AND(ISNUMBER(J97),ISNUMBER(H97),J97&gt;H97),"Xong trễ","Xong"),IF(F97="","CHƯA GIAO","")&amp;IF(NOT(ISNUMBER(H97)),"",IF(TODAY()&gt;H97,IF(F97=""," · ","")&amp;"QUÁ HẠN "&amp;(TODAY()-H97)&amp;" ngày",IF(H97-TODAY()&lt;=3,IF(F97=""," · ","")&amp;"Đến hạn "&amp;IF(H97=TODAY(),"hôm nay","trong "&amp;(H97-TODAY())&amp;" ngày"),""))))))</f>
        <v/>
      </c>
      <c r="M97" t="inlineStr">
        <is>
          <t>VD-4</t>
        </is>
      </c>
      <c r="N97" t="inlineStr">
        <is>
          <t>K04</t>
        </is>
      </c>
      <c r="O97" t="n">
        <v>-30</v>
      </c>
      <c r="P97" t="inlineStr">
        <is>
          <t>Lịch</t>
        </is>
      </c>
      <c r="Q97">
        <f>IF(AND(E97&lt;&gt;"",R97="Có",I97&lt;&gt;"Xong",I97&lt;&gt;"Bỏ qua",ISNUMBER(H97)),H97+ROW()/100000,"")</f>
        <v/>
      </c>
      <c r="R97">
        <f>IF(M97="","",IFERROR(INDEX(SK_L,MATCH(M97,SK_A,0)),""))</f>
        <v/>
      </c>
    </row>
    <row r="98">
      <c r="A98" s="11">
        <f>IF(M98="","",IFERROR(INDEX(SK_B,MATCH(M98,SK_A,0))&amp;"",""))</f>
        <v/>
      </c>
      <c r="B98" s="24">
        <f>IF(M98="","",IFERROR(INDEX(SK_C,MATCH(M98,SK_A,0)),""))</f>
        <v/>
      </c>
      <c r="C98" s="25">
        <f>IF(O98="","",IF(O98=0,"D",IF(O98&lt;0,"D"&amp;O98,"D+"&amp;O98)))</f>
        <v/>
      </c>
      <c r="D98" s="13" t="inlineStr">
        <is>
          <t>3. Tuyển sinh</t>
        </is>
      </c>
      <c r="E98" s="11" t="inlineStr">
        <is>
          <t>Báo cáo số đăng ký theo nguồn cho team (thứ Hai hằng tuần, đến D-1)</t>
        </is>
      </c>
      <c r="F98" s="26" t="inlineStr">
        <is>
          <t>Leader MKT (ví dụ)</t>
        </is>
      </c>
      <c r="G98" s="13" t="inlineStr">
        <is>
          <t>Sales, NPP</t>
        </is>
      </c>
      <c r="H98" s="12">
        <f>IF(OR(B98="",O98=""),"",IF(O98&gt;0,IF(P98="Làm việc",WORKDAY(IFERROR(IF(INDEX(SK_D,MATCH(M98,SK_A,0))="",B98,INDEX(SK_D,MATCH(M98,SK_A,0))),B98),O98,HOLI),IFERROR(IF(INDEX(SK_D,MATCH(M98,SK_A,0))="",B98,INDEX(SK_D,MATCH(M98,SK_A,0))),B98)+O98),B98+O98))</f>
        <v/>
      </c>
      <c r="I98" s="13" t="inlineStr">
        <is>
          <t>Chưa làm</t>
        </is>
      </c>
      <c r="J98" s="12" t="n"/>
      <c r="K98" s="11" t="n"/>
      <c r="L98" s="27">
        <f>IF(E98="","",IF(I98="Bỏ qua","—",IF(I98="Xong",IF(AND(ISNUMBER(J98),ISNUMBER(H98),J98&gt;H98),"Xong trễ","Xong"),IF(F98="","CHƯA GIAO","")&amp;IF(NOT(ISNUMBER(H98)),"",IF(TODAY()&gt;H98,IF(F98=""," · ","")&amp;"QUÁ HẠN "&amp;(TODAY()-H98)&amp;" ngày",IF(H98-TODAY()&lt;=3,IF(F98=""," · ","")&amp;"Đến hạn "&amp;IF(H98=TODAY(),"hôm nay","trong "&amp;(H98-TODAY())&amp;" ngày"),""))))))</f>
        <v/>
      </c>
      <c r="M98" t="inlineStr">
        <is>
          <t>VD-4</t>
        </is>
      </c>
      <c r="N98" t="inlineStr">
        <is>
          <t>K05</t>
        </is>
      </c>
      <c r="O98" t="n">
        <v>-1</v>
      </c>
      <c r="P98" t="inlineStr">
        <is>
          <t>Lịch</t>
        </is>
      </c>
      <c r="Q98">
        <f>IF(AND(E98&lt;&gt;"",R98="Có",I98&lt;&gt;"Xong",I98&lt;&gt;"Bỏ qua",ISNUMBER(H98)),H98+ROW()/100000,"")</f>
        <v/>
      </c>
      <c r="R98">
        <f>IF(M98="","",IFERROR(INDEX(SK_L,MATCH(M98,SK_A,0)),""))</f>
        <v/>
      </c>
    </row>
    <row r="99">
      <c r="A99" s="11">
        <f>IF(M99="","",IFERROR(INDEX(SK_B,MATCH(M99,SK_A,0))&amp;"",""))</f>
        <v/>
      </c>
      <c r="B99" s="24">
        <f>IF(M99="","",IFERROR(INDEX(SK_C,MATCH(M99,SK_A,0)),""))</f>
        <v/>
      </c>
      <c r="C99" s="25">
        <f>IF(O99="","",IF(O99=0,"D",IF(O99&lt;0,"D"&amp;O99,"D+"&amp;O99)))</f>
        <v/>
      </c>
      <c r="D99" s="13" t="inlineStr">
        <is>
          <t>3. Tuyển sinh</t>
        </is>
      </c>
      <c r="E99" s="11" t="inlineStr">
        <is>
          <t>Checkpoint D-14: đăng ký &lt; 60% target ⇒ báo Giám đốc phương án</t>
        </is>
      </c>
      <c r="F99" s="26" t="inlineStr">
        <is>
          <t>Leader MKT (ví dụ)</t>
        </is>
      </c>
      <c r="G99" s="13" t="inlineStr">
        <is>
          <t>Giám đốc</t>
        </is>
      </c>
      <c r="H99" s="12">
        <f>IF(OR(B99="",O99=""),"",IF(O99&gt;0,IF(P99="Làm việc",WORKDAY(IFERROR(IF(INDEX(SK_D,MATCH(M99,SK_A,0))="",B99,INDEX(SK_D,MATCH(M99,SK_A,0))),B99),O99,HOLI),IFERROR(IF(INDEX(SK_D,MATCH(M99,SK_A,0))="",B99,INDEX(SK_D,MATCH(M99,SK_A,0))),B99)+O99),B99+O99))</f>
        <v/>
      </c>
      <c r="I99" s="13" t="inlineStr">
        <is>
          <t>Chưa làm</t>
        </is>
      </c>
      <c r="J99" s="12" t="n"/>
      <c r="K99" s="11" t="n"/>
      <c r="L99" s="27">
        <f>IF(E99="","",IF(I99="Bỏ qua","—",IF(I99="Xong",IF(AND(ISNUMBER(J99),ISNUMBER(H99),J99&gt;H99),"Xong trễ","Xong"),IF(F99="","CHƯA GIAO","")&amp;IF(NOT(ISNUMBER(H99)),"",IF(TODAY()&gt;H99,IF(F99=""," · ","")&amp;"QUÁ HẠN "&amp;(TODAY()-H99)&amp;" ngày",IF(H99-TODAY()&lt;=3,IF(F99=""," · ","")&amp;"Đến hạn "&amp;IF(H99=TODAY(),"hôm nay","trong "&amp;(H99-TODAY())&amp;" ngày"),""))))))</f>
        <v/>
      </c>
      <c r="M99" t="inlineStr">
        <is>
          <t>VD-4</t>
        </is>
      </c>
      <c r="N99" t="inlineStr">
        <is>
          <t>K06</t>
        </is>
      </c>
      <c r="O99" t="n">
        <v>-14</v>
      </c>
      <c r="P99" t="inlineStr">
        <is>
          <t>Lịch</t>
        </is>
      </c>
      <c r="Q99">
        <f>IF(AND(E99&lt;&gt;"",R99="Có",I99&lt;&gt;"Xong",I99&lt;&gt;"Bỏ qua",ISNUMBER(H99)),H99+ROW()/100000,"")</f>
        <v/>
      </c>
      <c r="R99">
        <f>IF(M99="","",IFERROR(INDEX(SK_L,MATCH(M99,SK_A,0)),""))</f>
        <v/>
      </c>
    </row>
    <row r="100">
      <c r="A100" s="11">
        <f>IF(M100="","",IFERROR(INDEX(SK_B,MATCH(M100,SK_A,0))&amp;"",""))</f>
        <v/>
      </c>
      <c r="B100" s="24">
        <f>IF(M100="","",IFERROR(INDEX(SK_C,MATCH(M100,SK_A,0)),""))</f>
        <v/>
      </c>
      <c r="C100" s="25">
        <f>IF(O100="","",IF(O100=0,"D",IF(O100&lt;0,"D"&amp;O100,"D+"&amp;O100)))</f>
        <v/>
      </c>
      <c r="D100" s="13" t="inlineStr">
        <is>
          <t>3. Tuyển sinh</t>
        </is>
      </c>
      <c r="E100" s="11" t="inlineStr">
        <is>
          <t>Sales / NPP gửi đủ thông tin khách đăng ký hộ (Họ tên · SĐT · Nơi công tác)</t>
        </is>
      </c>
      <c r="F100" s="26" t="inlineStr">
        <is>
          <t>Sales Surgical (ví dụ)</t>
        </is>
      </c>
      <c r="G100" s="13" t="inlineStr">
        <is>
          <t>NPP</t>
        </is>
      </c>
      <c r="H100" s="12">
        <f>IF(OR(B100="",O100=""),"",IF(O100&gt;0,IF(P100="Làm việc",WORKDAY(IFERROR(IF(INDEX(SK_D,MATCH(M100,SK_A,0))="",B100,INDEX(SK_D,MATCH(M100,SK_A,0))),B100),O100,HOLI),IFERROR(IF(INDEX(SK_D,MATCH(M100,SK_A,0))="",B100,INDEX(SK_D,MATCH(M100,SK_A,0))),B100)+O100),B100+O100))</f>
        <v/>
      </c>
      <c r="I100" s="13" t="inlineStr">
        <is>
          <t>Chưa làm</t>
        </is>
      </c>
      <c r="J100" s="12" t="n"/>
      <c r="K100" s="11" t="n"/>
      <c r="L100" s="27">
        <f>IF(E100="","",IF(I100="Bỏ qua","—",IF(I100="Xong",IF(AND(ISNUMBER(J100),ISNUMBER(H100),J100&gt;H100),"Xong trễ","Xong"),IF(F100="","CHƯA GIAO","")&amp;IF(NOT(ISNUMBER(H100)),"",IF(TODAY()&gt;H100,IF(F100=""," · ","")&amp;"QUÁ HẠN "&amp;(TODAY()-H100)&amp;" ngày",IF(H100-TODAY()&lt;=3,IF(F100=""," · ","")&amp;"Đến hạn "&amp;IF(H100=TODAY(),"hôm nay","trong "&amp;(H100-TODAY())&amp;" ngày"),""))))))</f>
        <v/>
      </c>
      <c r="M100" t="inlineStr">
        <is>
          <t>VD-4</t>
        </is>
      </c>
      <c r="N100" t="inlineStr">
        <is>
          <t>K07</t>
        </is>
      </c>
      <c r="O100" t="n">
        <v>-5</v>
      </c>
      <c r="P100" t="inlineStr">
        <is>
          <t>Lịch</t>
        </is>
      </c>
      <c r="Q100">
        <f>IF(AND(E100&lt;&gt;"",R100="Có",I100&lt;&gt;"Xong",I100&lt;&gt;"Bỏ qua",ISNUMBER(H100)),H100+ROW()/100000,"")</f>
        <v/>
      </c>
      <c r="R100">
        <f>IF(M100="","",IFERROR(INDEX(SK_L,MATCH(M100,SK_A,0)),""))</f>
        <v/>
      </c>
    </row>
    <row r="101">
      <c r="A101" s="11">
        <f>IF(M101="","",IFERROR(INDEX(SK_B,MATCH(M101,SK_A,0))&amp;"",""))</f>
        <v/>
      </c>
      <c r="B101" s="24">
        <f>IF(M101="","",IFERROR(INDEX(SK_C,MATCH(M101,SK_A,0)),""))</f>
        <v/>
      </c>
      <c r="C101" s="25">
        <f>IF(O101="","",IF(O101=0,"D",IF(O101&lt;0,"D"&amp;O101,"D+"&amp;O101)))</f>
        <v/>
      </c>
      <c r="D101" s="13" t="inlineStr">
        <is>
          <t>4. Truyền thông</t>
        </is>
      </c>
      <c r="E101" s="11" t="inlineStr">
        <is>
          <t>Đăng chuỗi bài truyền thông sự kiện</t>
        </is>
      </c>
      <c r="F101" s="26" t="inlineStr">
        <is>
          <t>Digital (ví dụ)</t>
        </is>
      </c>
      <c r="G101" s="13" t="inlineStr">
        <is>
          <t>Sales, NPP chia sẻ</t>
        </is>
      </c>
      <c r="H101" s="12">
        <f>IF(OR(B101="",O101=""),"",IF(O101&gt;0,IF(P101="Làm việc",WORKDAY(IFERROR(IF(INDEX(SK_D,MATCH(M101,SK_A,0))="",B101,INDEX(SK_D,MATCH(M101,SK_A,0))),B101),O101,HOLI),IFERROR(IF(INDEX(SK_D,MATCH(M101,SK_A,0))="",B101,INDEX(SK_D,MATCH(M101,SK_A,0))),B101)+O101),B101+O101))</f>
        <v/>
      </c>
      <c r="I101" s="13" t="inlineStr">
        <is>
          <t>Chưa làm</t>
        </is>
      </c>
      <c r="J101" s="12" t="n"/>
      <c r="K101" s="11" t="n"/>
      <c r="L101" s="27">
        <f>IF(E101="","",IF(I101="Bỏ qua","—",IF(I101="Xong",IF(AND(ISNUMBER(J101),ISNUMBER(H101),J101&gt;H101),"Xong trễ","Xong"),IF(F101="","CHƯA GIAO","")&amp;IF(NOT(ISNUMBER(H101)),"",IF(TODAY()&gt;H101,IF(F101=""," · ","")&amp;"QUÁ HẠN "&amp;(TODAY()-H101)&amp;" ngày",IF(H101-TODAY()&lt;=3,IF(F101=""," · ","")&amp;"Đến hạn "&amp;IF(H101=TODAY(),"hôm nay","trong "&amp;(H101-TODAY())&amp;" ngày"),""))))))</f>
        <v/>
      </c>
      <c r="M101" t="inlineStr">
        <is>
          <t>VD-4</t>
        </is>
      </c>
      <c r="N101" t="inlineStr">
        <is>
          <t>K08</t>
        </is>
      </c>
      <c r="O101" t="n">
        <v>-14</v>
      </c>
      <c r="P101" t="inlineStr">
        <is>
          <t>Lịch</t>
        </is>
      </c>
      <c r="Q101">
        <f>IF(AND(E101&lt;&gt;"",R101="Có",I101&lt;&gt;"Xong",I101&lt;&gt;"Bỏ qua",ISNUMBER(H101)),H101+ROW()/100000,"")</f>
        <v/>
      </c>
      <c r="R101">
        <f>IF(M101="","",IFERROR(INDEX(SK_L,MATCH(M101,SK_A,0)),""))</f>
        <v/>
      </c>
    </row>
    <row r="102">
      <c r="A102" s="11">
        <f>IF(M102="","",IFERROR(INDEX(SK_B,MATCH(M102,SK_A,0))&amp;"",""))</f>
        <v/>
      </c>
      <c r="B102" s="24">
        <f>IF(M102="","",IFERROR(INDEX(SK_C,MATCH(M102,SK_A,0)),""))</f>
        <v/>
      </c>
      <c r="C102" s="25">
        <f>IF(O102="","",IF(O102=0,"D",IF(O102&lt;0,"D"&amp;O102,"D+"&amp;O102)))</f>
        <v/>
      </c>
      <c r="D102" s="13" t="inlineStr">
        <is>
          <t>5. Địa điểm &amp; hậu cần</t>
        </is>
      </c>
      <c r="E102" s="11" t="inlineStr">
        <is>
          <t>Đặt địa điểm (ngày, phòng, sức chứa, báo giá)</t>
        </is>
      </c>
      <c r="F102" s="26" t="inlineStr">
        <is>
          <t>Trade (ví dụ)</t>
        </is>
      </c>
      <c r="G102" s="13" t="inlineStr">
        <is>
          <t>Địa điểm</t>
        </is>
      </c>
      <c r="H102" s="12">
        <f>IF(OR(B102="",O102=""),"",IF(O102&gt;0,IF(P102="Làm việc",WORKDAY(IFERROR(IF(INDEX(SK_D,MATCH(M102,SK_A,0))="",B102,INDEX(SK_D,MATCH(M102,SK_A,0))),B102),O102,HOLI),IFERROR(IF(INDEX(SK_D,MATCH(M102,SK_A,0))="",B102,INDEX(SK_D,MATCH(M102,SK_A,0))),B102)+O102),B102+O102))</f>
        <v/>
      </c>
      <c r="I102" s="13" t="inlineStr">
        <is>
          <t>Chưa làm</t>
        </is>
      </c>
      <c r="J102" s="12" t="n"/>
      <c r="K102" s="11" t="n"/>
      <c r="L102" s="27">
        <f>IF(E102="","",IF(I102="Bỏ qua","—",IF(I102="Xong",IF(AND(ISNUMBER(J102),ISNUMBER(H102),J102&gt;H102),"Xong trễ","Xong"),IF(F102="","CHƯA GIAO","")&amp;IF(NOT(ISNUMBER(H102)),"",IF(TODAY()&gt;H102,IF(F102=""," · ","")&amp;"QUÁ HẠN "&amp;(TODAY()-H102)&amp;" ngày",IF(H102-TODAY()&lt;=3,IF(F102=""," · ","")&amp;"Đến hạn "&amp;IF(H102=TODAY(),"hôm nay","trong "&amp;(H102-TODAY())&amp;" ngày"),""))))))</f>
        <v/>
      </c>
      <c r="M102" t="inlineStr">
        <is>
          <t>VD-4</t>
        </is>
      </c>
      <c r="N102" t="inlineStr">
        <is>
          <t>K09</t>
        </is>
      </c>
      <c r="O102" t="n">
        <v>-30</v>
      </c>
      <c r="P102" t="inlineStr">
        <is>
          <t>Lịch</t>
        </is>
      </c>
      <c r="Q102">
        <f>IF(AND(E102&lt;&gt;"",R102="Có",I102&lt;&gt;"Xong",I102&lt;&gt;"Bỏ qua",ISNUMBER(H102)),H102+ROW()/100000,"")</f>
        <v/>
      </c>
      <c r="R102">
        <f>IF(M102="","",IFERROR(INDEX(SK_L,MATCH(M102,SK_A,0)),""))</f>
        <v/>
      </c>
    </row>
    <row r="103">
      <c r="A103" s="11">
        <f>IF(M103="","",IFERROR(INDEX(SK_B,MATCH(M103,SK_A,0))&amp;"",""))</f>
        <v/>
      </c>
      <c r="B103" s="24">
        <f>IF(M103="","",IFERROR(INDEX(SK_C,MATCH(M103,SK_A,0)),""))</f>
        <v/>
      </c>
      <c r="C103" s="25">
        <f>IF(O103="","",IF(O103=0,"D",IF(O103&lt;0,"D"&amp;O103,"D+"&amp;O103)))</f>
        <v/>
      </c>
      <c r="D103" s="13" t="inlineStr">
        <is>
          <t>5. Địa điểm &amp; hậu cần</t>
        </is>
      </c>
      <c r="E103" s="11" t="inlineStr">
        <is>
          <t>Chốt setup với địa điểm: sơ đồ, tea break / ăn trưa, kỹ thuật, sự kiện khác cùng giờ</t>
        </is>
      </c>
      <c r="F103" s="26" t="inlineStr">
        <is>
          <t>Trade (ví dụ)</t>
        </is>
      </c>
      <c r="G103" s="13" t="inlineStr">
        <is>
          <t>Địa điểm</t>
        </is>
      </c>
      <c r="H103" s="12">
        <f>IF(OR(B103="",O103=""),"",IF(O103&gt;0,IF(P103="Làm việc",WORKDAY(IFERROR(IF(INDEX(SK_D,MATCH(M103,SK_A,0))="",B103,INDEX(SK_D,MATCH(M103,SK_A,0))),B103),O103,HOLI),IFERROR(IF(INDEX(SK_D,MATCH(M103,SK_A,0))="",B103,INDEX(SK_D,MATCH(M103,SK_A,0))),B103)+O103),B103+O103))</f>
        <v/>
      </c>
      <c r="I103" s="13" t="inlineStr">
        <is>
          <t>Chưa làm</t>
        </is>
      </c>
      <c r="J103" s="12" t="n"/>
      <c r="K103" s="11" t="n"/>
      <c r="L103" s="27">
        <f>IF(E103="","",IF(I103="Bỏ qua","—",IF(I103="Xong",IF(AND(ISNUMBER(J103),ISNUMBER(H103),J103&gt;H103),"Xong trễ","Xong"),IF(F103="","CHƯA GIAO","")&amp;IF(NOT(ISNUMBER(H103)),"",IF(TODAY()&gt;H103,IF(F103=""," · ","")&amp;"QUÁ HẠN "&amp;(TODAY()-H103)&amp;" ngày",IF(H103-TODAY()&lt;=3,IF(F103=""," · ","")&amp;"Đến hạn "&amp;IF(H103=TODAY(),"hôm nay","trong "&amp;(H103-TODAY())&amp;" ngày"),""))))))</f>
        <v/>
      </c>
      <c r="M103" t="inlineStr">
        <is>
          <t>VD-4</t>
        </is>
      </c>
      <c r="N103" t="inlineStr">
        <is>
          <t>K10</t>
        </is>
      </c>
      <c r="O103" t="n">
        <v>-14</v>
      </c>
      <c r="P103" t="inlineStr">
        <is>
          <t>Lịch</t>
        </is>
      </c>
      <c r="Q103">
        <f>IF(AND(E103&lt;&gt;"",R103="Có",I103&lt;&gt;"Xong",I103&lt;&gt;"Bỏ qua",ISNUMBER(H103)),H103+ROW()/100000,"")</f>
        <v/>
      </c>
      <c r="R103">
        <f>IF(M103="","",IFERROR(INDEX(SK_L,MATCH(M103,SK_A,0)),""))</f>
        <v/>
      </c>
    </row>
    <row r="104">
      <c r="A104" s="11">
        <f>IF(M104="","",IFERROR(INDEX(SK_B,MATCH(M104,SK_A,0))&amp;"",""))</f>
        <v/>
      </c>
      <c r="B104" s="24">
        <f>IF(M104="","",IFERROR(INDEX(SK_C,MATCH(M104,SK_A,0)),""))</f>
        <v/>
      </c>
      <c r="C104" s="25">
        <f>IF(O104="","",IF(O104=0,"D",IF(O104&lt;0,"D"&amp;O104,"D+"&amp;O104)))</f>
        <v/>
      </c>
      <c r="D104" s="13" t="inlineStr">
        <is>
          <t>6. Nội dung</t>
        </is>
      </c>
      <c r="E104" s="11" t="inlineStr">
        <is>
          <t>Timeline chi tiết ngày D</t>
        </is>
      </c>
      <c r="F104" s="26" t="inlineStr">
        <is>
          <t>Leader MKT (ví dụ)</t>
        </is>
      </c>
      <c r="G104" s="13" t="inlineStr">
        <is>
          <t>KOL, Viện</t>
        </is>
      </c>
      <c r="H104" s="12">
        <f>IF(OR(B104="",O104=""),"",IF(O104&gt;0,IF(P104="Làm việc",WORKDAY(IFERROR(IF(INDEX(SK_D,MATCH(M104,SK_A,0))="",B104,INDEX(SK_D,MATCH(M104,SK_A,0))),B104),O104,HOLI),IFERROR(IF(INDEX(SK_D,MATCH(M104,SK_A,0))="",B104,INDEX(SK_D,MATCH(M104,SK_A,0))),B104)+O104),B104+O104))</f>
        <v/>
      </c>
      <c r="I104" s="13" t="inlineStr">
        <is>
          <t>Chưa làm</t>
        </is>
      </c>
      <c r="J104" s="12" t="n"/>
      <c r="K104" s="11" t="n"/>
      <c r="L104" s="27">
        <f>IF(E104="","",IF(I104="Bỏ qua","—",IF(I104="Xong",IF(AND(ISNUMBER(J104),ISNUMBER(H104),J104&gt;H104),"Xong trễ","Xong"),IF(F104="","CHƯA GIAO","")&amp;IF(NOT(ISNUMBER(H104)),"",IF(TODAY()&gt;H104,IF(F104=""," · ","")&amp;"QUÁ HẠN "&amp;(TODAY()-H104)&amp;" ngày",IF(H104-TODAY()&lt;=3,IF(F104=""," · ","")&amp;"Đến hạn "&amp;IF(H104=TODAY(),"hôm nay","trong "&amp;(H104-TODAY())&amp;" ngày"),""))))))</f>
        <v/>
      </c>
      <c r="M104" t="inlineStr">
        <is>
          <t>VD-4</t>
        </is>
      </c>
      <c r="N104" t="inlineStr">
        <is>
          <t>K12</t>
        </is>
      </c>
      <c r="O104" t="n">
        <v>-7</v>
      </c>
      <c r="P104" t="inlineStr">
        <is>
          <t>Lịch</t>
        </is>
      </c>
      <c r="Q104">
        <f>IF(AND(E104&lt;&gt;"",R104="Có",I104&lt;&gt;"Xong",I104&lt;&gt;"Bỏ qua",ISNUMBER(H104)),H104+ROW()/100000,"")</f>
        <v/>
      </c>
      <c r="R104">
        <f>IF(M104="","",IFERROR(INDEX(SK_L,MATCH(M104,SK_A,0)),""))</f>
        <v/>
      </c>
    </row>
    <row r="105">
      <c r="A105" s="11">
        <f>IF(M105="","",IFERROR(INDEX(SK_B,MATCH(M105,SK_A,0))&amp;"",""))</f>
        <v/>
      </c>
      <c r="B105" s="24">
        <f>IF(M105="","",IFERROR(INDEX(SK_C,MATCH(M105,SK_A,0)),""))</f>
        <v/>
      </c>
      <c r="C105" s="25">
        <f>IF(O105="","",IF(O105=0,"D",IF(O105&lt;0,"D"&amp;O105,"D+"&amp;O105)))</f>
        <v/>
      </c>
      <c r="D105" s="13" t="inlineStr">
        <is>
          <t>6. Nội dung</t>
        </is>
      </c>
      <c r="E105" s="11" t="inlineStr">
        <is>
          <t>Kịch bản MC, kịch bản phát biểu, video trình chiếu</t>
        </is>
      </c>
      <c r="F105" s="26" t="inlineStr">
        <is>
          <t>Digital (ví dụ)</t>
        </is>
      </c>
      <c r="G105" s="13" t="inlineStr">
        <is>
          <t>KOL, Viện</t>
        </is>
      </c>
      <c r="H105" s="12">
        <f>IF(OR(B105="",O105=""),"",IF(O105&gt;0,IF(P105="Làm việc",WORKDAY(IFERROR(IF(INDEX(SK_D,MATCH(M105,SK_A,0))="",B105,INDEX(SK_D,MATCH(M105,SK_A,0))),B105),O105,HOLI),IFERROR(IF(INDEX(SK_D,MATCH(M105,SK_A,0))="",B105,INDEX(SK_D,MATCH(M105,SK_A,0))),B105)+O105),B105+O105))</f>
        <v/>
      </c>
      <c r="I105" s="13" t="inlineStr">
        <is>
          <t>Chưa làm</t>
        </is>
      </c>
      <c r="J105" s="12" t="n"/>
      <c r="K105" s="11" t="n"/>
      <c r="L105" s="27">
        <f>IF(E105="","",IF(I105="Bỏ qua","—",IF(I105="Xong",IF(AND(ISNUMBER(J105),ISNUMBER(H105),J105&gt;H105),"Xong trễ","Xong"),IF(F105="","CHƯA GIAO","")&amp;IF(NOT(ISNUMBER(H105)),"",IF(TODAY()&gt;H105,IF(F105=""," · ","")&amp;"QUÁ HẠN "&amp;(TODAY()-H105)&amp;" ngày",IF(H105-TODAY()&lt;=3,IF(F105=""," · ","")&amp;"Đến hạn "&amp;IF(H105=TODAY(),"hôm nay","trong "&amp;(H105-TODAY())&amp;" ngày"),""))))))</f>
        <v/>
      </c>
      <c r="M105" t="inlineStr">
        <is>
          <t>VD-4</t>
        </is>
      </c>
      <c r="N105" t="inlineStr">
        <is>
          <t>K13</t>
        </is>
      </c>
      <c r="O105" t="n">
        <v>-7</v>
      </c>
      <c r="P105" t="inlineStr">
        <is>
          <t>Lịch</t>
        </is>
      </c>
      <c r="Q105">
        <f>IF(AND(E105&lt;&gt;"",R105="Có",I105&lt;&gt;"Xong",I105&lt;&gt;"Bỏ qua",ISNUMBER(H105)),H105+ROW()/100000,"")</f>
        <v/>
      </c>
      <c r="R105">
        <f>IF(M105="","",IFERROR(INDEX(SK_L,MATCH(M105,SK_A,0)),""))</f>
        <v/>
      </c>
    </row>
    <row r="106">
      <c r="A106" s="11">
        <f>IF(M106="","",IFERROR(INDEX(SK_B,MATCH(M106,SK_A,0))&amp;"",""))</f>
        <v/>
      </c>
      <c r="B106" s="24">
        <f>IF(M106="","",IFERROR(INDEX(SK_C,MATCH(M106,SK_A,0)),""))</f>
        <v/>
      </c>
      <c r="C106" s="25">
        <f>IF(O106="","",IF(O106=0,"D",IF(O106&lt;0,"D"&amp;O106,"D+"&amp;O106)))</f>
        <v/>
      </c>
      <c r="D106" s="13" t="inlineStr">
        <is>
          <t>7. Ấn phẩm &amp; đồ</t>
        </is>
      </c>
      <c r="E106" s="11" t="inlineStr">
        <is>
          <t>Thiết kế &amp; in: backdrop, standee, thẻ đeo, bảng tên, folder, QR khảo sát, biểu mẫu check-in ký tay</t>
        </is>
      </c>
      <c r="F106" s="26" t="inlineStr">
        <is>
          <t>Digital (ví dụ)</t>
        </is>
      </c>
      <c r="G106" s="13" t="inlineStr">
        <is>
          <t>Trade MKT</t>
        </is>
      </c>
      <c r="H106" s="12">
        <f>IF(OR(B106="",O106=""),"",IF(O106&gt;0,IF(P106="Làm việc",WORKDAY(IFERROR(IF(INDEX(SK_D,MATCH(M106,SK_A,0))="",B106,INDEX(SK_D,MATCH(M106,SK_A,0))),B106),O106,HOLI),IFERROR(IF(INDEX(SK_D,MATCH(M106,SK_A,0))="",B106,INDEX(SK_D,MATCH(M106,SK_A,0))),B106)+O106),B106+O106))</f>
        <v/>
      </c>
      <c r="I106" s="13" t="inlineStr">
        <is>
          <t>Chưa làm</t>
        </is>
      </c>
      <c r="J106" s="12" t="n"/>
      <c r="K106" s="11" t="n"/>
      <c r="L106" s="27">
        <f>IF(E106="","",IF(I106="Bỏ qua","—",IF(I106="Xong",IF(AND(ISNUMBER(J106),ISNUMBER(H106),J106&gt;H106),"Xong trễ","Xong"),IF(F106="","CHƯA GIAO","")&amp;IF(NOT(ISNUMBER(H106)),"",IF(TODAY()&gt;H106,IF(F106=""," · ","")&amp;"QUÁ HẠN "&amp;(TODAY()-H106)&amp;" ngày",IF(H106-TODAY()&lt;=3,IF(F106=""," · ","")&amp;"Đến hạn "&amp;IF(H106=TODAY(),"hôm nay","trong "&amp;(H106-TODAY())&amp;" ngày"),""))))))</f>
        <v/>
      </c>
      <c r="M106" t="inlineStr">
        <is>
          <t>VD-4</t>
        </is>
      </c>
      <c r="N106" t="inlineStr">
        <is>
          <t>K14</t>
        </is>
      </c>
      <c r="O106" t="n">
        <v>-7</v>
      </c>
      <c r="P106" t="inlineStr">
        <is>
          <t>Lịch</t>
        </is>
      </c>
      <c r="Q106">
        <f>IF(AND(E106&lt;&gt;"",R106="Có",I106&lt;&gt;"Xong",I106&lt;&gt;"Bỏ qua",ISNUMBER(H106)),H106+ROW()/100000,"")</f>
        <v/>
      </c>
      <c r="R106">
        <f>IF(M106="","",IFERROR(INDEX(SK_L,MATCH(M106,SK_A,0)),""))</f>
        <v/>
      </c>
    </row>
    <row r="107">
      <c r="A107" s="11">
        <f>IF(M107="","",IFERROR(INDEX(SK_B,MATCH(M107,SK_A,0))&amp;"",""))</f>
        <v/>
      </c>
      <c r="B107" s="24">
        <f>IF(M107="","",IFERROR(INDEX(SK_C,MATCH(M107,SK_A,0)),""))</f>
        <v/>
      </c>
      <c r="C107" s="25">
        <f>IF(O107="","",IF(O107=0,"D",IF(O107&lt;0,"D"&amp;O107,"D+"&amp;O107)))</f>
        <v/>
      </c>
      <c r="D107" s="13" t="inlineStr">
        <is>
          <t>7. Ấn phẩm &amp; đồ</t>
        </is>
      </c>
      <c r="E107" s="11" t="inlineStr">
        <is>
          <t>Đồ marketing + đồ thực hành theo phiên (nguồn, báo giá, đồ mượn)</t>
        </is>
      </c>
      <c r="F107" s="26" t="inlineStr">
        <is>
          <t>Trade (ví dụ)</t>
        </is>
      </c>
      <c r="G107" s="13" t="inlineStr">
        <is>
          <t>KOL, NPP</t>
        </is>
      </c>
      <c r="H107" s="12">
        <f>IF(OR(B107="",O107=""),"",IF(O107&gt;0,IF(P107="Làm việc",WORKDAY(IFERROR(IF(INDEX(SK_D,MATCH(M107,SK_A,0))="",B107,INDEX(SK_D,MATCH(M107,SK_A,0))),B107),O107,HOLI),IFERROR(IF(INDEX(SK_D,MATCH(M107,SK_A,0))="",B107,INDEX(SK_D,MATCH(M107,SK_A,0))),B107)+O107),B107+O107))</f>
        <v/>
      </c>
      <c r="I107" s="13" t="inlineStr">
        <is>
          <t>Chưa làm</t>
        </is>
      </c>
      <c r="J107" s="12" t="n"/>
      <c r="K107" s="11" t="n"/>
      <c r="L107" s="27">
        <f>IF(E107="","",IF(I107="Bỏ qua","—",IF(I107="Xong",IF(AND(ISNUMBER(J107),ISNUMBER(H107),J107&gt;H107),"Xong trễ","Xong"),IF(F107="","CHƯA GIAO","")&amp;IF(NOT(ISNUMBER(H107)),"",IF(TODAY()&gt;H107,IF(F107=""," · ","")&amp;"QUÁ HẠN "&amp;(TODAY()-H107)&amp;" ngày",IF(H107-TODAY()&lt;=3,IF(F107=""," · ","")&amp;"Đến hạn "&amp;IF(H107=TODAY(),"hôm nay","trong "&amp;(H107-TODAY())&amp;" ngày"),""))))))</f>
        <v/>
      </c>
      <c r="M107" t="inlineStr">
        <is>
          <t>VD-4</t>
        </is>
      </c>
      <c r="N107" t="inlineStr">
        <is>
          <t>K15</t>
        </is>
      </c>
      <c r="O107" t="n">
        <v>-10</v>
      </c>
      <c r="P107" t="inlineStr">
        <is>
          <t>Lịch</t>
        </is>
      </c>
      <c r="Q107">
        <f>IF(AND(E107&lt;&gt;"",R107="Có",I107&lt;&gt;"Xong",I107&lt;&gt;"Bỏ qua",ISNUMBER(H107)),H107+ROW()/100000,"")</f>
        <v/>
      </c>
      <c r="R107">
        <f>IF(M107="","",IFERROR(INDEX(SK_L,MATCH(M107,SK_A,0)),""))</f>
        <v/>
      </c>
    </row>
    <row r="108">
      <c r="A108" s="11">
        <f>IF(M108="","",IFERROR(INDEX(SK_B,MATCH(M108,SK_A,0))&amp;"",""))</f>
        <v/>
      </c>
      <c r="B108" s="24">
        <f>IF(M108="","",IFERROR(INDEX(SK_C,MATCH(M108,SK_A,0)),""))</f>
        <v/>
      </c>
      <c r="C108" s="25">
        <f>IF(O108="","",IF(O108=0,"D",IF(O108&lt;0,"D"&amp;O108,"D+"&amp;O108)))</f>
        <v/>
      </c>
      <c r="D108" s="13" t="inlineStr">
        <is>
          <t>7. Ấn phẩm &amp; đồ</t>
        </is>
      </c>
      <c r="E108" s="11" t="inlineStr">
        <is>
          <t>VIP / đại biểu (nếu có Viện): danh sách, hoa, bảng tên mica, quà, lời giới thiệu</t>
        </is>
      </c>
      <c r="F108" s="26" t="inlineStr">
        <is>
          <t>Trade (ví dụ)</t>
        </is>
      </c>
      <c r="G108" s="13" t="inlineStr">
        <is>
          <t>Viện</t>
        </is>
      </c>
      <c r="H108" s="12">
        <f>IF(OR(B108="",O108=""),"",IF(O108&gt;0,IF(P108="Làm việc",WORKDAY(IFERROR(IF(INDEX(SK_D,MATCH(M108,SK_A,0))="",B108,INDEX(SK_D,MATCH(M108,SK_A,0))),B108),O108,HOLI),IFERROR(IF(INDEX(SK_D,MATCH(M108,SK_A,0))="",B108,INDEX(SK_D,MATCH(M108,SK_A,0))),B108)+O108),B108+O108))</f>
        <v/>
      </c>
      <c r="I108" s="13" t="inlineStr">
        <is>
          <t>Chưa làm</t>
        </is>
      </c>
      <c r="J108" s="12" t="n"/>
      <c r="K108" s="11" t="n"/>
      <c r="L108" s="27">
        <f>IF(E108="","",IF(I108="Bỏ qua","—",IF(I108="Xong",IF(AND(ISNUMBER(J108),ISNUMBER(H108),J108&gt;H108),"Xong trễ","Xong"),IF(F108="","CHƯA GIAO","")&amp;IF(NOT(ISNUMBER(H108)),"",IF(TODAY()&gt;H108,IF(F108=""," · ","")&amp;"QUÁ HẠN "&amp;(TODAY()-H108)&amp;" ngày",IF(H108-TODAY()&lt;=3,IF(F108=""," · ","")&amp;"Đến hạn "&amp;IF(H108=TODAY(),"hôm nay","trong "&amp;(H108-TODAY())&amp;" ngày"),""))))))</f>
        <v/>
      </c>
      <c r="M108" t="inlineStr">
        <is>
          <t>VD-4</t>
        </is>
      </c>
      <c r="N108" t="inlineStr">
        <is>
          <t>K16</t>
        </is>
      </c>
      <c r="O108" t="n">
        <v>-7</v>
      </c>
      <c r="P108" t="inlineStr">
        <is>
          <t>Lịch</t>
        </is>
      </c>
      <c r="Q108">
        <f>IF(AND(E108&lt;&gt;"",R108="Có",I108&lt;&gt;"Xong",I108&lt;&gt;"Bỏ qua",ISNUMBER(H108)),H108+ROW()/100000,"")</f>
        <v/>
      </c>
      <c r="R108">
        <f>IF(M108="","",IFERROR(INDEX(SK_L,MATCH(M108,SK_A,0)),""))</f>
        <v/>
      </c>
    </row>
    <row r="109">
      <c r="A109" s="11">
        <f>IF(M109="","",IFERROR(INDEX(SK_B,MATCH(M109,SK_A,0))&amp;"",""))</f>
        <v/>
      </c>
      <c r="B109" s="24">
        <f>IF(M109="","",IFERROR(INDEX(SK_C,MATCH(M109,SK_A,0)),""))</f>
        <v/>
      </c>
      <c r="C109" s="25">
        <f>IF(O109="","",IF(O109=0,"D",IF(O109&lt;0,"D"&amp;O109,"D+"&amp;O109)))</f>
        <v/>
      </c>
      <c r="D109" s="13" t="inlineStr">
        <is>
          <t>7. Ấn phẩm &amp; đồ</t>
        </is>
      </c>
      <c r="E109" s="11" t="inlineStr">
        <is>
          <t>Gửi đồ đi tỉnh + xác nhận địa điểm nhận đủ</t>
        </is>
      </c>
      <c r="F109" s="26" t="inlineStr">
        <is>
          <t>Trade (ví dụ)</t>
        </is>
      </c>
      <c r="G109" s="13" t="inlineStr">
        <is>
          <t>Địa điểm</t>
        </is>
      </c>
      <c r="H109" s="12">
        <f>IF(OR(B109="",O109=""),"",IF(O109&gt;0,IF(P109="Làm việc",WORKDAY(IFERROR(IF(INDEX(SK_D,MATCH(M109,SK_A,0))="",B109,INDEX(SK_D,MATCH(M109,SK_A,0))),B109),O109,HOLI),IFERROR(IF(INDEX(SK_D,MATCH(M109,SK_A,0))="",B109,INDEX(SK_D,MATCH(M109,SK_A,0))),B109)+O109),B109+O109))</f>
        <v/>
      </c>
      <c r="I109" s="13" t="inlineStr">
        <is>
          <t>Chưa làm</t>
        </is>
      </c>
      <c r="J109" s="12" t="n"/>
      <c r="K109" s="11" t="n"/>
      <c r="L109" s="27">
        <f>IF(E109="","",IF(I109="Bỏ qua","—",IF(I109="Xong",IF(AND(ISNUMBER(J109),ISNUMBER(H109),J109&gt;H109),"Xong trễ","Xong"),IF(F109="","CHƯA GIAO","")&amp;IF(NOT(ISNUMBER(H109)),"",IF(TODAY()&gt;H109,IF(F109=""," · ","")&amp;"QUÁ HẠN "&amp;(TODAY()-H109)&amp;" ngày",IF(H109-TODAY()&lt;=3,IF(F109=""," · ","")&amp;"Đến hạn "&amp;IF(H109=TODAY(),"hôm nay","trong "&amp;(H109-TODAY())&amp;" ngày"),""))))))</f>
        <v/>
      </c>
      <c r="M109" t="inlineStr">
        <is>
          <t>VD-4</t>
        </is>
      </c>
      <c r="N109" t="inlineStr">
        <is>
          <t>K17</t>
        </is>
      </c>
      <c r="O109" t="n">
        <v>-7</v>
      </c>
      <c r="P109" t="inlineStr">
        <is>
          <t>Lịch</t>
        </is>
      </c>
      <c r="Q109">
        <f>IF(AND(E109&lt;&gt;"",R109="Có",I109&lt;&gt;"Xong",I109&lt;&gt;"Bỏ qua",ISNUMBER(H109)),H109+ROW()/100000,"")</f>
        <v/>
      </c>
      <c r="R109">
        <f>IF(M109="","",IFERROR(INDEX(SK_L,MATCH(M109,SK_A,0)),""))</f>
        <v/>
      </c>
    </row>
    <row r="110">
      <c r="A110" s="11">
        <f>IF(M110="","",IFERROR(INDEX(SK_B,MATCH(M110,SK_A,0))&amp;"",""))</f>
        <v/>
      </c>
      <c r="B110" s="24">
        <f>IF(M110="","",IFERROR(INDEX(SK_C,MATCH(M110,SK_A,0)),""))</f>
        <v/>
      </c>
      <c r="C110" s="25">
        <f>IF(O110="","",IF(O110=0,"D",IF(O110&lt;0,"D"&amp;O110,"D+"&amp;O110)))</f>
        <v/>
      </c>
      <c r="D110" s="13" t="inlineStr">
        <is>
          <t>8. Chốt trước D</t>
        </is>
      </c>
      <c r="E110" s="11" t="inlineStr">
        <is>
          <t>Họp với NPP: agenda, nhân sự, bán hàng, sản phẩm</t>
        </is>
      </c>
      <c r="F110" s="26" t="inlineStr">
        <is>
          <t>Leader MKT (ví dụ)</t>
        </is>
      </c>
      <c r="G110" s="13" t="inlineStr">
        <is>
          <t>NPP, Sales</t>
        </is>
      </c>
      <c r="H110" s="12">
        <f>IF(OR(B110="",O110=""),"",IF(O110&gt;0,IF(P110="Làm việc",WORKDAY(IFERROR(IF(INDEX(SK_D,MATCH(M110,SK_A,0))="",B110,INDEX(SK_D,MATCH(M110,SK_A,0))),B110),O110,HOLI),IFERROR(IF(INDEX(SK_D,MATCH(M110,SK_A,0))="",B110,INDEX(SK_D,MATCH(M110,SK_A,0))),B110)+O110),B110+O110))</f>
        <v/>
      </c>
      <c r="I110" s="13" t="inlineStr">
        <is>
          <t>Chưa làm</t>
        </is>
      </c>
      <c r="J110" s="12" t="n"/>
      <c r="K110" s="11" t="n"/>
      <c r="L110" s="27">
        <f>IF(E110="","",IF(I110="Bỏ qua","—",IF(I110="Xong",IF(AND(ISNUMBER(J110),ISNUMBER(H110),J110&gt;H110),"Xong trễ","Xong"),IF(F110="","CHƯA GIAO","")&amp;IF(NOT(ISNUMBER(H110)),"",IF(TODAY()&gt;H110,IF(F110=""," · ","")&amp;"QUÁ HẠN "&amp;(TODAY()-H110)&amp;" ngày",IF(H110-TODAY()&lt;=3,IF(F110=""," · ","")&amp;"Đến hạn "&amp;IF(H110=TODAY(),"hôm nay","trong "&amp;(H110-TODAY())&amp;" ngày"),""))))))</f>
        <v/>
      </c>
      <c r="M110" t="inlineStr">
        <is>
          <t>VD-4</t>
        </is>
      </c>
      <c r="N110" t="inlineStr">
        <is>
          <t>K18</t>
        </is>
      </c>
      <c r="O110" t="n">
        <v>-3</v>
      </c>
      <c r="P110" t="inlineStr">
        <is>
          <t>Lịch</t>
        </is>
      </c>
      <c r="Q110">
        <f>IF(AND(E110&lt;&gt;"",R110="Có",I110&lt;&gt;"Xong",I110&lt;&gt;"Bỏ qua",ISNUMBER(H110)),H110+ROW()/100000,"")</f>
        <v/>
      </c>
      <c r="R110">
        <f>IF(M110="","",IFERROR(INDEX(SK_L,MATCH(M110,SK_A,0)),""))</f>
        <v/>
      </c>
    </row>
    <row r="111">
      <c r="A111" s="11">
        <f>IF(M111="","",IFERROR(INDEX(SK_B,MATCH(M111,SK_A,0))&amp;"",""))</f>
        <v/>
      </c>
      <c r="B111" s="24">
        <f>IF(M111="","",IFERROR(INDEX(SK_C,MATCH(M111,SK_A,0)),""))</f>
        <v/>
      </c>
      <c r="C111" s="25">
        <f>IF(O111="","",IF(O111=0,"D",IF(O111&lt;0,"D"&amp;O111,"D+"&amp;O111)))</f>
        <v/>
      </c>
      <c r="D111" s="13" t="inlineStr">
        <is>
          <t>8. Chốt trước D</t>
        </is>
      </c>
      <c r="E111" s="11" t="inlineStr">
        <is>
          <t>Rà soát dữ liệu khách (thiếu thông tin / chưa đồng ý dữ liệu)</t>
        </is>
      </c>
      <c r="F111" s="26" t="inlineStr">
        <is>
          <t>Digital (ví dụ)</t>
        </is>
      </c>
      <c r="G111" s="13" t="inlineStr">
        <is>
          <t>Sales, NPP</t>
        </is>
      </c>
      <c r="H111" s="12">
        <f>IF(OR(B111="",O111=""),"",IF(O111&gt;0,IF(P111="Làm việc",WORKDAY(IFERROR(IF(INDEX(SK_D,MATCH(M111,SK_A,0))="",B111,INDEX(SK_D,MATCH(M111,SK_A,0))),B111),O111,HOLI),IFERROR(IF(INDEX(SK_D,MATCH(M111,SK_A,0))="",B111,INDEX(SK_D,MATCH(M111,SK_A,0))),B111)+O111),B111+O111))</f>
        <v/>
      </c>
      <c r="I111" s="13" t="inlineStr">
        <is>
          <t>Chưa làm</t>
        </is>
      </c>
      <c r="J111" s="12" t="n"/>
      <c r="K111" s="11" t="n"/>
      <c r="L111" s="27">
        <f>IF(E111="","",IF(I111="Bỏ qua","—",IF(I111="Xong",IF(AND(ISNUMBER(J111),ISNUMBER(H111),J111&gt;H111),"Xong trễ","Xong"),IF(F111="","CHƯA GIAO","")&amp;IF(NOT(ISNUMBER(H111)),"",IF(TODAY()&gt;H111,IF(F111=""," · ","")&amp;"QUÁ HẠN "&amp;(TODAY()-H111)&amp;" ngày",IF(H111-TODAY()&lt;=3,IF(F111=""," · ","")&amp;"Đến hạn "&amp;IF(H111=TODAY(),"hôm nay","trong "&amp;(H111-TODAY())&amp;" ngày"),""))))))</f>
        <v/>
      </c>
      <c r="M111" t="inlineStr">
        <is>
          <t>VD-4</t>
        </is>
      </c>
      <c r="N111" t="inlineStr">
        <is>
          <t>K19</t>
        </is>
      </c>
      <c r="O111" t="n">
        <v>-3</v>
      </c>
      <c r="P111" t="inlineStr">
        <is>
          <t>Lịch</t>
        </is>
      </c>
      <c r="Q111">
        <f>IF(AND(E111&lt;&gt;"",R111="Có",I111&lt;&gt;"Xong",I111&lt;&gt;"Bỏ qua",ISNUMBER(H111)),H111+ROW()/100000,"")</f>
        <v/>
      </c>
      <c r="R111">
        <f>IF(M111="","",IFERROR(INDEX(SK_L,MATCH(M111,SK_A,0)),""))</f>
        <v/>
      </c>
    </row>
    <row r="112">
      <c r="A112" s="11">
        <f>IF(M112="","",IFERROR(INDEX(SK_B,MATCH(M112,SK_A,0))&amp;"",""))</f>
        <v/>
      </c>
      <c r="B112" s="24">
        <f>IF(M112="","",IFERROR(INDEX(SK_C,MATCH(M112,SK_A,0)),""))</f>
        <v/>
      </c>
      <c r="C112" s="25">
        <f>IF(O112="","",IF(O112=0,"D",IF(O112&lt;0,"D"&amp;O112,"D+"&amp;O112)))</f>
        <v/>
      </c>
      <c r="D112" s="13" t="inlineStr">
        <is>
          <t>8. Chốt trước D</t>
        </is>
      </c>
      <c r="E112" s="11" t="inlineStr">
        <is>
          <t>Phân công nhân sự trước / trong / sau, giờ có mặt</t>
        </is>
      </c>
      <c r="F112" s="26" t="inlineStr">
        <is>
          <t>Leader MKT (ví dụ)</t>
        </is>
      </c>
      <c r="G112" s="13" t="inlineStr">
        <is>
          <t>Sales, NPP</t>
        </is>
      </c>
      <c r="H112" s="12">
        <f>IF(OR(B112="",O112=""),"",IF(O112&gt;0,IF(P112="Làm việc",WORKDAY(IFERROR(IF(INDEX(SK_D,MATCH(M112,SK_A,0))="",B112,INDEX(SK_D,MATCH(M112,SK_A,0))),B112),O112,HOLI),IFERROR(IF(INDEX(SK_D,MATCH(M112,SK_A,0))="",B112,INDEX(SK_D,MATCH(M112,SK_A,0))),B112)+O112),B112+O112))</f>
        <v/>
      </c>
      <c r="I112" s="13" t="inlineStr">
        <is>
          <t>Chưa làm</t>
        </is>
      </c>
      <c r="J112" s="12" t="n"/>
      <c r="K112" s="11" t="n"/>
      <c r="L112" s="27">
        <f>IF(E112="","",IF(I112="Bỏ qua","—",IF(I112="Xong",IF(AND(ISNUMBER(J112),ISNUMBER(H112),J112&gt;H112),"Xong trễ","Xong"),IF(F112="","CHƯA GIAO","")&amp;IF(NOT(ISNUMBER(H112)),"",IF(TODAY()&gt;H112,IF(F112=""," · ","")&amp;"QUÁ HẠN "&amp;(TODAY()-H112)&amp;" ngày",IF(H112-TODAY()&lt;=3,IF(F112=""," · ","")&amp;"Đến hạn "&amp;IF(H112=TODAY(),"hôm nay","trong "&amp;(H112-TODAY())&amp;" ngày"),""))))))</f>
        <v/>
      </c>
      <c r="M112" t="inlineStr">
        <is>
          <t>VD-4</t>
        </is>
      </c>
      <c r="N112" t="inlineStr">
        <is>
          <t>K20</t>
        </is>
      </c>
      <c r="O112" t="n">
        <v>-3</v>
      </c>
      <c r="P112" t="inlineStr">
        <is>
          <t>Lịch</t>
        </is>
      </c>
      <c r="Q112">
        <f>IF(AND(E112&lt;&gt;"",R112="Có",I112&lt;&gt;"Xong",I112&lt;&gt;"Bỏ qua",ISNUMBER(H112)),H112+ROW()/100000,"")</f>
        <v/>
      </c>
      <c r="R112">
        <f>IF(M112="","",IFERROR(INDEX(SK_L,MATCH(M112,SK_A,0)),""))</f>
        <v/>
      </c>
    </row>
    <row r="113">
      <c r="A113" s="11">
        <f>IF(M113="","",IFERROR(INDEX(SK_B,MATCH(M113,SK_A,0))&amp;"",""))</f>
        <v/>
      </c>
      <c r="B113" s="24">
        <f>IF(M113="","",IFERROR(INDEX(SK_C,MATCH(M113,SK_A,0)),""))</f>
        <v/>
      </c>
      <c r="C113" s="25">
        <f>IF(O113="","",IF(O113=0,"D",IF(O113&lt;0,"D"&amp;O113,"D+"&amp;O113)))</f>
        <v/>
      </c>
      <c r="D113" s="13" t="inlineStr">
        <is>
          <t>8. Chốt trước D</t>
        </is>
      </c>
      <c r="E113" s="11" t="inlineStr">
        <is>
          <t>Họp review D-1 + gọi nhắc khách + set up địa điểm / chạy thử Zoom</t>
        </is>
      </c>
      <c r="F113" s="26" t="inlineStr">
        <is>
          <t>Leader MKT (ví dụ)</t>
        </is>
      </c>
      <c r="G113" s="13" t="inlineStr">
        <is>
          <t>Toàn team</t>
        </is>
      </c>
      <c r="H113" s="12">
        <f>IF(OR(B113="",O113=""),"",IF(O113&gt;0,IF(P113="Làm việc",WORKDAY(IFERROR(IF(INDEX(SK_D,MATCH(M113,SK_A,0))="",B113,INDEX(SK_D,MATCH(M113,SK_A,0))),B113),O113,HOLI),IFERROR(IF(INDEX(SK_D,MATCH(M113,SK_A,0))="",B113,INDEX(SK_D,MATCH(M113,SK_A,0))),B113)+O113),B113+O113))</f>
        <v/>
      </c>
      <c r="I113" s="13" t="inlineStr">
        <is>
          <t>Chưa làm</t>
        </is>
      </c>
      <c r="J113" s="12" t="n"/>
      <c r="K113" s="11" t="n"/>
      <c r="L113" s="27">
        <f>IF(E113="","",IF(I113="Bỏ qua","—",IF(I113="Xong",IF(AND(ISNUMBER(J113),ISNUMBER(H113),J113&gt;H113),"Xong trễ","Xong"),IF(F113="","CHƯA GIAO","")&amp;IF(NOT(ISNUMBER(H113)),"",IF(TODAY()&gt;H113,IF(F113=""," · ","")&amp;"QUÁ HẠN "&amp;(TODAY()-H113)&amp;" ngày",IF(H113-TODAY()&lt;=3,IF(F113=""," · ","")&amp;"Đến hạn "&amp;IF(H113=TODAY(),"hôm nay","trong "&amp;(H113-TODAY())&amp;" ngày"),""))))))</f>
        <v/>
      </c>
      <c r="M113" t="inlineStr">
        <is>
          <t>VD-4</t>
        </is>
      </c>
      <c r="N113" t="inlineStr">
        <is>
          <t>K21</t>
        </is>
      </c>
      <c r="O113" t="n">
        <v>-1</v>
      </c>
      <c r="P113" t="inlineStr">
        <is>
          <t>Lịch</t>
        </is>
      </c>
      <c r="Q113">
        <f>IF(AND(E113&lt;&gt;"",R113="Có",I113&lt;&gt;"Xong",I113&lt;&gt;"Bỏ qua",ISNUMBER(H113)),H113+ROW()/100000,"")</f>
        <v/>
      </c>
      <c r="R113">
        <f>IF(M113="","",IFERROR(INDEX(SK_L,MATCH(M113,SK_A,0)),""))</f>
        <v/>
      </c>
    </row>
    <row r="114">
      <c r="A114" s="11">
        <f>IF(M114="","",IFERROR(INDEX(SK_B,MATCH(M114,SK_A,0))&amp;"",""))</f>
        <v/>
      </c>
      <c r="B114" s="24">
        <f>IF(M114="","",IFERROR(INDEX(SK_C,MATCH(M114,SK_A,0)),""))</f>
        <v/>
      </c>
      <c r="C114" s="25">
        <f>IF(O114="","",IF(O114=0,"D",IF(O114&lt;0,"D"&amp;O114,"D+"&amp;O114)))</f>
        <v/>
      </c>
      <c r="D114" s="13" t="inlineStr">
        <is>
          <t>9. Ngày D</t>
        </is>
      </c>
      <c r="E114" s="11" t="inlineStr">
        <is>
          <t>Check-in có chữ ký + đồng ý dữ liệu (webinar: xuất báo cáo Zoom ngay sau buổi)</t>
        </is>
      </c>
      <c r="F114" s="26" t="inlineStr">
        <is>
          <t>Digital (ví dụ)</t>
        </is>
      </c>
      <c r="G114" s="13" t="inlineStr">
        <is>
          <t>Trade, NPP</t>
        </is>
      </c>
      <c r="H114" s="12">
        <f>IF(OR(B114="",O114=""),"",IF(O114&gt;0,IF(P114="Làm việc",WORKDAY(IFERROR(IF(INDEX(SK_D,MATCH(M114,SK_A,0))="",B114,INDEX(SK_D,MATCH(M114,SK_A,0))),B114),O114,HOLI),IFERROR(IF(INDEX(SK_D,MATCH(M114,SK_A,0))="",B114,INDEX(SK_D,MATCH(M114,SK_A,0))),B114)+O114),B114+O114))</f>
        <v/>
      </c>
      <c r="I114" s="13" t="inlineStr">
        <is>
          <t>Chưa làm</t>
        </is>
      </c>
      <c r="J114" s="12" t="n"/>
      <c r="K114" s="11" t="n"/>
      <c r="L114" s="27">
        <f>IF(E114="","",IF(I114="Bỏ qua","—",IF(I114="Xong",IF(AND(ISNUMBER(J114),ISNUMBER(H114),J114&gt;H114),"Xong trễ","Xong"),IF(F114="","CHƯA GIAO","")&amp;IF(NOT(ISNUMBER(H114)),"",IF(TODAY()&gt;H114,IF(F114=""," · ","")&amp;"QUÁ HẠN "&amp;(TODAY()-H114)&amp;" ngày",IF(H114-TODAY()&lt;=3,IF(F114=""," · ","")&amp;"Đến hạn "&amp;IF(H114=TODAY(),"hôm nay","trong "&amp;(H114-TODAY())&amp;" ngày"),""))))))</f>
        <v/>
      </c>
      <c r="M114" t="inlineStr">
        <is>
          <t>VD-4</t>
        </is>
      </c>
      <c r="N114" t="inlineStr">
        <is>
          <t>K22</t>
        </is>
      </c>
      <c r="O114" t="n">
        <v>0</v>
      </c>
      <c r="P114" t="inlineStr">
        <is>
          <t>Lịch</t>
        </is>
      </c>
      <c r="Q114">
        <f>IF(AND(E114&lt;&gt;"",R114="Có",I114&lt;&gt;"Xong",I114&lt;&gt;"Bỏ qua",ISNUMBER(H114)),H114+ROW()/100000,"")</f>
        <v/>
      </c>
      <c r="R114">
        <f>IF(M114="","",IFERROR(INDEX(SK_L,MATCH(M114,SK_A,0)),""))</f>
        <v/>
      </c>
    </row>
    <row r="115">
      <c r="A115" s="11">
        <f>IF(M115="","",IFERROR(INDEX(SK_B,MATCH(M115,SK_A,0))&amp;"",""))</f>
        <v/>
      </c>
      <c r="B115" s="24">
        <f>IF(M115="","",IFERROR(INDEX(SK_C,MATCH(M115,SK_A,0)),""))</f>
        <v/>
      </c>
      <c r="C115" s="25">
        <f>IF(O115="","",IF(O115=0,"D",IF(O115&lt;0,"D"&amp;O115,"D+"&amp;O115)))</f>
        <v/>
      </c>
      <c r="D115" s="13" t="inlineStr">
        <is>
          <t>9. Ngày D</t>
        </is>
      </c>
      <c r="E115" s="11" t="inlineStr">
        <is>
          <t>Điều phối chương trình, khảo sát QR trước bế mạc, ảnh / video</t>
        </is>
      </c>
      <c r="F115" s="26" t="inlineStr">
        <is>
          <t>Leader MKT (ví dụ)</t>
        </is>
      </c>
      <c r="G115" s="13" t="inlineStr">
        <is>
          <t>Digital MKT</t>
        </is>
      </c>
      <c r="H115" s="12">
        <f>IF(OR(B115="",O115=""),"",IF(O115&gt;0,IF(P115="Làm việc",WORKDAY(IFERROR(IF(INDEX(SK_D,MATCH(M115,SK_A,0))="",B115,INDEX(SK_D,MATCH(M115,SK_A,0))),B115),O115,HOLI),IFERROR(IF(INDEX(SK_D,MATCH(M115,SK_A,0))="",B115,INDEX(SK_D,MATCH(M115,SK_A,0))),B115)+O115),B115+O115))</f>
        <v/>
      </c>
      <c r="I115" s="13" t="inlineStr">
        <is>
          <t>Chưa làm</t>
        </is>
      </c>
      <c r="J115" s="12" t="n"/>
      <c r="K115" s="11" t="n"/>
      <c r="L115" s="27">
        <f>IF(E115="","",IF(I115="Bỏ qua","—",IF(I115="Xong",IF(AND(ISNUMBER(J115),ISNUMBER(H115),J115&gt;H115),"Xong trễ","Xong"),IF(F115="","CHƯA GIAO","")&amp;IF(NOT(ISNUMBER(H115)),"",IF(TODAY()&gt;H115,IF(F115=""," · ","")&amp;"QUÁ HẠN "&amp;(TODAY()-H115)&amp;" ngày",IF(H115-TODAY()&lt;=3,IF(F115=""," · ","")&amp;"Đến hạn "&amp;IF(H115=TODAY(),"hôm nay","trong "&amp;(H115-TODAY())&amp;" ngày"),""))))))</f>
        <v/>
      </c>
      <c r="M115" t="inlineStr">
        <is>
          <t>VD-4</t>
        </is>
      </c>
      <c r="N115" t="inlineStr">
        <is>
          <t>K23</t>
        </is>
      </c>
      <c r="O115" t="n">
        <v>0</v>
      </c>
      <c r="P115" t="inlineStr">
        <is>
          <t>Lịch</t>
        </is>
      </c>
      <c r="Q115">
        <f>IF(AND(E115&lt;&gt;"",R115="Có",I115&lt;&gt;"Xong",I115&lt;&gt;"Bỏ qua",ISNUMBER(H115)),H115+ROW()/100000,"")</f>
        <v/>
      </c>
      <c r="R115">
        <f>IF(M115="","",IFERROR(INDEX(SK_L,MATCH(M115,SK_A,0)),""))</f>
        <v/>
      </c>
    </row>
    <row r="116">
      <c r="A116" s="11">
        <f>IF(M116="","",IFERROR(INDEX(SK_B,MATCH(M116,SK_A,0))&amp;"",""))</f>
        <v/>
      </c>
      <c r="B116" s="24">
        <f>IF(M116="","",IFERROR(INDEX(SK_C,MATCH(M116,SK_A,0)),""))</f>
        <v/>
      </c>
      <c r="C116" s="25">
        <f>IF(O116="","",IF(O116=0,"D",IF(O116&lt;0,"D"&amp;O116,"D+"&amp;O116)))</f>
        <v/>
      </c>
      <c r="D116" s="13" t="inlineStr">
        <is>
          <t>9. Ngày D</t>
        </is>
      </c>
      <c r="E116" s="11" t="inlineStr">
        <is>
          <t>Bán hàng tại bàn trưng bày + ghi khách quan tâm</t>
        </is>
      </c>
      <c r="F116" s="26" t="inlineStr">
        <is>
          <t>Sales Surgical (ví dụ)</t>
        </is>
      </c>
      <c r="G116" s="13" t="inlineStr">
        <is>
          <t>NPP</t>
        </is>
      </c>
      <c r="H116" s="12">
        <f>IF(OR(B116="",O116=""),"",IF(O116&gt;0,IF(P116="Làm việc",WORKDAY(IFERROR(IF(INDEX(SK_D,MATCH(M116,SK_A,0))="",B116,INDEX(SK_D,MATCH(M116,SK_A,0))),B116),O116,HOLI),IFERROR(IF(INDEX(SK_D,MATCH(M116,SK_A,0))="",B116,INDEX(SK_D,MATCH(M116,SK_A,0))),B116)+O116),B116+O116))</f>
        <v/>
      </c>
      <c r="I116" s="13" t="inlineStr">
        <is>
          <t>Chưa làm</t>
        </is>
      </c>
      <c r="J116" s="12" t="n"/>
      <c r="K116" s="11" t="n"/>
      <c r="L116" s="27">
        <f>IF(E116="","",IF(I116="Bỏ qua","—",IF(I116="Xong",IF(AND(ISNUMBER(J116),ISNUMBER(H116),J116&gt;H116),"Xong trễ","Xong"),IF(F116="","CHƯA GIAO","")&amp;IF(NOT(ISNUMBER(H116)),"",IF(TODAY()&gt;H116,IF(F116=""," · ","")&amp;"QUÁ HẠN "&amp;(TODAY()-H116)&amp;" ngày",IF(H116-TODAY()&lt;=3,IF(F116=""," · ","")&amp;"Đến hạn "&amp;IF(H116=TODAY(),"hôm nay","trong "&amp;(H116-TODAY())&amp;" ngày"),""))))))</f>
        <v/>
      </c>
      <c r="M116" t="inlineStr">
        <is>
          <t>VD-4</t>
        </is>
      </c>
      <c r="N116" t="inlineStr">
        <is>
          <t>K24</t>
        </is>
      </c>
      <c r="O116" t="n">
        <v>0</v>
      </c>
      <c r="P116" t="inlineStr">
        <is>
          <t>Lịch</t>
        </is>
      </c>
      <c r="Q116">
        <f>IF(AND(E116&lt;&gt;"",R116="Có",I116&lt;&gt;"Xong",I116&lt;&gt;"Bỏ qua",ISNUMBER(H116)),H116+ROW()/100000,"")</f>
        <v/>
      </c>
      <c r="R116">
        <f>IF(M116="","",IFERROR(INDEX(SK_L,MATCH(M116,SK_A,0)),""))</f>
        <v/>
      </c>
    </row>
    <row r="117">
      <c r="A117" s="11">
        <f>IF(M117="","",IFERROR(INDEX(SK_B,MATCH(M117,SK_A,0))&amp;"",""))</f>
        <v/>
      </c>
      <c r="B117" s="24">
        <f>IF(M117="","",IFERROR(INDEX(SK_C,MATCH(M117,SK_A,0)),""))</f>
        <v/>
      </c>
      <c r="C117" s="25">
        <f>IF(O117="","",IF(O117=0,"D",IF(O117&lt;0,"D"&amp;O117,"D+"&amp;O117)))</f>
        <v/>
      </c>
      <c r="D117" s="13" t="inlineStr">
        <is>
          <t>9. Ngày D</t>
        </is>
      </c>
      <c r="E117" s="11" t="inlineStr">
        <is>
          <t>Thu dọn, kiểm đếm, ghi POSM hỏng</t>
        </is>
      </c>
      <c r="F117" s="26" t="inlineStr">
        <is>
          <t>Trade (ví dụ)</t>
        </is>
      </c>
      <c r="G117" s="13" t="inlineStr">
        <is>
          <t>NPP</t>
        </is>
      </c>
      <c r="H117" s="12">
        <f>IF(OR(B117="",O117=""),"",IF(O117&gt;0,IF(P117="Làm việc",WORKDAY(IFERROR(IF(INDEX(SK_D,MATCH(M117,SK_A,0))="",B117,INDEX(SK_D,MATCH(M117,SK_A,0))),B117),O117,HOLI),IFERROR(IF(INDEX(SK_D,MATCH(M117,SK_A,0))="",B117,INDEX(SK_D,MATCH(M117,SK_A,0))),B117)+O117),B117+O117))</f>
        <v/>
      </c>
      <c r="I117" s="13" t="inlineStr">
        <is>
          <t>Chưa làm</t>
        </is>
      </c>
      <c r="J117" s="12" t="n"/>
      <c r="K117" s="11" t="n"/>
      <c r="L117" s="27">
        <f>IF(E117="","",IF(I117="Bỏ qua","—",IF(I117="Xong",IF(AND(ISNUMBER(J117),ISNUMBER(H117),J117&gt;H117),"Xong trễ","Xong"),IF(F117="","CHƯA GIAO","")&amp;IF(NOT(ISNUMBER(H117)),"",IF(TODAY()&gt;H117,IF(F117=""," · ","")&amp;"QUÁ HẠN "&amp;(TODAY()-H117)&amp;" ngày",IF(H117-TODAY()&lt;=3,IF(F117=""," · ","")&amp;"Đến hạn "&amp;IF(H117=TODAY(),"hôm nay","trong "&amp;(H117-TODAY())&amp;" ngày"),""))))))</f>
        <v/>
      </c>
      <c r="M117" t="inlineStr">
        <is>
          <t>VD-4</t>
        </is>
      </c>
      <c r="N117" t="inlineStr">
        <is>
          <t>K25</t>
        </is>
      </c>
      <c r="O117" t="n">
        <v>0</v>
      </c>
      <c r="P117" t="inlineStr">
        <is>
          <t>Lịch</t>
        </is>
      </c>
      <c r="Q117">
        <f>IF(AND(E117&lt;&gt;"",R117="Có",I117&lt;&gt;"Xong",I117&lt;&gt;"Bỏ qua",ISNUMBER(H117)),H117+ROW()/100000,"")</f>
        <v/>
      </c>
      <c r="R117">
        <f>IF(M117="","",IFERROR(INDEX(SK_L,MATCH(M117,SK_A,0)),""))</f>
        <v/>
      </c>
    </row>
    <row r="118">
      <c r="A118" s="11">
        <f>IF(M118="","",IFERROR(INDEX(SK_B,MATCH(M118,SK_A,0))&amp;"",""))</f>
        <v/>
      </c>
      <c r="B118" s="24">
        <f>IF(M118="","",IFERROR(INDEX(SK_C,MATCH(M118,SK_A,0)),""))</f>
        <v/>
      </c>
      <c r="C118" s="25">
        <f>IF(O118="","",IF(O118=0,"D",IF(O118&lt;0,"D"&amp;O118,"D+"&amp;O118)))</f>
        <v/>
      </c>
      <c r="D118" s="13" t="inlineStr">
        <is>
          <t>10. Sau sự kiện</t>
        </is>
      </c>
      <c r="E118" s="11" t="inlineStr">
        <is>
          <t>Bài cảm ơn + ảnh recap; video recap (nếu có)</t>
        </is>
      </c>
      <c r="F118" s="26" t="inlineStr">
        <is>
          <t>Digital (ví dụ)</t>
        </is>
      </c>
      <c r="G118" s="13" t="inlineStr"/>
      <c r="H118" s="12">
        <f>IF(OR(B118="",O118=""),"",IF(O118&gt;0,IF(P118="Làm việc",WORKDAY(IFERROR(IF(INDEX(SK_D,MATCH(M118,SK_A,0))="",B118,INDEX(SK_D,MATCH(M118,SK_A,0))),B118),O118,HOLI),IFERROR(IF(INDEX(SK_D,MATCH(M118,SK_A,0))="",B118,INDEX(SK_D,MATCH(M118,SK_A,0))),B118)+O118),B118+O118))</f>
        <v/>
      </c>
      <c r="I118" s="13" t="inlineStr">
        <is>
          <t>Chưa làm</t>
        </is>
      </c>
      <c r="J118" s="12" t="n"/>
      <c r="K118" s="11" t="n"/>
      <c r="L118" s="27">
        <f>IF(E118="","",IF(I118="Bỏ qua","—",IF(I118="Xong",IF(AND(ISNUMBER(J118),ISNUMBER(H118),J118&gt;H118),"Xong trễ","Xong"),IF(F118="","CHƯA GIAO","")&amp;IF(NOT(ISNUMBER(H118)),"",IF(TODAY()&gt;H118,IF(F118=""," · ","")&amp;"QUÁ HẠN "&amp;(TODAY()-H118)&amp;" ngày",IF(H118-TODAY()&lt;=3,IF(F118=""," · ","")&amp;"Đến hạn "&amp;IF(H118=TODAY(),"hôm nay","trong "&amp;(H118-TODAY())&amp;" ngày"),""))))))</f>
        <v/>
      </c>
      <c r="M118" t="inlineStr">
        <is>
          <t>VD-4</t>
        </is>
      </c>
      <c r="N118" t="inlineStr">
        <is>
          <t>K26</t>
        </is>
      </c>
      <c r="O118" t="n">
        <v>2</v>
      </c>
      <c r="P118" t="inlineStr">
        <is>
          <t>Làm việc</t>
        </is>
      </c>
      <c r="Q118">
        <f>IF(AND(E118&lt;&gt;"",R118="Có",I118&lt;&gt;"Xong",I118&lt;&gt;"Bỏ qua",ISNUMBER(H118)),H118+ROW()/100000,"")</f>
        <v/>
      </c>
      <c r="R118">
        <f>IF(M118="","",IFERROR(INDEX(SK_L,MATCH(M118,SK_A,0)),""))</f>
        <v/>
      </c>
    </row>
    <row r="119">
      <c r="A119" s="11">
        <f>IF(M119="","",IFERROR(INDEX(SK_B,MATCH(M119,SK_A,0))&amp;"",""))</f>
        <v/>
      </c>
      <c r="B119" s="24">
        <f>IF(M119="","",IFERROR(INDEX(SK_C,MATCH(M119,SK_A,0)),""))</f>
        <v/>
      </c>
      <c r="C119" s="25">
        <f>IF(O119="","",IF(O119=0,"D",IF(O119&lt;0,"D"&amp;O119,"D+"&amp;O119)))</f>
        <v/>
      </c>
      <c r="D119" s="13" t="inlineStr">
        <is>
          <t>10. Sau sự kiện</t>
        </is>
      </c>
      <c r="E119" s="11" t="inlineStr">
        <is>
          <t>Scan biểu mẫu ký tay + upload ảnh / video lên folder sự kiện</t>
        </is>
      </c>
      <c r="F119" s="26" t="inlineStr">
        <is>
          <t>Trade (ví dụ)</t>
        </is>
      </c>
      <c r="G119" s="13" t="inlineStr">
        <is>
          <t>Digital MKT</t>
        </is>
      </c>
      <c r="H119" s="12">
        <f>IF(OR(B119="",O119=""),"",IF(O119&gt;0,IF(P119="Làm việc",WORKDAY(IFERROR(IF(INDEX(SK_D,MATCH(M119,SK_A,0))="",B119,INDEX(SK_D,MATCH(M119,SK_A,0))),B119),O119,HOLI),IFERROR(IF(INDEX(SK_D,MATCH(M119,SK_A,0))="",B119,INDEX(SK_D,MATCH(M119,SK_A,0))),B119)+O119),B119+O119))</f>
        <v/>
      </c>
      <c r="I119" s="13" t="inlineStr">
        <is>
          <t>Chưa làm</t>
        </is>
      </c>
      <c r="J119" s="12" t="n"/>
      <c r="K119" s="11" t="n"/>
      <c r="L119" s="27">
        <f>IF(E119="","",IF(I119="Bỏ qua","—",IF(I119="Xong",IF(AND(ISNUMBER(J119),ISNUMBER(H119),J119&gt;H119),"Xong trễ","Xong"),IF(F119="","CHƯA GIAO","")&amp;IF(NOT(ISNUMBER(H119)),"",IF(TODAY()&gt;H119,IF(F119=""," · ","")&amp;"QUÁ HẠN "&amp;(TODAY()-H119)&amp;" ngày",IF(H119-TODAY()&lt;=3,IF(F119=""," · ","")&amp;"Đến hạn "&amp;IF(H119=TODAY(),"hôm nay","trong "&amp;(H119-TODAY())&amp;" ngày"),""))))))</f>
        <v/>
      </c>
      <c r="M119" t="inlineStr">
        <is>
          <t>VD-4</t>
        </is>
      </c>
      <c r="N119" t="inlineStr">
        <is>
          <t>K27</t>
        </is>
      </c>
      <c r="O119" t="n">
        <v>2</v>
      </c>
      <c r="P119" t="inlineStr">
        <is>
          <t>Làm việc</t>
        </is>
      </c>
      <c r="Q119">
        <f>IF(AND(E119&lt;&gt;"",R119="Có",I119&lt;&gt;"Xong",I119&lt;&gt;"Bỏ qua",ISNUMBER(H119)),H119+ROW()/100000,"")</f>
        <v/>
      </c>
      <c r="R119">
        <f>IF(M119="","",IFERROR(INDEX(SK_L,MATCH(M119,SK_A,0)),""))</f>
        <v/>
      </c>
    </row>
    <row r="120">
      <c r="A120" s="11">
        <f>IF(M120="","",IFERROR(INDEX(SK_B,MATCH(M120,SK_A,0))&amp;"",""))</f>
        <v/>
      </c>
      <c r="B120" s="24">
        <f>IF(M120="","",IFERROR(INDEX(SK_C,MATCH(M120,SK_A,0)),""))</f>
        <v/>
      </c>
      <c r="C120" s="25">
        <f>IF(O120="","",IF(O120=0,"D",IF(O120&lt;0,"D"&amp;O120,"D+"&amp;O120)))</f>
        <v/>
      </c>
      <c r="D120" s="13" t="inlineStr">
        <is>
          <t>10. Sau sự kiện</t>
        </is>
      </c>
      <c r="E120" s="11" t="inlineStr">
        <is>
          <t>Đối chiếu dữ liệu khách (loại trùng, đủ trường) ⇒ CUSTOMER LIST; tổng hợp khảo sát</t>
        </is>
      </c>
      <c r="F120" s="26" t="inlineStr">
        <is>
          <t>Digital (ví dụ)</t>
        </is>
      </c>
      <c r="G120" s="13" t="inlineStr">
        <is>
          <t>Sales, NPP</t>
        </is>
      </c>
      <c r="H120" s="12">
        <f>IF(OR(B120="",O120=""),"",IF(O120&gt;0,IF(P120="Làm việc",WORKDAY(IFERROR(IF(INDEX(SK_D,MATCH(M120,SK_A,0))="",B120,INDEX(SK_D,MATCH(M120,SK_A,0))),B120),O120,HOLI),IFERROR(IF(INDEX(SK_D,MATCH(M120,SK_A,0))="",B120,INDEX(SK_D,MATCH(M120,SK_A,0))),B120)+O120),B120+O120))</f>
        <v/>
      </c>
      <c r="I120" s="13" t="inlineStr">
        <is>
          <t>Chưa làm</t>
        </is>
      </c>
      <c r="J120" s="12" t="n"/>
      <c r="K120" s="11" t="n"/>
      <c r="L120" s="27">
        <f>IF(E120="","",IF(I120="Bỏ qua","—",IF(I120="Xong",IF(AND(ISNUMBER(J120),ISNUMBER(H120),J120&gt;H120),"Xong trễ","Xong"),IF(F120="","CHƯA GIAO","")&amp;IF(NOT(ISNUMBER(H120)),"",IF(TODAY()&gt;H120,IF(F120=""," · ","")&amp;"QUÁ HẠN "&amp;(TODAY()-H120)&amp;" ngày",IF(H120-TODAY()&lt;=3,IF(F120=""," · ","")&amp;"Đến hạn "&amp;IF(H120=TODAY(),"hôm nay","trong "&amp;(H120-TODAY())&amp;" ngày"),""))))))</f>
        <v/>
      </c>
      <c r="M120" t="inlineStr">
        <is>
          <t>VD-4</t>
        </is>
      </c>
      <c r="N120" t="inlineStr">
        <is>
          <t>K28</t>
        </is>
      </c>
      <c r="O120" t="n">
        <v>3</v>
      </c>
      <c r="P120" t="inlineStr">
        <is>
          <t>Làm việc</t>
        </is>
      </c>
      <c r="Q120">
        <f>IF(AND(E120&lt;&gt;"",R120="Có",I120&lt;&gt;"Xong",I120&lt;&gt;"Bỏ qua",ISNUMBER(H120)),H120+ROW()/100000,"")</f>
        <v/>
      </c>
      <c r="R120">
        <f>IF(M120="","",IFERROR(INDEX(SK_L,MATCH(M120,SK_A,0)),""))</f>
        <v/>
      </c>
    </row>
    <row r="121">
      <c r="A121" s="11">
        <f>IF(M121="","",IFERROR(INDEX(SK_B,MATCH(M121,SK_A,0))&amp;"",""))</f>
        <v/>
      </c>
      <c r="B121" s="24">
        <f>IF(M121="","",IFERROR(INDEX(SK_C,MATCH(M121,SK_A,0)),""))</f>
        <v/>
      </c>
      <c r="C121" s="25">
        <f>IF(O121="","",IF(O121=0,"D",IF(O121&lt;0,"D"&amp;O121,"D+"&amp;O121)))</f>
        <v/>
      </c>
      <c r="D121" s="13" t="inlineStr">
        <is>
          <t>10. Sau sự kiện</t>
        </is>
      </c>
      <c r="E121" s="11" t="inlineStr">
        <is>
          <t>Sales + NPP gửi số liệu bán hàng tại sự kiện</t>
        </is>
      </c>
      <c r="F121" s="26" t="inlineStr">
        <is>
          <t>Sales Surgical (ví dụ)</t>
        </is>
      </c>
      <c r="G121" s="13" t="inlineStr">
        <is>
          <t>NPP</t>
        </is>
      </c>
      <c r="H121" s="12">
        <f>IF(OR(B121="",O121=""),"",IF(O121&gt;0,IF(P121="Làm việc",WORKDAY(IFERROR(IF(INDEX(SK_D,MATCH(M121,SK_A,0))="",B121,INDEX(SK_D,MATCH(M121,SK_A,0))),B121),O121,HOLI),IFERROR(IF(INDEX(SK_D,MATCH(M121,SK_A,0))="",B121,INDEX(SK_D,MATCH(M121,SK_A,0))),B121)+O121),B121+O121))</f>
        <v/>
      </c>
      <c r="I121" s="13" t="inlineStr">
        <is>
          <t>Chưa làm</t>
        </is>
      </c>
      <c r="J121" s="12" t="n"/>
      <c r="K121" s="11" t="n"/>
      <c r="L121" s="27">
        <f>IF(E121="","",IF(I121="Bỏ qua","—",IF(I121="Xong",IF(AND(ISNUMBER(J121),ISNUMBER(H121),J121&gt;H121),"Xong trễ","Xong"),IF(F121="","CHƯA GIAO","")&amp;IF(NOT(ISNUMBER(H121)),"",IF(TODAY()&gt;H121,IF(F121=""," · ","")&amp;"QUÁ HẠN "&amp;(TODAY()-H121)&amp;" ngày",IF(H121-TODAY()&lt;=3,IF(F121=""," · ","")&amp;"Đến hạn "&amp;IF(H121=TODAY(),"hôm nay","trong "&amp;(H121-TODAY())&amp;" ngày"),""))))))</f>
        <v/>
      </c>
      <c r="M121" t="inlineStr">
        <is>
          <t>VD-4</t>
        </is>
      </c>
      <c r="N121" t="inlineStr">
        <is>
          <t>K29</t>
        </is>
      </c>
      <c r="O121" t="n">
        <v>3</v>
      </c>
      <c r="P121" t="inlineStr">
        <is>
          <t>Làm việc</t>
        </is>
      </c>
      <c r="Q121">
        <f>IF(AND(E121&lt;&gt;"",R121="Có",I121&lt;&gt;"Xong",I121&lt;&gt;"Bỏ qua",ISNUMBER(H121)),H121+ROW()/100000,"")</f>
        <v/>
      </c>
      <c r="R121">
        <f>IF(M121="","",IFERROR(INDEX(SK_L,MATCH(M121,SK_A,0)),""))</f>
        <v/>
      </c>
    </row>
    <row r="122">
      <c r="A122" s="11">
        <f>IF(M122="","",IFERROR(INDEX(SK_B,MATCH(M122,SK_A,0))&amp;"",""))</f>
        <v/>
      </c>
      <c r="B122" s="24">
        <f>IF(M122="","",IFERROR(INDEX(SK_C,MATCH(M122,SK_A,0)),""))</f>
        <v/>
      </c>
      <c r="C122" s="25">
        <f>IF(O122="","",IF(O122=0,"D",IF(O122&lt;0,"D"&amp;O122,"D+"&amp;O122)))</f>
        <v/>
      </c>
      <c r="D122" s="13" t="inlineStr">
        <is>
          <t>10. Sau sự kiện</t>
        </is>
      </c>
      <c r="E122" s="11" t="inlineStr">
        <is>
          <t>Bàn giao danh sách khách cần follow-up cho Sales</t>
        </is>
      </c>
      <c r="F122" s="26" t="inlineStr">
        <is>
          <t>Digital (ví dụ)</t>
        </is>
      </c>
      <c r="G122" s="13" t="inlineStr">
        <is>
          <t>Sales</t>
        </is>
      </c>
      <c r="H122" s="12">
        <f>IF(OR(B122="",O122=""),"",IF(O122&gt;0,IF(P122="Làm việc",WORKDAY(IFERROR(IF(INDEX(SK_D,MATCH(M122,SK_A,0))="",B122,INDEX(SK_D,MATCH(M122,SK_A,0))),B122),O122,HOLI),IFERROR(IF(INDEX(SK_D,MATCH(M122,SK_A,0))="",B122,INDEX(SK_D,MATCH(M122,SK_A,0))),B122)+O122),B122+O122))</f>
        <v/>
      </c>
      <c r="I122" s="13" t="inlineStr">
        <is>
          <t>Chưa làm</t>
        </is>
      </c>
      <c r="J122" s="12" t="n"/>
      <c r="K122" s="11" t="n"/>
      <c r="L122" s="27">
        <f>IF(E122="","",IF(I122="Bỏ qua","—",IF(I122="Xong",IF(AND(ISNUMBER(J122),ISNUMBER(H122),J122&gt;H122),"Xong trễ","Xong"),IF(F122="","CHƯA GIAO","")&amp;IF(NOT(ISNUMBER(H122)),"",IF(TODAY()&gt;H122,IF(F122=""," · ","")&amp;"QUÁ HẠN "&amp;(TODAY()-H122)&amp;" ngày",IF(H122-TODAY()&lt;=3,IF(F122=""," · ","")&amp;"Đến hạn "&amp;IF(H122=TODAY(),"hôm nay","trong "&amp;(H122-TODAY())&amp;" ngày"),""))))))</f>
        <v/>
      </c>
      <c r="M122" t="inlineStr">
        <is>
          <t>VD-4</t>
        </is>
      </c>
      <c r="N122" t="inlineStr">
        <is>
          <t>K30</t>
        </is>
      </c>
      <c r="O122" t="n">
        <v>3</v>
      </c>
      <c r="P122" t="inlineStr">
        <is>
          <t>Làm việc</t>
        </is>
      </c>
      <c r="Q122">
        <f>IF(AND(E122&lt;&gt;"",R122="Có",I122&lt;&gt;"Xong",I122&lt;&gt;"Bỏ qua",ISNUMBER(H122)),H122+ROW()/100000,"")</f>
        <v/>
      </c>
      <c r="R122">
        <f>IF(M122="","",IFERROR(INDEX(SK_L,MATCH(M122,SK_A,0)),""))</f>
        <v/>
      </c>
    </row>
    <row r="123">
      <c r="A123" s="11">
        <f>IF(M123="","",IFERROR(INDEX(SK_B,MATCH(M123,SK_A,0))&amp;"",""))</f>
        <v/>
      </c>
      <c r="B123" s="24">
        <f>IF(M123="","",IFERROR(INDEX(SK_C,MATCH(M123,SK_A,0)),""))</f>
        <v/>
      </c>
      <c r="C123" s="25">
        <f>IF(O123="","",IF(O123=0,"D",IF(O123&lt;0,"D"&amp;O123,"D+"&amp;O123)))</f>
        <v/>
      </c>
      <c r="D123" s="13" t="inlineStr">
        <is>
          <t>10. Sau sự kiện</t>
        </is>
      </c>
      <c r="E123" s="11" t="inlineStr">
        <is>
          <t>Báo cáo sự kiện + chứng từ KOL, hoá đơn địa điểm</t>
        </is>
      </c>
      <c r="F123" s="26" t="inlineStr">
        <is>
          <t>Leader MKT (ví dụ)</t>
        </is>
      </c>
      <c r="G123" s="13" t="inlineStr">
        <is>
          <t>Trade MKT</t>
        </is>
      </c>
      <c r="H123" s="12">
        <f>IF(OR(B123="",O123=""),"",IF(O123&gt;0,IF(P123="Làm việc",WORKDAY(IFERROR(IF(INDEX(SK_D,MATCH(M123,SK_A,0))="",B123,INDEX(SK_D,MATCH(M123,SK_A,0))),B123),O123,HOLI),IFERROR(IF(INDEX(SK_D,MATCH(M123,SK_A,0))="",B123,INDEX(SK_D,MATCH(M123,SK_A,0))),B123)+O123),B123+O123))</f>
        <v/>
      </c>
      <c r="I123" s="13" t="inlineStr">
        <is>
          <t>Chưa làm</t>
        </is>
      </c>
      <c r="J123" s="12" t="n"/>
      <c r="K123" s="11" t="n"/>
      <c r="L123" s="27">
        <f>IF(E123="","",IF(I123="Bỏ qua","—",IF(I123="Xong",IF(AND(ISNUMBER(J123),ISNUMBER(H123),J123&gt;H123),"Xong trễ","Xong"),IF(F123="","CHƯA GIAO","")&amp;IF(NOT(ISNUMBER(H123)),"",IF(TODAY()&gt;H123,IF(F123=""," · ","")&amp;"QUÁ HẠN "&amp;(TODAY()-H123)&amp;" ngày",IF(H123-TODAY()&lt;=3,IF(F123=""," · ","")&amp;"Đến hạn "&amp;IF(H123=TODAY(),"hôm nay","trong "&amp;(H123-TODAY())&amp;" ngày"),""))))))</f>
        <v/>
      </c>
      <c r="M123" t="inlineStr">
        <is>
          <t>VD-4</t>
        </is>
      </c>
      <c r="N123" t="inlineStr">
        <is>
          <t>K31</t>
        </is>
      </c>
      <c r="O123" t="n">
        <v>5</v>
      </c>
      <c r="P123" t="inlineStr">
        <is>
          <t>Làm việc</t>
        </is>
      </c>
      <c r="Q123">
        <f>IF(AND(E123&lt;&gt;"",R123="Có",I123&lt;&gt;"Xong",I123&lt;&gt;"Bỏ qua",ISNUMBER(H123)),H123+ROW()/100000,"")</f>
        <v/>
      </c>
      <c r="R123">
        <f>IF(M123="","",IFERROR(INDEX(SK_L,MATCH(M123,SK_A,0)),""))</f>
        <v/>
      </c>
    </row>
    <row r="124">
      <c r="A124" s="11">
        <f>IF(M124="","",IFERROR(INDEX(SK_B,MATCH(M124,SK_A,0))&amp;"",""))</f>
        <v/>
      </c>
      <c r="B124" s="24">
        <f>IF(M124="","",IFERROR(INDEX(SK_C,MATCH(M124,SK_A,0)),""))</f>
        <v/>
      </c>
      <c r="C124" s="25">
        <f>IF(O124="","",IF(O124=0,"D",IF(O124&lt;0,"D"&amp;O124,"D+"&amp;O124)))</f>
        <v/>
      </c>
      <c r="D124" s="13" t="inlineStr">
        <is>
          <t>10. Sau sự kiện</t>
        </is>
      </c>
      <c r="E124" s="11" t="inlineStr">
        <is>
          <t>Email báo cáo toàn MMH (4 file đính kèm) + hoàn tất lưu hồ sơ</t>
        </is>
      </c>
      <c r="F124" s="26" t="inlineStr">
        <is>
          <t>Leader MKT (ví dụ)</t>
        </is>
      </c>
      <c r="G124" s="13" t="inlineStr"/>
      <c r="H124" s="12">
        <f>IF(OR(B124="",O124=""),"",IF(O124&gt;0,IF(P124="Làm việc",WORKDAY(IFERROR(IF(INDEX(SK_D,MATCH(M124,SK_A,0))="",B124,INDEX(SK_D,MATCH(M124,SK_A,0))),B124),O124,HOLI),IFERROR(IF(INDEX(SK_D,MATCH(M124,SK_A,0))="",B124,INDEX(SK_D,MATCH(M124,SK_A,0))),B124)+O124),B124+O124))</f>
        <v/>
      </c>
      <c r="I124" s="13" t="inlineStr">
        <is>
          <t>Chưa làm</t>
        </is>
      </c>
      <c r="J124" s="12" t="n"/>
      <c r="K124" s="11" t="n"/>
      <c r="L124" s="27">
        <f>IF(E124="","",IF(I124="Bỏ qua","—",IF(I124="Xong",IF(AND(ISNUMBER(J124),ISNUMBER(H124),J124&gt;H124),"Xong trễ","Xong"),IF(F124="","CHƯA GIAO","")&amp;IF(NOT(ISNUMBER(H124)),"",IF(TODAY()&gt;H124,IF(F124=""," · ","")&amp;"QUÁ HẠN "&amp;(TODAY()-H124)&amp;" ngày",IF(H124-TODAY()&lt;=3,IF(F124=""," · ","")&amp;"Đến hạn "&amp;IF(H124=TODAY(),"hôm nay","trong "&amp;(H124-TODAY())&amp;" ngày"),""))))))</f>
        <v/>
      </c>
      <c r="M124" t="inlineStr">
        <is>
          <t>VD-4</t>
        </is>
      </c>
      <c r="N124" t="inlineStr">
        <is>
          <t>K32</t>
        </is>
      </c>
      <c r="O124" t="n">
        <v>7</v>
      </c>
      <c r="P124" t="inlineStr">
        <is>
          <t>Làm việc</t>
        </is>
      </c>
      <c r="Q124">
        <f>IF(AND(E124&lt;&gt;"",R124="Có",I124&lt;&gt;"Xong",I124&lt;&gt;"Bỏ qua",ISNUMBER(H124)),H124+ROW()/100000,"")</f>
        <v/>
      </c>
      <c r="R124">
        <f>IF(M124="","",IFERROR(INDEX(SK_L,MATCH(M124,SK_A,0)),""))</f>
        <v/>
      </c>
    </row>
    <row r="125">
      <c r="A125" s="11">
        <f>IF(M125="","",IFERROR(INDEX(SK_B,MATCH(M125,SK_A,0))&amp;"",""))</f>
        <v/>
      </c>
      <c r="B125" s="24">
        <f>IF(M125="","",IFERROR(INDEX(SK_C,MATCH(M125,SK_A,0)),""))</f>
        <v/>
      </c>
      <c r="C125" s="25">
        <f>IF(O125="","",IF(O125=0,"D",IF(O125&lt;0,"D"&amp;O125,"D+"&amp;O125)))</f>
        <v/>
      </c>
      <c r="D125" s="13" t="inlineStr">
        <is>
          <t>11. Follow-up</t>
        </is>
      </c>
      <c r="E125" s="11" t="inlineStr">
        <is>
          <t>Sales liên hệ lần đầu khách cần follow-up</t>
        </is>
      </c>
      <c r="F125" s="26" t="inlineStr">
        <is>
          <t>Sales Surgical (ví dụ)</t>
        </is>
      </c>
      <c r="G125" s="13" t="inlineStr">
        <is>
          <t>NPP</t>
        </is>
      </c>
      <c r="H125" s="12">
        <f>IF(OR(B125="",O125=""),"",IF(O125&gt;0,IF(P125="Làm việc",WORKDAY(IFERROR(IF(INDEX(SK_D,MATCH(M125,SK_A,0))="",B125,INDEX(SK_D,MATCH(M125,SK_A,0))),B125),O125,HOLI),IFERROR(IF(INDEX(SK_D,MATCH(M125,SK_A,0))="",B125,INDEX(SK_D,MATCH(M125,SK_A,0))),B125)+O125),B125+O125))</f>
        <v/>
      </c>
      <c r="I125" s="13" t="inlineStr">
        <is>
          <t>Chưa làm</t>
        </is>
      </c>
      <c r="J125" s="12" t="n"/>
      <c r="K125" s="11" t="n"/>
      <c r="L125" s="27">
        <f>IF(E125="","",IF(I125="Bỏ qua","—",IF(I125="Xong",IF(AND(ISNUMBER(J125),ISNUMBER(H125),J125&gt;H125),"Xong trễ","Xong"),IF(F125="","CHƯA GIAO","")&amp;IF(NOT(ISNUMBER(H125)),"",IF(TODAY()&gt;H125,IF(F125=""," · ","")&amp;"QUÁ HẠN "&amp;(TODAY()-H125)&amp;" ngày",IF(H125-TODAY()&lt;=3,IF(F125=""," · ","")&amp;"Đến hạn "&amp;IF(H125=TODAY(),"hôm nay","trong "&amp;(H125-TODAY())&amp;" ngày"),""))))))</f>
        <v/>
      </c>
      <c r="M125" t="inlineStr">
        <is>
          <t>VD-4</t>
        </is>
      </c>
      <c r="N125" t="inlineStr">
        <is>
          <t>K33</t>
        </is>
      </c>
      <c r="O125" t="n">
        <v>5</v>
      </c>
      <c r="P125" t="inlineStr">
        <is>
          <t>Làm việc</t>
        </is>
      </c>
      <c r="Q125">
        <f>IF(AND(E125&lt;&gt;"",R125="Có",I125&lt;&gt;"Xong",I125&lt;&gt;"Bỏ qua",ISNUMBER(H125)),H125+ROW()/100000,"")</f>
        <v/>
      </c>
      <c r="R125">
        <f>IF(M125="","",IFERROR(INDEX(SK_L,MATCH(M125,SK_A,0)),""))</f>
        <v/>
      </c>
    </row>
    <row r="126">
      <c r="A126" s="11">
        <f>IF(M126="","",IFERROR(INDEX(SK_B,MATCH(M126,SK_A,0))&amp;"",""))</f>
        <v/>
      </c>
      <c r="B126" s="24">
        <f>IF(M126="","",IFERROR(INDEX(SK_C,MATCH(M126,SK_A,0)),""))</f>
        <v/>
      </c>
      <c r="C126" s="25">
        <f>IF(O126="","",IF(O126=0,"D",IF(O126&lt;0,"D"&amp;O126,"D+"&amp;O126)))</f>
        <v/>
      </c>
      <c r="D126" s="13" t="inlineStr">
        <is>
          <t>11. Follow-up</t>
        </is>
      </c>
      <c r="E126" s="11" t="inlineStr">
        <is>
          <t>Sales báo kết quả chuyển đổi đơn hàng</t>
        </is>
      </c>
      <c r="F126" s="26" t="inlineStr">
        <is>
          <t>Sales Surgical (ví dụ)</t>
        </is>
      </c>
      <c r="G126" s="13" t="inlineStr">
        <is>
          <t>NPP</t>
        </is>
      </c>
      <c r="H126" s="12">
        <f>IF(OR(B126="",O126=""),"",IF(O126&gt;0,IF(P126="Làm việc",WORKDAY(IFERROR(IF(INDEX(SK_D,MATCH(M126,SK_A,0))="",B126,INDEX(SK_D,MATCH(M126,SK_A,0))),B126),O126,HOLI),IFERROR(IF(INDEX(SK_D,MATCH(M126,SK_A,0))="",B126,INDEX(SK_D,MATCH(M126,SK_A,0))),B126)+O126),B126+O126))</f>
        <v/>
      </c>
      <c r="I126" s="13" t="inlineStr">
        <is>
          <t>Chưa làm</t>
        </is>
      </c>
      <c r="J126" s="12" t="n"/>
      <c r="K126" s="11" t="n"/>
      <c r="L126" s="27">
        <f>IF(E126="","",IF(I126="Bỏ qua","—",IF(I126="Xong",IF(AND(ISNUMBER(J126),ISNUMBER(H126),J126&gt;H126),"Xong trễ","Xong"),IF(F126="","CHƯA GIAO","")&amp;IF(NOT(ISNUMBER(H126)),"",IF(TODAY()&gt;H126,IF(F126=""," · ","")&amp;"QUÁ HẠN "&amp;(TODAY()-H126)&amp;" ngày",IF(H126-TODAY()&lt;=3,IF(F126=""," · ","")&amp;"Đến hạn "&amp;IF(H126=TODAY(),"hôm nay","trong "&amp;(H126-TODAY())&amp;" ngày"),""))))))</f>
        <v/>
      </c>
      <c r="M126" t="inlineStr">
        <is>
          <t>VD-4</t>
        </is>
      </c>
      <c r="N126" t="inlineStr">
        <is>
          <t>K34</t>
        </is>
      </c>
      <c r="O126" t="n">
        <v>20</v>
      </c>
      <c r="P126" t="inlineStr">
        <is>
          <t>Làm việc</t>
        </is>
      </c>
      <c r="Q126">
        <f>IF(AND(E126&lt;&gt;"",R126="Có",I126&lt;&gt;"Xong",I126&lt;&gt;"Bỏ qua",ISNUMBER(H126)),H126+ROW()/100000,"")</f>
        <v/>
      </c>
      <c r="R126">
        <f>IF(M126="","",IFERROR(INDEX(SK_L,MATCH(M126,SK_A,0)),""))</f>
        <v/>
      </c>
    </row>
    <row r="127">
      <c r="A127" s="11">
        <f>IF(M127="","",IFERROR(INDEX(SK_B,MATCH(M127,SK_A,0))&amp;"",""))</f>
        <v/>
      </c>
      <c r="B127" s="24">
        <f>IF(M127="","",IFERROR(INDEX(SK_C,MATCH(M127,SK_A,0)),""))</f>
        <v/>
      </c>
      <c r="C127" s="25">
        <f>IF(O127="","",IF(O127=0,"D",IF(O127&lt;0,"D"&amp;O127,"D+"&amp;O127)))</f>
        <v/>
      </c>
      <c r="D127" s="13" t="inlineStr">
        <is>
          <t>1. Kế hoạch</t>
        </is>
      </c>
      <c r="E127" s="11" t="inlineStr">
        <is>
          <t>Lập kế hoạch tổng quan (KOL, số khách, mục đích, KPI bán hàng, khuyến mại, khảo sát) + xin Giám đốc duyệt ngân sách</t>
        </is>
      </c>
      <c r="F127" s="26" t="n"/>
      <c r="G127" s="13" t="inlineStr">
        <is>
          <t>Sales, NPP</t>
        </is>
      </c>
      <c r="H127" s="12">
        <f>IF(OR(B127="",O127=""),"",IF(O127&gt;0,IF(P127="Làm việc",WORKDAY(IFERROR(IF(INDEX(SK_D,MATCH(M127,SK_A,0))="",B127,INDEX(SK_D,MATCH(M127,SK_A,0))),B127),O127,HOLI),IFERROR(IF(INDEX(SK_D,MATCH(M127,SK_A,0))="",B127,INDEX(SK_D,MATCH(M127,SK_A,0))),B127)+O127),B127+O127))</f>
        <v/>
      </c>
      <c r="I127" s="13" t="inlineStr">
        <is>
          <t>Chưa làm</t>
        </is>
      </c>
      <c r="J127" s="12" t="n"/>
      <c r="K127" s="11" t="n"/>
      <c r="L127" s="27">
        <f>IF(E127="","",IF(I127="Bỏ qua","—",IF(I127="Xong",IF(AND(ISNUMBER(J127),ISNUMBER(H127),J127&gt;H127),"Xong trễ","Xong"),IF(F127="","CHƯA GIAO","")&amp;IF(NOT(ISNUMBER(H127)),"",IF(TODAY()&gt;H127,IF(F127=""," · ","")&amp;"QUÁ HẠN "&amp;(TODAY()-H127)&amp;" ngày",IF(H127-TODAY()&lt;=3,IF(F127=""," · ","")&amp;"Đến hạn "&amp;IF(H127=TODAY(),"hôm nay","trong "&amp;(H127-TODAY())&amp;" ngày"),""))))))</f>
        <v/>
      </c>
      <c r="M127" t="inlineStr">
        <is>
          <t>VD-5</t>
        </is>
      </c>
      <c r="N127" t="inlineStr">
        <is>
          <t>K01</t>
        </is>
      </c>
      <c r="O127" t="n">
        <v>-30</v>
      </c>
      <c r="P127" t="inlineStr">
        <is>
          <t>Lịch</t>
        </is>
      </c>
      <c r="Q127">
        <f>IF(AND(E127&lt;&gt;"",R127="Có",I127&lt;&gt;"Xong",I127&lt;&gt;"Bỏ qua",ISNUMBER(H127)),H127+ROW()/100000,"")</f>
        <v/>
      </c>
      <c r="R127">
        <f>IF(M127="","",IFERROR(INDEX(SK_L,MATCH(M127,SK_A,0)),""))</f>
        <v/>
      </c>
    </row>
    <row r="128">
      <c r="A128" s="11">
        <f>IF(M128="","",IFERROR(INDEX(SK_B,MATCH(M128,SK_A,0))&amp;"",""))</f>
        <v/>
      </c>
      <c r="B128" s="24">
        <f>IF(M128="","",IFERROR(INDEX(SK_C,MATCH(M128,SK_A,0)),""))</f>
        <v/>
      </c>
      <c r="C128" s="25">
        <f>IF(O128="","",IF(O128=0,"D",IF(O128&lt;0,"D"&amp;O128,"D+"&amp;O128)))</f>
        <v/>
      </c>
      <c r="D128" s="13" t="inlineStr">
        <is>
          <t>1. Kế hoạch</t>
        </is>
      </c>
      <c r="E128" s="11" t="inlineStr">
        <is>
          <t>Chia việc với NPP, Trường / Viện (tuyển sinh, đồ thực hành, MC, số bàn trưng bày)</t>
        </is>
      </c>
      <c r="F128" s="26" t="n"/>
      <c r="G128" s="13" t="inlineStr">
        <is>
          <t>NPP, Viện</t>
        </is>
      </c>
      <c r="H128" s="12">
        <f>IF(OR(B128="",O128=""),"",IF(O128&gt;0,IF(P128="Làm việc",WORKDAY(IFERROR(IF(INDEX(SK_D,MATCH(M128,SK_A,0))="",B128,INDEX(SK_D,MATCH(M128,SK_A,0))),B128),O128,HOLI),IFERROR(IF(INDEX(SK_D,MATCH(M128,SK_A,0))="",B128,INDEX(SK_D,MATCH(M128,SK_A,0))),B128)+O128),B128+O128))</f>
        <v/>
      </c>
      <c r="I128" s="13" t="inlineStr">
        <is>
          <t>Chưa làm</t>
        </is>
      </c>
      <c r="J128" s="12" t="n"/>
      <c r="K128" s="11" t="n"/>
      <c r="L128" s="27">
        <f>IF(E128="","",IF(I128="Bỏ qua","—",IF(I128="Xong",IF(AND(ISNUMBER(J128),ISNUMBER(H128),J128&gt;H128),"Xong trễ","Xong"),IF(F128="","CHƯA GIAO","")&amp;IF(NOT(ISNUMBER(H128)),"",IF(TODAY()&gt;H128,IF(F128=""," · ","")&amp;"QUÁ HẠN "&amp;(TODAY()-H128)&amp;" ngày",IF(H128-TODAY()&lt;=3,IF(F128=""," · ","")&amp;"Đến hạn "&amp;IF(H128=TODAY(),"hôm nay","trong "&amp;(H128-TODAY())&amp;" ngày"),""))))))</f>
        <v/>
      </c>
      <c r="M128" t="inlineStr">
        <is>
          <t>VD-5</t>
        </is>
      </c>
      <c r="N128" t="inlineStr">
        <is>
          <t>K02</t>
        </is>
      </c>
      <c r="O128" t="n">
        <v>-30</v>
      </c>
      <c r="P128" t="inlineStr">
        <is>
          <t>Lịch</t>
        </is>
      </c>
      <c r="Q128">
        <f>IF(AND(E128&lt;&gt;"",R128="Có",I128&lt;&gt;"Xong",I128&lt;&gt;"Bỏ qua",ISNUMBER(H128)),H128+ROW()/100000,"")</f>
        <v/>
      </c>
      <c r="R128">
        <f>IF(M128="","",IFERROR(INDEX(SK_L,MATCH(M128,SK_A,0)),""))</f>
        <v/>
      </c>
    </row>
    <row r="129">
      <c r="A129" s="11">
        <f>IF(M129="","",IFERROR(INDEX(SK_B,MATCH(M129,SK_A,0))&amp;"",""))</f>
        <v/>
      </c>
      <c r="B129" s="24">
        <f>IF(M129="","",IFERROR(INDEX(SK_C,MATCH(M129,SK_A,0)),""))</f>
        <v/>
      </c>
      <c r="C129" s="25">
        <f>IF(O129="","",IF(O129=0,"D",IF(O129&lt;0,"D"&amp;O129,"D+"&amp;O129)))</f>
        <v/>
      </c>
      <c r="D129" s="13" t="inlineStr">
        <is>
          <t>2. KOL &amp; đối tác</t>
        </is>
      </c>
      <c r="E129" s="11" t="inlineStr">
        <is>
          <t>Chốt KOL: hợp đồng, lịch di chuyển, xem trước bài giảng, người chăm sóc KOL</t>
        </is>
      </c>
      <c r="F129" s="26" t="n"/>
      <c r="G129" s="13" t="inlineStr">
        <is>
          <t>KOL</t>
        </is>
      </c>
      <c r="H129" s="12">
        <f>IF(OR(B129="",O129=""),"",IF(O129&gt;0,IF(P129="Làm việc",WORKDAY(IFERROR(IF(INDEX(SK_D,MATCH(M129,SK_A,0))="",B129,INDEX(SK_D,MATCH(M129,SK_A,0))),B129),O129,HOLI),IFERROR(IF(INDEX(SK_D,MATCH(M129,SK_A,0))="",B129,INDEX(SK_D,MATCH(M129,SK_A,0))),B129)+O129),B129+O129))</f>
        <v/>
      </c>
      <c r="I129" s="13" t="inlineStr">
        <is>
          <t>Chưa làm</t>
        </is>
      </c>
      <c r="J129" s="12" t="n"/>
      <c r="K129" s="11" t="n"/>
      <c r="L129" s="27">
        <f>IF(E129="","",IF(I129="Bỏ qua","—",IF(I129="Xong",IF(AND(ISNUMBER(J129),ISNUMBER(H129),J129&gt;H129),"Xong trễ","Xong"),IF(F129="","CHƯA GIAO","")&amp;IF(NOT(ISNUMBER(H129)),"",IF(TODAY()&gt;H129,IF(F129=""," · ","")&amp;"QUÁ HẠN "&amp;(TODAY()-H129)&amp;" ngày",IF(H129-TODAY()&lt;=3,IF(F129=""," · ","")&amp;"Đến hạn "&amp;IF(H129=TODAY(),"hôm nay","trong "&amp;(H129-TODAY())&amp;" ngày"),""))))))</f>
        <v/>
      </c>
      <c r="M129" t="inlineStr">
        <is>
          <t>VD-5</t>
        </is>
      </c>
      <c r="N129" t="inlineStr">
        <is>
          <t>K03</t>
        </is>
      </c>
      <c r="O129" t="n">
        <v>-30</v>
      </c>
      <c r="P129" t="inlineStr">
        <is>
          <t>Lịch</t>
        </is>
      </c>
      <c r="Q129">
        <f>IF(AND(E129&lt;&gt;"",R129="Có",I129&lt;&gt;"Xong",I129&lt;&gt;"Bỏ qua",ISNUMBER(H129)),H129+ROW()/100000,"")</f>
        <v/>
      </c>
      <c r="R129">
        <f>IF(M129="","",IFERROR(INDEX(SK_L,MATCH(M129,SK_A,0)),""))</f>
        <v/>
      </c>
    </row>
    <row r="130">
      <c r="A130" s="11">
        <f>IF(M130="","",IFERROR(INDEX(SK_B,MATCH(M130,SK_A,0))&amp;"",""))</f>
        <v/>
      </c>
      <c r="B130" s="24">
        <f>IF(M130="","",IFERROR(INDEX(SK_C,MATCH(M130,SK_A,0)),""))</f>
        <v/>
      </c>
      <c r="C130" s="25">
        <f>IF(O130="","",IF(O130=0,"D",IF(O130&lt;0,"D"&amp;O130,"D+"&amp;O130)))</f>
        <v/>
      </c>
      <c r="D130" s="13" t="inlineStr">
        <is>
          <t>3. Tuyển sinh</t>
        </is>
      </c>
      <c r="E130" s="11" t="inlineStr">
        <is>
          <t>Mở tuyển sinh: form đăng ký (khảo sát trước, đồng ý dữ liệu, nguồn đăng ký) + nhóm Zalo khách</t>
        </is>
      </c>
      <c r="F130" s="26" t="n"/>
      <c r="G130" s="13" t="inlineStr">
        <is>
          <t>Sales, NPP</t>
        </is>
      </c>
      <c r="H130" s="12">
        <f>IF(OR(B130="",O130=""),"",IF(O130&gt;0,IF(P130="Làm việc",WORKDAY(IFERROR(IF(INDEX(SK_D,MATCH(M130,SK_A,0))="",B130,INDEX(SK_D,MATCH(M130,SK_A,0))),B130),O130,HOLI),IFERROR(IF(INDEX(SK_D,MATCH(M130,SK_A,0))="",B130,INDEX(SK_D,MATCH(M130,SK_A,0))),B130)+O130),B130+O130))</f>
        <v/>
      </c>
      <c r="I130" s="13" t="inlineStr">
        <is>
          <t>Chưa làm</t>
        </is>
      </c>
      <c r="J130" s="12" t="n"/>
      <c r="K130" s="11" t="n"/>
      <c r="L130" s="27">
        <f>IF(E130="","",IF(I130="Bỏ qua","—",IF(I130="Xong",IF(AND(ISNUMBER(J130),ISNUMBER(H130),J130&gt;H130),"Xong trễ","Xong"),IF(F130="","CHƯA GIAO","")&amp;IF(NOT(ISNUMBER(H130)),"",IF(TODAY()&gt;H130,IF(F130=""," · ","")&amp;"QUÁ HẠN "&amp;(TODAY()-H130)&amp;" ngày",IF(H130-TODAY()&lt;=3,IF(F130=""," · ","")&amp;"Đến hạn "&amp;IF(H130=TODAY(),"hôm nay","trong "&amp;(H130-TODAY())&amp;" ngày"),""))))))</f>
        <v/>
      </c>
      <c r="M130" t="inlineStr">
        <is>
          <t>VD-5</t>
        </is>
      </c>
      <c r="N130" t="inlineStr">
        <is>
          <t>K04</t>
        </is>
      </c>
      <c r="O130" t="n">
        <v>-30</v>
      </c>
      <c r="P130" t="inlineStr">
        <is>
          <t>Lịch</t>
        </is>
      </c>
      <c r="Q130">
        <f>IF(AND(E130&lt;&gt;"",R130="Có",I130&lt;&gt;"Xong",I130&lt;&gt;"Bỏ qua",ISNUMBER(H130)),H130+ROW()/100000,"")</f>
        <v/>
      </c>
      <c r="R130">
        <f>IF(M130="","",IFERROR(INDEX(SK_L,MATCH(M130,SK_A,0)),""))</f>
        <v/>
      </c>
    </row>
    <row r="131">
      <c r="A131" s="11">
        <f>IF(M131="","",IFERROR(INDEX(SK_B,MATCH(M131,SK_A,0))&amp;"",""))</f>
        <v/>
      </c>
      <c r="B131" s="24">
        <f>IF(M131="","",IFERROR(INDEX(SK_C,MATCH(M131,SK_A,0)),""))</f>
        <v/>
      </c>
      <c r="C131" s="25">
        <f>IF(O131="","",IF(O131=0,"D",IF(O131&lt;0,"D"&amp;O131,"D+"&amp;O131)))</f>
        <v/>
      </c>
      <c r="D131" s="13" t="inlineStr">
        <is>
          <t>3. Tuyển sinh</t>
        </is>
      </c>
      <c r="E131" s="11" t="inlineStr">
        <is>
          <t>Báo cáo số đăng ký theo nguồn cho team (thứ Hai hằng tuần, đến D-1)</t>
        </is>
      </c>
      <c r="F131" s="26" t="inlineStr">
        <is>
          <t>Leader MKT (ví dụ)</t>
        </is>
      </c>
      <c r="G131" s="13" t="inlineStr">
        <is>
          <t>Sales, NPP</t>
        </is>
      </c>
      <c r="H131" s="12">
        <f>IF(OR(B131="",O131=""),"",IF(O131&gt;0,IF(P131="Làm việc",WORKDAY(IFERROR(IF(INDEX(SK_D,MATCH(M131,SK_A,0))="",B131,INDEX(SK_D,MATCH(M131,SK_A,0))),B131),O131,HOLI),IFERROR(IF(INDEX(SK_D,MATCH(M131,SK_A,0))="",B131,INDEX(SK_D,MATCH(M131,SK_A,0))),B131)+O131),B131+O131))</f>
        <v/>
      </c>
      <c r="I131" s="13" t="inlineStr">
        <is>
          <t>Chưa làm</t>
        </is>
      </c>
      <c r="J131" s="12" t="n"/>
      <c r="K131" s="11" t="n"/>
      <c r="L131" s="27">
        <f>IF(E131="","",IF(I131="Bỏ qua","—",IF(I131="Xong",IF(AND(ISNUMBER(J131),ISNUMBER(H131),J131&gt;H131),"Xong trễ","Xong"),IF(F131="","CHƯA GIAO","")&amp;IF(NOT(ISNUMBER(H131)),"",IF(TODAY()&gt;H131,IF(F131=""," · ","")&amp;"QUÁ HẠN "&amp;(TODAY()-H131)&amp;" ngày",IF(H131-TODAY()&lt;=3,IF(F131=""," · ","")&amp;"Đến hạn "&amp;IF(H131=TODAY(),"hôm nay","trong "&amp;(H131-TODAY())&amp;" ngày"),""))))))</f>
        <v/>
      </c>
      <c r="M131" t="inlineStr">
        <is>
          <t>VD-5</t>
        </is>
      </c>
      <c r="N131" t="inlineStr">
        <is>
          <t>K05</t>
        </is>
      </c>
      <c r="O131" t="n">
        <v>-1</v>
      </c>
      <c r="P131" t="inlineStr">
        <is>
          <t>Lịch</t>
        </is>
      </c>
      <c r="Q131">
        <f>IF(AND(E131&lt;&gt;"",R131="Có",I131&lt;&gt;"Xong",I131&lt;&gt;"Bỏ qua",ISNUMBER(H131)),H131+ROW()/100000,"")</f>
        <v/>
      </c>
      <c r="R131">
        <f>IF(M131="","",IFERROR(INDEX(SK_L,MATCH(M131,SK_A,0)),""))</f>
        <v/>
      </c>
    </row>
    <row r="132">
      <c r="A132" s="11">
        <f>IF(M132="","",IFERROR(INDEX(SK_B,MATCH(M132,SK_A,0))&amp;"",""))</f>
        <v/>
      </c>
      <c r="B132" s="24">
        <f>IF(M132="","",IFERROR(INDEX(SK_C,MATCH(M132,SK_A,0)),""))</f>
        <v/>
      </c>
      <c r="C132" s="25">
        <f>IF(O132="","",IF(O132=0,"D",IF(O132&lt;0,"D"&amp;O132,"D+"&amp;O132)))</f>
        <v/>
      </c>
      <c r="D132" s="13" t="inlineStr">
        <is>
          <t>3. Tuyển sinh</t>
        </is>
      </c>
      <c r="E132" s="11" t="inlineStr">
        <is>
          <t>Checkpoint D-14: đăng ký &lt; 60% target ⇒ báo Giám đốc phương án</t>
        </is>
      </c>
      <c r="F132" s="26" t="n"/>
      <c r="G132" s="13" t="inlineStr">
        <is>
          <t>Giám đốc</t>
        </is>
      </c>
      <c r="H132" s="12">
        <f>IF(OR(B132="",O132=""),"",IF(O132&gt;0,IF(P132="Làm việc",WORKDAY(IFERROR(IF(INDEX(SK_D,MATCH(M132,SK_A,0))="",B132,INDEX(SK_D,MATCH(M132,SK_A,0))),B132),O132,HOLI),IFERROR(IF(INDEX(SK_D,MATCH(M132,SK_A,0))="",B132,INDEX(SK_D,MATCH(M132,SK_A,0))),B132)+O132),B132+O132))</f>
        <v/>
      </c>
      <c r="I132" s="13" t="inlineStr">
        <is>
          <t>Chưa làm</t>
        </is>
      </c>
      <c r="J132" s="12" t="n"/>
      <c r="K132" s="11" t="n"/>
      <c r="L132" s="27">
        <f>IF(E132="","",IF(I132="Bỏ qua","—",IF(I132="Xong",IF(AND(ISNUMBER(J132),ISNUMBER(H132),J132&gt;H132),"Xong trễ","Xong"),IF(F132="","CHƯA GIAO","")&amp;IF(NOT(ISNUMBER(H132)),"",IF(TODAY()&gt;H132,IF(F132=""," · ","")&amp;"QUÁ HẠN "&amp;(TODAY()-H132)&amp;" ngày",IF(H132-TODAY()&lt;=3,IF(F132=""," · ","")&amp;"Đến hạn "&amp;IF(H132=TODAY(),"hôm nay","trong "&amp;(H132-TODAY())&amp;" ngày"),""))))))</f>
        <v/>
      </c>
      <c r="M132" t="inlineStr">
        <is>
          <t>VD-5</t>
        </is>
      </c>
      <c r="N132" t="inlineStr">
        <is>
          <t>K06</t>
        </is>
      </c>
      <c r="O132" t="n">
        <v>-14</v>
      </c>
      <c r="P132" t="inlineStr">
        <is>
          <t>Lịch</t>
        </is>
      </c>
      <c r="Q132">
        <f>IF(AND(E132&lt;&gt;"",R132="Có",I132&lt;&gt;"Xong",I132&lt;&gt;"Bỏ qua",ISNUMBER(H132)),H132+ROW()/100000,"")</f>
        <v/>
      </c>
      <c r="R132">
        <f>IF(M132="","",IFERROR(INDEX(SK_L,MATCH(M132,SK_A,0)),""))</f>
        <v/>
      </c>
    </row>
    <row r="133">
      <c r="A133" s="11">
        <f>IF(M133="","",IFERROR(INDEX(SK_B,MATCH(M133,SK_A,0))&amp;"",""))</f>
        <v/>
      </c>
      <c r="B133" s="24">
        <f>IF(M133="","",IFERROR(INDEX(SK_C,MATCH(M133,SK_A,0)),""))</f>
        <v/>
      </c>
      <c r="C133" s="25">
        <f>IF(O133="","",IF(O133=0,"D",IF(O133&lt;0,"D"&amp;O133,"D+"&amp;O133)))</f>
        <v/>
      </c>
      <c r="D133" s="13" t="inlineStr">
        <is>
          <t>3. Tuyển sinh</t>
        </is>
      </c>
      <c r="E133" s="11" t="inlineStr">
        <is>
          <t>Sales / NPP gửi đủ thông tin khách đăng ký hộ (Họ tên · SĐT · Nơi công tác)</t>
        </is>
      </c>
      <c r="F133" s="26" t="n"/>
      <c r="G133" s="13" t="inlineStr">
        <is>
          <t>NPP</t>
        </is>
      </c>
      <c r="H133" s="12">
        <f>IF(OR(B133="",O133=""),"",IF(O133&gt;0,IF(P133="Làm việc",WORKDAY(IFERROR(IF(INDEX(SK_D,MATCH(M133,SK_A,0))="",B133,INDEX(SK_D,MATCH(M133,SK_A,0))),B133),O133,HOLI),IFERROR(IF(INDEX(SK_D,MATCH(M133,SK_A,0))="",B133,INDEX(SK_D,MATCH(M133,SK_A,0))),B133)+O133),B133+O133))</f>
        <v/>
      </c>
      <c r="I133" s="13" t="inlineStr">
        <is>
          <t>Chưa làm</t>
        </is>
      </c>
      <c r="J133" s="12" t="n"/>
      <c r="K133" s="11" t="n"/>
      <c r="L133" s="27">
        <f>IF(E133="","",IF(I133="Bỏ qua","—",IF(I133="Xong",IF(AND(ISNUMBER(J133),ISNUMBER(H133),J133&gt;H133),"Xong trễ","Xong"),IF(F133="","CHƯA GIAO","")&amp;IF(NOT(ISNUMBER(H133)),"",IF(TODAY()&gt;H133,IF(F133=""," · ","")&amp;"QUÁ HẠN "&amp;(TODAY()-H133)&amp;" ngày",IF(H133-TODAY()&lt;=3,IF(F133=""," · ","")&amp;"Đến hạn "&amp;IF(H133=TODAY(),"hôm nay","trong "&amp;(H133-TODAY())&amp;" ngày"),""))))))</f>
        <v/>
      </c>
      <c r="M133" t="inlineStr">
        <is>
          <t>VD-5</t>
        </is>
      </c>
      <c r="N133" t="inlineStr">
        <is>
          <t>K07</t>
        </is>
      </c>
      <c r="O133" t="n">
        <v>-5</v>
      </c>
      <c r="P133" t="inlineStr">
        <is>
          <t>Lịch</t>
        </is>
      </c>
      <c r="Q133">
        <f>IF(AND(E133&lt;&gt;"",R133="Có",I133&lt;&gt;"Xong",I133&lt;&gt;"Bỏ qua",ISNUMBER(H133)),H133+ROW()/100000,"")</f>
        <v/>
      </c>
      <c r="R133">
        <f>IF(M133="","",IFERROR(INDEX(SK_L,MATCH(M133,SK_A,0)),""))</f>
        <v/>
      </c>
    </row>
    <row r="134">
      <c r="A134" s="11">
        <f>IF(M134="","",IFERROR(INDEX(SK_B,MATCH(M134,SK_A,0))&amp;"",""))</f>
        <v/>
      </c>
      <c r="B134" s="24">
        <f>IF(M134="","",IFERROR(INDEX(SK_C,MATCH(M134,SK_A,0)),""))</f>
        <v/>
      </c>
      <c r="C134" s="25">
        <f>IF(O134="","",IF(O134=0,"D",IF(O134&lt;0,"D"&amp;O134,"D+"&amp;O134)))</f>
        <v/>
      </c>
      <c r="D134" s="13" t="inlineStr">
        <is>
          <t>4. Truyền thông</t>
        </is>
      </c>
      <c r="E134" s="11" t="inlineStr">
        <is>
          <t>Đăng chuỗi bài truyền thông sự kiện</t>
        </is>
      </c>
      <c r="F134" s="26" t="n"/>
      <c r="G134" s="13" t="inlineStr">
        <is>
          <t>Sales, NPP chia sẻ</t>
        </is>
      </c>
      <c r="H134" s="12">
        <f>IF(OR(B134="",O134=""),"",IF(O134&gt;0,IF(P134="Làm việc",WORKDAY(IFERROR(IF(INDEX(SK_D,MATCH(M134,SK_A,0))="",B134,INDEX(SK_D,MATCH(M134,SK_A,0))),B134),O134,HOLI),IFERROR(IF(INDEX(SK_D,MATCH(M134,SK_A,0))="",B134,INDEX(SK_D,MATCH(M134,SK_A,0))),B134)+O134),B134+O134))</f>
        <v/>
      </c>
      <c r="I134" s="13" t="inlineStr">
        <is>
          <t>Chưa làm</t>
        </is>
      </c>
      <c r="J134" s="12" t="n"/>
      <c r="K134" s="11" t="n"/>
      <c r="L134" s="27">
        <f>IF(E134="","",IF(I134="Bỏ qua","—",IF(I134="Xong",IF(AND(ISNUMBER(J134),ISNUMBER(H134),J134&gt;H134),"Xong trễ","Xong"),IF(F134="","CHƯA GIAO","")&amp;IF(NOT(ISNUMBER(H134)),"",IF(TODAY()&gt;H134,IF(F134=""," · ","")&amp;"QUÁ HẠN "&amp;(TODAY()-H134)&amp;" ngày",IF(H134-TODAY()&lt;=3,IF(F134=""," · ","")&amp;"Đến hạn "&amp;IF(H134=TODAY(),"hôm nay","trong "&amp;(H134-TODAY())&amp;" ngày"),""))))))</f>
        <v/>
      </c>
      <c r="M134" t="inlineStr">
        <is>
          <t>VD-5</t>
        </is>
      </c>
      <c r="N134" t="inlineStr">
        <is>
          <t>K08</t>
        </is>
      </c>
      <c r="O134" t="n">
        <v>-14</v>
      </c>
      <c r="P134" t="inlineStr">
        <is>
          <t>Lịch</t>
        </is>
      </c>
      <c r="Q134">
        <f>IF(AND(E134&lt;&gt;"",R134="Có",I134&lt;&gt;"Xong",I134&lt;&gt;"Bỏ qua",ISNUMBER(H134)),H134+ROW()/100000,"")</f>
        <v/>
      </c>
      <c r="R134">
        <f>IF(M134="","",IFERROR(INDEX(SK_L,MATCH(M134,SK_A,0)),""))</f>
        <v/>
      </c>
    </row>
    <row r="135">
      <c r="A135" s="11">
        <f>IF(M135="","",IFERROR(INDEX(SK_B,MATCH(M135,SK_A,0))&amp;"",""))</f>
        <v/>
      </c>
      <c r="B135" s="24">
        <f>IF(M135="","",IFERROR(INDEX(SK_C,MATCH(M135,SK_A,0)),""))</f>
        <v/>
      </c>
      <c r="C135" s="25">
        <f>IF(O135="","",IF(O135=0,"D",IF(O135&lt;0,"D"&amp;O135,"D+"&amp;O135)))</f>
        <v/>
      </c>
      <c r="D135" s="13" t="inlineStr">
        <is>
          <t>5. Địa điểm &amp; hậu cần</t>
        </is>
      </c>
      <c r="E135" s="11" t="inlineStr">
        <is>
          <t>Đặt địa điểm (ngày, phòng, sức chứa, báo giá)</t>
        </is>
      </c>
      <c r="F135" s="26" t="n"/>
      <c r="G135" s="13" t="inlineStr">
        <is>
          <t>Địa điểm</t>
        </is>
      </c>
      <c r="H135" s="12">
        <f>IF(OR(B135="",O135=""),"",IF(O135&gt;0,IF(P135="Làm việc",WORKDAY(IFERROR(IF(INDEX(SK_D,MATCH(M135,SK_A,0))="",B135,INDEX(SK_D,MATCH(M135,SK_A,0))),B135),O135,HOLI),IFERROR(IF(INDEX(SK_D,MATCH(M135,SK_A,0))="",B135,INDEX(SK_D,MATCH(M135,SK_A,0))),B135)+O135),B135+O135))</f>
        <v/>
      </c>
      <c r="I135" s="13" t="inlineStr">
        <is>
          <t>Chưa làm</t>
        </is>
      </c>
      <c r="J135" s="12" t="n"/>
      <c r="K135" s="11" t="n"/>
      <c r="L135" s="27">
        <f>IF(E135="","",IF(I135="Bỏ qua","—",IF(I135="Xong",IF(AND(ISNUMBER(J135),ISNUMBER(H135),J135&gt;H135),"Xong trễ","Xong"),IF(F135="","CHƯA GIAO","")&amp;IF(NOT(ISNUMBER(H135)),"",IF(TODAY()&gt;H135,IF(F135=""," · ","")&amp;"QUÁ HẠN "&amp;(TODAY()-H135)&amp;" ngày",IF(H135-TODAY()&lt;=3,IF(F135=""," · ","")&amp;"Đến hạn "&amp;IF(H135=TODAY(),"hôm nay","trong "&amp;(H135-TODAY())&amp;" ngày"),""))))))</f>
        <v/>
      </c>
      <c r="M135" t="inlineStr">
        <is>
          <t>VD-5</t>
        </is>
      </c>
      <c r="N135" t="inlineStr">
        <is>
          <t>K09</t>
        </is>
      </c>
      <c r="O135" t="n">
        <v>-30</v>
      </c>
      <c r="P135" t="inlineStr">
        <is>
          <t>Lịch</t>
        </is>
      </c>
      <c r="Q135">
        <f>IF(AND(E135&lt;&gt;"",R135="Có",I135&lt;&gt;"Xong",I135&lt;&gt;"Bỏ qua",ISNUMBER(H135)),H135+ROW()/100000,"")</f>
        <v/>
      </c>
      <c r="R135">
        <f>IF(M135="","",IFERROR(INDEX(SK_L,MATCH(M135,SK_A,0)),""))</f>
        <v/>
      </c>
    </row>
    <row r="136">
      <c r="A136" s="11">
        <f>IF(M136="","",IFERROR(INDEX(SK_B,MATCH(M136,SK_A,0))&amp;"",""))</f>
        <v/>
      </c>
      <c r="B136" s="24">
        <f>IF(M136="","",IFERROR(INDEX(SK_C,MATCH(M136,SK_A,0)),""))</f>
        <v/>
      </c>
      <c r="C136" s="25">
        <f>IF(O136="","",IF(O136=0,"D",IF(O136&lt;0,"D"&amp;O136,"D+"&amp;O136)))</f>
        <v/>
      </c>
      <c r="D136" s="13" t="inlineStr">
        <is>
          <t>5. Địa điểm &amp; hậu cần</t>
        </is>
      </c>
      <c r="E136" s="11" t="inlineStr">
        <is>
          <t>Chốt setup với địa điểm: sơ đồ, tea break / ăn trưa, kỹ thuật, sự kiện khác cùng giờ</t>
        </is>
      </c>
      <c r="F136" s="26" t="inlineStr">
        <is>
          <t>Trade (ví dụ)</t>
        </is>
      </c>
      <c r="G136" s="13" t="inlineStr">
        <is>
          <t>Địa điểm</t>
        </is>
      </c>
      <c r="H136" s="12">
        <f>IF(OR(B136="",O136=""),"",IF(O136&gt;0,IF(P136="Làm việc",WORKDAY(IFERROR(IF(INDEX(SK_D,MATCH(M136,SK_A,0))="",B136,INDEX(SK_D,MATCH(M136,SK_A,0))),B136),O136,HOLI),IFERROR(IF(INDEX(SK_D,MATCH(M136,SK_A,0))="",B136,INDEX(SK_D,MATCH(M136,SK_A,0))),B136)+O136),B136+O136))</f>
        <v/>
      </c>
      <c r="I136" s="13" t="inlineStr">
        <is>
          <t>Chưa làm</t>
        </is>
      </c>
      <c r="J136" s="12" t="n"/>
      <c r="K136" s="11" t="n"/>
      <c r="L136" s="27">
        <f>IF(E136="","",IF(I136="Bỏ qua","—",IF(I136="Xong",IF(AND(ISNUMBER(J136),ISNUMBER(H136),J136&gt;H136),"Xong trễ","Xong"),IF(F136="","CHƯA GIAO","")&amp;IF(NOT(ISNUMBER(H136)),"",IF(TODAY()&gt;H136,IF(F136=""," · ","")&amp;"QUÁ HẠN "&amp;(TODAY()-H136)&amp;" ngày",IF(H136-TODAY()&lt;=3,IF(F136=""," · ","")&amp;"Đến hạn "&amp;IF(H136=TODAY(),"hôm nay","trong "&amp;(H136-TODAY())&amp;" ngày"),""))))))</f>
        <v/>
      </c>
      <c r="M136" t="inlineStr">
        <is>
          <t>VD-5</t>
        </is>
      </c>
      <c r="N136" t="inlineStr">
        <is>
          <t>K10</t>
        </is>
      </c>
      <c r="O136" t="n">
        <v>-14</v>
      </c>
      <c r="P136" t="inlineStr">
        <is>
          <t>Lịch</t>
        </is>
      </c>
      <c r="Q136">
        <f>IF(AND(E136&lt;&gt;"",R136="Có",I136&lt;&gt;"Xong",I136&lt;&gt;"Bỏ qua",ISNUMBER(H136)),H136+ROW()/100000,"")</f>
        <v/>
      </c>
      <c r="R136">
        <f>IF(M136="","",IFERROR(INDEX(SK_L,MATCH(M136,SK_A,0)),""))</f>
        <v/>
      </c>
    </row>
    <row r="137">
      <c r="A137" s="11">
        <f>IF(M137="","",IFERROR(INDEX(SK_B,MATCH(M137,SK_A,0))&amp;"",""))</f>
        <v/>
      </c>
      <c r="B137" s="24">
        <f>IF(M137="","",IFERROR(INDEX(SK_C,MATCH(M137,SK_A,0)),""))</f>
        <v/>
      </c>
      <c r="C137" s="25">
        <f>IF(O137="","",IF(O137=0,"D",IF(O137&lt;0,"D"&amp;O137,"D+"&amp;O137)))</f>
        <v/>
      </c>
      <c r="D137" s="13" t="inlineStr">
        <is>
          <t>6. Nội dung</t>
        </is>
      </c>
      <c r="E137" s="11" t="inlineStr">
        <is>
          <t>Timeline chi tiết ngày D</t>
        </is>
      </c>
      <c r="F137" s="26" t="n"/>
      <c r="G137" s="13" t="inlineStr">
        <is>
          <t>KOL, Viện</t>
        </is>
      </c>
      <c r="H137" s="12">
        <f>IF(OR(B137="",O137=""),"",IF(O137&gt;0,IF(P137="Làm việc",WORKDAY(IFERROR(IF(INDEX(SK_D,MATCH(M137,SK_A,0))="",B137,INDEX(SK_D,MATCH(M137,SK_A,0))),B137),O137,HOLI),IFERROR(IF(INDEX(SK_D,MATCH(M137,SK_A,0))="",B137,INDEX(SK_D,MATCH(M137,SK_A,0))),B137)+O137),B137+O137))</f>
        <v/>
      </c>
      <c r="I137" s="13" t="inlineStr">
        <is>
          <t>Chưa làm</t>
        </is>
      </c>
      <c r="J137" s="12" t="n"/>
      <c r="K137" s="11" t="n"/>
      <c r="L137" s="27">
        <f>IF(E137="","",IF(I137="Bỏ qua","—",IF(I137="Xong",IF(AND(ISNUMBER(J137),ISNUMBER(H137),J137&gt;H137),"Xong trễ","Xong"),IF(F137="","CHƯA GIAO","")&amp;IF(NOT(ISNUMBER(H137)),"",IF(TODAY()&gt;H137,IF(F137=""," · ","")&amp;"QUÁ HẠN "&amp;(TODAY()-H137)&amp;" ngày",IF(H137-TODAY()&lt;=3,IF(F137=""," · ","")&amp;"Đến hạn "&amp;IF(H137=TODAY(),"hôm nay","trong "&amp;(H137-TODAY())&amp;" ngày"),""))))))</f>
        <v/>
      </c>
      <c r="M137" t="inlineStr">
        <is>
          <t>VD-5</t>
        </is>
      </c>
      <c r="N137" t="inlineStr">
        <is>
          <t>K12</t>
        </is>
      </c>
      <c r="O137" t="n">
        <v>-7</v>
      </c>
      <c r="P137" t="inlineStr">
        <is>
          <t>Lịch</t>
        </is>
      </c>
      <c r="Q137">
        <f>IF(AND(E137&lt;&gt;"",R137="Có",I137&lt;&gt;"Xong",I137&lt;&gt;"Bỏ qua",ISNUMBER(H137)),H137+ROW()/100000,"")</f>
        <v/>
      </c>
      <c r="R137">
        <f>IF(M137="","",IFERROR(INDEX(SK_L,MATCH(M137,SK_A,0)),""))</f>
        <v/>
      </c>
    </row>
    <row r="138">
      <c r="A138" s="11">
        <f>IF(M138="","",IFERROR(INDEX(SK_B,MATCH(M138,SK_A,0))&amp;"",""))</f>
        <v/>
      </c>
      <c r="B138" s="24">
        <f>IF(M138="","",IFERROR(INDEX(SK_C,MATCH(M138,SK_A,0)),""))</f>
        <v/>
      </c>
      <c r="C138" s="25">
        <f>IF(O138="","",IF(O138=0,"D",IF(O138&lt;0,"D"&amp;O138,"D+"&amp;O138)))</f>
        <v/>
      </c>
      <c r="D138" s="13" t="inlineStr">
        <is>
          <t>6. Nội dung</t>
        </is>
      </c>
      <c r="E138" s="11" t="inlineStr">
        <is>
          <t>Kịch bản MC, kịch bản phát biểu, video trình chiếu</t>
        </is>
      </c>
      <c r="F138" s="26" t="inlineStr">
        <is>
          <t>Digital (ví dụ)</t>
        </is>
      </c>
      <c r="G138" s="13" t="inlineStr">
        <is>
          <t>KOL, Viện</t>
        </is>
      </c>
      <c r="H138" s="12">
        <f>IF(OR(B138="",O138=""),"",IF(O138&gt;0,IF(P138="Làm việc",WORKDAY(IFERROR(IF(INDEX(SK_D,MATCH(M138,SK_A,0))="",B138,INDEX(SK_D,MATCH(M138,SK_A,0))),B138),O138,HOLI),IFERROR(IF(INDEX(SK_D,MATCH(M138,SK_A,0))="",B138,INDEX(SK_D,MATCH(M138,SK_A,0))),B138)+O138),B138+O138))</f>
        <v/>
      </c>
      <c r="I138" s="13" t="inlineStr">
        <is>
          <t>Chưa làm</t>
        </is>
      </c>
      <c r="J138" s="12" t="n"/>
      <c r="K138" s="11" t="n"/>
      <c r="L138" s="27">
        <f>IF(E138="","",IF(I138="Bỏ qua","—",IF(I138="Xong",IF(AND(ISNUMBER(J138),ISNUMBER(H138),J138&gt;H138),"Xong trễ","Xong"),IF(F138="","CHƯA GIAO","")&amp;IF(NOT(ISNUMBER(H138)),"",IF(TODAY()&gt;H138,IF(F138=""," · ","")&amp;"QUÁ HẠN "&amp;(TODAY()-H138)&amp;" ngày",IF(H138-TODAY()&lt;=3,IF(F138=""," · ","")&amp;"Đến hạn "&amp;IF(H138=TODAY(),"hôm nay","trong "&amp;(H138-TODAY())&amp;" ngày"),""))))))</f>
        <v/>
      </c>
      <c r="M138" t="inlineStr">
        <is>
          <t>VD-5</t>
        </is>
      </c>
      <c r="N138" t="inlineStr">
        <is>
          <t>K13</t>
        </is>
      </c>
      <c r="O138" t="n">
        <v>-7</v>
      </c>
      <c r="P138" t="inlineStr">
        <is>
          <t>Lịch</t>
        </is>
      </c>
      <c r="Q138">
        <f>IF(AND(E138&lt;&gt;"",R138="Có",I138&lt;&gt;"Xong",I138&lt;&gt;"Bỏ qua",ISNUMBER(H138)),H138+ROW()/100000,"")</f>
        <v/>
      </c>
      <c r="R138">
        <f>IF(M138="","",IFERROR(INDEX(SK_L,MATCH(M138,SK_A,0)),""))</f>
        <v/>
      </c>
    </row>
    <row r="139">
      <c r="A139" s="11">
        <f>IF(M139="","",IFERROR(INDEX(SK_B,MATCH(M139,SK_A,0))&amp;"",""))</f>
        <v/>
      </c>
      <c r="B139" s="24">
        <f>IF(M139="","",IFERROR(INDEX(SK_C,MATCH(M139,SK_A,0)),""))</f>
        <v/>
      </c>
      <c r="C139" s="25">
        <f>IF(O139="","",IF(O139=0,"D",IF(O139&lt;0,"D"&amp;O139,"D+"&amp;O139)))</f>
        <v/>
      </c>
      <c r="D139" s="13" t="inlineStr">
        <is>
          <t>7. Ấn phẩm &amp; đồ</t>
        </is>
      </c>
      <c r="E139" s="11" t="inlineStr">
        <is>
          <t>Thiết kế &amp; in: backdrop, standee, thẻ đeo, bảng tên, folder, QR khảo sát, biểu mẫu check-in ký tay</t>
        </is>
      </c>
      <c r="F139" s="26" t="inlineStr">
        <is>
          <t>Digital (ví dụ)</t>
        </is>
      </c>
      <c r="G139" s="13" t="inlineStr">
        <is>
          <t>Trade MKT</t>
        </is>
      </c>
      <c r="H139" s="12">
        <f>IF(OR(B139="",O139=""),"",IF(O139&gt;0,IF(P139="Làm việc",WORKDAY(IFERROR(IF(INDEX(SK_D,MATCH(M139,SK_A,0))="",B139,INDEX(SK_D,MATCH(M139,SK_A,0))),B139),O139,HOLI),IFERROR(IF(INDEX(SK_D,MATCH(M139,SK_A,0))="",B139,INDEX(SK_D,MATCH(M139,SK_A,0))),B139)+O139),B139+O139))</f>
        <v/>
      </c>
      <c r="I139" s="13" t="inlineStr">
        <is>
          <t>Chưa làm</t>
        </is>
      </c>
      <c r="J139" s="12" t="n"/>
      <c r="K139" s="11" t="n"/>
      <c r="L139" s="27">
        <f>IF(E139="","",IF(I139="Bỏ qua","—",IF(I139="Xong",IF(AND(ISNUMBER(J139),ISNUMBER(H139),J139&gt;H139),"Xong trễ","Xong"),IF(F139="","CHƯA GIAO","")&amp;IF(NOT(ISNUMBER(H139)),"",IF(TODAY()&gt;H139,IF(F139=""," · ","")&amp;"QUÁ HẠN "&amp;(TODAY()-H139)&amp;" ngày",IF(H139-TODAY()&lt;=3,IF(F139=""," · ","")&amp;"Đến hạn "&amp;IF(H139=TODAY(),"hôm nay","trong "&amp;(H139-TODAY())&amp;" ngày"),""))))))</f>
        <v/>
      </c>
      <c r="M139" t="inlineStr">
        <is>
          <t>VD-5</t>
        </is>
      </c>
      <c r="N139" t="inlineStr">
        <is>
          <t>K14</t>
        </is>
      </c>
      <c r="O139" t="n">
        <v>-7</v>
      </c>
      <c r="P139" t="inlineStr">
        <is>
          <t>Lịch</t>
        </is>
      </c>
      <c r="Q139">
        <f>IF(AND(E139&lt;&gt;"",R139="Có",I139&lt;&gt;"Xong",I139&lt;&gt;"Bỏ qua",ISNUMBER(H139)),H139+ROW()/100000,"")</f>
        <v/>
      </c>
      <c r="R139">
        <f>IF(M139="","",IFERROR(INDEX(SK_L,MATCH(M139,SK_A,0)),""))</f>
        <v/>
      </c>
    </row>
    <row r="140">
      <c r="A140" s="11">
        <f>IF(M140="","",IFERROR(INDEX(SK_B,MATCH(M140,SK_A,0))&amp;"",""))</f>
        <v/>
      </c>
      <c r="B140" s="24">
        <f>IF(M140="","",IFERROR(INDEX(SK_C,MATCH(M140,SK_A,0)),""))</f>
        <v/>
      </c>
      <c r="C140" s="25">
        <f>IF(O140="","",IF(O140=0,"D",IF(O140&lt;0,"D"&amp;O140,"D+"&amp;O140)))</f>
        <v/>
      </c>
      <c r="D140" s="13" t="inlineStr">
        <is>
          <t>7. Ấn phẩm &amp; đồ</t>
        </is>
      </c>
      <c r="E140" s="11" t="inlineStr">
        <is>
          <t>Đồ marketing + đồ thực hành theo phiên (nguồn, báo giá, đồ mượn)</t>
        </is>
      </c>
      <c r="F140" s="26" t="n"/>
      <c r="G140" s="13" t="inlineStr">
        <is>
          <t>KOL, NPP</t>
        </is>
      </c>
      <c r="H140" s="12">
        <f>IF(OR(B140="",O140=""),"",IF(O140&gt;0,IF(P140="Làm việc",WORKDAY(IFERROR(IF(INDEX(SK_D,MATCH(M140,SK_A,0))="",B140,INDEX(SK_D,MATCH(M140,SK_A,0))),B140),O140,HOLI),IFERROR(IF(INDEX(SK_D,MATCH(M140,SK_A,0))="",B140,INDEX(SK_D,MATCH(M140,SK_A,0))),B140)+O140),B140+O140))</f>
        <v/>
      </c>
      <c r="I140" s="13" t="inlineStr">
        <is>
          <t>Chưa làm</t>
        </is>
      </c>
      <c r="J140" s="12" t="n"/>
      <c r="K140" s="11" t="n"/>
      <c r="L140" s="27">
        <f>IF(E140="","",IF(I140="Bỏ qua","—",IF(I140="Xong",IF(AND(ISNUMBER(J140),ISNUMBER(H140),J140&gt;H140),"Xong trễ","Xong"),IF(F140="","CHƯA GIAO","")&amp;IF(NOT(ISNUMBER(H140)),"",IF(TODAY()&gt;H140,IF(F140=""," · ","")&amp;"QUÁ HẠN "&amp;(TODAY()-H140)&amp;" ngày",IF(H140-TODAY()&lt;=3,IF(F140=""," · ","")&amp;"Đến hạn "&amp;IF(H140=TODAY(),"hôm nay","trong "&amp;(H140-TODAY())&amp;" ngày"),""))))))</f>
        <v/>
      </c>
      <c r="M140" t="inlineStr">
        <is>
          <t>VD-5</t>
        </is>
      </c>
      <c r="N140" t="inlineStr">
        <is>
          <t>K15</t>
        </is>
      </c>
      <c r="O140" t="n">
        <v>-10</v>
      </c>
      <c r="P140" t="inlineStr">
        <is>
          <t>Lịch</t>
        </is>
      </c>
      <c r="Q140">
        <f>IF(AND(E140&lt;&gt;"",R140="Có",I140&lt;&gt;"Xong",I140&lt;&gt;"Bỏ qua",ISNUMBER(H140)),H140+ROW()/100000,"")</f>
        <v/>
      </c>
      <c r="R140">
        <f>IF(M140="","",IFERROR(INDEX(SK_L,MATCH(M140,SK_A,0)),""))</f>
        <v/>
      </c>
    </row>
    <row r="141">
      <c r="A141" s="11">
        <f>IF(M141="","",IFERROR(INDEX(SK_B,MATCH(M141,SK_A,0))&amp;"",""))</f>
        <v/>
      </c>
      <c r="B141" s="24">
        <f>IF(M141="","",IFERROR(INDEX(SK_C,MATCH(M141,SK_A,0)),""))</f>
        <v/>
      </c>
      <c r="C141" s="25">
        <f>IF(O141="","",IF(O141=0,"D",IF(O141&lt;0,"D"&amp;O141,"D+"&amp;O141)))</f>
        <v/>
      </c>
      <c r="D141" s="13" t="inlineStr">
        <is>
          <t>7. Ấn phẩm &amp; đồ</t>
        </is>
      </c>
      <c r="E141" s="11" t="inlineStr">
        <is>
          <t>VIP / đại biểu (nếu có Viện): danh sách, hoa, bảng tên mica, quà, lời giới thiệu</t>
        </is>
      </c>
      <c r="F141" s="26" t="inlineStr">
        <is>
          <t>Trade (ví dụ)</t>
        </is>
      </c>
      <c r="G141" s="13" t="inlineStr">
        <is>
          <t>Viện</t>
        </is>
      </c>
      <c r="H141" s="12">
        <f>IF(OR(B141="",O141=""),"",IF(O141&gt;0,IF(P141="Làm việc",WORKDAY(IFERROR(IF(INDEX(SK_D,MATCH(M141,SK_A,0))="",B141,INDEX(SK_D,MATCH(M141,SK_A,0))),B141),O141,HOLI),IFERROR(IF(INDEX(SK_D,MATCH(M141,SK_A,0))="",B141,INDEX(SK_D,MATCH(M141,SK_A,0))),B141)+O141),B141+O141))</f>
        <v/>
      </c>
      <c r="I141" s="13" t="inlineStr">
        <is>
          <t>Chưa làm</t>
        </is>
      </c>
      <c r="J141" s="12" t="n"/>
      <c r="K141" s="11" t="n"/>
      <c r="L141" s="27">
        <f>IF(E141="","",IF(I141="Bỏ qua","—",IF(I141="Xong",IF(AND(ISNUMBER(J141),ISNUMBER(H141),J141&gt;H141),"Xong trễ","Xong"),IF(F141="","CHƯA GIAO","")&amp;IF(NOT(ISNUMBER(H141)),"",IF(TODAY()&gt;H141,IF(F141=""," · ","")&amp;"QUÁ HẠN "&amp;(TODAY()-H141)&amp;" ngày",IF(H141-TODAY()&lt;=3,IF(F141=""," · ","")&amp;"Đến hạn "&amp;IF(H141=TODAY(),"hôm nay","trong "&amp;(H141-TODAY())&amp;" ngày"),""))))))</f>
        <v/>
      </c>
      <c r="M141" t="inlineStr">
        <is>
          <t>VD-5</t>
        </is>
      </c>
      <c r="N141" t="inlineStr">
        <is>
          <t>K16</t>
        </is>
      </c>
      <c r="O141" t="n">
        <v>-7</v>
      </c>
      <c r="P141" t="inlineStr">
        <is>
          <t>Lịch</t>
        </is>
      </c>
      <c r="Q141">
        <f>IF(AND(E141&lt;&gt;"",R141="Có",I141&lt;&gt;"Xong",I141&lt;&gt;"Bỏ qua",ISNUMBER(H141)),H141+ROW()/100000,"")</f>
        <v/>
      </c>
      <c r="R141">
        <f>IF(M141="","",IFERROR(INDEX(SK_L,MATCH(M141,SK_A,0)),""))</f>
        <v/>
      </c>
    </row>
    <row r="142">
      <c r="A142" s="11">
        <f>IF(M142="","",IFERROR(INDEX(SK_B,MATCH(M142,SK_A,0))&amp;"",""))</f>
        <v/>
      </c>
      <c r="B142" s="24">
        <f>IF(M142="","",IFERROR(INDEX(SK_C,MATCH(M142,SK_A,0)),""))</f>
        <v/>
      </c>
      <c r="C142" s="25">
        <f>IF(O142="","",IF(O142=0,"D",IF(O142&lt;0,"D"&amp;O142,"D+"&amp;O142)))</f>
        <v/>
      </c>
      <c r="D142" s="13" t="inlineStr">
        <is>
          <t>7. Ấn phẩm &amp; đồ</t>
        </is>
      </c>
      <c r="E142" s="11" t="inlineStr">
        <is>
          <t>Gửi đồ đi tỉnh + xác nhận địa điểm nhận đủ</t>
        </is>
      </c>
      <c r="F142" s="26" t="inlineStr">
        <is>
          <t>Trade (ví dụ)</t>
        </is>
      </c>
      <c r="G142" s="13" t="inlineStr">
        <is>
          <t>Địa điểm</t>
        </is>
      </c>
      <c r="H142" s="12">
        <f>IF(OR(B142="",O142=""),"",IF(O142&gt;0,IF(P142="Làm việc",WORKDAY(IFERROR(IF(INDEX(SK_D,MATCH(M142,SK_A,0))="",B142,INDEX(SK_D,MATCH(M142,SK_A,0))),B142),O142,HOLI),IFERROR(IF(INDEX(SK_D,MATCH(M142,SK_A,0))="",B142,INDEX(SK_D,MATCH(M142,SK_A,0))),B142)+O142),B142+O142))</f>
        <v/>
      </c>
      <c r="I142" s="13" t="inlineStr">
        <is>
          <t>Chưa làm</t>
        </is>
      </c>
      <c r="J142" s="12" t="n"/>
      <c r="K142" s="11" t="n"/>
      <c r="L142" s="27">
        <f>IF(E142="","",IF(I142="Bỏ qua","—",IF(I142="Xong",IF(AND(ISNUMBER(J142),ISNUMBER(H142),J142&gt;H142),"Xong trễ","Xong"),IF(F142="","CHƯA GIAO","")&amp;IF(NOT(ISNUMBER(H142)),"",IF(TODAY()&gt;H142,IF(F142=""," · ","")&amp;"QUÁ HẠN "&amp;(TODAY()-H142)&amp;" ngày",IF(H142-TODAY()&lt;=3,IF(F142=""," · ","")&amp;"Đến hạn "&amp;IF(H142=TODAY(),"hôm nay","trong "&amp;(H142-TODAY())&amp;" ngày"),""))))))</f>
        <v/>
      </c>
      <c r="M142" t="inlineStr">
        <is>
          <t>VD-5</t>
        </is>
      </c>
      <c r="N142" t="inlineStr">
        <is>
          <t>K17</t>
        </is>
      </c>
      <c r="O142" t="n">
        <v>-7</v>
      </c>
      <c r="P142" t="inlineStr">
        <is>
          <t>Lịch</t>
        </is>
      </c>
      <c r="Q142">
        <f>IF(AND(E142&lt;&gt;"",R142="Có",I142&lt;&gt;"Xong",I142&lt;&gt;"Bỏ qua",ISNUMBER(H142)),H142+ROW()/100000,"")</f>
        <v/>
      </c>
      <c r="R142">
        <f>IF(M142="","",IFERROR(INDEX(SK_L,MATCH(M142,SK_A,0)),""))</f>
        <v/>
      </c>
    </row>
    <row r="143">
      <c r="A143" s="11">
        <f>IF(M143="","",IFERROR(INDEX(SK_B,MATCH(M143,SK_A,0))&amp;"",""))</f>
        <v/>
      </c>
      <c r="B143" s="24">
        <f>IF(M143="","",IFERROR(INDEX(SK_C,MATCH(M143,SK_A,0)),""))</f>
        <v/>
      </c>
      <c r="C143" s="25">
        <f>IF(O143="","",IF(O143=0,"D",IF(O143&lt;0,"D"&amp;O143,"D+"&amp;O143)))</f>
        <v/>
      </c>
      <c r="D143" s="13" t="inlineStr">
        <is>
          <t>8. Chốt trước D</t>
        </is>
      </c>
      <c r="E143" s="11" t="inlineStr">
        <is>
          <t>Họp với NPP: agenda, nhân sự, bán hàng, sản phẩm</t>
        </is>
      </c>
      <c r="F143" s="26" t="inlineStr">
        <is>
          <t>Leader MKT (ví dụ)</t>
        </is>
      </c>
      <c r="G143" s="13" t="inlineStr">
        <is>
          <t>NPP, Sales</t>
        </is>
      </c>
      <c r="H143" s="12">
        <f>IF(OR(B143="",O143=""),"",IF(O143&gt;0,IF(P143="Làm việc",WORKDAY(IFERROR(IF(INDEX(SK_D,MATCH(M143,SK_A,0))="",B143,INDEX(SK_D,MATCH(M143,SK_A,0))),B143),O143,HOLI),IFERROR(IF(INDEX(SK_D,MATCH(M143,SK_A,0))="",B143,INDEX(SK_D,MATCH(M143,SK_A,0))),B143)+O143),B143+O143))</f>
        <v/>
      </c>
      <c r="I143" s="13" t="inlineStr">
        <is>
          <t>Chưa làm</t>
        </is>
      </c>
      <c r="J143" s="12" t="n"/>
      <c r="K143" s="11" t="n"/>
      <c r="L143" s="27">
        <f>IF(E143="","",IF(I143="Bỏ qua","—",IF(I143="Xong",IF(AND(ISNUMBER(J143),ISNUMBER(H143),J143&gt;H143),"Xong trễ","Xong"),IF(F143="","CHƯA GIAO","")&amp;IF(NOT(ISNUMBER(H143)),"",IF(TODAY()&gt;H143,IF(F143=""," · ","")&amp;"QUÁ HẠN "&amp;(TODAY()-H143)&amp;" ngày",IF(H143-TODAY()&lt;=3,IF(F143=""," · ","")&amp;"Đến hạn "&amp;IF(H143=TODAY(),"hôm nay","trong "&amp;(H143-TODAY())&amp;" ngày"),""))))))</f>
        <v/>
      </c>
      <c r="M143" t="inlineStr">
        <is>
          <t>VD-5</t>
        </is>
      </c>
      <c r="N143" t="inlineStr">
        <is>
          <t>K18</t>
        </is>
      </c>
      <c r="O143" t="n">
        <v>-3</v>
      </c>
      <c r="P143" t="inlineStr">
        <is>
          <t>Lịch</t>
        </is>
      </c>
      <c r="Q143">
        <f>IF(AND(E143&lt;&gt;"",R143="Có",I143&lt;&gt;"Xong",I143&lt;&gt;"Bỏ qua",ISNUMBER(H143)),H143+ROW()/100000,"")</f>
        <v/>
      </c>
      <c r="R143">
        <f>IF(M143="","",IFERROR(INDEX(SK_L,MATCH(M143,SK_A,0)),""))</f>
        <v/>
      </c>
    </row>
    <row r="144">
      <c r="A144" s="11">
        <f>IF(M144="","",IFERROR(INDEX(SK_B,MATCH(M144,SK_A,0))&amp;"",""))</f>
        <v/>
      </c>
      <c r="B144" s="24">
        <f>IF(M144="","",IFERROR(INDEX(SK_C,MATCH(M144,SK_A,0)),""))</f>
        <v/>
      </c>
      <c r="C144" s="25">
        <f>IF(O144="","",IF(O144=0,"D",IF(O144&lt;0,"D"&amp;O144,"D+"&amp;O144)))</f>
        <v/>
      </c>
      <c r="D144" s="13" t="inlineStr">
        <is>
          <t>8. Chốt trước D</t>
        </is>
      </c>
      <c r="E144" s="11" t="inlineStr">
        <is>
          <t>Rà soát dữ liệu khách (thiếu thông tin / chưa đồng ý dữ liệu)</t>
        </is>
      </c>
      <c r="F144" s="26" t="n"/>
      <c r="G144" s="13" t="inlineStr">
        <is>
          <t>Sales, NPP</t>
        </is>
      </c>
      <c r="H144" s="12">
        <f>IF(OR(B144="",O144=""),"",IF(O144&gt;0,IF(P144="Làm việc",WORKDAY(IFERROR(IF(INDEX(SK_D,MATCH(M144,SK_A,0))="",B144,INDEX(SK_D,MATCH(M144,SK_A,0))),B144),O144,HOLI),IFERROR(IF(INDEX(SK_D,MATCH(M144,SK_A,0))="",B144,INDEX(SK_D,MATCH(M144,SK_A,0))),B144)+O144),B144+O144))</f>
        <v/>
      </c>
      <c r="I144" s="13" t="inlineStr">
        <is>
          <t>Chưa làm</t>
        </is>
      </c>
      <c r="J144" s="12" t="n"/>
      <c r="K144" s="11" t="n"/>
      <c r="L144" s="27">
        <f>IF(E144="","",IF(I144="Bỏ qua","—",IF(I144="Xong",IF(AND(ISNUMBER(J144),ISNUMBER(H144),J144&gt;H144),"Xong trễ","Xong"),IF(F144="","CHƯA GIAO","")&amp;IF(NOT(ISNUMBER(H144)),"",IF(TODAY()&gt;H144,IF(F144=""," · ","")&amp;"QUÁ HẠN "&amp;(TODAY()-H144)&amp;" ngày",IF(H144-TODAY()&lt;=3,IF(F144=""," · ","")&amp;"Đến hạn "&amp;IF(H144=TODAY(),"hôm nay","trong "&amp;(H144-TODAY())&amp;" ngày"),""))))))</f>
        <v/>
      </c>
      <c r="M144" t="inlineStr">
        <is>
          <t>VD-5</t>
        </is>
      </c>
      <c r="N144" t="inlineStr">
        <is>
          <t>K19</t>
        </is>
      </c>
      <c r="O144" t="n">
        <v>-3</v>
      </c>
      <c r="P144" t="inlineStr">
        <is>
          <t>Lịch</t>
        </is>
      </c>
      <c r="Q144">
        <f>IF(AND(E144&lt;&gt;"",R144="Có",I144&lt;&gt;"Xong",I144&lt;&gt;"Bỏ qua",ISNUMBER(H144)),H144+ROW()/100000,"")</f>
        <v/>
      </c>
      <c r="R144">
        <f>IF(M144="","",IFERROR(INDEX(SK_L,MATCH(M144,SK_A,0)),""))</f>
        <v/>
      </c>
    </row>
    <row r="145">
      <c r="A145" s="11">
        <f>IF(M145="","",IFERROR(INDEX(SK_B,MATCH(M145,SK_A,0))&amp;"",""))</f>
        <v/>
      </c>
      <c r="B145" s="24">
        <f>IF(M145="","",IFERROR(INDEX(SK_C,MATCH(M145,SK_A,0)),""))</f>
        <v/>
      </c>
      <c r="C145" s="25">
        <f>IF(O145="","",IF(O145=0,"D",IF(O145&lt;0,"D"&amp;O145,"D+"&amp;O145)))</f>
        <v/>
      </c>
      <c r="D145" s="13" t="inlineStr">
        <is>
          <t>8. Chốt trước D</t>
        </is>
      </c>
      <c r="E145" s="11" t="inlineStr">
        <is>
          <t>Phân công nhân sự trước / trong / sau, giờ có mặt</t>
        </is>
      </c>
      <c r="F145" s="26" t="inlineStr">
        <is>
          <t>Leader MKT (ví dụ)</t>
        </is>
      </c>
      <c r="G145" s="13" t="inlineStr">
        <is>
          <t>Sales, NPP</t>
        </is>
      </c>
      <c r="H145" s="12">
        <f>IF(OR(B145="",O145=""),"",IF(O145&gt;0,IF(P145="Làm việc",WORKDAY(IFERROR(IF(INDEX(SK_D,MATCH(M145,SK_A,0))="",B145,INDEX(SK_D,MATCH(M145,SK_A,0))),B145),O145,HOLI),IFERROR(IF(INDEX(SK_D,MATCH(M145,SK_A,0))="",B145,INDEX(SK_D,MATCH(M145,SK_A,0))),B145)+O145),B145+O145))</f>
        <v/>
      </c>
      <c r="I145" s="13" t="inlineStr">
        <is>
          <t>Chưa làm</t>
        </is>
      </c>
      <c r="J145" s="12" t="n"/>
      <c r="K145" s="11" t="n"/>
      <c r="L145" s="27">
        <f>IF(E145="","",IF(I145="Bỏ qua","—",IF(I145="Xong",IF(AND(ISNUMBER(J145),ISNUMBER(H145),J145&gt;H145),"Xong trễ","Xong"),IF(F145="","CHƯA GIAO","")&amp;IF(NOT(ISNUMBER(H145)),"",IF(TODAY()&gt;H145,IF(F145=""," · ","")&amp;"QUÁ HẠN "&amp;(TODAY()-H145)&amp;" ngày",IF(H145-TODAY()&lt;=3,IF(F145=""," · ","")&amp;"Đến hạn "&amp;IF(H145=TODAY(),"hôm nay","trong "&amp;(H145-TODAY())&amp;" ngày"),""))))))</f>
        <v/>
      </c>
      <c r="M145" t="inlineStr">
        <is>
          <t>VD-5</t>
        </is>
      </c>
      <c r="N145" t="inlineStr">
        <is>
          <t>K20</t>
        </is>
      </c>
      <c r="O145" t="n">
        <v>-3</v>
      </c>
      <c r="P145" t="inlineStr">
        <is>
          <t>Lịch</t>
        </is>
      </c>
      <c r="Q145">
        <f>IF(AND(E145&lt;&gt;"",R145="Có",I145&lt;&gt;"Xong",I145&lt;&gt;"Bỏ qua",ISNUMBER(H145)),H145+ROW()/100000,"")</f>
        <v/>
      </c>
      <c r="R145">
        <f>IF(M145="","",IFERROR(INDEX(SK_L,MATCH(M145,SK_A,0)),""))</f>
        <v/>
      </c>
    </row>
    <row r="146">
      <c r="A146" s="11">
        <f>IF(M146="","",IFERROR(INDEX(SK_B,MATCH(M146,SK_A,0))&amp;"",""))</f>
        <v/>
      </c>
      <c r="B146" s="24">
        <f>IF(M146="","",IFERROR(INDEX(SK_C,MATCH(M146,SK_A,0)),""))</f>
        <v/>
      </c>
      <c r="C146" s="25">
        <f>IF(O146="","",IF(O146=0,"D",IF(O146&lt;0,"D"&amp;O146,"D+"&amp;O146)))</f>
        <v/>
      </c>
      <c r="D146" s="13" t="inlineStr">
        <is>
          <t>8. Chốt trước D</t>
        </is>
      </c>
      <c r="E146" s="11" t="inlineStr">
        <is>
          <t>Họp review D-1 + gọi nhắc khách + set up địa điểm / chạy thử Zoom</t>
        </is>
      </c>
      <c r="F146" s="26" t="inlineStr">
        <is>
          <t>Leader MKT (ví dụ)</t>
        </is>
      </c>
      <c r="G146" s="13" t="inlineStr">
        <is>
          <t>Toàn team</t>
        </is>
      </c>
      <c r="H146" s="12">
        <f>IF(OR(B146="",O146=""),"",IF(O146&gt;0,IF(P146="Làm việc",WORKDAY(IFERROR(IF(INDEX(SK_D,MATCH(M146,SK_A,0))="",B146,INDEX(SK_D,MATCH(M146,SK_A,0))),B146),O146,HOLI),IFERROR(IF(INDEX(SK_D,MATCH(M146,SK_A,0))="",B146,INDEX(SK_D,MATCH(M146,SK_A,0))),B146)+O146),B146+O146))</f>
        <v/>
      </c>
      <c r="I146" s="13" t="inlineStr">
        <is>
          <t>Chưa làm</t>
        </is>
      </c>
      <c r="J146" s="12" t="n"/>
      <c r="K146" s="11" t="n"/>
      <c r="L146" s="27">
        <f>IF(E146="","",IF(I146="Bỏ qua","—",IF(I146="Xong",IF(AND(ISNUMBER(J146),ISNUMBER(H146),J146&gt;H146),"Xong trễ","Xong"),IF(F146="","CHƯA GIAO","")&amp;IF(NOT(ISNUMBER(H146)),"",IF(TODAY()&gt;H146,IF(F146=""," · ","")&amp;"QUÁ HẠN "&amp;(TODAY()-H146)&amp;" ngày",IF(H146-TODAY()&lt;=3,IF(F146=""," · ","")&amp;"Đến hạn "&amp;IF(H146=TODAY(),"hôm nay","trong "&amp;(H146-TODAY())&amp;" ngày"),""))))))</f>
        <v/>
      </c>
      <c r="M146" t="inlineStr">
        <is>
          <t>VD-5</t>
        </is>
      </c>
      <c r="N146" t="inlineStr">
        <is>
          <t>K21</t>
        </is>
      </c>
      <c r="O146" t="n">
        <v>-1</v>
      </c>
      <c r="P146" t="inlineStr">
        <is>
          <t>Lịch</t>
        </is>
      </c>
      <c r="Q146">
        <f>IF(AND(E146&lt;&gt;"",R146="Có",I146&lt;&gt;"Xong",I146&lt;&gt;"Bỏ qua",ISNUMBER(H146)),H146+ROW()/100000,"")</f>
        <v/>
      </c>
      <c r="R146">
        <f>IF(M146="","",IFERROR(INDEX(SK_L,MATCH(M146,SK_A,0)),""))</f>
        <v/>
      </c>
    </row>
    <row r="147">
      <c r="A147" s="11">
        <f>IF(M147="","",IFERROR(INDEX(SK_B,MATCH(M147,SK_A,0))&amp;"",""))</f>
        <v/>
      </c>
      <c r="B147" s="24">
        <f>IF(M147="","",IFERROR(INDEX(SK_C,MATCH(M147,SK_A,0)),""))</f>
        <v/>
      </c>
      <c r="C147" s="25">
        <f>IF(O147="","",IF(O147=0,"D",IF(O147&lt;0,"D"&amp;O147,"D+"&amp;O147)))</f>
        <v/>
      </c>
      <c r="D147" s="13" t="inlineStr">
        <is>
          <t>9. Ngày D</t>
        </is>
      </c>
      <c r="E147" s="11" t="inlineStr">
        <is>
          <t>Check-in có chữ ký + đồng ý dữ liệu (webinar: xuất báo cáo Zoom ngay sau buổi)</t>
        </is>
      </c>
      <c r="F147" s="26" t="inlineStr">
        <is>
          <t>Digital (ví dụ)</t>
        </is>
      </c>
      <c r="G147" s="13" t="inlineStr">
        <is>
          <t>Trade, NPP</t>
        </is>
      </c>
      <c r="H147" s="12">
        <f>IF(OR(B147="",O147=""),"",IF(O147&gt;0,IF(P147="Làm việc",WORKDAY(IFERROR(IF(INDEX(SK_D,MATCH(M147,SK_A,0))="",B147,INDEX(SK_D,MATCH(M147,SK_A,0))),B147),O147,HOLI),IFERROR(IF(INDEX(SK_D,MATCH(M147,SK_A,0))="",B147,INDEX(SK_D,MATCH(M147,SK_A,0))),B147)+O147),B147+O147))</f>
        <v/>
      </c>
      <c r="I147" s="13" t="inlineStr">
        <is>
          <t>Chưa làm</t>
        </is>
      </c>
      <c r="J147" s="12" t="n"/>
      <c r="K147" s="11" t="n"/>
      <c r="L147" s="27">
        <f>IF(E147="","",IF(I147="Bỏ qua","—",IF(I147="Xong",IF(AND(ISNUMBER(J147),ISNUMBER(H147),J147&gt;H147),"Xong trễ","Xong"),IF(F147="","CHƯA GIAO","")&amp;IF(NOT(ISNUMBER(H147)),"",IF(TODAY()&gt;H147,IF(F147=""," · ","")&amp;"QUÁ HẠN "&amp;(TODAY()-H147)&amp;" ngày",IF(H147-TODAY()&lt;=3,IF(F147=""," · ","")&amp;"Đến hạn "&amp;IF(H147=TODAY(),"hôm nay","trong "&amp;(H147-TODAY())&amp;" ngày"),""))))))</f>
        <v/>
      </c>
      <c r="M147" t="inlineStr">
        <is>
          <t>VD-5</t>
        </is>
      </c>
      <c r="N147" t="inlineStr">
        <is>
          <t>K22</t>
        </is>
      </c>
      <c r="O147" t="n">
        <v>0</v>
      </c>
      <c r="P147" t="inlineStr">
        <is>
          <t>Lịch</t>
        </is>
      </c>
      <c r="Q147">
        <f>IF(AND(E147&lt;&gt;"",R147="Có",I147&lt;&gt;"Xong",I147&lt;&gt;"Bỏ qua",ISNUMBER(H147)),H147+ROW()/100000,"")</f>
        <v/>
      </c>
      <c r="R147">
        <f>IF(M147="","",IFERROR(INDEX(SK_L,MATCH(M147,SK_A,0)),""))</f>
        <v/>
      </c>
    </row>
    <row r="148">
      <c r="A148" s="11">
        <f>IF(M148="","",IFERROR(INDEX(SK_B,MATCH(M148,SK_A,0))&amp;"",""))</f>
        <v/>
      </c>
      <c r="B148" s="24">
        <f>IF(M148="","",IFERROR(INDEX(SK_C,MATCH(M148,SK_A,0)),""))</f>
        <v/>
      </c>
      <c r="C148" s="25">
        <f>IF(O148="","",IF(O148=0,"D",IF(O148&lt;0,"D"&amp;O148,"D+"&amp;O148)))</f>
        <v/>
      </c>
      <c r="D148" s="13" t="inlineStr">
        <is>
          <t>9. Ngày D</t>
        </is>
      </c>
      <c r="E148" s="11" t="inlineStr">
        <is>
          <t>Điều phối chương trình, khảo sát QR trước bế mạc, ảnh / video</t>
        </is>
      </c>
      <c r="F148" s="26" t="inlineStr">
        <is>
          <t>Leader MKT (ví dụ)</t>
        </is>
      </c>
      <c r="G148" s="13" t="inlineStr">
        <is>
          <t>Digital MKT</t>
        </is>
      </c>
      <c r="H148" s="12">
        <f>IF(OR(B148="",O148=""),"",IF(O148&gt;0,IF(P148="Làm việc",WORKDAY(IFERROR(IF(INDEX(SK_D,MATCH(M148,SK_A,0))="",B148,INDEX(SK_D,MATCH(M148,SK_A,0))),B148),O148,HOLI),IFERROR(IF(INDEX(SK_D,MATCH(M148,SK_A,0))="",B148,INDEX(SK_D,MATCH(M148,SK_A,0))),B148)+O148),B148+O148))</f>
        <v/>
      </c>
      <c r="I148" s="13" t="inlineStr">
        <is>
          <t>Chưa làm</t>
        </is>
      </c>
      <c r="J148" s="12" t="n"/>
      <c r="K148" s="11" t="n"/>
      <c r="L148" s="27">
        <f>IF(E148="","",IF(I148="Bỏ qua","—",IF(I148="Xong",IF(AND(ISNUMBER(J148),ISNUMBER(H148),J148&gt;H148),"Xong trễ","Xong"),IF(F148="","CHƯA GIAO","")&amp;IF(NOT(ISNUMBER(H148)),"",IF(TODAY()&gt;H148,IF(F148=""," · ","")&amp;"QUÁ HẠN "&amp;(TODAY()-H148)&amp;" ngày",IF(H148-TODAY()&lt;=3,IF(F148=""," · ","")&amp;"Đến hạn "&amp;IF(H148=TODAY(),"hôm nay","trong "&amp;(H148-TODAY())&amp;" ngày"),""))))))</f>
        <v/>
      </c>
      <c r="M148" t="inlineStr">
        <is>
          <t>VD-5</t>
        </is>
      </c>
      <c r="N148" t="inlineStr">
        <is>
          <t>K23</t>
        </is>
      </c>
      <c r="O148" t="n">
        <v>0</v>
      </c>
      <c r="P148" t="inlineStr">
        <is>
          <t>Lịch</t>
        </is>
      </c>
      <c r="Q148">
        <f>IF(AND(E148&lt;&gt;"",R148="Có",I148&lt;&gt;"Xong",I148&lt;&gt;"Bỏ qua",ISNUMBER(H148)),H148+ROW()/100000,"")</f>
        <v/>
      </c>
      <c r="R148">
        <f>IF(M148="","",IFERROR(INDEX(SK_L,MATCH(M148,SK_A,0)),""))</f>
        <v/>
      </c>
    </row>
    <row r="149">
      <c r="A149" s="11">
        <f>IF(M149="","",IFERROR(INDEX(SK_B,MATCH(M149,SK_A,0))&amp;"",""))</f>
        <v/>
      </c>
      <c r="B149" s="24">
        <f>IF(M149="","",IFERROR(INDEX(SK_C,MATCH(M149,SK_A,0)),""))</f>
        <v/>
      </c>
      <c r="C149" s="25">
        <f>IF(O149="","",IF(O149=0,"D",IF(O149&lt;0,"D"&amp;O149,"D+"&amp;O149)))</f>
        <v/>
      </c>
      <c r="D149" s="13" t="inlineStr">
        <is>
          <t>9. Ngày D</t>
        </is>
      </c>
      <c r="E149" s="11" t="inlineStr">
        <is>
          <t>Bán hàng tại bàn trưng bày + ghi khách quan tâm</t>
        </is>
      </c>
      <c r="F149" s="26" t="n"/>
      <c r="G149" s="13" t="inlineStr">
        <is>
          <t>NPP</t>
        </is>
      </c>
      <c r="H149" s="12">
        <f>IF(OR(B149="",O149=""),"",IF(O149&gt;0,IF(P149="Làm việc",WORKDAY(IFERROR(IF(INDEX(SK_D,MATCH(M149,SK_A,0))="",B149,INDEX(SK_D,MATCH(M149,SK_A,0))),B149),O149,HOLI),IFERROR(IF(INDEX(SK_D,MATCH(M149,SK_A,0))="",B149,INDEX(SK_D,MATCH(M149,SK_A,0))),B149)+O149),B149+O149))</f>
        <v/>
      </c>
      <c r="I149" s="13" t="inlineStr">
        <is>
          <t>Chưa làm</t>
        </is>
      </c>
      <c r="J149" s="12" t="n"/>
      <c r="K149" s="11" t="n"/>
      <c r="L149" s="27">
        <f>IF(E149="","",IF(I149="Bỏ qua","—",IF(I149="Xong",IF(AND(ISNUMBER(J149),ISNUMBER(H149),J149&gt;H149),"Xong trễ","Xong"),IF(F149="","CHƯA GIAO","")&amp;IF(NOT(ISNUMBER(H149)),"",IF(TODAY()&gt;H149,IF(F149=""," · ","")&amp;"QUÁ HẠN "&amp;(TODAY()-H149)&amp;" ngày",IF(H149-TODAY()&lt;=3,IF(F149=""," · ","")&amp;"Đến hạn "&amp;IF(H149=TODAY(),"hôm nay","trong "&amp;(H149-TODAY())&amp;" ngày"),""))))))</f>
        <v/>
      </c>
      <c r="M149" t="inlineStr">
        <is>
          <t>VD-5</t>
        </is>
      </c>
      <c r="N149" t="inlineStr">
        <is>
          <t>K24</t>
        </is>
      </c>
      <c r="O149" t="n">
        <v>0</v>
      </c>
      <c r="P149" t="inlineStr">
        <is>
          <t>Lịch</t>
        </is>
      </c>
      <c r="Q149">
        <f>IF(AND(E149&lt;&gt;"",R149="Có",I149&lt;&gt;"Xong",I149&lt;&gt;"Bỏ qua",ISNUMBER(H149)),H149+ROW()/100000,"")</f>
        <v/>
      </c>
      <c r="R149">
        <f>IF(M149="","",IFERROR(INDEX(SK_L,MATCH(M149,SK_A,0)),""))</f>
        <v/>
      </c>
    </row>
    <row r="150">
      <c r="A150" s="11">
        <f>IF(M150="","",IFERROR(INDEX(SK_B,MATCH(M150,SK_A,0))&amp;"",""))</f>
        <v/>
      </c>
      <c r="B150" s="24">
        <f>IF(M150="","",IFERROR(INDEX(SK_C,MATCH(M150,SK_A,0)),""))</f>
        <v/>
      </c>
      <c r="C150" s="25">
        <f>IF(O150="","",IF(O150=0,"D",IF(O150&lt;0,"D"&amp;O150,"D+"&amp;O150)))</f>
        <v/>
      </c>
      <c r="D150" s="13" t="inlineStr">
        <is>
          <t>9. Ngày D</t>
        </is>
      </c>
      <c r="E150" s="11" t="inlineStr">
        <is>
          <t>Thu dọn, kiểm đếm, ghi POSM hỏng</t>
        </is>
      </c>
      <c r="F150" s="26" t="n"/>
      <c r="G150" s="13" t="inlineStr">
        <is>
          <t>NPP</t>
        </is>
      </c>
      <c r="H150" s="12">
        <f>IF(OR(B150="",O150=""),"",IF(O150&gt;0,IF(P150="Làm việc",WORKDAY(IFERROR(IF(INDEX(SK_D,MATCH(M150,SK_A,0))="",B150,INDEX(SK_D,MATCH(M150,SK_A,0))),B150),O150,HOLI),IFERROR(IF(INDEX(SK_D,MATCH(M150,SK_A,0))="",B150,INDEX(SK_D,MATCH(M150,SK_A,0))),B150)+O150),B150+O150))</f>
        <v/>
      </c>
      <c r="I150" s="13" t="inlineStr">
        <is>
          <t>Chưa làm</t>
        </is>
      </c>
      <c r="J150" s="12" t="n"/>
      <c r="K150" s="11" t="n"/>
      <c r="L150" s="27">
        <f>IF(E150="","",IF(I150="Bỏ qua","—",IF(I150="Xong",IF(AND(ISNUMBER(J150),ISNUMBER(H150),J150&gt;H150),"Xong trễ","Xong"),IF(F150="","CHƯA GIAO","")&amp;IF(NOT(ISNUMBER(H150)),"",IF(TODAY()&gt;H150,IF(F150=""," · ","")&amp;"QUÁ HẠN "&amp;(TODAY()-H150)&amp;" ngày",IF(H150-TODAY()&lt;=3,IF(F150=""," · ","")&amp;"Đến hạn "&amp;IF(H150=TODAY(),"hôm nay","trong "&amp;(H150-TODAY())&amp;" ngày"),""))))))</f>
        <v/>
      </c>
      <c r="M150" t="inlineStr">
        <is>
          <t>VD-5</t>
        </is>
      </c>
      <c r="N150" t="inlineStr">
        <is>
          <t>K25</t>
        </is>
      </c>
      <c r="O150" t="n">
        <v>0</v>
      </c>
      <c r="P150" t="inlineStr">
        <is>
          <t>Lịch</t>
        </is>
      </c>
      <c r="Q150">
        <f>IF(AND(E150&lt;&gt;"",R150="Có",I150&lt;&gt;"Xong",I150&lt;&gt;"Bỏ qua",ISNUMBER(H150)),H150+ROW()/100000,"")</f>
        <v/>
      </c>
      <c r="R150">
        <f>IF(M150="","",IFERROR(INDEX(SK_L,MATCH(M150,SK_A,0)),""))</f>
        <v/>
      </c>
    </row>
    <row r="151">
      <c r="A151" s="11">
        <f>IF(M151="","",IFERROR(INDEX(SK_B,MATCH(M151,SK_A,0))&amp;"",""))</f>
        <v/>
      </c>
      <c r="B151" s="24">
        <f>IF(M151="","",IFERROR(INDEX(SK_C,MATCH(M151,SK_A,0)),""))</f>
        <v/>
      </c>
      <c r="C151" s="25">
        <f>IF(O151="","",IF(O151=0,"D",IF(O151&lt;0,"D"&amp;O151,"D+"&amp;O151)))</f>
        <v/>
      </c>
      <c r="D151" s="13" t="inlineStr">
        <is>
          <t>10. Sau sự kiện</t>
        </is>
      </c>
      <c r="E151" s="11" t="inlineStr">
        <is>
          <t>Bài cảm ơn + ảnh recap; video recap (nếu có)</t>
        </is>
      </c>
      <c r="F151" s="26" t="inlineStr">
        <is>
          <t>Digital (ví dụ)</t>
        </is>
      </c>
      <c r="G151" s="13" t="inlineStr"/>
      <c r="H151" s="12">
        <f>IF(OR(B151="",O151=""),"",IF(O151&gt;0,IF(P151="Làm việc",WORKDAY(IFERROR(IF(INDEX(SK_D,MATCH(M151,SK_A,0))="",B151,INDEX(SK_D,MATCH(M151,SK_A,0))),B151),O151,HOLI),IFERROR(IF(INDEX(SK_D,MATCH(M151,SK_A,0))="",B151,INDEX(SK_D,MATCH(M151,SK_A,0))),B151)+O151),B151+O151))</f>
        <v/>
      </c>
      <c r="I151" s="13" t="inlineStr">
        <is>
          <t>Chưa làm</t>
        </is>
      </c>
      <c r="J151" s="12" t="n"/>
      <c r="K151" s="11" t="n"/>
      <c r="L151" s="27">
        <f>IF(E151="","",IF(I151="Bỏ qua","—",IF(I151="Xong",IF(AND(ISNUMBER(J151),ISNUMBER(H151),J151&gt;H151),"Xong trễ","Xong"),IF(F151="","CHƯA GIAO","")&amp;IF(NOT(ISNUMBER(H151)),"",IF(TODAY()&gt;H151,IF(F151=""," · ","")&amp;"QUÁ HẠN "&amp;(TODAY()-H151)&amp;" ngày",IF(H151-TODAY()&lt;=3,IF(F151=""," · ","")&amp;"Đến hạn "&amp;IF(H151=TODAY(),"hôm nay","trong "&amp;(H151-TODAY())&amp;" ngày"),""))))))</f>
        <v/>
      </c>
      <c r="M151" t="inlineStr">
        <is>
          <t>VD-5</t>
        </is>
      </c>
      <c r="N151" t="inlineStr">
        <is>
          <t>K26</t>
        </is>
      </c>
      <c r="O151" t="n">
        <v>2</v>
      </c>
      <c r="P151" t="inlineStr">
        <is>
          <t>Làm việc</t>
        </is>
      </c>
      <c r="Q151">
        <f>IF(AND(E151&lt;&gt;"",R151="Có",I151&lt;&gt;"Xong",I151&lt;&gt;"Bỏ qua",ISNUMBER(H151)),H151+ROW()/100000,"")</f>
        <v/>
      </c>
      <c r="R151">
        <f>IF(M151="","",IFERROR(INDEX(SK_L,MATCH(M151,SK_A,0)),""))</f>
        <v/>
      </c>
    </row>
    <row r="152">
      <c r="A152" s="11">
        <f>IF(M152="","",IFERROR(INDEX(SK_B,MATCH(M152,SK_A,0))&amp;"",""))</f>
        <v/>
      </c>
      <c r="B152" s="24">
        <f>IF(M152="","",IFERROR(INDEX(SK_C,MATCH(M152,SK_A,0)),""))</f>
        <v/>
      </c>
      <c r="C152" s="25">
        <f>IF(O152="","",IF(O152=0,"D",IF(O152&lt;0,"D"&amp;O152,"D+"&amp;O152)))</f>
        <v/>
      </c>
      <c r="D152" s="13" t="inlineStr">
        <is>
          <t>10. Sau sự kiện</t>
        </is>
      </c>
      <c r="E152" s="11" t="inlineStr">
        <is>
          <t>Scan biểu mẫu ký tay + upload ảnh / video lên folder sự kiện</t>
        </is>
      </c>
      <c r="F152" s="26" t="inlineStr">
        <is>
          <t>Trade (ví dụ)</t>
        </is>
      </c>
      <c r="G152" s="13" t="inlineStr">
        <is>
          <t>Digital MKT</t>
        </is>
      </c>
      <c r="H152" s="12">
        <f>IF(OR(B152="",O152=""),"",IF(O152&gt;0,IF(P152="Làm việc",WORKDAY(IFERROR(IF(INDEX(SK_D,MATCH(M152,SK_A,0))="",B152,INDEX(SK_D,MATCH(M152,SK_A,0))),B152),O152,HOLI),IFERROR(IF(INDEX(SK_D,MATCH(M152,SK_A,0))="",B152,INDEX(SK_D,MATCH(M152,SK_A,0))),B152)+O152),B152+O152))</f>
        <v/>
      </c>
      <c r="I152" s="13" t="inlineStr">
        <is>
          <t>Chưa làm</t>
        </is>
      </c>
      <c r="J152" s="12" t="n"/>
      <c r="K152" s="11" t="n"/>
      <c r="L152" s="27">
        <f>IF(E152="","",IF(I152="Bỏ qua","—",IF(I152="Xong",IF(AND(ISNUMBER(J152),ISNUMBER(H152),J152&gt;H152),"Xong trễ","Xong"),IF(F152="","CHƯA GIAO","")&amp;IF(NOT(ISNUMBER(H152)),"",IF(TODAY()&gt;H152,IF(F152=""," · ","")&amp;"QUÁ HẠN "&amp;(TODAY()-H152)&amp;" ngày",IF(H152-TODAY()&lt;=3,IF(F152=""," · ","")&amp;"Đến hạn "&amp;IF(H152=TODAY(),"hôm nay","trong "&amp;(H152-TODAY())&amp;" ngày"),""))))))</f>
        <v/>
      </c>
      <c r="M152" t="inlineStr">
        <is>
          <t>VD-5</t>
        </is>
      </c>
      <c r="N152" t="inlineStr">
        <is>
          <t>K27</t>
        </is>
      </c>
      <c r="O152" t="n">
        <v>2</v>
      </c>
      <c r="P152" t="inlineStr">
        <is>
          <t>Làm việc</t>
        </is>
      </c>
      <c r="Q152">
        <f>IF(AND(E152&lt;&gt;"",R152="Có",I152&lt;&gt;"Xong",I152&lt;&gt;"Bỏ qua",ISNUMBER(H152)),H152+ROW()/100000,"")</f>
        <v/>
      </c>
      <c r="R152">
        <f>IF(M152="","",IFERROR(INDEX(SK_L,MATCH(M152,SK_A,0)),""))</f>
        <v/>
      </c>
    </row>
    <row r="153">
      <c r="A153" s="11">
        <f>IF(M153="","",IFERROR(INDEX(SK_B,MATCH(M153,SK_A,0))&amp;"",""))</f>
        <v/>
      </c>
      <c r="B153" s="24">
        <f>IF(M153="","",IFERROR(INDEX(SK_C,MATCH(M153,SK_A,0)),""))</f>
        <v/>
      </c>
      <c r="C153" s="25">
        <f>IF(O153="","",IF(O153=0,"D",IF(O153&lt;0,"D"&amp;O153,"D+"&amp;O153)))</f>
        <v/>
      </c>
      <c r="D153" s="13" t="inlineStr">
        <is>
          <t>10. Sau sự kiện</t>
        </is>
      </c>
      <c r="E153" s="11" t="inlineStr">
        <is>
          <t>Đối chiếu dữ liệu khách (loại trùng, đủ trường) ⇒ CUSTOMER LIST; tổng hợp khảo sát</t>
        </is>
      </c>
      <c r="F153" s="26" t="inlineStr">
        <is>
          <t>Digital (ví dụ)</t>
        </is>
      </c>
      <c r="G153" s="13" t="inlineStr">
        <is>
          <t>Sales, NPP</t>
        </is>
      </c>
      <c r="H153" s="12">
        <f>IF(OR(B153="",O153=""),"",IF(O153&gt;0,IF(P153="Làm việc",WORKDAY(IFERROR(IF(INDEX(SK_D,MATCH(M153,SK_A,0))="",B153,INDEX(SK_D,MATCH(M153,SK_A,0))),B153),O153,HOLI),IFERROR(IF(INDEX(SK_D,MATCH(M153,SK_A,0))="",B153,INDEX(SK_D,MATCH(M153,SK_A,0))),B153)+O153),B153+O153))</f>
        <v/>
      </c>
      <c r="I153" s="13" t="inlineStr">
        <is>
          <t>Chưa làm</t>
        </is>
      </c>
      <c r="J153" s="12" t="n"/>
      <c r="K153" s="11" t="n"/>
      <c r="L153" s="27">
        <f>IF(E153="","",IF(I153="Bỏ qua","—",IF(I153="Xong",IF(AND(ISNUMBER(J153),ISNUMBER(H153),J153&gt;H153),"Xong trễ","Xong"),IF(F153="","CHƯA GIAO","")&amp;IF(NOT(ISNUMBER(H153)),"",IF(TODAY()&gt;H153,IF(F153=""," · ","")&amp;"QUÁ HẠN "&amp;(TODAY()-H153)&amp;" ngày",IF(H153-TODAY()&lt;=3,IF(F153=""," · ","")&amp;"Đến hạn "&amp;IF(H153=TODAY(),"hôm nay","trong "&amp;(H153-TODAY())&amp;" ngày"),""))))))</f>
        <v/>
      </c>
      <c r="M153" t="inlineStr">
        <is>
          <t>VD-5</t>
        </is>
      </c>
      <c r="N153" t="inlineStr">
        <is>
          <t>K28</t>
        </is>
      </c>
      <c r="O153" t="n">
        <v>3</v>
      </c>
      <c r="P153" t="inlineStr">
        <is>
          <t>Làm việc</t>
        </is>
      </c>
      <c r="Q153">
        <f>IF(AND(E153&lt;&gt;"",R153="Có",I153&lt;&gt;"Xong",I153&lt;&gt;"Bỏ qua",ISNUMBER(H153)),H153+ROW()/100000,"")</f>
        <v/>
      </c>
      <c r="R153">
        <f>IF(M153="","",IFERROR(INDEX(SK_L,MATCH(M153,SK_A,0)),""))</f>
        <v/>
      </c>
    </row>
    <row r="154">
      <c r="A154" s="11">
        <f>IF(M154="","",IFERROR(INDEX(SK_B,MATCH(M154,SK_A,0))&amp;"",""))</f>
        <v/>
      </c>
      <c r="B154" s="24">
        <f>IF(M154="","",IFERROR(INDEX(SK_C,MATCH(M154,SK_A,0)),""))</f>
        <v/>
      </c>
      <c r="C154" s="25">
        <f>IF(O154="","",IF(O154=0,"D",IF(O154&lt;0,"D"&amp;O154,"D+"&amp;O154)))</f>
        <v/>
      </c>
      <c r="D154" s="13" t="inlineStr">
        <is>
          <t>10. Sau sự kiện</t>
        </is>
      </c>
      <c r="E154" s="11" t="inlineStr">
        <is>
          <t>Sales + NPP gửi số liệu bán hàng tại sự kiện</t>
        </is>
      </c>
      <c r="F154" s="26" t="n"/>
      <c r="G154" s="13" t="inlineStr">
        <is>
          <t>NPP</t>
        </is>
      </c>
      <c r="H154" s="12">
        <f>IF(OR(B154="",O154=""),"",IF(O154&gt;0,IF(P154="Làm việc",WORKDAY(IFERROR(IF(INDEX(SK_D,MATCH(M154,SK_A,0))="",B154,INDEX(SK_D,MATCH(M154,SK_A,0))),B154),O154,HOLI),IFERROR(IF(INDEX(SK_D,MATCH(M154,SK_A,0))="",B154,INDEX(SK_D,MATCH(M154,SK_A,0))),B154)+O154),B154+O154))</f>
        <v/>
      </c>
      <c r="I154" s="13" t="inlineStr">
        <is>
          <t>Chưa làm</t>
        </is>
      </c>
      <c r="J154" s="12" t="n"/>
      <c r="K154" s="11" t="n"/>
      <c r="L154" s="27">
        <f>IF(E154="","",IF(I154="Bỏ qua","—",IF(I154="Xong",IF(AND(ISNUMBER(J154),ISNUMBER(H154),J154&gt;H154),"Xong trễ","Xong"),IF(F154="","CHƯA GIAO","")&amp;IF(NOT(ISNUMBER(H154)),"",IF(TODAY()&gt;H154,IF(F154=""," · ","")&amp;"QUÁ HẠN "&amp;(TODAY()-H154)&amp;" ngày",IF(H154-TODAY()&lt;=3,IF(F154=""," · ","")&amp;"Đến hạn "&amp;IF(H154=TODAY(),"hôm nay","trong "&amp;(H154-TODAY())&amp;" ngày"),""))))))</f>
        <v/>
      </c>
      <c r="M154" t="inlineStr">
        <is>
          <t>VD-5</t>
        </is>
      </c>
      <c r="N154" t="inlineStr">
        <is>
          <t>K29</t>
        </is>
      </c>
      <c r="O154" t="n">
        <v>3</v>
      </c>
      <c r="P154" t="inlineStr">
        <is>
          <t>Làm việc</t>
        </is>
      </c>
      <c r="Q154">
        <f>IF(AND(E154&lt;&gt;"",R154="Có",I154&lt;&gt;"Xong",I154&lt;&gt;"Bỏ qua",ISNUMBER(H154)),H154+ROW()/100000,"")</f>
        <v/>
      </c>
      <c r="R154">
        <f>IF(M154="","",IFERROR(INDEX(SK_L,MATCH(M154,SK_A,0)),""))</f>
        <v/>
      </c>
    </row>
    <row r="155">
      <c r="A155" s="11">
        <f>IF(M155="","",IFERROR(INDEX(SK_B,MATCH(M155,SK_A,0))&amp;"",""))</f>
        <v/>
      </c>
      <c r="B155" s="24">
        <f>IF(M155="","",IFERROR(INDEX(SK_C,MATCH(M155,SK_A,0)),""))</f>
        <v/>
      </c>
      <c r="C155" s="25">
        <f>IF(O155="","",IF(O155=0,"D",IF(O155&lt;0,"D"&amp;O155,"D+"&amp;O155)))</f>
        <v/>
      </c>
      <c r="D155" s="13" t="inlineStr">
        <is>
          <t>10. Sau sự kiện</t>
        </is>
      </c>
      <c r="E155" s="11" t="inlineStr">
        <is>
          <t>Bàn giao danh sách khách cần follow-up cho Sales</t>
        </is>
      </c>
      <c r="F155" s="26" t="n"/>
      <c r="G155" s="13" t="inlineStr">
        <is>
          <t>Sales</t>
        </is>
      </c>
      <c r="H155" s="12">
        <f>IF(OR(B155="",O155=""),"",IF(O155&gt;0,IF(P155="Làm việc",WORKDAY(IFERROR(IF(INDEX(SK_D,MATCH(M155,SK_A,0))="",B155,INDEX(SK_D,MATCH(M155,SK_A,0))),B155),O155,HOLI),IFERROR(IF(INDEX(SK_D,MATCH(M155,SK_A,0))="",B155,INDEX(SK_D,MATCH(M155,SK_A,0))),B155)+O155),B155+O155))</f>
        <v/>
      </c>
      <c r="I155" s="13" t="inlineStr">
        <is>
          <t>Chưa làm</t>
        </is>
      </c>
      <c r="J155" s="12" t="n"/>
      <c r="K155" s="11" t="n"/>
      <c r="L155" s="27">
        <f>IF(E155="","",IF(I155="Bỏ qua","—",IF(I155="Xong",IF(AND(ISNUMBER(J155),ISNUMBER(H155),J155&gt;H155),"Xong trễ","Xong"),IF(F155="","CHƯA GIAO","")&amp;IF(NOT(ISNUMBER(H155)),"",IF(TODAY()&gt;H155,IF(F155=""," · ","")&amp;"QUÁ HẠN "&amp;(TODAY()-H155)&amp;" ngày",IF(H155-TODAY()&lt;=3,IF(F155=""," · ","")&amp;"Đến hạn "&amp;IF(H155=TODAY(),"hôm nay","trong "&amp;(H155-TODAY())&amp;" ngày"),""))))))</f>
        <v/>
      </c>
      <c r="M155" t="inlineStr">
        <is>
          <t>VD-5</t>
        </is>
      </c>
      <c r="N155" t="inlineStr">
        <is>
          <t>K30</t>
        </is>
      </c>
      <c r="O155" t="n">
        <v>3</v>
      </c>
      <c r="P155" t="inlineStr">
        <is>
          <t>Làm việc</t>
        </is>
      </c>
      <c r="Q155">
        <f>IF(AND(E155&lt;&gt;"",R155="Có",I155&lt;&gt;"Xong",I155&lt;&gt;"Bỏ qua",ISNUMBER(H155)),H155+ROW()/100000,"")</f>
        <v/>
      </c>
      <c r="R155">
        <f>IF(M155="","",IFERROR(INDEX(SK_L,MATCH(M155,SK_A,0)),""))</f>
        <v/>
      </c>
    </row>
    <row r="156">
      <c r="A156" s="11">
        <f>IF(M156="","",IFERROR(INDEX(SK_B,MATCH(M156,SK_A,0))&amp;"",""))</f>
        <v/>
      </c>
      <c r="B156" s="24">
        <f>IF(M156="","",IFERROR(INDEX(SK_C,MATCH(M156,SK_A,0)),""))</f>
        <v/>
      </c>
      <c r="C156" s="25">
        <f>IF(O156="","",IF(O156=0,"D",IF(O156&lt;0,"D"&amp;O156,"D+"&amp;O156)))</f>
        <v/>
      </c>
      <c r="D156" s="13" t="inlineStr">
        <is>
          <t>10. Sau sự kiện</t>
        </is>
      </c>
      <c r="E156" s="11" t="inlineStr">
        <is>
          <t>Báo cáo sự kiện + chứng từ KOL, hoá đơn địa điểm</t>
        </is>
      </c>
      <c r="F156" s="26" t="inlineStr">
        <is>
          <t>Leader MKT (ví dụ)</t>
        </is>
      </c>
      <c r="G156" s="13" t="inlineStr">
        <is>
          <t>Trade MKT</t>
        </is>
      </c>
      <c r="H156" s="12">
        <f>IF(OR(B156="",O156=""),"",IF(O156&gt;0,IF(P156="Làm việc",WORKDAY(IFERROR(IF(INDEX(SK_D,MATCH(M156,SK_A,0))="",B156,INDEX(SK_D,MATCH(M156,SK_A,0))),B156),O156,HOLI),IFERROR(IF(INDEX(SK_D,MATCH(M156,SK_A,0))="",B156,INDEX(SK_D,MATCH(M156,SK_A,0))),B156)+O156),B156+O156))</f>
        <v/>
      </c>
      <c r="I156" s="13" t="inlineStr">
        <is>
          <t>Chưa làm</t>
        </is>
      </c>
      <c r="J156" s="12" t="n"/>
      <c r="K156" s="11" t="n"/>
      <c r="L156" s="27">
        <f>IF(E156="","",IF(I156="Bỏ qua","—",IF(I156="Xong",IF(AND(ISNUMBER(J156),ISNUMBER(H156),J156&gt;H156),"Xong trễ","Xong"),IF(F156="","CHƯA GIAO","")&amp;IF(NOT(ISNUMBER(H156)),"",IF(TODAY()&gt;H156,IF(F156=""," · ","")&amp;"QUÁ HẠN "&amp;(TODAY()-H156)&amp;" ngày",IF(H156-TODAY()&lt;=3,IF(F156=""," · ","")&amp;"Đến hạn "&amp;IF(H156=TODAY(),"hôm nay","trong "&amp;(H156-TODAY())&amp;" ngày"),""))))))</f>
        <v/>
      </c>
      <c r="M156" t="inlineStr">
        <is>
          <t>VD-5</t>
        </is>
      </c>
      <c r="N156" t="inlineStr">
        <is>
          <t>K31</t>
        </is>
      </c>
      <c r="O156" t="n">
        <v>5</v>
      </c>
      <c r="P156" t="inlineStr">
        <is>
          <t>Làm việc</t>
        </is>
      </c>
      <c r="Q156">
        <f>IF(AND(E156&lt;&gt;"",R156="Có",I156&lt;&gt;"Xong",I156&lt;&gt;"Bỏ qua",ISNUMBER(H156)),H156+ROW()/100000,"")</f>
        <v/>
      </c>
      <c r="R156">
        <f>IF(M156="","",IFERROR(INDEX(SK_L,MATCH(M156,SK_A,0)),""))</f>
        <v/>
      </c>
    </row>
    <row r="157">
      <c r="A157" s="11">
        <f>IF(M157="","",IFERROR(INDEX(SK_B,MATCH(M157,SK_A,0))&amp;"",""))</f>
        <v/>
      </c>
      <c r="B157" s="24">
        <f>IF(M157="","",IFERROR(INDEX(SK_C,MATCH(M157,SK_A,0)),""))</f>
        <v/>
      </c>
      <c r="C157" s="25">
        <f>IF(O157="","",IF(O157=0,"D",IF(O157&lt;0,"D"&amp;O157,"D+"&amp;O157)))</f>
        <v/>
      </c>
      <c r="D157" s="13" t="inlineStr">
        <is>
          <t>10. Sau sự kiện</t>
        </is>
      </c>
      <c r="E157" s="11" t="inlineStr">
        <is>
          <t>Email báo cáo toàn MMH (4 file đính kèm) + hoàn tất lưu hồ sơ</t>
        </is>
      </c>
      <c r="F157" s="26" t="inlineStr">
        <is>
          <t>Leader MKT (ví dụ)</t>
        </is>
      </c>
      <c r="G157" s="13" t="inlineStr"/>
      <c r="H157" s="12">
        <f>IF(OR(B157="",O157=""),"",IF(O157&gt;0,IF(P157="Làm việc",WORKDAY(IFERROR(IF(INDEX(SK_D,MATCH(M157,SK_A,0))="",B157,INDEX(SK_D,MATCH(M157,SK_A,0))),B157),O157,HOLI),IFERROR(IF(INDEX(SK_D,MATCH(M157,SK_A,0))="",B157,INDEX(SK_D,MATCH(M157,SK_A,0))),B157)+O157),B157+O157))</f>
        <v/>
      </c>
      <c r="I157" s="13" t="inlineStr">
        <is>
          <t>Chưa làm</t>
        </is>
      </c>
      <c r="J157" s="12" t="n"/>
      <c r="K157" s="11" t="n"/>
      <c r="L157" s="27">
        <f>IF(E157="","",IF(I157="Bỏ qua","—",IF(I157="Xong",IF(AND(ISNUMBER(J157),ISNUMBER(H157),J157&gt;H157),"Xong trễ","Xong"),IF(F157="","CHƯA GIAO","")&amp;IF(NOT(ISNUMBER(H157)),"",IF(TODAY()&gt;H157,IF(F157=""," · ","")&amp;"QUÁ HẠN "&amp;(TODAY()-H157)&amp;" ngày",IF(H157-TODAY()&lt;=3,IF(F157=""," · ","")&amp;"Đến hạn "&amp;IF(H157=TODAY(),"hôm nay","trong "&amp;(H157-TODAY())&amp;" ngày"),""))))))</f>
        <v/>
      </c>
      <c r="M157" t="inlineStr">
        <is>
          <t>VD-5</t>
        </is>
      </c>
      <c r="N157" t="inlineStr">
        <is>
          <t>K32</t>
        </is>
      </c>
      <c r="O157" t="n">
        <v>7</v>
      </c>
      <c r="P157" t="inlineStr">
        <is>
          <t>Làm việc</t>
        </is>
      </c>
      <c r="Q157">
        <f>IF(AND(E157&lt;&gt;"",R157="Có",I157&lt;&gt;"Xong",I157&lt;&gt;"Bỏ qua",ISNUMBER(H157)),H157+ROW()/100000,"")</f>
        <v/>
      </c>
      <c r="R157">
        <f>IF(M157="","",IFERROR(INDEX(SK_L,MATCH(M157,SK_A,0)),""))</f>
        <v/>
      </c>
    </row>
    <row r="158">
      <c r="A158" s="11">
        <f>IF(M158="","",IFERROR(INDEX(SK_B,MATCH(M158,SK_A,0))&amp;"",""))</f>
        <v/>
      </c>
      <c r="B158" s="24">
        <f>IF(M158="","",IFERROR(INDEX(SK_C,MATCH(M158,SK_A,0)),""))</f>
        <v/>
      </c>
      <c r="C158" s="25">
        <f>IF(O158="","",IF(O158=0,"D",IF(O158&lt;0,"D"&amp;O158,"D+"&amp;O158)))</f>
        <v/>
      </c>
      <c r="D158" s="13" t="inlineStr">
        <is>
          <t>11. Follow-up</t>
        </is>
      </c>
      <c r="E158" s="11" t="inlineStr">
        <is>
          <t>Sales liên hệ lần đầu khách cần follow-up</t>
        </is>
      </c>
      <c r="F158" s="26" t="n"/>
      <c r="G158" s="13" t="inlineStr">
        <is>
          <t>NPP</t>
        </is>
      </c>
      <c r="H158" s="12">
        <f>IF(OR(B158="",O158=""),"",IF(O158&gt;0,IF(P158="Làm việc",WORKDAY(IFERROR(IF(INDEX(SK_D,MATCH(M158,SK_A,0))="",B158,INDEX(SK_D,MATCH(M158,SK_A,0))),B158),O158,HOLI),IFERROR(IF(INDEX(SK_D,MATCH(M158,SK_A,0))="",B158,INDEX(SK_D,MATCH(M158,SK_A,0))),B158)+O158),B158+O158))</f>
        <v/>
      </c>
      <c r="I158" s="13" t="inlineStr">
        <is>
          <t>Chưa làm</t>
        </is>
      </c>
      <c r="J158" s="12" t="n"/>
      <c r="K158" s="11" t="n"/>
      <c r="L158" s="27">
        <f>IF(E158="","",IF(I158="Bỏ qua","—",IF(I158="Xong",IF(AND(ISNUMBER(J158),ISNUMBER(H158),J158&gt;H158),"Xong trễ","Xong"),IF(F158="","CHƯA GIAO","")&amp;IF(NOT(ISNUMBER(H158)),"",IF(TODAY()&gt;H158,IF(F158=""," · ","")&amp;"QUÁ HẠN "&amp;(TODAY()-H158)&amp;" ngày",IF(H158-TODAY()&lt;=3,IF(F158=""," · ","")&amp;"Đến hạn "&amp;IF(H158=TODAY(),"hôm nay","trong "&amp;(H158-TODAY())&amp;" ngày"),""))))))</f>
        <v/>
      </c>
      <c r="M158" t="inlineStr">
        <is>
          <t>VD-5</t>
        </is>
      </c>
      <c r="N158" t="inlineStr">
        <is>
          <t>K33</t>
        </is>
      </c>
      <c r="O158" t="n">
        <v>5</v>
      </c>
      <c r="P158" t="inlineStr">
        <is>
          <t>Làm việc</t>
        </is>
      </c>
      <c r="Q158">
        <f>IF(AND(E158&lt;&gt;"",R158="Có",I158&lt;&gt;"Xong",I158&lt;&gt;"Bỏ qua",ISNUMBER(H158)),H158+ROW()/100000,"")</f>
        <v/>
      </c>
      <c r="R158">
        <f>IF(M158="","",IFERROR(INDEX(SK_L,MATCH(M158,SK_A,0)),""))</f>
        <v/>
      </c>
    </row>
    <row r="159">
      <c r="A159" s="11">
        <f>IF(M159="","",IFERROR(INDEX(SK_B,MATCH(M159,SK_A,0))&amp;"",""))</f>
        <v/>
      </c>
      <c r="B159" s="24">
        <f>IF(M159="","",IFERROR(INDEX(SK_C,MATCH(M159,SK_A,0)),""))</f>
        <v/>
      </c>
      <c r="C159" s="25">
        <f>IF(O159="","",IF(O159=0,"D",IF(O159&lt;0,"D"&amp;O159,"D+"&amp;O159)))</f>
        <v/>
      </c>
      <c r="D159" s="13" t="inlineStr">
        <is>
          <t>11. Follow-up</t>
        </is>
      </c>
      <c r="E159" s="11" t="inlineStr">
        <is>
          <t>Sales báo kết quả chuyển đổi đơn hàng</t>
        </is>
      </c>
      <c r="F159" s="26" t="inlineStr">
        <is>
          <t>Sales Dental (ví dụ)</t>
        </is>
      </c>
      <c r="G159" s="13" t="inlineStr">
        <is>
          <t>NPP</t>
        </is>
      </c>
      <c r="H159" s="12">
        <f>IF(OR(B159="",O159=""),"",IF(O159&gt;0,IF(P159="Làm việc",WORKDAY(IFERROR(IF(INDEX(SK_D,MATCH(M159,SK_A,0))="",B159,INDEX(SK_D,MATCH(M159,SK_A,0))),B159),O159,HOLI),IFERROR(IF(INDEX(SK_D,MATCH(M159,SK_A,0))="",B159,INDEX(SK_D,MATCH(M159,SK_A,0))),B159)+O159),B159+O159))</f>
        <v/>
      </c>
      <c r="I159" s="13" t="inlineStr">
        <is>
          <t>Chưa làm</t>
        </is>
      </c>
      <c r="J159" s="12" t="n"/>
      <c r="K159" s="11" t="n"/>
      <c r="L159" s="27">
        <f>IF(E159="","",IF(I159="Bỏ qua","—",IF(I159="Xong",IF(AND(ISNUMBER(J159),ISNUMBER(H159),J159&gt;H159),"Xong trễ","Xong"),IF(F159="","CHƯA GIAO","")&amp;IF(NOT(ISNUMBER(H159)),"",IF(TODAY()&gt;H159,IF(F159=""," · ","")&amp;"QUÁ HẠN "&amp;(TODAY()-H159)&amp;" ngày",IF(H159-TODAY()&lt;=3,IF(F159=""," · ","")&amp;"Đến hạn "&amp;IF(H159=TODAY(),"hôm nay","trong "&amp;(H159-TODAY())&amp;" ngày"),""))))))</f>
        <v/>
      </c>
      <c r="M159" t="inlineStr">
        <is>
          <t>VD-5</t>
        </is>
      </c>
      <c r="N159" t="inlineStr">
        <is>
          <t>K34</t>
        </is>
      </c>
      <c r="O159" t="n">
        <v>20</v>
      </c>
      <c r="P159" t="inlineStr">
        <is>
          <t>Làm việc</t>
        </is>
      </c>
      <c r="Q159">
        <f>IF(AND(E159&lt;&gt;"",R159="Có",I159&lt;&gt;"Xong",I159&lt;&gt;"Bỏ qua",ISNUMBER(H159)),H159+ROW()/100000,"")</f>
        <v/>
      </c>
      <c r="R159">
        <f>IF(M159="","",IFERROR(INDEX(SK_L,MATCH(M159,SK_A,0)),""))</f>
        <v/>
      </c>
    </row>
    <row r="160">
      <c r="A160" s="11">
        <f>IF(M160="","",IFERROR(INDEX(SK_B,MATCH(M160,SK_A,0))&amp;"",""))</f>
        <v/>
      </c>
      <c r="B160" s="24">
        <f>IF(M160="","",IFERROR(INDEX(SK_C,MATCH(M160,SK_A,0)),""))</f>
        <v/>
      </c>
      <c r="C160" s="25">
        <f>IF(O160="","",IF(O160=0,"D",IF(O160&lt;0,"D"&amp;O160,"D+"&amp;O160)))</f>
        <v/>
      </c>
      <c r="D160" s="13" t="n"/>
      <c r="E160" s="11" t="n"/>
      <c r="F160" s="26" t="n"/>
      <c r="G160" s="13" t="n"/>
      <c r="H160" s="12">
        <f>IF(OR(B160="",O160=""),"",IF(O160&gt;0,IF(P160="Làm việc",WORKDAY(IFERROR(IF(INDEX(SK_D,MATCH(M160,SK_A,0))="",B160,INDEX(SK_D,MATCH(M160,SK_A,0))),B160),O160,HOLI),IFERROR(IF(INDEX(SK_D,MATCH(M160,SK_A,0))="",B160,INDEX(SK_D,MATCH(M160,SK_A,0))),B160)+O160),B160+O160))</f>
        <v/>
      </c>
      <c r="I160" s="13" t="n"/>
      <c r="J160" s="12" t="n"/>
      <c r="K160" s="11" t="n"/>
      <c r="L160" s="27">
        <f>IF(E160="","",IF(I160="Bỏ qua","—",IF(I160="Xong",IF(AND(ISNUMBER(J160),ISNUMBER(H160),J160&gt;H160),"Xong trễ","Xong"),IF(F160="","CHƯA GIAO","")&amp;IF(NOT(ISNUMBER(H160)),"",IF(TODAY()&gt;H160,IF(F160=""," · ","")&amp;"QUÁ HẠN "&amp;(TODAY()-H160)&amp;" ngày",IF(H160-TODAY()&lt;=3,IF(F160=""," · ","")&amp;"Đến hạn "&amp;IF(H160=TODAY(),"hôm nay","trong "&amp;(H160-TODAY())&amp;" ngày"),""))))))</f>
        <v/>
      </c>
      <c r="Q160">
        <f>IF(AND(E160&lt;&gt;"",R160="Có",I160&lt;&gt;"Xong",I160&lt;&gt;"Bỏ qua",ISNUMBER(H160)),H160+ROW()/100000,"")</f>
        <v/>
      </c>
      <c r="R160">
        <f>IF(M160="","",IFERROR(INDEX(SK_L,MATCH(M160,SK_A,0)),""))</f>
        <v/>
      </c>
    </row>
    <row r="161">
      <c r="A161" s="11">
        <f>IF(M161="","",IFERROR(INDEX(SK_B,MATCH(M161,SK_A,0))&amp;"",""))</f>
        <v/>
      </c>
      <c r="B161" s="24">
        <f>IF(M161="","",IFERROR(INDEX(SK_C,MATCH(M161,SK_A,0)),""))</f>
        <v/>
      </c>
      <c r="C161" s="25">
        <f>IF(O161="","",IF(O161=0,"D",IF(O161&lt;0,"D"&amp;O161,"D+"&amp;O161)))</f>
        <v/>
      </c>
      <c r="D161" s="13" t="n"/>
      <c r="E161" s="11" t="n"/>
      <c r="F161" s="26" t="n"/>
      <c r="G161" s="13" t="n"/>
      <c r="H161" s="12">
        <f>IF(OR(B161="",O161=""),"",IF(O161&gt;0,IF(P161="Làm việc",WORKDAY(IFERROR(IF(INDEX(SK_D,MATCH(M161,SK_A,0))="",B161,INDEX(SK_D,MATCH(M161,SK_A,0))),B161),O161,HOLI),IFERROR(IF(INDEX(SK_D,MATCH(M161,SK_A,0))="",B161,INDEX(SK_D,MATCH(M161,SK_A,0))),B161)+O161),B161+O161))</f>
        <v/>
      </c>
      <c r="I161" s="13" t="n"/>
      <c r="J161" s="12" t="n"/>
      <c r="K161" s="11" t="n"/>
      <c r="L161" s="27">
        <f>IF(E161="","",IF(I161="Bỏ qua","—",IF(I161="Xong",IF(AND(ISNUMBER(J161),ISNUMBER(H161),J161&gt;H161),"Xong trễ","Xong"),IF(F161="","CHƯA GIAO","")&amp;IF(NOT(ISNUMBER(H161)),"",IF(TODAY()&gt;H161,IF(F161=""," · ","")&amp;"QUÁ HẠN "&amp;(TODAY()-H161)&amp;" ngày",IF(H161-TODAY()&lt;=3,IF(F161=""," · ","")&amp;"Đến hạn "&amp;IF(H161=TODAY(),"hôm nay","trong "&amp;(H161-TODAY())&amp;" ngày"),""))))))</f>
        <v/>
      </c>
      <c r="Q161">
        <f>IF(AND(E161&lt;&gt;"",R161="Có",I161&lt;&gt;"Xong",I161&lt;&gt;"Bỏ qua",ISNUMBER(H161)),H161+ROW()/100000,"")</f>
        <v/>
      </c>
      <c r="R161">
        <f>IF(M161="","",IFERROR(INDEX(SK_L,MATCH(M161,SK_A,0)),""))</f>
        <v/>
      </c>
    </row>
    <row r="162">
      <c r="A162" s="11">
        <f>IF(M162="","",IFERROR(INDEX(SK_B,MATCH(M162,SK_A,0))&amp;"",""))</f>
        <v/>
      </c>
      <c r="B162" s="24">
        <f>IF(M162="","",IFERROR(INDEX(SK_C,MATCH(M162,SK_A,0)),""))</f>
        <v/>
      </c>
      <c r="C162" s="25">
        <f>IF(O162="","",IF(O162=0,"D",IF(O162&lt;0,"D"&amp;O162,"D+"&amp;O162)))</f>
        <v/>
      </c>
      <c r="D162" s="13" t="n"/>
      <c r="E162" s="11" t="n"/>
      <c r="F162" s="26" t="n"/>
      <c r="G162" s="13" t="n"/>
      <c r="H162" s="12">
        <f>IF(OR(B162="",O162=""),"",IF(O162&gt;0,IF(P162="Làm việc",WORKDAY(IFERROR(IF(INDEX(SK_D,MATCH(M162,SK_A,0))="",B162,INDEX(SK_D,MATCH(M162,SK_A,0))),B162),O162,HOLI),IFERROR(IF(INDEX(SK_D,MATCH(M162,SK_A,0))="",B162,INDEX(SK_D,MATCH(M162,SK_A,0))),B162)+O162),B162+O162))</f>
        <v/>
      </c>
      <c r="I162" s="13" t="n"/>
      <c r="J162" s="12" t="n"/>
      <c r="K162" s="11" t="n"/>
      <c r="L162" s="27">
        <f>IF(E162="","",IF(I162="Bỏ qua","—",IF(I162="Xong",IF(AND(ISNUMBER(J162),ISNUMBER(H162),J162&gt;H162),"Xong trễ","Xong"),IF(F162="","CHƯA GIAO","")&amp;IF(NOT(ISNUMBER(H162)),"",IF(TODAY()&gt;H162,IF(F162=""," · ","")&amp;"QUÁ HẠN "&amp;(TODAY()-H162)&amp;" ngày",IF(H162-TODAY()&lt;=3,IF(F162=""," · ","")&amp;"Đến hạn "&amp;IF(H162=TODAY(),"hôm nay","trong "&amp;(H162-TODAY())&amp;" ngày"),""))))))</f>
        <v/>
      </c>
      <c r="Q162">
        <f>IF(AND(E162&lt;&gt;"",R162="Có",I162&lt;&gt;"Xong",I162&lt;&gt;"Bỏ qua",ISNUMBER(H162)),H162+ROW()/100000,"")</f>
        <v/>
      </c>
      <c r="R162">
        <f>IF(M162="","",IFERROR(INDEX(SK_L,MATCH(M162,SK_A,0)),""))</f>
        <v/>
      </c>
    </row>
    <row r="163">
      <c r="A163" s="11">
        <f>IF(M163="","",IFERROR(INDEX(SK_B,MATCH(M163,SK_A,0))&amp;"",""))</f>
        <v/>
      </c>
      <c r="B163" s="24">
        <f>IF(M163="","",IFERROR(INDEX(SK_C,MATCH(M163,SK_A,0)),""))</f>
        <v/>
      </c>
      <c r="C163" s="25">
        <f>IF(O163="","",IF(O163=0,"D",IF(O163&lt;0,"D"&amp;O163,"D+"&amp;O163)))</f>
        <v/>
      </c>
      <c r="D163" s="13" t="n"/>
      <c r="E163" s="11" t="n"/>
      <c r="F163" s="26" t="n"/>
      <c r="G163" s="13" t="n"/>
      <c r="H163" s="12">
        <f>IF(OR(B163="",O163=""),"",IF(O163&gt;0,IF(P163="Làm việc",WORKDAY(IFERROR(IF(INDEX(SK_D,MATCH(M163,SK_A,0))="",B163,INDEX(SK_D,MATCH(M163,SK_A,0))),B163),O163,HOLI),IFERROR(IF(INDEX(SK_D,MATCH(M163,SK_A,0))="",B163,INDEX(SK_D,MATCH(M163,SK_A,0))),B163)+O163),B163+O163))</f>
        <v/>
      </c>
      <c r="I163" s="13" t="n"/>
      <c r="J163" s="12" t="n"/>
      <c r="K163" s="11" t="n"/>
      <c r="L163" s="27">
        <f>IF(E163="","",IF(I163="Bỏ qua","—",IF(I163="Xong",IF(AND(ISNUMBER(J163),ISNUMBER(H163),J163&gt;H163),"Xong trễ","Xong"),IF(F163="","CHƯA GIAO","")&amp;IF(NOT(ISNUMBER(H163)),"",IF(TODAY()&gt;H163,IF(F163=""," · ","")&amp;"QUÁ HẠN "&amp;(TODAY()-H163)&amp;" ngày",IF(H163-TODAY()&lt;=3,IF(F163=""," · ","")&amp;"Đến hạn "&amp;IF(H163=TODAY(),"hôm nay","trong "&amp;(H163-TODAY())&amp;" ngày"),""))))))</f>
        <v/>
      </c>
      <c r="Q163">
        <f>IF(AND(E163&lt;&gt;"",R163="Có",I163&lt;&gt;"Xong",I163&lt;&gt;"Bỏ qua",ISNUMBER(H163)),H163+ROW()/100000,"")</f>
        <v/>
      </c>
      <c r="R163">
        <f>IF(M163="","",IFERROR(INDEX(SK_L,MATCH(M163,SK_A,0)),""))</f>
        <v/>
      </c>
    </row>
    <row r="164">
      <c r="A164" s="11">
        <f>IF(M164="","",IFERROR(INDEX(SK_B,MATCH(M164,SK_A,0))&amp;"",""))</f>
        <v/>
      </c>
      <c r="B164" s="24">
        <f>IF(M164="","",IFERROR(INDEX(SK_C,MATCH(M164,SK_A,0)),""))</f>
        <v/>
      </c>
      <c r="C164" s="25">
        <f>IF(O164="","",IF(O164=0,"D",IF(O164&lt;0,"D"&amp;O164,"D+"&amp;O164)))</f>
        <v/>
      </c>
      <c r="D164" s="13" t="n"/>
      <c r="E164" s="11" t="n"/>
      <c r="F164" s="26" t="n"/>
      <c r="G164" s="13" t="n"/>
      <c r="H164" s="12">
        <f>IF(OR(B164="",O164=""),"",IF(O164&gt;0,IF(P164="Làm việc",WORKDAY(IFERROR(IF(INDEX(SK_D,MATCH(M164,SK_A,0))="",B164,INDEX(SK_D,MATCH(M164,SK_A,0))),B164),O164,HOLI),IFERROR(IF(INDEX(SK_D,MATCH(M164,SK_A,0))="",B164,INDEX(SK_D,MATCH(M164,SK_A,0))),B164)+O164),B164+O164))</f>
        <v/>
      </c>
      <c r="I164" s="13" t="n"/>
      <c r="J164" s="12" t="n"/>
      <c r="K164" s="11" t="n"/>
      <c r="L164" s="27">
        <f>IF(E164="","",IF(I164="Bỏ qua","—",IF(I164="Xong",IF(AND(ISNUMBER(J164),ISNUMBER(H164),J164&gt;H164),"Xong trễ","Xong"),IF(F164="","CHƯA GIAO","")&amp;IF(NOT(ISNUMBER(H164)),"",IF(TODAY()&gt;H164,IF(F164=""," · ","")&amp;"QUÁ HẠN "&amp;(TODAY()-H164)&amp;" ngày",IF(H164-TODAY()&lt;=3,IF(F164=""," · ","")&amp;"Đến hạn "&amp;IF(H164=TODAY(),"hôm nay","trong "&amp;(H164-TODAY())&amp;" ngày"),""))))))</f>
        <v/>
      </c>
      <c r="Q164">
        <f>IF(AND(E164&lt;&gt;"",R164="Có",I164&lt;&gt;"Xong",I164&lt;&gt;"Bỏ qua",ISNUMBER(H164)),H164+ROW()/100000,"")</f>
        <v/>
      </c>
      <c r="R164">
        <f>IF(M164="","",IFERROR(INDEX(SK_L,MATCH(M164,SK_A,0)),""))</f>
        <v/>
      </c>
    </row>
    <row r="165">
      <c r="A165" s="11">
        <f>IF(M165="","",IFERROR(INDEX(SK_B,MATCH(M165,SK_A,0))&amp;"",""))</f>
        <v/>
      </c>
      <c r="B165" s="24">
        <f>IF(M165="","",IFERROR(INDEX(SK_C,MATCH(M165,SK_A,0)),""))</f>
        <v/>
      </c>
      <c r="C165" s="25">
        <f>IF(O165="","",IF(O165=0,"D",IF(O165&lt;0,"D"&amp;O165,"D+"&amp;O165)))</f>
        <v/>
      </c>
      <c r="D165" s="13" t="n"/>
      <c r="E165" s="11" t="n"/>
      <c r="F165" s="26" t="n"/>
      <c r="G165" s="13" t="n"/>
      <c r="H165" s="12">
        <f>IF(OR(B165="",O165=""),"",IF(O165&gt;0,IF(P165="Làm việc",WORKDAY(IFERROR(IF(INDEX(SK_D,MATCH(M165,SK_A,0))="",B165,INDEX(SK_D,MATCH(M165,SK_A,0))),B165),O165,HOLI),IFERROR(IF(INDEX(SK_D,MATCH(M165,SK_A,0))="",B165,INDEX(SK_D,MATCH(M165,SK_A,0))),B165)+O165),B165+O165))</f>
        <v/>
      </c>
      <c r="I165" s="13" t="n"/>
      <c r="J165" s="12" t="n"/>
      <c r="K165" s="11" t="n"/>
      <c r="L165" s="27">
        <f>IF(E165="","",IF(I165="Bỏ qua","—",IF(I165="Xong",IF(AND(ISNUMBER(J165),ISNUMBER(H165),J165&gt;H165),"Xong trễ","Xong"),IF(F165="","CHƯA GIAO","")&amp;IF(NOT(ISNUMBER(H165)),"",IF(TODAY()&gt;H165,IF(F165=""," · ","")&amp;"QUÁ HẠN "&amp;(TODAY()-H165)&amp;" ngày",IF(H165-TODAY()&lt;=3,IF(F165=""," · ","")&amp;"Đến hạn "&amp;IF(H165=TODAY(),"hôm nay","trong "&amp;(H165-TODAY())&amp;" ngày"),""))))))</f>
        <v/>
      </c>
      <c r="Q165">
        <f>IF(AND(E165&lt;&gt;"",R165="Có",I165&lt;&gt;"Xong",I165&lt;&gt;"Bỏ qua",ISNUMBER(H165)),H165+ROW()/100000,"")</f>
        <v/>
      </c>
      <c r="R165">
        <f>IF(M165="","",IFERROR(INDEX(SK_L,MATCH(M165,SK_A,0)),""))</f>
        <v/>
      </c>
    </row>
    <row r="166">
      <c r="A166" s="11">
        <f>IF(M166="","",IFERROR(INDEX(SK_B,MATCH(M166,SK_A,0))&amp;"",""))</f>
        <v/>
      </c>
      <c r="B166" s="24">
        <f>IF(M166="","",IFERROR(INDEX(SK_C,MATCH(M166,SK_A,0)),""))</f>
        <v/>
      </c>
      <c r="C166" s="25">
        <f>IF(O166="","",IF(O166=0,"D",IF(O166&lt;0,"D"&amp;O166,"D+"&amp;O166)))</f>
        <v/>
      </c>
      <c r="D166" s="13" t="n"/>
      <c r="E166" s="11" t="n"/>
      <c r="F166" s="26" t="n"/>
      <c r="G166" s="13" t="n"/>
      <c r="H166" s="12">
        <f>IF(OR(B166="",O166=""),"",IF(O166&gt;0,IF(P166="Làm việc",WORKDAY(IFERROR(IF(INDEX(SK_D,MATCH(M166,SK_A,0))="",B166,INDEX(SK_D,MATCH(M166,SK_A,0))),B166),O166,HOLI),IFERROR(IF(INDEX(SK_D,MATCH(M166,SK_A,0))="",B166,INDEX(SK_D,MATCH(M166,SK_A,0))),B166)+O166),B166+O166))</f>
        <v/>
      </c>
      <c r="I166" s="13" t="n"/>
      <c r="J166" s="12" t="n"/>
      <c r="K166" s="11" t="n"/>
      <c r="L166" s="27">
        <f>IF(E166="","",IF(I166="Bỏ qua","—",IF(I166="Xong",IF(AND(ISNUMBER(J166),ISNUMBER(H166),J166&gt;H166),"Xong trễ","Xong"),IF(F166="","CHƯA GIAO","")&amp;IF(NOT(ISNUMBER(H166)),"",IF(TODAY()&gt;H166,IF(F166=""," · ","")&amp;"QUÁ HẠN "&amp;(TODAY()-H166)&amp;" ngày",IF(H166-TODAY()&lt;=3,IF(F166=""," · ","")&amp;"Đến hạn "&amp;IF(H166=TODAY(),"hôm nay","trong "&amp;(H166-TODAY())&amp;" ngày"),""))))))</f>
        <v/>
      </c>
      <c r="Q166">
        <f>IF(AND(E166&lt;&gt;"",R166="Có",I166&lt;&gt;"Xong",I166&lt;&gt;"Bỏ qua",ISNUMBER(H166)),H166+ROW()/100000,"")</f>
        <v/>
      </c>
      <c r="R166">
        <f>IF(M166="","",IFERROR(INDEX(SK_L,MATCH(M166,SK_A,0)),""))</f>
        <v/>
      </c>
    </row>
    <row r="167">
      <c r="A167" s="11">
        <f>IF(M167="","",IFERROR(INDEX(SK_B,MATCH(M167,SK_A,0))&amp;"",""))</f>
        <v/>
      </c>
      <c r="B167" s="24">
        <f>IF(M167="","",IFERROR(INDEX(SK_C,MATCH(M167,SK_A,0)),""))</f>
        <v/>
      </c>
      <c r="C167" s="25">
        <f>IF(O167="","",IF(O167=0,"D",IF(O167&lt;0,"D"&amp;O167,"D+"&amp;O167)))</f>
        <v/>
      </c>
      <c r="D167" s="13" t="n"/>
      <c r="E167" s="11" t="n"/>
      <c r="F167" s="26" t="n"/>
      <c r="G167" s="13" t="n"/>
      <c r="H167" s="12">
        <f>IF(OR(B167="",O167=""),"",IF(O167&gt;0,IF(P167="Làm việc",WORKDAY(IFERROR(IF(INDEX(SK_D,MATCH(M167,SK_A,0))="",B167,INDEX(SK_D,MATCH(M167,SK_A,0))),B167),O167,HOLI),IFERROR(IF(INDEX(SK_D,MATCH(M167,SK_A,0))="",B167,INDEX(SK_D,MATCH(M167,SK_A,0))),B167)+O167),B167+O167))</f>
        <v/>
      </c>
      <c r="I167" s="13" t="n"/>
      <c r="J167" s="12" t="n"/>
      <c r="K167" s="11" t="n"/>
      <c r="L167" s="27">
        <f>IF(E167="","",IF(I167="Bỏ qua","—",IF(I167="Xong",IF(AND(ISNUMBER(J167),ISNUMBER(H167),J167&gt;H167),"Xong trễ","Xong"),IF(F167="","CHƯA GIAO","")&amp;IF(NOT(ISNUMBER(H167)),"",IF(TODAY()&gt;H167,IF(F167=""," · ","")&amp;"QUÁ HẠN "&amp;(TODAY()-H167)&amp;" ngày",IF(H167-TODAY()&lt;=3,IF(F167=""," · ","")&amp;"Đến hạn "&amp;IF(H167=TODAY(),"hôm nay","trong "&amp;(H167-TODAY())&amp;" ngày"),""))))))</f>
        <v/>
      </c>
      <c r="Q167">
        <f>IF(AND(E167&lt;&gt;"",R167="Có",I167&lt;&gt;"Xong",I167&lt;&gt;"Bỏ qua",ISNUMBER(H167)),H167+ROW()/100000,"")</f>
        <v/>
      </c>
      <c r="R167">
        <f>IF(M167="","",IFERROR(INDEX(SK_L,MATCH(M167,SK_A,0)),""))</f>
        <v/>
      </c>
    </row>
    <row r="168">
      <c r="A168" s="11">
        <f>IF(M168="","",IFERROR(INDEX(SK_B,MATCH(M168,SK_A,0))&amp;"",""))</f>
        <v/>
      </c>
      <c r="B168" s="24">
        <f>IF(M168="","",IFERROR(INDEX(SK_C,MATCH(M168,SK_A,0)),""))</f>
        <v/>
      </c>
      <c r="C168" s="25">
        <f>IF(O168="","",IF(O168=0,"D",IF(O168&lt;0,"D"&amp;O168,"D+"&amp;O168)))</f>
        <v/>
      </c>
      <c r="D168" s="13" t="n"/>
      <c r="E168" s="11" t="n"/>
      <c r="F168" s="26" t="n"/>
      <c r="G168" s="13" t="n"/>
      <c r="H168" s="12">
        <f>IF(OR(B168="",O168=""),"",IF(O168&gt;0,IF(P168="Làm việc",WORKDAY(IFERROR(IF(INDEX(SK_D,MATCH(M168,SK_A,0))="",B168,INDEX(SK_D,MATCH(M168,SK_A,0))),B168),O168,HOLI),IFERROR(IF(INDEX(SK_D,MATCH(M168,SK_A,0))="",B168,INDEX(SK_D,MATCH(M168,SK_A,0))),B168)+O168),B168+O168))</f>
        <v/>
      </c>
      <c r="I168" s="13" t="n"/>
      <c r="J168" s="12" t="n"/>
      <c r="K168" s="11" t="n"/>
      <c r="L168" s="27">
        <f>IF(E168="","",IF(I168="Bỏ qua","—",IF(I168="Xong",IF(AND(ISNUMBER(J168),ISNUMBER(H168),J168&gt;H168),"Xong trễ","Xong"),IF(F168="","CHƯA GIAO","")&amp;IF(NOT(ISNUMBER(H168)),"",IF(TODAY()&gt;H168,IF(F168=""," · ","")&amp;"QUÁ HẠN "&amp;(TODAY()-H168)&amp;" ngày",IF(H168-TODAY()&lt;=3,IF(F168=""," · ","")&amp;"Đến hạn "&amp;IF(H168=TODAY(),"hôm nay","trong "&amp;(H168-TODAY())&amp;" ngày"),""))))))</f>
        <v/>
      </c>
      <c r="Q168">
        <f>IF(AND(E168&lt;&gt;"",R168="Có",I168&lt;&gt;"Xong",I168&lt;&gt;"Bỏ qua",ISNUMBER(H168)),H168+ROW()/100000,"")</f>
        <v/>
      </c>
      <c r="R168">
        <f>IF(M168="","",IFERROR(INDEX(SK_L,MATCH(M168,SK_A,0)),""))</f>
        <v/>
      </c>
    </row>
    <row r="169">
      <c r="A169" s="11">
        <f>IF(M169="","",IFERROR(INDEX(SK_B,MATCH(M169,SK_A,0))&amp;"",""))</f>
        <v/>
      </c>
      <c r="B169" s="24">
        <f>IF(M169="","",IFERROR(INDEX(SK_C,MATCH(M169,SK_A,0)),""))</f>
        <v/>
      </c>
      <c r="C169" s="25">
        <f>IF(O169="","",IF(O169=0,"D",IF(O169&lt;0,"D"&amp;O169,"D+"&amp;O169)))</f>
        <v/>
      </c>
      <c r="D169" s="13" t="n"/>
      <c r="E169" s="11" t="n"/>
      <c r="F169" s="26" t="n"/>
      <c r="G169" s="13" t="n"/>
      <c r="H169" s="12">
        <f>IF(OR(B169="",O169=""),"",IF(O169&gt;0,IF(P169="Làm việc",WORKDAY(IFERROR(IF(INDEX(SK_D,MATCH(M169,SK_A,0))="",B169,INDEX(SK_D,MATCH(M169,SK_A,0))),B169),O169,HOLI),IFERROR(IF(INDEX(SK_D,MATCH(M169,SK_A,0))="",B169,INDEX(SK_D,MATCH(M169,SK_A,0))),B169)+O169),B169+O169))</f>
        <v/>
      </c>
      <c r="I169" s="13" t="n"/>
      <c r="J169" s="12" t="n"/>
      <c r="K169" s="11" t="n"/>
      <c r="L169" s="27">
        <f>IF(E169="","",IF(I169="Bỏ qua","—",IF(I169="Xong",IF(AND(ISNUMBER(J169),ISNUMBER(H169),J169&gt;H169),"Xong trễ","Xong"),IF(F169="","CHƯA GIAO","")&amp;IF(NOT(ISNUMBER(H169)),"",IF(TODAY()&gt;H169,IF(F169=""," · ","")&amp;"QUÁ HẠN "&amp;(TODAY()-H169)&amp;" ngày",IF(H169-TODAY()&lt;=3,IF(F169=""," · ","")&amp;"Đến hạn "&amp;IF(H169=TODAY(),"hôm nay","trong "&amp;(H169-TODAY())&amp;" ngày"),""))))))</f>
        <v/>
      </c>
      <c r="Q169">
        <f>IF(AND(E169&lt;&gt;"",R169="Có",I169&lt;&gt;"Xong",I169&lt;&gt;"Bỏ qua",ISNUMBER(H169)),H169+ROW()/100000,"")</f>
        <v/>
      </c>
      <c r="R169">
        <f>IF(M169="","",IFERROR(INDEX(SK_L,MATCH(M169,SK_A,0)),""))</f>
        <v/>
      </c>
    </row>
    <row r="170">
      <c r="A170" s="11">
        <f>IF(M170="","",IFERROR(INDEX(SK_B,MATCH(M170,SK_A,0))&amp;"",""))</f>
        <v/>
      </c>
      <c r="B170" s="24">
        <f>IF(M170="","",IFERROR(INDEX(SK_C,MATCH(M170,SK_A,0)),""))</f>
        <v/>
      </c>
      <c r="C170" s="25">
        <f>IF(O170="","",IF(O170=0,"D",IF(O170&lt;0,"D"&amp;O170,"D+"&amp;O170)))</f>
        <v/>
      </c>
      <c r="D170" s="13" t="n"/>
      <c r="E170" s="11" t="n"/>
      <c r="F170" s="26" t="n"/>
      <c r="G170" s="13" t="n"/>
      <c r="H170" s="12">
        <f>IF(OR(B170="",O170=""),"",IF(O170&gt;0,IF(P170="Làm việc",WORKDAY(IFERROR(IF(INDEX(SK_D,MATCH(M170,SK_A,0))="",B170,INDEX(SK_D,MATCH(M170,SK_A,0))),B170),O170,HOLI),IFERROR(IF(INDEX(SK_D,MATCH(M170,SK_A,0))="",B170,INDEX(SK_D,MATCH(M170,SK_A,0))),B170)+O170),B170+O170))</f>
        <v/>
      </c>
      <c r="I170" s="13" t="n"/>
      <c r="J170" s="12" t="n"/>
      <c r="K170" s="11" t="n"/>
      <c r="L170" s="27">
        <f>IF(E170="","",IF(I170="Bỏ qua","—",IF(I170="Xong",IF(AND(ISNUMBER(J170),ISNUMBER(H170),J170&gt;H170),"Xong trễ","Xong"),IF(F170="","CHƯA GIAO","")&amp;IF(NOT(ISNUMBER(H170)),"",IF(TODAY()&gt;H170,IF(F170=""," · ","")&amp;"QUÁ HẠN "&amp;(TODAY()-H170)&amp;" ngày",IF(H170-TODAY()&lt;=3,IF(F170=""," · ","")&amp;"Đến hạn "&amp;IF(H170=TODAY(),"hôm nay","trong "&amp;(H170-TODAY())&amp;" ngày"),""))))))</f>
        <v/>
      </c>
      <c r="Q170">
        <f>IF(AND(E170&lt;&gt;"",R170="Có",I170&lt;&gt;"Xong",I170&lt;&gt;"Bỏ qua",ISNUMBER(H170)),H170+ROW()/100000,"")</f>
        <v/>
      </c>
      <c r="R170">
        <f>IF(M170="","",IFERROR(INDEX(SK_L,MATCH(M170,SK_A,0)),""))</f>
        <v/>
      </c>
    </row>
    <row r="171">
      <c r="A171" s="11">
        <f>IF(M171="","",IFERROR(INDEX(SK_B,MATCH(M171,SK_A,0))&amp;"",""))</f>
        <v/>
      </c>
      <c r="B171" s="24">
        <f>IF(M171="","",IFERROR(INDEX(SK_C,MATCH(M171,SK_A,0)),""))</f>
        <v/>
      </c>
      <c r="C171" s="25">
        <f>IF(O171="","",IF(O171=0,"D",IF(O171&lt;0,"D"&amp;O171,"D+"&amp;O171)))</f>
        <v/>
      </c>
      <c r="D171" s="13" t="n"/>
      <c r="E171" s="11" t="n"/>
      <c r="F171" s="26" t="n"/>
      <c r="G171" s="13" t="n"/>
      <c r="H171" s="12">
        <f>IF(OR(B171="",O171=""),"",IF(O171&gt;0,IF(P171="Làm việc",WORKDAY(IFERROR(IF(INDEX(SK_D,MATCH(M171,SK_A,0))="",B171,INDEX(SK_D,MATCH(M171,SK_A,0))),B171),O171,HOLI),IFERROR(IF(INDEX(SK_D,MATCH(M171,SK_A,0))="",B171,INDEX(SK_D,MATCH(M171,SK_A,0))),B171)+O171),B171+O171))</f>
        <v/>
      </c>
      <c r="I171" s="13" t="n"/>
      <c r="J171" s="12" t="n"/>
      <c r="K171" s="11" t="n"/>
      <c r="L171" s="27">
        <f>IF(E171="","",IF(I171="Bỏ qua","—",IF(I171="Xong",IF(AND(ISNUMBER(J171),ISNUMBER(H171),J171&gt;H171),"Xong trễ","Xong"),IF(F171="","CHƯA GIAO","")&amp;IF(NOT(ISNUMBER(H171)),"",IF(TODAY()&gt;H171,IF(F171=""," · ","")&amp;"QUÁ HẠN "&amp;(TODAY()-H171)&amp;" ngày",IF(H171-TODAY()&lt;=3,IF(F171=""," · ","")&amp;"Đến hạn "&amp;IF(H171=TODAY(),"hôm nay","trong "&amp;(H171-TODAY())&amp;" ngày"),""))))))</f>
        <v/>
      </c>
      <c r="Q171">
        <f>IF(AND(E171&lt;&gt;"",R171="Có",I171&lt;&gt;"Xong",I171&lt;&gt;"Bỏ qua",ISNUMBER(H171)),H171+ROW()/100000,"")</f>
        <v/>
      </c>
      <c r="R171">
        <f>IF(M171="","",IFERROR(INDEX(SK_L,MATCH(M171,SK_A,0)),""))</f>
        <v/>
      </c>
    </row>
    <row r="172">
      <c r="A172" s="11">
        <f>IF(M172="","",IFERROR(INDEX(SK_B,MATCH(M172,SK_A,0))&amp;"",""))</f>
        <v/>
      </c>
      <c r="B172" s="24">
        <f>IF(M172="","",IFERROR(INDEX(SK_C,MATCH(M172,SK_A,0)),""))</f>
        <v/>
      </c>
      <c r="C172" s="25">
        <f>IF(O172="","",IF(O172=0,"D",IF(O172&lt;0,"D"&amp;O172,"D+"&amp;O172)))</f>
        <v/>
      </c>
      <c r="D172" s="13" t="n"/>
      <c r="E172" s="11" t="n"/>
      <c r="F172" s="26" t="n"/>
      <c r="G172" s="13" t="n"/>
      <c r="H172" s="12">
        <f>IF(OR(B172="",O172=""),"",IF(O172&gt;0,IF(P172="Làm việc",WORKDAY(IFERROR(IF(INDEX(SK_D,MATCH(M172,SK_A,0))="",B172,INDEX(SK_D,MATCH(M172,SK_A,0))),B172),O172,HOLI),IFERROR(IF(INDEX(SK_D,MATCH(M172,SK_A,0))="",B172,INDEX(SK_D,MATCH(M172,SK_A,0))),B172)+O172),B172+O172))</f>
        <v/>
      </c>
      <c r="I172" s="13" t="n"/>
      <c r="J172" s="12" t="n"/>
      <c r="K172" s="11" t="n"/>
      <c r="L172" s="27">
        <f>IF(E172="","",IF(I172="Bỏ qua","—",IF(I172="Xong",IF(AND(ISNUMBER(J172),ISNUMBER(H172),J172&gt;H172),"Xong trễ","Xong"),IF(F172="","CHƯA GIAO","")&amp;IF(NOT(ISNUMBER(H172)),"",IF(TODAY()&gt;H172,IF(F172=""," · ","")&amp;"QUÁ HẠN "&amp;(TODAY()-H172)&amp;" ngày",IF(H172-TODAY()&lt;=3,IF(F172=""," · ","")&amp;"Đến hạn "&amp;IF(H172=TODAY(),"hôm nay","trong "&amp;(H172-TODAY())&amp;" ngày"),""))))))</f>
        <v/>
      </c>
      <c r="Q172">
        <f>IF(AND(E172&lt;&gt;"",R172="Có",I172&lt;&gt;"Xong",I172&lt;&gt;"Bỏ qua",ISNUMBER(H172)),H172+ROW()/100000,"")</f>
        <v/>
      </c>
      <c r="R172">
        <f>IF(M172="","",IFERROR(INDEX(SK_L,MATCH(M172,SK_A,0)),""))</f>
        <v/>
      </c>
    </row>
    <row r="173">
      <c r="A173" s="11">
        <f>IF(M173="","",IFERROR(INDEX(SK_B,MATCH(M173,SK_A,0))&amp;"",""))</f>
        <v/>
      </c>
      <c r="B173" s="24">
        <f>IF(M173="","",IFERROR(INDEX(SK_C,MATCH(M173,SK_A,0)),""))</f>
        <v/>
      </c>
      <c r="C173" s="25">
        <f>IF(O173="","",IF(O173=0,"D",IF(O173&lt;0,"D"&amp;O173,"D+"&amp;O173)))</f>
        <v/>
      </c>
      <c r="D173" s="13" t="n"/>
      <c r="E173" s="11" t="n"/>
      <c r="F173" s="26" t="n"/>
      <c r="G173" s="13" t="n"/>
      <c r="H173" s="12">
        <f>IF(OR(B173="",O173=""),"",IF(O173&gt;0,IF(P173="Làm việc",WORKDAY(IFERROR(IF(INDEX(SK_D,MATCH(M173,SK_A,0))="",B173,INDEX(SK_D,MATCH(M173,SK_A,0))),B173),O173,HOLI),IFERROR(IF(INDEX(SK_D,MATCH(M173,SK_A,0))="",B173,INDEX(SK_D,MATCH(M173,SK_A,0))),B173)+O173),B173+O173))</f>
        <v/>
      </c>
      <c r="I173" s="13" t="n"/>
      <c r="J173" s="12" t="n"/>
      <c r="K173" s="11" t="n"/>
      <c r="L173" s="27">
        <f>IF(E173="","",IF(I173="Bỏ qua","—",IF(I173="Xong",IF(AND(ISNUMBER(J173),ISNUMBER(H173),J173&gt;H173),"Xong trễ","Xong"),IF(F173="","CHƯA GIAO","")&amp;IF(NOT(ISNUMBER(H173)),"",IF(TODAY()&gt;H173,IF(F173=""," · ","")&amp;"QUÁ HẠN "&amp;(TODAY()-H173)&amp;" ngày",IF(H173-TODAY()&lt;=3,IF(F173=""," · ","")&amp;"Đến hạn "&amp;IF(H173=TODAY(),"hôm nay","trong "&amp;(H173-TODAY())&amp;" ngày"),""))))))</f>
        <v/>
      </c>
      <c r="Q173">
        <f>IF(AND(E173&lt;&gt;"",R173="Có",I173&lt;&gt;"Xong",I173&lt;&gt;"Bỏ qua",ISNUMBER(H173)),H173+ROW()/100000,"")</f>
        <v/>
      </c>
      <c r="R173">
        <f>IF(M173="","",IFERROR(INDEX(SK_L,MATCH(M173,SK_A,0)),""))</f>
        <v/>
      </c>
    </row>
    <row r="174">
      <c r="A174" s="11">
        <f>IF(M174="","",IFERROR(INDEX(SK_B,MATCH(M174,SK_A,0))&amp;"",""))</f>
        <v/>
      </c>
      <c r="B174" s="24">
        <f>IF(M174="","",IFERROR(INDEX(SK_C,MATCH(M174,SK_A,0)),""))</f>
        <v/>
      </c>
      <c r="C174" s="25">
        <f>IF(O174="","",IF(O174=0,"D",IF(O174&lt;0,"D"&amp;O174,"D+"&amp;O174)))</f>
        <v/>
      </c>
      <c r="D174" s="13" t="n"/>
      <c r="E174" s="11" t="n"/>
      <c r="F174" s="26" t="n"/>
      <c r="G174" s="13" t="n"/>
      <c r="H174" s="12">
        <f>IF(OR(B174="",O174=""),"",IF(O174&gt;0,IF(P174="Làm việc",WORKDAY(IFERROR(IF(INDEX(SK_D,MATCH(M174,SK_A,0))="",B174,INDEX(SK_D,MATCH(M174,SK_A,0))),B174),O174,HOLI),IFERROR(IF(INDEX(SK_D,MATCH(M174,SK_A,0))="",B174,INDEX(SK_D,MATCH(M174,SK_A,0))),B174)+O174),B174+O174))</f>
        <v/>
      </c>
      <c r="I174" s="13" t="n"/>
      <c r="J174" s="12" t="n"/>
      <c r="K174" s="11" t="n"/>
      <c r="L174" s="27">
        <f>IF(E174="","",IF(I174="Bỏ qua","—",IF(I174="Xong",IF(AND(ISNUMBER(J174),ISNUMBER(H174),J174&gt;H174),"Xong trễ","Xong"),IF(F174="","CHƯA GIAO","")&amp;IF(NOT(ISNUMBER(H174)),"",IF(TODAY()&gt;H174,IF(F174=""," · ","")&amp;"QUÁ HẠN "&amp;(TODAY()-H174)&amp;" ngày",IF(H174-TODAY()&lt;=3,IF(F174=""," · ","")&amp;"Đến hạn "&amp;IF(H174=TODAY(),"hôm nay","trong "&amp;(H174-TODAY())&amp;" ngày"),""))))))</f>
        <v/>
      </c>
      <c r="Q174">
        <f>IF(AND(E174&lt;&gt;"",R174="Có",I174&lt;&gt;"Xong",I174&lt;&gt;"Bỏ qua",ISNUMBER(H174)),H174+ROW()/100000,"")</f>
        <v/>
      </c>
      <c r="R174">
        <f>IF(M174="","",IFERROR(INDEX(SK_L,MATCH(M174,SK_A,0)),""))</f>
        <v/>
      </c>
    </row>
    <row r="175">
      <c r="A175" s="11">
        <f>IF(M175="","",IFERROR(INDEX(SK_B,MATCH(M175,SK_A,0))&amp;"",""))</f>
        <v/>
      </c>
      <c r="B175" s="24">
        <f>IF(M175="","",IFERROR(INDEX(SK_C,MATCH(M175,SK_A,0)),""))</f>
        <v/>
      </c>
      <c r="C175" s="25">
        <f>IF(O175="","",IF(O175=0,"D",IF(O175&lt;0,"D"&amp;O175,"D+"&amp;O175)))</f>
        <v/>
      </c>
      <c r="D175" s="13" t="n"/>
      <c r="E175" s="11" t="n"/>
      <c r="F175" s="26" t="n"/>
      <c r="G175" s="13" t="n"/>
      <c r="H175" s="12">
        <f>IF(OR(B175="",O175=""),"",IF(O175&gt;0,IF(P175="Làm việc",WORKDAY(IFERROR(IF(INDEX(SK_D,MATCH(M175,SK_A,0))="",B175,INDEX(SK_D,MATCH(M175,SK_A,0))),B175),O175,HOLI),IFERROR(IF(INDEX(SK_D,MATCH(M175,SK_A,0))="",B175,INDEX(SK_D,MATCH(M175,SK_A,0))),B175)+O175),B175+O175))</f>
        <v/>
      </c>
      <c r="I175" s="13" t="n"/>
      <c r="J175" s="12" t="n"/>
      <c r="K175" s="11" t="n"/>
      <c r="L175" s="27">
        <f>IF(E175="","",IF(I175="Bỏ qua","—",IF(I175="Xong",IF(AND(ISNUMBER(J175),ISNUMBER(H175),J175&gt;H175),"Xong trễ","Xong"),IF(F175="","CHƯA GIAO","")&amp;IF(NOT(ISNUMBER(H175)),"",IF(TODAY()&gt;H175,IF(F175=""," · ","")&amp;"QUÁ HẠN "&amp;(TODAY()-H175)&amp;" ngày",IF(H175-TODAY()&lt;=3,IF(F175=""," · ","")&amp;"Đến hạn "&amp;IF(H175=TODAY(),"hôm nay","trong "&amp;(H175-TODAY())&amp;" ngày"),""))))))</f>
        <v/>
      </c>
      <c r="Q175">
        <f>IF(AND(E175&lt;&gt;"",R175="Có",I175&lt;&gt;"Xong",I175&lt;&gt;"Bỏ qua",ISNUMBER(H175)),H175+ROW()/100000,"")</f>
        <v/>
      </c>
      <c r="R175">
        <f>IF(M175="","",IFERROR(INDEX(SK_L,MATCH(M175,SK_A,0)),""))</f>
        <v/>
      </c>
    </row>
    <row r="176">
      <c r="A176" s="11">
        <f>IF(M176="","",IFERROR(INDEX(SK_B,MATCH(M176,SK_A,0))&amp;"",""))</f>
        <v/>
      </c>
      <c r="B176" s="24">
        <f>IF(M176="","",IFERROR(INDEX(SK_C,MATCH(M176,SK_A,0)),""))</f>
        <v/>
      </c>
      <c r="C176" s="25">
        <f>IF(O176="","",IF(O176=0,"D",IF(O176&lt;0,"D"&amp;O176,"D+"&amp;O176)))</f>
        <v/>
      </c>
      <c r="D176" s="13" t="n"/>
      <c r="E176" s="11" t="n"/>
      <c r="F176" s="26" t="n"/>
      <c r="G176" s="13" t="n"/>
      <c r="H176" s="12">
        <f>IF(OR(B176="",O176=""),"",IF(O176&gt;0,IF(P176="Làm việc",WORKDAY(IFERROR(IF(INDEX(SK_D,MATCH(M176,SK_A,0))="",B176,INDEX(SK_D,MATCH(M176,SK_A,0))),B176),O176,HOLI),IFERROR(IF(INDEX(SK_D,MATCH(M176,SK_A,0))="",B176,INDEX(SK_D,MATCH(M176,SK_A,0))),B176)+O176),B176+O176))</f>
        <v/>
      </c>
      <c r="I176" s="13" t="n"/>
      <c r="J176" s="12" t="n"/>
      <c r="K176" s="11" t="n"/>
      <c r="L176" s="27">
        <f>IF(E176="","",IF(I176="Bỏ qua","—",IF(I176="Xong",IF(AND(ISNUMBER(J176),ISNUMBER(H176),J176&gt;H176),"Xong trễ","Xong"),IF(F176="","CHƯA GIAO","")&amp;IF(NOT(ISNUMBER(H176)),"",IF(TODAY()&gt;H176,IF(F176=""," · ","")&amp;"QUÁ HẠN "&amp;(TODAY()-H176)&amp;" ngày",IF(H176-TODAY()&lt;=3,IF(F176=""," · ","")&amp;"Đến hạn "&amp;IF(H176=TODAY(),"hôm nay","trong "&amp;(H176-TODAY())&amp;" ngày"),""))))))</f>
        <v/>
      </c>
      <c r="Q176">
        <f>IF(AND(E176&lt;&gt;"",R176="Có",I176&lt;&gt;"Xong",I176&lt;&gt;"Bỏ qua",ISNUMBER(H176)),H176+ROW()/100000,"")</f>
        <v/>
      </c>
      <c r="R176">
        <f>IF(M176="","",IFERROR(INDEX(SK_L,MATCH(M176,SK_A,0)),""))</f>
        <v/>
      </c>
    </row>
    <row r="177">
      <c r="A177" s="11">
        <f>IF(M177="","",IFERROR(INDEX(SK_B,MATCH(M177,SK_A,0))&amp;"",""))</f>
        <v/>
      </c>
      <c r="B177" s="24">
        <f>IF(M177="","",IFERROR(INDEX(SK_C,MATCH(M177,SK_A,0)),""))</f>
        <v/>
      </c>
      <c r="C177" s="25">
        <f>IF(O177="","",IF(O177=0,"D",IF(O177&lt;0,"D"&amp;O177,"D+"&amp;O177)))</f>
        <v/>
      </c>
      <c r="D177" s="13" t="n"/>
      <c r="E177" s="11" t="n"/>
      <c r="F177" s="26" t="n"/>
      <c r="G177" s="13" t="n"/>
      <c r="H177" s="12">
        <f>IF(OR(B177="",O177=""),"",IF(O177&gt;0,IF(P177="Làm việc",WORKDAY(IFERROR(IF(INDEX(SK_D,MATCH(M177,SK_A,0))="",B177,INDEX(SK_D,MATCH(M177,SK_A,0))),B177),O177,HOLI),IFERROR(IF(INDEX(SK_D,MATCH(M177,SK_A,0))="",B177,INDEX(SK_D,MATCH(M177,SK_A,0))),B177)+O177),B177+O177))</f>
        <v/>
      </c>
      <c r="I177" s="13" t="n"/>
      <c r="J177" s="12" t="n"/>
      <c r="K177" s="11" t="n"/>
      <c r="L177" s="27">
        <f>IF(E177="","",IF(I177="Bỏ qua","—",IF(I177="Xong",IF(AND(ISNUMBER(J177),ISNUMBER(H177),J177&gt;H177),"Xong trễ","Xong"),IF(F177="","CHƯA GIAO","")&amp;IF(NOT(ISNUMBER(H177)),"",IF(TODAY()&gt;H177,IF(F177=""," · ","")&amp;"QUÁ HẠN "&amp;(TODAY()-H177)&amp;" ngày",IF(H177-TODAY()&lt;=3,IF(F177=""," · ","")&amp;"Đến hạn "&amp;IF(H177=TODAY(),"hôm nay","trong "&amp;(H177-TODAY())&amp;" ngày"),""))))))</f>
        <v/>
      </c>
      <c r="Q177">
        <f>IF(AND(E177&lt;&gt;"",R177="Có",I177&lt;&gt;"Xong",I177&lt;&gt;"Bỏ qua",ISNUMBER(H177)),H177+ROW()/100000,"")</f>
        <v/>
      </c>
      <c r="R177">
        <f>IF(M177="","",IFERROR(INDEX(SK_L,MATCH(M177,SK_A,0)),""))</f>
        <v/>
      </c>
    </row>
    <row r="178">
      <c r="A178" s="11">
        <f>IF(M178="","",IFERROR(INDEX(SK_B,MATCH(M178,SK_A,0))&amp;"",""))</f>
        <v/>
      </c>
      <c r="B178" s="24">
        <f>IF(M178="","",IFERROR(INDEX(SK_C,MATCH(M178,SK_A,0)),""))</f>
        <v/>
      </c>
      <c r="C178" s="25">
        <f>IF(O178="","",IF(O178=0,"D",IF(O178&lt;0,"D"&amp;O178,"D+"&amp;O178)))</f>
        <v/>
      </c>
      <c r="D178" s="13" t="n"/>
      <c r="E178" s="11" t="n"/>
      <c r="F178" s="26" t="n"/>
      <c r="G178" s="13" t="n"/>
      <c r="H178" s="12">
        <f>IF(OR(B178="",O178=""),"",IF(O178&gt;0,IF(P178="Làm việc",WORKDAY(IFERROR(IF(INDEX(SK_D,MATCH(M178,SK_A,0))="",B178,INDEX(SK_D,MATCH(M178,SK_A,0))),B178),O178,HOLI),IFERROR(IF(INDEX(SK_D,MATCH(M178,SK_A,0))="",B178,INDEX(SK_D,MATCH(M178,SK_A,0))),B178)+O178),B178+O178))</f>
        <v/>
      </c>
      <c r="I178" s="13" t="n"/>
      <c r="J178" s="12" t="n"/>
      <c r="K178" s="11" t="n"/>
      <c r="L178" s="27">
        <f>IF(E178="","",IF(I178="Bỏ qua","—",IF(I178="Xong",IF(AND(ISNUMBER(J178),ISNUMBER(H178),J178&gt;H178),"Xong trễ","Xong"),IF(F178="","CHƯA GIAO","")&amp;IF(NOT(ISNUMBER(H178)),"",IF(TODAY()&gt;H178,IF(F178=""," · ","")&amp;"QUÁ HẠN "&amp;(TODAY()-H178)&amp;" ngày",IF(H178-TODAY()&lt;=3,IF(F178=""," · ","")&amp;"Đến hạn "&amp;IF(H178=TODAY(),"hôm nay","trong "&amp;(H178-TODAY())&amp;" ngày"),""))))))</f>
        <v/>
      </c>
      <c r="Q178">
        <f>IF(AND(E178&lt;&gt;"",R178="Có",I178&lt;&gt;"Xong",I178&lt;&gt;"Bỏ qua",ISNUMBER(H178)),H178+ROW()/100000,"")</f>
        <v/>
      </c>
      <c r="R178">
        <f>IF(M178="","",IFERROR(INDEX(SK_L,MATCH(M178,SK_A,0)),""))</f>
        <v/>
      </c>
    </row>
    <row r="179">
      <c r="A179" s="11">
        <f>IF(M179="","",IFERROR(INDEX(SK_B,MATCH(M179,SK_A,0))&amp;"",""))</f>
        <v/>
      </c>
      <c r="B179" s="24">
        <f>IF(M179="","",IFERROR(INDEX(SK_C,MATCH(M179,SK_A,0)),""))</f>
        <v/>
      </c>
      <c r="C179" s="25">
        <f>IF(O179="","",IF(O179=0,"D",IF(O179&lt;0,"D"&amp;O179,"D+"&amp;O179)))</f>
        <v/>
      </c>
      <c r="D179" s="13" t="n"/>
      <c r="E179" s="11" t="n"/>
      <c r="F179" s="26" t="n"/>
      <c r="G179" s="13" t="n"/>
      <c r="H179" s="12">
        <f>IF(OR(B179="",O179=""),"",IF(O179&gt;0,IF(P179="Làm việc",WORKDAY(IFERROR(IF(INDEX(SK_D,MATCH(M179,SK_A,0))="",B179,INDEX(SK_D,MATCH(M179,SK_A,0))),B179),O179,HOLI),IFERROR(IF(INDEX(SK_D,MATCH(M179,SK_A,0))="",B179,INDEX(SK_D,MATCH(M179,SK_A,0))),B179)+O179),B179+O179))</f>
        <v/>
      </c>
      <c r="I179" s="13" t="n"/>
      <c r="J179" s="12" t="n"/>
      <c r="K179" s="11" t="n"/>
      <c r="L179" s="27">
        <f>IF(E179="","",IF(I179="Bỏ qua","—",IF(I179="Xong",IF(AND(ISNUMBER(J179),ISNUMBER(H179),J179&gt;H179),"Xong trễ","Xong"),IF(F179="","CHƯA GIAO","")&amp;IF(NOT(ISNUMBER(H179)),"",IF(TODAY()&gt;H179,IF(F179=""," · ","")&amp;"QUÁ HẠN "&amp;(TODAY()-H179)&amp;" ngày",IF(H179-TODAY()&lt;=3,IF(F179=""," · ","")&amp;"Đến hạn "&amp;IF(H179=TODAY(),"hôm nay","trong "&amp;(H179-TODAY())&amp;" ngày"),""))))))</f>
        <v/>
      </c>
      <c r="Q179">
        <f>IF(AND(E179&lt;&gt;"",R179="Có",I179&lt;&gt;"Xong",I179&lt;&gt;"Bỏ qua",ISNUMBER(H179)),H179+ROW()/100000,"")</f>
        <v/>
      </c>
      <c r="R179">
        <f>IF(M179="","",IFERROR(INDEX(SK_L,MATCH(M179,SK_A,0)),""))</f>
        <v/>
      </c>
    </row>
    <row r="180">
      <c r="A180" s="11">
        <f>IF(M180="","",IFERROR(INDEX(SK_B,MATCH(M180,SK_A,0))&amp;"",""))</f>
        <v/>
      </c>
      <c r="B180" s="24">
        <f>IF(M180="","",IFERROR(INDEX(SK_C,MATCH(M180,SK_A,0)),""))</f>
        <v/>
      </c>
      <c r="C180" s="25">
        <f>IF(O180="","",IF(O180=0,"D",IF(O180&lt;0,"D"&amp;O180,"D+"&amp;O180)))</f>
        <v/>
      </c>
      <c r="D180" s="13" t="n"/>
      <c r="E180" s="11" t="n"/>
      <c r="F180" s="26" t="n"/>
      <c r="G180" s="13" t="n"/>
      <c r="H180" s="12">
        <f>IF(OR(B180="",O180=""),"",IF(O180&gt;0,IF(P180="Làm việc",WORKDAY(IFERROR(IF(INDEX(SK_D,MATCH(M180,SK_A,0))="",B180,INDEX(SK_D,MATCH(M180,SK_A,0))),B180),O180,HOLI),IFERROR(IF(INDEX(SK_D,MATCH(M180,SK_A,0))="",B180,INDEX(SK_D,MATCH(M180,SK_A,0))),B180)+O180),B180+O180))</f>
        <v/>
      </c>
      <c r="I180" s="13" t="n"/>
      <c r="J180" s="12" t="n"/>
      <c r="K180" s="11" t="n"/>
      <c r="L180" s="27">
        <f>IF(E180="","",IF(I180="Bỏ qua","—",IF(I180="Xong",IF(AND(ISNUMBER(J180),ISNUMBER(H180),J180&gt;H180),"Xong trễ","Xong"),IF(F180="","CHƯA GIAO","")&amp;IF(NOT(ISNUMBER(H180)),"",IF(TODAY()&gt;H180,IF(F180=""," · ","")&amp;"QUÁ HẠN "&amp;(TODAY()-H180)&amp;" ngày",IF(H180-TODAY()&lt;=3,IF(F180=""," · ","")&amp;"Đến hạn "&amp;IF(H180=TODAY(),"hôm nay","trong "&amp;(H180-TODAY())&amp;" ngày"),""))))))</f>
        <v/>
      </c>
      <c r="Q180">
        <f>IF(AND(E180&lt;&gt;"",R180="Có",I180&lt;&gt;"Xong",I180&lt;&gt;"Bỏ qua",ISNUMBER(H180)),H180+ROW()/100000,"")</f>
        <v/>
      </c>
      <c r="R180">
        <f>IF(M180="","",IFERROR(INDEX(SK_L,MATCH(M180,SK_A,0)),""))</f>
        <v/>
      </c>
    </row>
    <row r="181">
      <c r="A181" s="11">
        <f>IF(M181="","",IFERROR(INDEX(SK_B,MATCH(M181,SK_A,0))&amp;"",""))</f>
        <v/>
      </c>
      <c r="B181" s="24">
        <f>IF(M181="","",IFERROR(INDEX(SK_C,MATCH(M181,SK_A,0)),""))</f>
        <v/>
      </c>
      <c r="C181" s="25">
        <f>IF(O181="","",IF(O181=0,"D",IF(O181&lt;0,"D"&amp;O181,"D+"&amp;O181)))</f>
        <v/>
      </c>
      <c r="D181" s="13" t="n"/>
      <c r="E181" s="11" t="n"/>
      <c r="F181" s="26" t="n"/>
      <c r="G181" s="13" t="n"/>
      <c r="H181" s="12">
        <f>IF(OR(B181="",O181=""),"",IF(O181&gt;0,IF(P181="Làm việc",WORKDAY(IFERROR(IF(INDEX(SK_D,MATCH(M181,SK_A,0))="",B181,INDEX(SK_D,MATCH(M181,SK_A,0))),B181),O181,HOLI),IFERROR(IF(INDEX(SK_D,MATCH(M181,SK_A,0))="",B181,INDEX(SK_D,MATCH(M181,SK_A,0))),B181)+O181),B181+O181))</f>
        <v/>
      </c>
      <c r="I181" s="13" t="n"/>
      <c r="J181" s="12" t="n"/>
      <c r="K181" s="11" t="n"/>
      <c r="L181" s="27">
        <f>IF(E181="","",IF(I181="Bỏ qua","—",IF(I181="Xong",IF(AND(ISNUMBER(J181),ISNUMBER(H181),J181&gt;H181),"Xong trễ","Xong"),IF(F181="","CHƯA GIAO","")&amp;IF(NOT(ISNUMBER(H181)),"",IF(TODAY()&gt;H181,IF(F181=""," · ","")&amp;"QUÁ HẠN "&amp;(TODAY()-H181)&amp;" ngày",IF(H181-TODAY()&lt;=3,IF(F181=""," · ","")&amp;"Đến hạn "&amp;IF(H181=TODAY(),"hôm nay","trong "&amp;(H181-TODAY())&amp;" ngày"),""))))))</f>
        <v/>
      </c>
      <c r="Q181">
        <f>IF(AND(E181&lt;&gt;"",R181="Có",I181&lt;&gt;"Xong",I181&lt;&gt;"Bỏ qua",ISNUMBER(H181)),H181+ROW()/100000,"")</f>
        <v/>
      </c>
      <c r="R181">
        <f>IF(M181="","",IFERROR(INDEX(SK_L,MATCH(M181,SK_A,0)),""))</f>
        <v/>
      </c>
    </row>
    <row r="182">
      <c r="A182" s="11">
        <f>IF(M182="","",IFERROR(INDEX(SK_B,MATCH(M182,SK_A,0))&amp;"",""))</f>
        <v/>
      </c>
      <c r="B182" s="24">
        <f>IF(M182="","",IFERROR(INDEX(SK_C,MATCH(M182,SK_A,0)),""))</f>
        <v/>
      </c>
      <c r="C182" s="25">
        <f>IF(O182="","",IF(O182=0,"D",IF(O182&lt;0,"D"&amp;O182,"D+"&amp;O182)))</f>
        <v/>
      </c>
      <c r="D182" s="13" t="n"/>
      <c r="E182" s="11" t="n"/>
      <c r="F182" s="26" t="n"/>
      <c r="G182" s="13" t="n"/>
      <c r="H182" s="12">
        <f>IF(OR(B182="",O182=""),"",IF(O182&gt;0,IF(P182="Làm việc",WORKDAY(IFERROR(IF(INDEX(SK_D,MATCH(M182,SK_A,0))="",B182,INDEX(SK_D,MATCH(M182,SK_A,0))),B182),O182,HOLI),IFERROR(IF(INDEX(SK_D,MATCH(M182,SK_A,0))="",B182,INDEX(SK_D,MATCH(M182,SK_A,0))),B182)+O182),B182+O182))</f>
        <v/>
      </c>
      <c r="I182" s="13" t="n"/>
      <c r="J182" s="12" t="n"/>
      <c r="K182" s="11" t="n"/>
      <c r="L182" s="27">
        <f>IF(E182="","",IF(I182="Bỏ qua","—",IF(I182="Xong",IF(AND(ISNUMBER(J182),ISNUMBER(H182),J182&gt;H182),"Xong trễ","Xong"),IF(F182="","CHƯA GIAO","")&amp;IF(NOT(ISNUMBER(H182)),"",IF(TODAY()&gt;H182,IF(F182=""," · ","")&amp;"QUÁ HẠN "&amp;(TODAY()-H182)&amp;" ngày",IF(H182-TODAY()&lt;=3,IF(F182=""," · ","")&amp;"Đến hạn "&amp;IF(H182=TODAY(),"hôm nay","trong "&amp;(H182-TODAY())&amp;" ngày"),""))))))</f>
        <v/>
      </c>
      <c r="Q182">
        <f>IF(AND(E182&lt;&gt;"",R182="Có",I182&lt;&gt;"Xong",I182&lt;&gt;"Bỏ qua",ISNUMBER(H182)),H182+ROW()/100000,"")</f>
        <v/>
      </c>
      <c r="R182">
        <f>IF(M182="","",IFERROR(INDEX(SK_L,MATCH(M182,SK_A,0)),""))</f>
        <v/>
      </c>
    </row>
    <row r="183">
      <c r="A183" s="11">
        <f>IF(M183="","",IFERROR(INDEX(SK_B,MATCH(M183,SK_A,0))&amp;"",""))</f>
        <v/>
      </c>
      <c r="B183" s="24">
        <f>IF(M183="","",IFERROR(INDEX(SK_C,MATCH(M183,SK_A,0)),""))</f>
        <v/>
      </c>
      <c r="C183" s="25">
        <f>IF(O183="","",IF(O183=0,"D",IF(O183&lt;0,"D"&amp;O183,"D+"&amp;O183)))</f>
        <v/>
      </c>
      <c r="D183" s="13" t="n"/>
      <c r="E183" s="11" t="n"/>
      <c r="F183" s="26" t="n"/>
      <c r="G183" s="13" t="n"/>
      <c r="H183" s="12">
        <f>IF(OR(B183="",O183=""),"",IF(O183&gt;0,IF(P183="Làm việc",WORKDAY(IFERROR(IF(INDEX(SK_D,MATCH(M183,SK_A,0))="",B183,INDEX(SK_D,MATCH(M183,SK_A,0))),B183),O183,HOLI),IFERROR(IF(INDEX(SK_D,MATCH(M183,SK_A,0))="",B183,INDEX(SK_D,MATCH(M183,SK_A,0))),B183)+O183),B183+O183))</f>
        <v/>
      </c>
      <c r="I183" s="13" t="n"/>
      <c r="J183" s="12" t="n"/>
      <c r="K183" s="11" t="n"/>
      <c r="L183" s="27">
        <f>IF(E183="","",IF(I183="Bỏ qua","—",IF(I183="Xong",IF(AND(ISNUMBER(J183),ISNUMBER(H183),J183&gt;H183),"Xong trễ","Xong"),IF(F183="","CHƯA GIAO","")&amp;IF(NOT(ISNUMBER(H183)),"",IF(TODAY()&gt;H183,IF(F183=""," · ","")&amp;"QUÁ HẠN "&amp;(TODAY()-H183)&amp;" ngày",IF(H183-TODAY()&lt;=3,IF(F183=""," · ","")&amp;"Đến hạn "&amp;IF(H183=TODAY(),"hôm nay","trong "&amp;(H183-TODAY())&amp;" ngày"),""))))))</f>
        <v/>
      </c>
      <c r="Q183">
        <f>IF(AND(E183&lt;&gt;"",R183="Có",I183&lt;&gt;"Xong",I183&lt;&gt;"Bỏ qua",ISNUMBER(H183)),H183+ROW()/100000,"")</f>
        <v/>
      </c>
      <c r="R183">
        <f>IF(M183="","",IFERROR(INDEX(SK_L,MATCH(M183,SK_A,0)),""))</f>
        <v/>
      </c>
    </row>
    <row r="184">
      <c r="A184" s="11">
        <f>IF(M184="","",IFERROR(INDEX(SK_B,MATCH(M184,SK_A,0))&amp;"",""))</f>
        <v/>
      </c>
      <c r="B184" s="24">
        <f>IF(M184="","",IFERROR(INDEX(SK_C,MATCH(M184,SK_A,0)),""))</f>
        <v/>
      </c>
      <c r="C184" s="25">
        <f>IF(O184="","",IF(O184=0,"D",IF(O184&lt;0,"D"&amp;O184,"D+"&amp;O184)))</f>
        <v/>
      </c>
      <c r="D184" s="13" t="n"/>
      <c r="E184" s="11" t="n"/>
      <c r="F184" s="26" t="n"/>
      <c r="G184" s="13" t="n"/>
      <c r="H184" s="12">
        <f>IF(OR(B184="",O184=""),"",IF(O184&gt;0,IF(P184="Làm việc",WORKDAY(IFERROR(IF(INDEX(SK_D,MATCH(M184,SK_A,0))="",B184,INDEX(SK_D,MATCH(M184,SK_A,0))),B184),O184,HOLI),IFERROR(IF(INDEX(SK_D,MATCH(M184,SK_A,0))="",B184,INDEX(SK_D,MATCH(M184,SK_A,0))),B184)+O184),B184+O184))</f>
        <v/>
      </c>
      <c r="I184" s="13" t="n"/>
      <c r="J184" s="12" t="n"/>
      <c r="K184" s="11" t="n"/>
      <c r="L184" s="27">
        <f>IF(E184="","",IF(I184="Bỏ qua","—",IF(I184="Xong",IF(AND(ISNUMBER(J184),ISNUMBER(H184),J184&gt;H184),"Xong trễ","Xong"),IF(F184="","CHƯA GIAO","")&amp;IF(NOT(ISNUMBER(H184)),"",IF(TODAY()&gt;H184,IF(F184=""," · ","")&amp;"QUÁ HẠN "&amp;(TODAY()-H184)&amp;" ngày",IF(H184-TODAY()&lt;=3,IF(F184=""," · ","")&amp;"Đến hạn "&amp;IF(H184=TODAY(),"hôm nay","trong "&amp;(H184-TODAY())&amp;" ngày"),""))))))</f>
        <v/>
      </c>
      <c r="Q184">
        <f>IF(AND(E184&lt;&gt;"",R184="Có",I184&lt;&gt;"Xong",I184&lt;&gt;"Bỏ qua",ISNUMBER(H184)),H184+ROW()/100000,"")</f>
        <v/>
      </c>
      <c r="R184">
        <f>IF(M184="","",IFERROR(INDEX(SK_L,MATCH(M184,SK_A,0)),""))</f>
        <v/>
      </c>
    </row>
    <row r="185">
      <c r="A185" s="11">
        <f>IF(M185="","",IFERROR(INDEX(SK_B,MATCH(M185,SK_A,0))&amp;"",""))</f>
        <v/>
      </c>
      <c r="B185" s="24">
        <f>IF(M185="","",IFERROR(INDEX(SK_C,MATCH(M185,SK_A,0)),""))</f>
        <v/>
      </c>
      <c r="C185" s="25">
        <f>IF(O185="","",IF(O185=0,"D",IF(O185&lt;0,"D"&amp;O185,"D+"&amp;O185)))</f>
        <v/>
      </c>
      <c r="D185" s="13" t="n"/>
      <c r="E185" s="11" t="n"/>
      <c r="F185" s="26" t="n"/>
      <c r="G185" s="13" t="n"/>
      <c r="H185" s="12">
        <f>IF(OR(B185="",O185=""),"",IF(O185&gt;0,IF(P185="Làm việc",WORKDAY(IFERROR(IF(INDEX(SK_D,MATCH(M185,SK_A,0))="",B185,INDEX(SK_D,MATCH(M185,SK_A,0))),B185),O185,HOLI),IFERROR(IF(INDEX(SK_D,MATCH(M185,SK_A,0))="",B185,INDEX(SK_D,MATCH(M185,SK_A,0))),B185)+O185),B185+O185))</f>
        <v/>
      </c>
      <c r="I185" s="13" t="n"/>
      <c r="J185" s="12" t="n"/>
      <c r="K185" s="11" t="n"/>
      <c r="L185" s="27">
        <f>IF(E185="","",IF(I185="Bỏ qua","—",IF(I185="Xong",IF(AND(ISNUMBER(J185),ISNUMBER(H185),J185&gt;H185),"Xong trễ","Xong"),IF(F185="","CHƯA GIAO","")&amp;IF(NOT(ISNUMBER(H185)),"",IF(TODAY()&gt;H185,IF(F185=""," · ","")&amp;"QUÁ HẠN "&amp;(TODAY()-H185)&amp;" ngày",IF(H185-TODAY()&lt;=3,IF(F185=""," · ","")&amp;"Đến hạn "&amp;IF(H185=TODAY(),"hôm nay","trong "&amp;(H185-TODAY())&amp;" ngày"),""))))))</f>
        <v/>
      </c>
      <c r="Q185">
        <f>IF(AND(E185&lt;&gt;"",R185="Có",I185&lt;&gt;"Xong",I185&lt;&gt;"Bỏ qua",ISNUMBER(H185)),H185+ROW()/100000,"")</f>
        <v/>
      </c>
      <c r="R185">
        <f>IF(M185="","",IFERROR(INDEX(SK_L,MATCH(M185,SK_A,0)),""))</f>
        <v/>
      </c>
    </row>
    <row r="186">
      <c r="A186" s="11">
        <f>IF(M186="","",IFERROR(INDEX(SK_B,MATCH(M186,SK_A,0))&amp;"",""))</f>
        <v/>
      </c>
      <c r="B186" s="24">
        <f>IF(M186="","",IFERROR(INDEX(SK_C,MATCH(M186,SK_A,0)),""))</f>
        <v/>
      </c>
      <c r="C186" s="25">
        <f>IF(O186="","",IF(O186=0,"D",IF(O186&lt;0,"D"&amp;O186,"D+"&amp;O186)))</f>
        <v/>
      </c>
      <c r="D186" s="13" t="n"/>
      <c r="E186" s="11" t="n"/>
      <c r="F186" s="26" t="n"/>
      <c r="G186" s="13" t="n"/>
      <c r="H186" s="12">
        <f>IF(OR(B186="",O186=""),"",IF(O186&gt;0,IF(P186="Làm việc",WORKDAY(IFERROR(IF(INDEX(SK_D,MATCH(M186,SK_A,0))="",B186,INDEX(SK_D,MATCH(M186,SK_A,0))),B186),O186,HOLI),IFERROR(IF(INDEX(SK_D,MATCH(M186,SK_A,0))="",B186,INDEX(SK_D,MATCH(M186,SK_A,0))),B186)+O186),B186+O186))</f>
        <v/>
      </c>
      <c r="I186" s="13" t="n"/>
      <c r="J186" s="12" t="n"/>
      <c r="K186" s="11" t="n"/>
      <c r="L186" s="27">
        <f>IF(E186="","",IF(I186="Bỏ qua","—",IF(I186="Xong",IF(AND(ISNUMBER(J186),ISNUMBER(H186),J186&gt;H186),"Xong trễ","Xong"),IF(F186="","CHƯA GIAO","")&amp;IF(NOT(ISNUMBER(H186)),"",IF(TODAY()&gt;H186,IF(F186=""," · ","")&amp;"QUÁ HẠN "&amp;(TODAY()-H186)&amp;" ngày",IF(H186-TODAY()&lt;=3,IF(F186=""," · ","")&amp;"Đến hạn "&amp;IF(H186=TODAY(),"hôm nay","trong "&amp;(H186-TODAY())&amp;" ngày"),""))))))</f>
        <v/>
      </c>
      <c r="Q186">
        <f>IF(AND(E186&lt;&gt;"",R186="Có",I186&lt;&gt;"Xong",I186&lt;&gt;"Bỏ qua",ISNUMBER(H186)),H186+ROW()/100000,"")</f>
        <v/>
      </c>
      <c r="R186">
        <f>IF(M186="","",IFERROR(INDEX(SK_L,MATCH(M186,SK_A,0)),""))</f>
        <v/>
      </c>
    </row>
    <row r="187">
      <c r="A187" s="11">
        <f>IF(M187="","",IFERROR(INDEX(SK_B,MATCH(M187,SK_A,0))&amp;"",""))</f>
        <v/>
      </c>
      <c r="B187" s="24">
        <f>IF(M187="","",IFERROR(INDEX(SK_C,MATCH(M187,SK_A,0)),""))</f>
        <v/>
      </c>
      <c r="C187" s="25">
        <f>IF(O187="","",IF(O187=0,"D",IF(O187&lt;0,"D"&amp;O187,"D+"&amp;O187)))</f>
        <v/>
      </c>
      <c r="D187" s="13" t="n"/>
      <c r="E187" s="11" t="n"/>
      <c r="F187" s="26" t="n"/>
      <c r="G187" s="13" t="n"/>
      <c r="H187" s="12">
        <f>IF(OR(B187="",O187=""),"",IF(O187&gt;0,IF(P187="Làm việc",WORKDAY(IFERROR(IF(INDEX(SK_D,MATCH(M187,SK_A,0))="",B187,INDEX(SK_D,MATCH(M187,SK_A,0))),B187),O187,HOLI),IFERROR(IF(INDEX(SK_D,MATCH(M187,SK_A,0))="",B187,INDEX(SK_D,MATCH(M187,SK_A,0))),B187)+O187),B187+O187))</f>
        <v/>
      </c>
      <c r="I187" s="13" t="n"/>
      <c r="J187" s="12" t="n"/>
      <c r="K187" s="11" t="n"/>
      <c r="L187" s="27">
        <f>IF(E187="","",IF(I187="Bỏ qua","—",IF(I187="Xong",IF(AND(ISNUMBER(J187),ISNUMBER(H187),J187&gt;H187),"Xong trễ","Xong"),IF(F187="","CHƯA GIAO","")&amp;IF(NOT(ISNUMBER(H187)),"",IF(TODAY()&gt;H187,IF(F187=""," · ","")&amp;"QUÁ HẠN "&amp;(TODAY()-H187)&amp;" ngày",IF(H187-TODAY()&lt;=3,IF(F187=""," · ","")&amp;"Đến hạn "&amp;IF(H187=TODAY(),"hôm nay","trong "&amp;(H187-TODAY())&amp;" ngày"),""))))))</f>
        <v/>
      </c>
      <c r="Q187">
        <f>IF(AND(E187&lt;&gt;"",R187="Có",I187&lt;&gt;"Xong",I187&lt;&gt;"Bỏ qua",ISNUMBER(H187)),H187+ROW()/100000,"")</f>
        <v/>
      </c>
      <c r="R187">
        <f>IF(M187="","",IFERROR(INDEX(SK_L,MATCH(M187,SK_A,0)),""))</f>
        <v/>
      </c>
    </row>
    <row r="188">
      <c r="A188" s="11">
        <f>IF(M188="","",IFERROR(INDEX(SK_B,MATCH(M188,SK_A,0))&amp;"",""))</f>
        <v/>
      </c>
      <c r="B188" s="24">
        <f>IF(M188="","",IFERROR(INDEX(SK_C,MATCH(M188,SK_A,0)),""))</f>
        <v/>
      </c>
      <c r="C188" s="25">
        <f>IF(O188="","",IF(O188=0,"D",IF(O188&lt;0,"D"&amp;O188,"D+"&amp;O188)))</f>
        <v/>
      </c>
      <c r="D188" s="13" t="n"/>
      <c r="E188" s="11" t="n"/>
      <c r="F188" s="26" t="n"/>
      <c r="G188" s="13" t="n"/>
      <c r="H188" s="12">
        <f>IF(OR(B188="",O188=""),"",IF(O188&gt;0,IF(P188="Làm việc",WORKDAY(IFERROR(IF(INDEX(SK_D,MATCH(M188,SK_A,0))="",B188,INDEX(SK_D,MATCH(M188,SK_A,0))),B188),O188,HOLI),IFERROR(IF(INDEX(SK_D,MATCH(M188,SK_A,0))="",B188,INDEX(SK_D,MATCH(M188,SK_A,0))),B188)+O188),B188+O188))</f>
        <v/>
      </c>
      <c r="I188" s="13" t="n"/>
      <c r="J188" s="12" t="n"/>
      <c r="K188" s="11" t="n"/>
      <c r="L188" s="27">
        <f>IF(E188="","",IF(I188="Bỏ qua","—",IF(I188="Xong",IF(AND(ISNUMBER(J188),ISNUMBER(H188),J188&gt;H188),"Xong trễ","Xong"),IF(F188="","CHƯA GIAO","")&amp;IF(NOT(ISNUMBER(H188)),"",IF(TODAY()&gt;H188,IF(F188=""," · ","")&amp;"QUÁ HẠN "&amp;(TODAY()-H188)&amp;" ngày",IF(H188-TODAY()&lt;=3,IF(F188=""," · ","")&amp;"Đến hạn "&amp;IF(H188=TODAY(),"hôm nay","trong "&amp;(H188-TODAY())&amp;" ngày"),""))))))</f>
        <v/>
      </c>
      <c r="Q188">
        <f>IF(AND(E188&lt;&gt;"",R188="Có",I188&lt;&gt;"Xong",I188&lt;&gt;"Bỏ qua",ISNUMBER(H188)),H188+ROW()/100000,"")</f>
        <v/>
      </c>
      <c r="R188">
        <f>IF(M188="","",IFERROR(INDEX(SK_L,MATCH(M188,SK_A,0)),""))</f>
        <v/>
      </c>
    </row>
    <row r="189">
      <c r="A189" s="11">
        <f>IF(M189="","",IFERROR(INDEX(SK_B,MATCH(M189,SK_A,0))&amp;"",""))</f>
        <v/>
      </c>
      <c r="B189" s="24">
        <f>IF(M189="","",IFERROR(INDEX(SK_C,MATCH(M189,SK_A,0)),""))</f>
        <v/>
      </c>
      <c r="C189" s="25">
        <f>IF(O189="","",IF(O189=0,"D",IF(O189&lt;0,"D"&amp;O189,"D+"&amp;O189)))</f>
        <v/>
      </c>
      <c r="D189" s="13" t="n"/>
      <c r="E189" s="11" t="n"/>
      <c r="F189" s="26" t="n"/>
      <c r="G189" s="13" t="n"/>
      <c r="H189" s="12">
        <f>IF(OR(B189="",O189=""),"",IF(O189&gt;0,IF(P189="Làm việc",WORKDAY(IFERROR(IF(INDEX(SK_D,MATCH(M189,SK_A,0))="",B189,INDEX(SK_D,MATCH(M189,SK_A,0))),B189),O189,HOLI),IFERROR(IF(INDEX(SK_D,MATCH(M189,SK_A,0))="",B189,INDEX(SK_D,MATCH(M189,SK_A,0))),B189)+O189),B189+O189))</f>
        <v/>
      </c>
      <c r="I189" s="13" t="n"/>
      <c r="J189" s="12" t="n"/>
      <c r="K189" s="11" t="n"/>
      <c r="L189" s="27">
        <f>IF(E189="","",IF(I189="Bỏ qua","—",IF(I189="Xong",IF(AND(ISNUMBER(J189),ISNUMBER(H189),J189&gt;H189),"Xong trễ","Xong"),IF(F189="","CHƯA GIAO","")&amp;IF(NOT(ISNUMBER(H189)),"",IF(TODAY()&gt;H189,IF(F189=""," · ","")&amp;"QUÁ HẠN "&amp;(TODAY()-H189)&amp;" ngày",IF(H189-TODAY()&lt;=3,IF(F189=""," · ","")&amp;"Đến hạn "&amp;IF(H189=TODAY(),"hôm nay","trong "&amp;(H189-TODAY())&amp;" ngày"),""))))))</f>
        <v/>
      </c>
      <c r="Q189">
        <f>IF(AND(E189&lt;&gt;"",R189="Có",I189&lt;&gt;"Xong",I189&lt;&gt;"Bỏ qua",ISNUMBER(H189)),H189+ROW()/100000,"")</f>
        <v/>
      </c>
      <c r="R189">
        <f>IF(M189="","",IFERROR(INDEX(SK_L,MATCH(M189,SK_A,0)),""))</f>
        <v/>
      </c>
    </row>
    <row r="190">
      <c r="A190" s="11">
        <f>IF(M190="","",IFERROR(INDEX(SK_B,MATCH(M190,SK_A,0))&amp;"",""))</f>
        <v/>
      </c>
      <c r="B190" s="24">
        <f>IF(M190="","",IFERROR(INDEX(SK_C,MATCH(M190,SK_A,0)),""))</f>
        <v/>
      </c>
      <c r="C190" s="25">
        <f>IF(O190="","",IF(O190=0,"D",IF(O190&lt;0,"D"&amp;O190,"D+"&amp;O190)))</f>
        <v/>
      </c>
      <c r="D190" s="13" t="n"/>
      <c r="E190" s="11" t="n"/>
      <c r="F190" s="26" t="n"/>
      <c r="G190" s="13" t="n"/>
      <c r="H190" s="12">
        <f>IF(OR(B190="",O190=""),"",IF(O190&gt;0,IF(P190="Làm việc",WORKDAY(IFERROR(IF(INDEX(SK_D,MATCH(M190,SK_A,0))="",B190,INDEX(SK_D,MATCH(M190,SK_A,0))),B190),O190,HOLI),IFERROR(IF(INDEX(SK_D,MATCH(M190,SK_A,0))="",B190,INDEX(SK_D,MATCH(M190,SK_A,0))),B190)+O190),B190+O190))</f>
        <v/>
      </c>
      <c r="I190" s="13" t="n"/>
      <c r="J190" s="12" t="n"/>
      <c r="K190" s="11" t="n"/>
      <c r="L190" s="27">
        <f>IF(E190="","",IF(I190="Bỏ qua","—",IF(I190="Xong",IF(AND(ISNUMBER(J190),ISNUMBER(H190),J190&gt;H190),"Xong trễ","Xong"),IF(F190="","CHƯA GIAO","")&amp;IF(NOT(ISNUMBER(H190)),"",IF(TODAY()&gt;H190,IF(F190=""," · ","")&amp;"QUÁ HẠN "&amp;(TODAY()-H190)&amp;" ngày",IF(H190-TODAY()&lt;=3,IF(F190=""," · ","")&amp;"Đến hạn "&amp;IF(H190=TODAY(),"hôm nay","trong "&amp;(H190-TODAY())&amp;" ngày"),""))))))</f>
        <v/>
      </c>
      <c r="Q190">
        <f>IF(AND(E190&lt;&gt;"",R190="Có",I190&lt;&gt;"Xong",I190&lt;&gt;"Bỏ qua",ISNUMBER(H190)),H190+ROW()/100000,"")</f>
        <v/>
      </c>
      <c r="R190">
        <f>IF(M190="","",IFERROR(INDEX(SK_L,MATCH(M190,SK_A,0)),""))</f>
        <v/>
      </c>
    </row>
    <row r="191">
      <c r="A191" s="11">
        <f>IF(M191="","",IFERROR(INDEX(SK_B,MATCH(M191,SK_A,0))&amp;"",""))</f>
        <v/>
      </c>
      <c r="B191" s="24">
        <f>IF(M191="","",IFERROR(INDEX(SK_C,MATCH(M191,SK_A,0)),""))</f>
        <v/>
      </c>
      <c r="C191" s="25">
        <f>IF(O191="","",IF(O191=0,"D",IF(O191&lt;0,"D"&amp;O191,"D+"&amp;O191)))</f>
        <v/>
      </c>
      <c r="D191" s="13" t="n"/>
      <c r="E191" s="11" t="n"/>
      <c r="F191" s="26" t="n"/>
      <c r="G191" s="13" t="n"/>
      <c r="H191" s="12">
        <f>IF(OR(B191="",O191=""),"",IF(O191&gt;0,IF(P191="Làm việc",WORKDAY(IFERROR(IF(INDEX(SK_D,MATCH(M191,SK_A,0))="",B191,INDEX(SK_D,MATCH(M191,SK_A,0))),B191),O191,HOLI),IFERROR(IF(INDEX(SK_D,MATCH(M191,SK_A,0))="",B191,INDEX(SK_D,MATCH(M191,SK_A,0))),B191)+O191),B191+O191))</f>
        <v/>
      </c>
      <c r="I191" s="13" t="n"/>
      <c r="J191" s="12" t="n"/>
      <c r="K191" s="11" t="n"/>
      <c r="L191" s="27">
        <f>IF(E191="","",IF(I191="Bỏ qua","—",IF(I191="Xong",IF(AND(ISNUMBER(J191),ISNUMBER(H191),J191&gt;H191),"Xong trễ","Xong"),IF(F191="","CHƯA GIAO","")&amp;IF(NOT(ISNUMBER(H191)),"",IF(TODAY()&gt;H191,IF(F191=""," · ","")&amp;"QUÁ HẠN "&amp;(TODAY()-H191)&amp;" ngày",IF(H191-TODAY()&lt;=3,IF(F191=""," · ","")&amp;"Đến hạn "&amp;IF(H191=TODAY(),"hôm nay","trong "&amp;(H191-TODAY())&amp;" ngày"),""))))))</f>
        <v/>
      </c>
      <c r="Q191">
        <f>IF(AND(E191&lt;&gt;"",R191="Có",I191&lt;&gt;"Xong",I191&lt;&gt;"Bỏ qua",ISNUMBER(H191)),H191+ROW()/100000,"")</f>
        <v/>
      </c>
      <c r="R191">
        <f>IF(M191="","",IFERROR(INDEX(SK_L,MATCH(M191,SK_A,0)),""))</f>
        <v/>
      </c>
    </row>
    <row r="192">
      <c r="A192" s="11">
        <f>IF(M192="","",IFERROR(INDEX(SK_B,MATCH(M192,SK_A,0))&amp;"",""))</f>
        <v/>
      </c>
      <c r="B192" s="24">
        <f>IF(M192="","",IFERROR(INDEX(SK_C,MATCH(M192,SK_A,0)),""))</f>
        <v/>
      </c>
      <c r="C192" s="25">
        <f>IF(O192="","",IF(O192=0,"D",IF(O192&lt;0,"D"&amp;O192,"D+"&amp;O192)))</f>
        <v/>
      </c>
      <c r="D192" s="13" t="n"/>
      <c r="E192" s="11" t="n"/>
      <c r="F192" s="26" t="n"/>
      <c r="G192" s="13" t="n"/>
      <c r="H192" s="12">
        <f>IF(OR(B192="",O192=""),"",IF(O192&gt;0,IF(P192="Làm việc",WORKDAY(IFERROR(IF(INDEX(SK_D,MATCH(M192,SK_A,0))="",B192,INDEX(SK_D,MATCH(M192,SK_A,0))),B192),O192,HOLI),IFERROR(IF(INDEX(SK_D,MATCH(M192,SK_A,0))="",B192,INDEX(SK_D,MATCH(M192,SK_A,0))),B192)+O192),B192+O192))</f>
        <v/>
      </c>
      <c r="I192" s="13" t="n"/>
      <c r="J192" s="12" t="n"/>
      <c r="K192" s="11" t="n"/>
      <c r="L192" s="27">
        <f>IF(E192="","",IF(I192="Bỏ qua","—",IF(I192="Xong",IF(AND(ISNUMBER(J192),ISNUMBER(H192),J192&gt;H192),"Xong trễ","Xong"),IF(F192="","CHƯA GIAO","")&amp;IF(NOT(ISNUMBER(H192)),"",IF(TODAY()&gt;H192,IF(F192=""," · ","")&amp;"QUÁ HẠN "&amp;(TODAY()-H192)&amp;" ngày",IF(H192-TODAY()&lt;=3,IF(F192=""," · ","")&amp;"Đến hạn "&amp;IF(H192=TODAY(),"hôm nay","trong "&amp;(H192-TODAY())&amp;" ngày"),""))))))</f>
        <v/>
      </c>
      <c r="Q192">
        <f>IF(AND(E192&lt;&gt;"",R192="Có",I192&lt;&gt;"Xong",I192&lt;&gt;"Bỏ qua",ISNUMBER(H192)),H192+ROW()/100000,"")</f>
        <v/>
      </c>
      <c r="R192">
        <f>IF(M192="","",IFERROR(INDEX(SK_L,MATCH(M192,SK_A,0)),""))</f>
        <v/>
      </c>
    </row>
    <row r="193">
      <c r="A193" s="11">
        <f>IF(M193="","",IFERROR(INDEX(SK_B,MATCH(M193,SK_A,0))&amp;"",""))</f>
        <v/>
      </c>
      <c r="B193" s="24">
        <f>IF(M193="","",IFERROR(INDEX(SK_C,MATCH(M193,SK_A,0)),""))</f>
        <v/>
      </c>
      <c r="C193" s="25">
        <f>IF(O193="","",IF(O193=0,"D",IF(O193&lt;0,"D"&amp;O193,"D+"&amp;O193)))</f>
        <v/>
      </c>
      <c r="D193" s="13" t="n"/>
      <c r="E193" s="11" t="n"/>
      <c r="F193" s="26" t="n"/>
      <c r="G193" s="13" t="n"/>
      <c r="H193" s="12">
        <f>IF(OR(B193="",O193=""),"",IF(O193&gt;0,IF(P193="Làm việc",WORKDAY(IFERROR(IF(INDEX(SK_D,MATCH(M193,SK_A,0))="",B193,INDEX(SK_D,MATCH(M193,SK_A,0))),B193),O193,HOLI),IFERROR(IF(INDEX(SK_D,MATCH(M193,SK_A,0))="",B193,INDEX(SK_D,MATCH(M193,SK_A,0))),B193)+O193),B193+O193))</f>
        <v/>
      </c>
      <c r="I193" s="13" t="n"/>
      <c r="J193" s="12" t="n"/>
      <c r="K193" s="11" t="n"/>
      <c r="L193" s="27">
        <f>IF(E193="","",IF(I193="Bỏ qua","—",IF(I193="Xong",IF(AND(ISNUMBER(J193),ISNUMBER(H193),J193&gt;H193),"Xong trễ","Xong"),IF(F193="","CHƯA GIAO","")&amp;IF(NOT(ISNUMBER(H193)),"",IF(TODAY()&gt;H193,IF(F193=""," · ","")&amp;"QUÁ HẠN "&amp;(TODAY()-H193)&amp;" ngày",IF(H193-TODAY()&lt;=3,IF(F193=""," · ","")&amp;"Đến hạn "&amp;IF(H193=TODAY(),"hôm nay","trong "&amp;(H193-TODAY())&amp;" ngày"),""))))))</f>
        <v/>
      </c>
      <c r="Q193">
        <f>IF(AND(E193&lt;&gt;"",R193="Có",I193&lt;&gt;"Xong",I193&lt;&gt;"Bỏ qua",ISNUMBER(H193)),H193+ROW()/100000,"")</f>
        <v/>
      </c>
      <c r="R193">
        <f>IF(M193="","",IFERROR(INDEX(SK_L,MATCH(M193,SK_A,0)),""))</f>
        <v/>
      </c>
    </row>
    <row r="194">
      <c r="A194" s="11">
        <f>IF(M194="","",IFERROR(INDEX(SK_B,MATCH(M194,SK_A,0))&amp;"",""))</f>
        <v/>
      </c>
      <c r="B194" s="24">
        <f>IF(M194="","",IFERROR(INDEX(SK_C,MATCH(M194,SK_A,0)),""))</f>
        <v/>
      </c>
      <c r="C194" s="25">
        <f>IF(O194="","",IF(O194=0,"D",IF(O194&lt;0,"D"&amp;O194,"D+"&amp;O194)))</f>
        <v/>
      </c>
      <c r="D194" s="13" t="n"/>
      <c r="E194" s="11" t="n"/>
      <c r="F194" s="26" t="n"/>
      <c r="G194" s="13" t="n"/>
      <c r="H194" s="12">
        <f>IF(OR(B194="",O194=""),"",IF(O194&gt;0,IF(P194="Làm việc",WORKDAY(IFERROR(IF(INDEX(SK_D,MATCH(M194,SK_A,0))="",B194,INDEX(SK_D,MATCH(M194,SK_A,0))),B194),O194,HOLI),IFERROR(IF(INDEX(SK_D,MATCH(M194,SK_A,0))="",B194,INDEX(SK_D,MATCH(M194,SK_A,0))),B194)+O194),B194+O194))</f>
        <v/>
      </c>
      <c r="I194" s="13" t="n"/>
      <c r="J194" s="12" t="n"/>
      <c r="K194" s="11" t="n"/>
      <c r="L194" s="27">
        <f>IF(E194="","",IF(I194="Bỏ qua","—",IF(I194="Xong",IF(AND(ISNUMBER(J194),ISNUMBER(H194),J194&gt;H194),"Xong trễ","Xong"),IF(F194="","CHƯA GIAO","")&amp;IF(NOT(ISNUMBER(H194)),"",IF(TODAY()&gt;H194,IF(F194=""," · ","")&amp;"QUÁ HẠN "&amp;(TODAY()-H194)&amp;" ngày",IF(H194-TODAY()&lt;=3,IF(F194=""," · ","")&amp;"Đến hạn "&amp;IF(H194=TODAY(),"hôm nay","trong "&amp;(H194-TODAY())&amp;" ngày"),""))))))</f>
        <v/>
      </c>
      <c r="Q194">
        <f>IF(AND(E194&lt;&gt;"",R194="Có",I194&lt;&gt;"Xong",I194&lt;&gt;"Bỏ qua",ISNUMBER(H194)),H194+ROW()/100000,"")</f>
        <v/>
      </c>
      <c r="R194">
        <f>IF(M194="","",IFERROR(INDEX(SK_L,MATCH(M194,SK_A,0)),""))</f>
        <v/>
      </c>
    </row>
    <row r="195">
      <c r="A195" s="11">
        <f>IF(M195="","",IFERROR(INDEX(SK_B,MATCH(M195,SK_A,0))&amp;"",""))</f>
        <v/>
      </c>
      <c r="B195" s="24">
        <f>IF(M195="","",IFERROR(INDEX(SK_C,MATCH(M195,SK_A,0)),""))</f>
        <v/>
      </c>
      <c r="C195" s="25">
        <f>IF(O195="","",IF(O195=0,"D",IF(O195&lt;0,"D"&amp;O195,"D+"&amp;O195)))</f>
        <v/>
      </c>
      <c r="D195" s="13" t="n"/>
      <c r="E195" s="11" t="n"/>
      <c r="F195" s="26" t="n"/>
      <c r="G195" s="13" t="n"/>
      <c r="H195" s="12">
        <f>IF(OR(B195="",O195=""),"",IF(O195&gt;0,IF(P195="Làm việc",WORKDAY(IFERROR(IF(INDEX(SK_D,MATCH(M195,SK_A,0))="",B195,INDEX(SK_D,MATCH(M195,SK_A,0))),B195),O195,HOLI),IFERROR(IF(INDEX(SK_D,MATCH(M195,SK_A,0))="",B195,INDEX(SK_D,MATCH(M195,SK_A,0))),B195)+O195),B195+O195))</f>
        <v/>
      </c>
      <c r="I195" s="13" t="n"/>
      <c r="J195" s="12" t="n"/>
      <c r="K195" s="11" t="n"/>
      <c r="L195" s="27">
        <f>IF(E195="","",IF(I195="Bỏ qua","—",IF(I195="Xong",IF(AND(ISNUMBER(J195),ISNUMBER(H195),J195&gt;H195),"Xong trễ","Xong"),IF(F195="","CHƯA GIAO","")&amp;IF(NOT(ISNUMBER(H195)),"",IF(TODAY()&gt;H195,IF(F195=""," · ","")&amp;"QUÁ HẠN "&amp;(TODAY()-H195)&amp;" ngày",IF(H195-TODAY()&lt;=3,IF(F195=""," · ","")&amp;"Đến hạn "&amp;IF(H195=TODAY(),"hôm nay","trong "&amp;(H195-TODAY())&amp;" ngày"),""))))))</f>
        <v/>
      </c>
      <c r="Q195">
        <f>IF(AND(E195&lt;&gt;"",R195="Có",I195&lt;&gt;"Xong",I195&lt;&gt;"Bỏ qua",ISNUMBER(H195)),H195+ROW()/100000,"")</f>
        <v/>
      </c>
      <c r="R195">
        <f>IF(M195="","",IFERROR(INDEX(SK_L,MATCH(M195,SK_A,0)),""))</f>
        <v/>
      </c>
    </row>
    <row r="196">
      <c r="A196" s="11">
        <f>IF(M196="","",IFERROR(INDEX(SK_B,MATCH(M196,SK_A,0))&amp;"",""))</f>
        <v/>
      </c>
      <c r="B196" s="24">
        <f>IF(M196="","",IFERROR(INDEX(SK_C,MATCH(M196,SK_A,0)),""))</f>
        <v/>
      </c>
      <c r="C196" s="25">
        <f>IF(O196="","",IF(O196=0,"D",IF(O196&lt;0,"D"&amp;O196,"D+"&amp;O196)))</f>
        <v/>
      </c>
      <c r="D196" s="13" t="n"/>
      <c r="E196" s="11" t="n"/>
      <c r="F196" s="26" t="n"/>
      <c r="G196" s="13" t="n"/>
      <c r="H196" s="12">
        <f>IF(OR(B196="",O196=""),"",IF(O196&gt;0,IF(P196="Làm việc",WORKDAY(IFERROR(IF(INDEX(SK_D,MATCH(M196,SK_A,0))="",B196,INDEX(SK_D,MATCH(M196,SK_A,0))),B196),O196,HOLI),IFERROR(IF(INDEX(SK_D,MATCH(M196,SK_A,0))="",B196,INDEX(SK_D,MATCH(M196,SK_A,0))),B196)+O196),B196+O196))</f>
        <v/>
      </c>
      <c r="I196" s="13" t="n"/>
      <c r="J196" s="12" t="n"/>
      <c r="K196" s="11" t="n"/>
      <c r="L196" s="27">
        <f>IF(E196="","",IF(I196="Bỏ qua","—",IF(I196="Xong",IF(AND(ISNUMBER(J196),ISNUMBER(H196),J196&gt;H196),"Xong trễ","Xong"),IF(F196="","CHƯA GIAO","")&amp;IF(NOT(ISNUMBER(H196)),"",IF(TODAY()&gt;H196,IF(F196=""," · ","")&amp;"QUÁ HẠN "&amp;(TODAY()-H196)&amp;" ngày",IF(H196-TODAY()&lt;=3,IF(F196=""," · ","")&amp;"Đến hạn "&amp;IF(H196=TODAY(),"hôm nay","trong "&amp;(H196-TODAY())&amp;" ngày"),""))))))</f>
        <v/>
      </c>
      <c r="Q196">
        <f>IF(AND(E196&lt;&gt;"",R196="Có",I196&lt;&gt;"Xong",I196&lt;&gt;"Bỏ qua",ISNUMBER(H196)),H196+ROW()/100000,"")</f>
        <v/>
      </c>
      <c r="R196">
        <f>IF(M196="","",IFERROR(INDEX(SK_L,MATCH(M196,SK_A,0)),""))</f>
        <v/>
      </c>
    </row>
    <row r="197">
      <c r="A197" s="11">
        <f>IF(M197="","",IFERROR(INDEX(SK_B,MATCH(M197,SK_A,0))&amp;"",""))</f>
        <v/>
      </c>
      <c r="B197" s="24">
        <f>IF(M197="","",IFERROR(INDEX(SK_C,MATCH(M197,SK_A,0)),""))</f>
        <v/>
      </c>
      <c r="C197" s="25">
        <f>IF(O197="","",IF(O197=0,"D",IF(O197&lt;0,"D"&amp;O197,"D+"&amp;O197)))</f>
        <v/>
      </c>
      <c r="D197" s="13" t="n"/>
      <c r="E197" s="11" t="n"/>
      <c r="F197" s="26" t="n"/>
      <c r="G197" s="13" t="n"/>
      <c r="H197" s="12">
        <f>IF(OR(B197="",O197=""),"",IF(O197&gt;0,IF(P197="Làm việc",WORKDAY(IFERROR(IF(INDEX(SK_D,MATCH(M197,SK_A,0))="",B197,INDEX(SK_D,MATCH(M197,SK_A,0))),B197),O197,HOLI),IFERROR(IF(INDEX(SK_D,MATCH(M197,SK_A,0))="",B197,INDEX(SK_D,MATCH(M197,SK_A,0))),B197)+O197),B197+O197))</f>
        <v/>
      </c>
      <c r="I197" s="13" t="n"/>
      <c r="J197" s="12" t="n"/>
      <c r="K197" s="11" t="n"/>
      <c r="L197" s="27">
        <f>IF(E197="","",IF(I197="Bỏ qua","—",IF(I197="Xong",IF(AND(ISNUMBER(J197),ISNUMBER(H197),J197&gt;H197),"Xong trễ","Xong"),IF(F197="","CHƯA GIAO","")&amp;IF(NOT(ISNUMBER(H197)),"",IF(TODAY()&gt;H197,IF(F197=""," · ","")&amp;"QUÁ HẠN "&amp;(TODAY()-H197)&amp;" ngày",IF(H197-TODAY()&lt;=3,IF(F197=""," · ","")&amp;"Đến hạn "&amp;IF(H197=TODAY(),"hôm nay","trong "&amp;(H197-TODAY())&amp;" ngày"),""))))))</f>
        <v/>
      </c>
      <c r="Q197">
        <f>IF(AND(E197&lt;&gt;"",R197="Có",I197&lt;&gt;"Xong",I197&lt;&gt;"Bỏ qua",ISNUMBER(H197)),H197+ROW()/100000,"")</f>
        <v/>
      </c>
      <c r="R197">
        <f>IF(M197="","",IFERROR(INDEX(SK_L,MATCH(M197,SK_A,0)),""))</f>
        <v/>
      </c>
    </row>
    <row r="198">
      <c r="A198" s="11">
        <f>IF(M198="","",IFERROR(INDEX(SK_B,MATCH(M198,SK_A,0))&amp;"",""))</f>
        <v/>
      </c>
      <c r="B198" s="24">
        <f>IF(M198="","",IFERROR(INDEX(SK_C,MATCH(M198,SK_A,0)),""))</f>
        <v/>
      </c>
      <c r="C198" s="25">
        <f>IF(O198="","",IF(O198=0,"D",IF(O198&lt;0,"D"&amp;O198,"D+"&amp;O198)))</f>
        <v/>
      </c>
      <c r="D198" s="13" t="n"/>
      <c r="E198" s="11" t="n"/>
      <c r="F198" s="26" t="n"/>
      <c r="G198" s="13" t="n"/>
      <c r="H198" s="12">
        <f>IF(OR(B198="",O198=""),"",IF(O198&gt;0,IF(P198="Làm việc",WORKDAY(IFERROR(IF(INDEX(SK_D,MATCH(M198,SK_A,0))="",B198,INDEX(SK_D,MATCH(M198,SK_A,0))),B198),O198,HOLI),IFERROR(IF(INDEX(SK_D,MATCH(M198,SK_A,0))="",B198,INDEX(SK_D,MATCH(M198,SK_A,0))),B198)+O198),B198+O198))</f>
        <v/>
      </c>
      <c r="I198" s="13" t="n"/>
      <c r="J198" s="12" t="n"/>
      <c r="K198" s="11" t="n"/>
      <c r="L198" s="27">
        <f>IF(E198="","",IF(I198="Bỏ qua","—",IF(I198="Xong",IF(AND(ISNUMBER(J198),ISNUMBER(H198),J198&gt;H198),"Xong trễ","Xong"),IF(F198="","CHƯA GIAO","")&amp;IF(NOT(ISNUMBER(H198)),"",IF(TODAY()&gt;H198,IF(F198=""," · ","")&amp;"QUÁ HẠN "&amp;(TODAY()-H198)&amp;" ngày",IF(H198-TODAY()&lt;=3,IF(F198=""," · ","")&amp;"Đến hạn "&amp;IF(H198=TODAY(),"hôm nay","trong "&amp;(H198-TODAY())&amp;" ngày"),""))))))</f>
        <v/>
      </c>
      <c r="Q198">
        <f>IF(AND(E198&lt;&gt;"",R198="Có",I198&lt;&gt;"Xong",I198&lt;&gt;"Bỏ qua",ISNUMBER(H198)),H198+ROW()/100000,"")</f>
        <v/>
      </c>
      <c r="R198">
        <f>IF(M198="","",IFERROR(INDEX(SK_L,MATCH(M198,SK_A,0)),""))</f>
        <v/>
      </c>
    </row>
    <row r="199">
      <c r="A199" s="11">
        <f>IF(M199="","",IFERROR(INDEX(SK_B,MATCH(M199,SK_A,0))&amp;"",""))</f>
        <v/>
      </c>
      <c r="B199" s="24">
        <f>IF(M199="","",IFERROR(INDEX(SK_C,MATCH(M199,SK_A,0)),""))</f>
        <v/>
      </c>
      <c r="C199" s="25">
        <f>IF(O199="","",IF(O199=0,"D",IF(O199&lt;0,"D"&amp;O199,"D+"&amp;O199)))</f>
        <v/>
      </c>
      <c r="D199" s="13" t="n"/>
      <c r="E199" s="11" t="n"/>
      <c r="F199" s="26" t="n"/>
      <c r="G199" s="13" t="n"/>
      <c r="H199" s="12">
        <f>IF(OR(B199="",O199=""),"",IF(O199&gt;0,IF(P199="Làm việc",WORKDAY(IFERROR(IF(INDEX(SK_D,MATCH(M199,SK_A,0))="",B199,INDEX(SK_D,MATCH(M199,SK_A,0))),B199),O199,HOLI),IFERROR(IF(INDEX(SK_D,MATCH(M199,SK_A,0))="",B199,INDEX(SK_D,MATCH(M199,SK_A,0))),B199)+O199),B199+O199))</f>
        <v/>
      </c>
      <c r="I199" s="13" t="n"/>
      <c r="J199" s="12" t="n"/>
      <c r="K199" s="11" t="n"/>
      <c r="L199" s="27">
        <f>IF(E199="","",IF(I199="Bỏ qua","—",IF(I199="Xong",IF(AND(ISNUMBER(J199),ISNUMBER(H199),J199&gt;H199),"Xong trễ","Xong"),IF(F199="","CHƯA GIAO","")&amp;IF(NOT(ISNUMBER(H199)),"",IF(TODAY()&gt;H199,IF(F199=""," · ","")&amp;"QUÁ HẠN "&amp;(TODAY()-H199)&amp;" ngày",IF(H199-TODAY()&lt;=3,IF(F199=""," · ","")&amp;"Đến hạn "&amp;IF(H199=TODAY(),"hôm nay","trong "&amp;(H199-TODAY())&amp;" ngày"),""))))))</f>
        <v/>
      </c>
      <c r="Q199">
        <f>IF(AND(E199&lt;&gt;"",R199="Có",I199&lt;&gt;"Xong",I199&lt;&gt;"Bỏ qua",ISNUMBER(H199)),H199+ROW()/100000,"")</f>
        <v/>
      </c>
      <c r="R199">
        <f>IF(M199="","",IFERROR(INDEX(SK_L,MATCH(M199,SK_A,0)),""))</f>
        <v/>
      </c>
    </row>
    <row r="200">
      <c r="A200" s="11">
        <f>IF(M200="","",IFERROR(INDEX(SK_B,MATCH(M200,SK_A,0))&amp;"",""))</f>
        <v/>
      </c>
      <c r="B200" s="24">
        <f>IF(M200="","",IFERROR(INDEX(SK_C,MATCH(M200,SK_A,0)),""))</f>
        <v/>
      </c>
      <c r="C200" s="25">
        <f>IF(O200="","",IF(O200=0,"D",IF(O200&lt;0,"D"&amp;O200,"D+"&amp;O200)))</f>
        <v/>
      </c>
      <c r="D200" s="13" t="n"/>
      <c r="E200" s="11" t="n"/>
      <c r="F200" s="26" t="n"/>
      <c r="G200" s="13" t="n"/>
      <c r="H200" s="12">
        <f>IF(OR(B200="",O200=""),"",IF(O200&gt;0,IF(P200="Làm việc",WORKDAY(IFERROR(IF(INDEX(SK_D,MATCH(M200,SK_A,0))="",B200,INDEX(SK_D,MATCH(M200,SK_A,0))),B200),O200,HOLI),IFERROR(IF(INDEX(SK_D,MATCH(M200,SK_A,0))="",B200,INDEX(SK_D,MATCH(M200,SK_A,0))),B200)+O200),B200+O200))</f>
        <v/>
      </c>
      <c r="I200" s="13" t="n"/>
      <c r="J200" s="12" t="n"/>
      <c r="K200" s="11" t="n"/>
      <c r="L200" s="27">
        <f>IF(E200="","",IF(I200="Bỏ qua","—",IF(I200="Xong",IF(AND(ISNUMBER(J200),ISNUMBER(H200),J200&gt;H200),"Xong trễ","Xong"),IF(F200="","CHƯA GIAO","")&amp;IF(NOT(ISNUMBER(H200)),"",IF(TODAY()&gt;H200,IF(F200=""," · ","")&amp;"QUÁ HẠN "&amp;(TODAY()-H200)&amp;" ngày",IF(H200-TODAY()&lt;=3,IF(F200=""," · ","")&amp;"Đến hạn "&amp;IF(H200=TODAY(),"hôm nay","trong "&amp;(H200-TODAY())&amp;" ngày"),""))))))</f>
        <v/>
      </c>
      <c r="Q200">
        <f>IF(AND(E200&lt;&gt;"",R200="Có",I200&lt;&gt;"Xong",I200&lt;&gt;"Bỏ qua",ISNUMBER(H200)),H200+ROW()/100000,"")</f>
        <v/>
      </c>
      <c r="R200">
        <f>IF(M200="","",IFERROR(INDEX(SK_L,MATCH(M200,SK_A,0)),""))</f>
        <v/>
      </c>
    </row>
    <row r="201">
      <c r="A201" s="11">
        <f>IF(M201="","",IFERROR(INDEX(SK_B,MATCH(M201,SK_A,0))&amp;"",""))</f>
        <v/>
      </c>
      <c r="B201" s="24">
        <f>IF(M201="","",IFERROR(INDEX(SK_C,MATCH(M201,SK_A,0)),""))</f>
        <v/>
      </c>
      <c r="C201" s="25">
        <f>IF(O201="","",IF(O201=0,"D",IF(O201&lt;0,"D"&amp;O201,"D+"&amp;O201)))</f>
        <v/>
      </c>
      <c r="D201" s="13" t="n"/>
      <c r="E201" s="11" t="n"/>
      <c r="F201" s="26" t="n"/>
      <c r="G201" s="13" t="n"/>
      <c r="H201" s="12">
        <f>IF(OR(B201="",O201=""),"",IF(O201&gt;0,IF(P201="Làm việc",WORKDAY(IFERROR(IF(INDEX(SK_D,MATCH(M201,SK_A,0))="",B201,INDEX(SK_D,MATCH(M201,SK_A,0))),B201),O201,HOLI),IFERROR(IF(INDEX(SK_D,MATCH(M201,SK_A,0))="",B201,INDEX(SK_D,MATCH(M201,SK_A,0))),B201)+O201),B201+O201))</f>
        <v/>
      </c>
      <c r="I201" s="13" t="n"/>
      <c r="J201" s="12" t="n"/>
      <c r="K201" s="11" t="n"/>
      <c r="L201" s="27">
        <f>IF(E201="","",IF(I201="Bỏ qua","—",IF(I201="Xong",IF(AND(ISNUMBER(J201),ISNUMBER(H201),J201&gt;H201),"Xong trễ","Xong"),IF(F201="","CHƯA GIAO","")&amp;IF(NOT(ISNUMBER(H201)),"",IF(TODAY()&gt;H201,IF(F201=""," · ","")&amp;"QUÁ HẠN "&amp;(TODAY()-H201)&amp;" ngày",IF(H201-TODAY()&lt;=3,IF(F201=""," · ","")&amp;"Đến hạn "&amp;IF(H201=TODAY(),"hôm nay","trong "&amp;(H201-TODAY())&amp;" ngày"),""))))))</f>
        <v/>
      </c>
      <c r="Q201">
        <f>IF(AND(E201&lt;&gt;"",R201="Có",I201&lt;&gt;"Xong",I201&lt;&gt;"Bỏ qua",ISNUMBER(H201)),H201+ROW()/100000,"")</f>
        <v/>
      </c>
      <c r="R201">
        <f>IF(M201="","",IFERROR(INDEX(SK_L,MATCH(M201,SK_A,0)),""))</f>
        <v/>
      </c>
    </row>
    <row r="202">
      <c r="A202" s="11">
        <f>IF(M202="","",IFERROR(INDEX(SK_B,MATCH(M202,SK_A,0))&amp;"",""))</f>
        <v/>
      </c>
      <c r="B202" s="24">
        <f>IF(M202="","",IFERROR(INDEX(SK_C,MATCH(M202,SK_A,0)),""))</f>
        <v/>
      </c>
      <c r="C202" s="25">
        <f>IF(O202="","",IF(O202=0,"D",IF(O202&lt;0,"D"&amp;O202,"D+"&amp;O202)))</f>
        <v/>
      </c>
      <c r="D202" s="13" t="n"/>
      <c r="E202" s="11" t="n"/>
      <c r="F202" s="26" t="n"/>
      <c r="G202" s="13" t="n"/>
      <c r="H202" s="12">
        <f>IF(OR(B202="",O202=""),"",IF(O202&gt;0,IF(P202="Làm việc",WORKDAY(IFERROR(IF(INDEX(SK_D,MATCH(M202,SK_A,0))="",B202,INDEX(SK_D,MATCH(M202,SK_A,0))),B202),O202,HOLI),IFERROR(IF(INDEX(SK_D,MATCH(M202,SK_A,0))="",B202,INDEX(SK_D,MATCH(M202,SK_A,0))),B202)+O202),B202+O202))</f>
        <v/>
      </c>
      <c r="I202" s="13" t="n"/>
      <c r="J202" s="12" t="n"/>
      <c r="K202" s="11" t="n"/>
      <c r="L202" s="27">
        <f>IF(E202="","",IF(I202="Bỏ qua","—",IF(I202="Xong",IF(AND(ISNUMBER(J202),ISNUMBER(H202),J202&gt;H202),"Xong trễ","Xong"),IF(F202="","CHƯA GIAO","")&amp;IF(NOT(ISNUMBER(H202)),"",IF(TODAY()&gt;H202,IF(F202=""," · ","")&amp;"QUÁ HẠN "&amp;(TODAY()-H202)&amp;" ngày",IF(H202-TODAY()&lt;=3,IF(F202=""," · ","")&amp;"Đến hạn "&amp;IF(H202=TODAY(),"hôm nay","trong "&amp;(H202-TODAY())&amp;" ngày"),""))))))</f>
        <v/>
      </c>
      <c r="Q202">
        <f>IF(AND(E202&lt;&gt;"",R202="Có",I202&lt;&gt;"Xong",I202&lt;&gt;"Bỏ qua",ISNUMBER(H202)),H202+ROW()/100000,"")</f>
        <v/>
      </c>
      <c r="R202">
        <f>IF(M202="","",IFERROR(INDEX(SK_L,MATCH(M202,SK_A,0)),""))</f>
        <v/>
      </c>
    </row>
    <row r="203">
      <c r="A203" s="11">
        <f>IF(M203="","",IFERROR(INDEX(SK_B,MATCH(M203,SK_A,0))&amp;"",""))</f>
        <v/>
      </c>
      <c r="B203" s="24">
        <f>IF(M203="","",IFERROR(INDEX(SK_C,MATCH(M203,SK_A,0)),""))</f>
        <v/>
      </c>
      <c r="C203" s="25">
        <f>IF(O203="","",IF(O203=0,"D",IF(O203&lt;0,"D"&amp;O203,"D+"&amp;O203)))</f>
        <v/>
      </c>
      <c r="D203" s="13" t="n"/>
      <c r="E203" s="11" t="n"/>
      <c r="F203" s="26" t="n"/>
      <c r="G203" s="13" t="n"/>
      <c r="H203" s="12">
        <f>IF(OR(B203="",O203=""),"",IF(O203&gt;0,IF(P203="Làm việc",WORKDAY(IFERROR(IF(INDEX(SK_D,MATCH(M203,SK_A,0))="",B203,INDEX(SK_D,MATCH(M203,SK_A,0))),B203),O203,HOLI),IFERROR(IF(INDEX(SK_D,MATCH(M203,SK_A,0))="",B203,INDEX(SK_D,MATCH(M203,SK_A,0))),B203)+O203),B203+O203))</f>
        <v/>
      </c>
      <c r="I203" s="13" t="n"/>
      <c r="J203" s="12" t="n"/>
      <c r="K203" s="11" t="n"/>
      <c r="L203" s="27">
        <f>IF(E203="","",IF(I203="Bỏ qua","—",IF(I203="Xong",IF(AND(ISNUMBER(J203),ISNUMBER(H203),J203&gt;H203),"Xong trễ","Xong"),IF(F203="","CHƯA GIAO","")&amp;IF(NOT(ISNUMBER(H203)),"",IF(TODAY()&gt;H203,IF(F203=""," · ","")&amp;"QUÁ HẠN "&amp;(TODAY()-H203)&amp;" ngày",IF(H203-TODAY()&lt;=3,IF(F203=""," · ","")&amp;"Đến hạn "&amp;IF(H203=TODAY(),"hôm nay","trong "&amp;(H203-TODAY())&amp;" ngày"),""))))))</f>
        <v/>
      </c>
      <c r="Q203">
        <f>IF(AND(E203&lt;&gt;"",R203="Có",I203&lt;&gt;"Xong",I203&lt;&gt;"Bỏ qua",ISNUMBER(H203)),H203+ROW()/100000,"")</f>
        <v/>
      </c>
      <c r="R203">
        <f>IF(M203="","",IFERROR(INDEX(SK_L,MATCH(M203,SK_A,0)),""))</f>
        <v/>
      </c>
    </row>
    <row r="204">
      <c r="A204" s="11">
        <f>IF(M204="","",IFERROR(INDEX(SK_B,MATCH(M204,SK_A,0))&amp;"",""))</f>
        <v/>
      </c>
      <c r="B204" s="24">
        <f>IF(M204="","",IFERROR(INDEX(SK_C,MATCH(M204,SK_A,0)),""))</f>
        <v/>
      </c>
      <c r="C204" s="25">
        <f>IF(O204="","",IF(O204=0,"D",IF(O204&lt;0,"D"&amp;O204,"D+"&amp;O204)))</f>
        <v/>
      </c>
      <c r="D204" s="13" t="n"/>
      <c r="E204" s="11" t="n"/>
      <c r="F204" s="26" t="n"/>
      <c r="G204" s="13" t="n"/>
      <c r="H204" s="12">
        <f>IF(OR(B204="",O204=""),"",IF(O204&gt;0,IF(P204="Làm việc",WORKDAY(IFERROR(IF(INDEX(SK_D,MATCH(M204,SK_A,0))="",B204,INDEX(SK_D,MATCH(M204,SK_A,0))),B204),O204,HOLI),IFERROR(IF(INDEX(SK_D,MATCH(M204,SK_A,0))="",B204,INDEX(SK_D,MATCH(M204,SK_A,0))),B204)+O204),B204+O204))</f>
        <v/>
      </c>
      <c r="I204" s="13" t="n"/>
      <c r="J204" s="12" t="n"/>
      <c r="K204" s="11" t="n"/>
      <c r="L204" s="27">
        <f>IF(E204="","",IF(I204="Bỏ qua","—",IF(I204="Xong",IF(AND(ISNUMBER(J204),ISNUMBER(H204),J204&gt;H204),"Xong trễ","Xong"),IF(F204="","CHƯA GIAO","")&amp;IF(NOT(ISNUMBER(H204)),"",IF(TODAY()&gt;H204,IF(F204=""," · ","")&amp;"QUÁ HẠN "&amp;(TODAY()-H204)&amp;" ngày",IF(H204-TODAY()&lt;=3,IF(F204=""," · ","")&amp;"Đến hạn "&amp;IF(H204=TODAY(),"hôm nay","trong "&amp;(H204-TODAY())&amp;" ngày"),""))))))</f>
        <v/>
      </c>
      <c r="Q204">
        <f>IF(AND(E204&lt;&gt;"",R204="Có",I204&lt;&gt;"Xong",I204&lt;&gt;"Bỏ qua",ISNUMBER(H204)),H204+ROW()/100000,"")</f>
        <v/>
      </c>
      <c r="R204">
        <f>IF(M204="","",IFERROR(INDEX(SK_L,MATCH(M204,SK_A,0)),""))</f>
        <v/>
      </c>
    </row>
    <row r="205">
      <c r="A205" s="11">
        <f>IF(M205="","",IFERROR(INDEX(SK_B,MATCH(M205,SK_A,0))&amp;"",""))</f>
        <v/>
      </c>
      <c r="B205" s="24">
        <f>IF(M205="","",IFERROR(INDEX(SK_C,MATCH(M205,SK_A,0)),""))</f>
        <v/>
      </c>
      <c r="C205" s="25">
        <f>IF(O205="","",IF(O205=0,"D",IF(O205&lt;0,"D"&amp;O205,"D+"&amp;O205)))</f>
        <v/>
      </c>
      <c r="D205" s="13" t="n"/>
      <c r="E205" s="11" t="n"/>
      <c r="F205" s="26" t="n"/>
      <c r="G205" s="13" t="n"/>
      <c r="H205" s="12">
        <f>IF(OR(B205="",O205=""),"",IF(O205&gt;0,IF(P205="Làm việc",WORKDAY(IFERROR(IF(INDEX(SK_D,MATCH(M205,SK_A,0))="",B205,INDEX(SK_D,MATCH(M205,SK_A,0))),B205),O205,HOLI),IFERROR(IF(INDEX(SK_D,MATCH(M205,SK_A,0))="",B205,INDEX(SK_D,MATCH(M205,SK_A,0))),B205)+O205),B205+O205))</f>
        <v/>
      </c>
      <c r="I205" s="13" t="n"/>
      <c r="J205" s="12" t="n"/>
      <c r="K205" s="11" t="n"/>
      <c r="L205" s="27">
        <f>IF(E205="","",IF(I205="Bỏ qua","—",IF(I205="Xong",IF(AND(ISNUMBER(J205),ISNUMBER(H205),J205&gt;H205),"Xong trễ","Xong"),IF(F205="","CHƯA GIAO","")&amp;IF(NOT(ISNUMBER(H205)),"",IF(TODAY()&gt;H205,IF(F205=""," · ","")&amp;"QUÁ HẠN "&amp;(TODAY()-H205)&amp;" ngày",IF(H205-TODAY()&lt;=3,IF(F205=""," · ","")&amp;"Đến hạn "&amp;IF(H205=TODAY(),"hôm nay","trong "&amp;(H205-TODAY())&amp;" ngày"),""))))))</f>
        <v/>
      </c>
      <c r="Q205">
        <f>IF(AND(E205&lt;&gt;"",R205="Có",I205&lt;&gt;"Xong",I205&lt;&gt;"Bỏ qua",ISNUMBER(H205)),H205+ROW()/100000,"")</f>
        <v/>
      </c>
      <c r="R205">
        <f>IF(M205="","",IFERROR(INDEX(SK_L,MATCH(M205,SK_A,0)),""))</f>
        <v/>
      </c>
    </row>
    <row r="206">
      <c r="A206" s="11">
        <f>IF(M206="","",IFERROR(INDEX(SK_B,MATCH(M206,SK_A,0))&amp;"",""))</f>
        <v/>
      </c>
      <c r="B206" s="24">
        <f>IF(M206="","",IFERROR(INDEX(SK_C,MATCH(M206,SK_A,0)),""))</f>
        <v/>
      </c>
      <c r="C206" s="25">
        <f>IF(O206="","",IF(O206=0,"D",IF(O206&lt;0,"D"&amp;O206,"D+"&amp;O206)))</f>
        <v/>
      </c>
      <c r="D206" s="13" t="n"/>
      <c r="E206" s="11" t="n"/>
      <c r="F206" s="26" t="n"/>
      <c r="G206" s="13" t="n"/>
      <c r="H206" s="12">
        <f>IF(OR(B206="",O206=""),"",IF(O206&gt;0,IF(P206="Làm việc",WORKDAY(IFERROR(IF(INDEX(SK_D,MATCH(M206,SK_A,0))="",B206,INDEX(SK_D,MATCH(M206,SK_A,0))),B206),O206,HOLI),IFERROR(IF(INDEX(SK_D,MATCH(M206,SK_A,0))="",B206,INDEX(SK_D,MATCH(M206,SK_A,0))),B206)+O206),B206+O206))</f>
        <v/>
      </c>
      <c r="I206" s="13" t="n"/>
      <c r="J206" s="12" t="n"/>
      <c r="K206" s="11" t="n"/>
      <c r="L206" s="27">
        <f>IF(E206="","",IF(I206="Bỏ qua","—",IF(I206="Xong",IF(AND(ISNUMBER(J206),ISNUMBER(H206),J206&gt;H206),"Xong trễ","Xong"),IF(F206="","CHƯA GIAO","")&amp;IF(NOT(ISNUMBER(H206)),"",IF(TODAY()&gt;H206,IF(F206=""," · ","")&amp;"QUÁ HẠN "&amp;(TODAY()-H206)&amp;" ngày",IF(H206-TODAY()&lt;=3,IF(F206=""," · ","")&amp;"Đến hạn "&amp;IF(H206=TODAY(),"hôm nay","trong "&amp;(H206-TODAY())&amp;" ngày"),""))))))</f>
        <v/>
      </c>
      <c r="Q206">
        <f>IF(AND(E206&lt;&gt;"",R206="Có",I206&lt;&gt;"Xong",I206&lt;&gt;"Bỏ qua",ISNUMBER(H206)),H206+ROW()/100000,"")</f>
        <v/>
      </c>
      <c r="R206">
        <f>IF(M206="","",IFERROR(INDEX(SK_L,MATCH(M206,SK_A,0)),""))</f>
        <v/>
      </c>
    </row>
    <row r="207">
      <c r="A207" s="11">
        <f>IF(M207="","",IFERROR(INDEX(SK_B,MATCH(M207,SK_A,0))&amp;"",""))</f>
        <v/>
      </c>
      <c r="B207" s="24">
        <f>IF(M207="","",IFERROR(INDEX(SK_C,MATCH(M207,SK_A,0)),""))</f>
        <v/>
      </c>
      <c r="C207" s="25">
        <f>IF(O207="","",IF(O207=0,"D",IF(O207&lt;0,"D"&amp;O207,"D+"&amp;O207)))</f>
        <v/>
      </c>
      <c r="D207" s="13" t="n"/>
      <c r="E207" s="11" t="n"/>
      <c r="F207" s="26" t="n"/>
      <c r="G207" s="13" t="n"/>
      <c r="H207" s="12">
        <f>IF(OR(B207="",O207=""),"",IF(O207&gt;0,IF(P207="Làm việc",WORKDAY(IFERROR(IF(INDEX(SK_D,MATCH(M207,SK_A,0))="",B207,INDEX(SK_D,MATCH(M207,SK_A,0))),B207),O207,HOLI),IFERROR(IF(INDEX(SK_D,MATCH(M207,SK_A,0))="",B207,INDEX(SK_D,MATCH(M207,SK_A,0))),B207)+O207),B207+O207))</f>
        <v/>
      </c>
      <c r="I207" s="13" t="n"/>
      <c r="J207" s="12" t="n"/>
      <c r="K207" s="11" t="n"/>
      <c r="L207" s="27">
        <f>IF(E207="","",IF(I207="Bỏ qua","—",IF(I207="Xong",IF(AND(ISNUMBER(J207),ISNUMBER(H207),J207&gt;H207),"Xong trễ","Xong"),IF(F207="","CHƯA GIAO","")&amp;IF(NOT(ISNUMBER(H207)),"",IF(TODAY()&gt;H207,IF(F207=""," · ","")&amp;"QUÁ HẠN "&amp;(TODAY()-H207)&amp;" ngày",IF(H207-TODAY()&lt;=3,IF(F207=""," · ","")&amp;"Đến hạn "&amp;IF(H207=TODAY(),"hôm nay","trong "&amp;(H207-TODAY())&amp;" ngày"),""))))))</f>
        <v/>
      </c>
      <c r="Q207">
        <f>IF(AND(E207&lt;&gt;"",R207="Có",I207&lt;&gt;"Xong",I207&lt;&gt;"Bỏ qua",ISNUMBER(H207)),H207+ROW()/100000,"")</f>
        <v/>
      </c>
      <c r="R207">
        <f>IF(M207="","",IFERROR(INDEX(SK_L,MATCH(M207,SK_A,0)),""))</f>
        <v/>
      </c>
    </row>
    <row r="208">
      <c r="A208" s="11">
        <f>IF(M208="","",IFERROR(INDEX(SK_B,MATCH(M208,SK_A,0))&amp;"",""))</f>
        <v/>
      </c>
      <c r="B208" s="24">
        <f>IF(M208="","",IFERROR(INDEX(SK_C,MATCH(M208,SK_A,0)),""))</f>
        <v/>
      </c>
      <c r="C208" s="25">
        <f>IF(O208="","",IF(O208=0,"D",IF(O208&lt;0,"D"&amp;O208,"D+"&amp;O208)))</f>
        <v/>
      </c>
      <c r="D208" s="13" t="n"/>
      <c r="E208" s="11" t="n"/>
      <c r="F208" s="26" t="n"/>
      <c r="G208" s="13" t="n"/>
      <c r="H208" s="12">
        <f>IF(OR(B208="",O208=""),"",IF(O208&gt;0,IF(P208="Làm việc",WORKDAY(IFERROR(IF(INDEX(SK_D,MATCH(M208,SK_A,0))="",B208,INDEX(SK_D,MATCH(M208,SK_A,0))),B208),O208,HOLI),IFERROR(IF(INDEX(SK_D,MATCH(M208,SK_A,0))="",B208,INDEX(SK_D,MATCH(M208,SK_A,0))),B208)+O208),B208+O208))</f>
        <v/>
      </c>
      <c r="I208" s="13" t="n"/>
      <c r="J208" s="12" t="n"/>
      <c r="K208" s="11" t="n"/>
      <c r="L208" s="27">
        <f>IF(E208="","",IF(I208="Bỏ qua","—",IF(I208="Xong",IF(AND(ISNUMBER(J208),ISNUMBER(H208),J208&gt;H208),"Xong trễ","Xong"),IF(F208="","CHƯA GIAO","")&amp;IF(NOT(ISNUMBER(H208)),"",IF(TODAY()&gt;H208,IF(F208=""," · ","")&amp;"QUÁ HẠN "&amp;(TODAY()-H208)&amp;" ngày",IF(H208-TODAY()&lt;=3,IF(F208=""," · ","")&amp;"Đến hạn "&amp;IF(H208=TODAY(),"hôm nay","trong "&amp;(H208-TODAY())&amp;" ngày"),""))))))</f>
        <v/>
      </c>
      <c r="Q208">
        <f>IF(AND(E208&lt;&gt;"",R208="Có",I208&lt;&gt;"Xong",I208&lt;&gt;"Bỏ qua",ISNUMBER(H208)),H208+ROW()/100000,"")</f>
        <v/>
      </c>
      <c r="R208">
        <f>IF(M208="","",IFERROR(INDEX(SK_L,MATCH(M208,SK_A,0)),""))</f>
        <v/>
      </c>
    </row>
    <row r="209">
      <c r="A209" s="11">
        <f>IF(M209="","",IFERROR(INDEX(SK_B,MATCH(M209,SK_A,0))&amp;"",""))</f>
        <v/>
      </c>
      <c r="B209" s="24">
        <f>IF(M209="","",IFERROR(INDEX(SK_C,MATCH(M209,SK_A,0)),""))</f>
        <v/>
      </c>
      <c r="C209" s="25">
        <f>IF(O209="","",IF(O209=0,"D",IF(O209&lt;0,"D"&amp;O209,"D+"&amp;O209)))</f>
        <v/>
      </c>
      <c r="D209" s="13" t="n"/>
      <c r="E209" s="11" t="n"/>
      <c r="F209" s="26" t="n"/>
      <c r="G209" s="13" t="n"/>
      <c r="H209" s="12">
        <f>IF(OR(B209="",O209=""),"",IF(O209&gt;0,IF(P209="Làm việc",WORKDAY(IFERROR(IF(INDEX(SK_D,MATCH(M209,SK_A,0))="",B209,INDEX(SK_D,MATCH(M209,SK_A,0))),B209),O209,HOLI),IFERROR(IF(INDEX(SK_D,MATCH(M209,SK_A,0))="",B209,INDEX(SK_D,MATCH(M209,SK_A,0))),B209)+O209),B209+O209))</f>
        <v/>
      </c>
      <c r="I209" s="13" t="n"/>
      <c r="J209" s="12" t="n"/>
      <c r="K209" s="11" t="n"/>
      <c r="L209" s="27">
        <f>IF(E209="","",IF(I209="Bỏ qua","—",IF(I209="Xong",IF(AND(ISNUMBER(J209),ISNUMBER(H209),J209&gt;H209),"Xong trễ","Xong"),IF(F209="","CHƯA GIAO","")&amp;IF(NOT(ISNUMBER(H209)),"",IF(TODAY()&gt;H209,IF(F209=""," · ","")&amp;"QUÁ HẠN "&amp;(TODAY()-H209)&amp;" ngày",IF(H209-TODAY()&lt;=3,IF(F209=""," · ","")&amp;"Đến hạn "&amp;IF(H209=TODAY(),"hôm nay","trong "&amp;(H209-TODAY())&amp;" ngày"),""))))))</f>
        <v/>
      </c>
      <c r="Q209">
        <f>IF(AND(E209&lt;&gt;"",R209="Có",I209&lt;&gt;"Xong",I209&lt;&gt;"Bỏ qua",ISNUMBER(H209)),H209+ROW()/100000,"")</f>
        <v/>
      </c>
      <c r="R209">
        <f>IF(M209="","",IFERROR(INDEX(SK_L,MATCH(M209,SK_A,0)),""))</f>
        <v/>
      </c>
    </row>
    <row r="210">
      <c r="A210" s="11">
        <f>IF(M210="","",IFERROR(INDEX(SK_B,MATCH(M210,SK_A,0))&amp;"",""))</f>
        <v/>
      </c>
      <c r="B210" s="24">
        <f>IF(M210="","",IFERROR(INDEX(SK_C,MATCH(M210,SK_A,0)),""))</f>
        <v/>
      </c>
      <c r="C210" s="25">
        <f>IF(O210="","",IF(O210=0,"D",IF(O210&lt;0,"D"&amp;O210,"D+"&amp;O210)))</f>
        <v/>
      </c>
      <c r="D210" s="13" t="n"/>
      <c r="E210" s="11" t="n"/>
      <c r="F210" s="26" t="n"/>
      <c r="G210" s="13" t="n"/>
      <c r="H210" s="12">
        <f>IF(OR(B210="",O210=""),"",IF(O210&gt;0,IF(P210="Làm việc",WORKDAY(IFERROR(IF(INDEX(SK_D,MATCH(M210,SK_A,0))="",B210,INDEX(SK_D,MATCH(M210,SK_A,0))),B210),O210,HOLI),IFERROR(IF(INDEX(SK_D,MATCH(M210,SK_A,0))="",B210,INDEX(SK_D,MATCH(M210,SK_A,0))),B210)+O210),B210+O210))</f>
        <v/>
      </c>
      <c r="I210" s="13" t="n"/>
      <c r="J210" s="12" t="n"/>
      <c r="K210" s="11" t="n"/>
      <c r="L210" s="27">
        <f>IF(E210="","",IF(I210="Bỏ qua","—",IF(I210="Xong",IF(AND(ISNUMBER(J210),ISNUMBER(H210),J210&gt;H210),"Xong trễ","Xong"),IF(F210="","CHƯA GIAO","")&amp;IF(NOT(ISNUMBER(H210)),"",IF(TODAY()&gt;H210,IF(F210=""," · ","")&amp;"QUÁ HẠN "&amp;(TODAY()-H210)&amp;" ngày",IF(H210-TODAY()&lt;=3,IF(F210=""," · ","")&amp;"Đến hạn "&amp;IF(H210=TODAY(),"hôm nay","trong "&amp;(H210-TODAY())&amp;" ngày"),""))))))</f>
        <v/>
      </c>
      <c r="Q210">
        <f>IF(AND(E210&lt;&gt;"",R210="Có",I210&lt;&gt;"Xong",I210&lt;&gt;"Bỏ qua",ISNUMBER(H210)),H210+ROW()/100000,"")</f>
        <v/>
      </c>
      <c r="R210">
        <f>IF(M210="","",IFERROR(INDEX(SK_L,MATCH(M210,SK_A,0)),""))</f>
        <v/>
      </c>
    </row>
    <row r="211">
      <c r="A211" s="11">
        <f>IF(M211="","",IFERROR(INDEX(SK_B,MATCH(M211,SK_A,0))&amp;"",""))</f>
        <v/>
      </c>
      <c r="B211" s="24">
        <f>IF(M211="","",IFERROR(INDEX(SK_C,MATCH(M211,SK_A,0)),""))</f>
        <v/>
      </c>
      <c r="C211" s="25">
        <f>IF(O211="","",IF(O211=0,"D",IF(O211&lt;0,"D"&amp;O211,"D+"&amp;O211)))</f>
        <v/>
      </c>
      <c r="D211" s="13" t="n"/>
      <c r="E211" s="11" t="n"/>
      <c r="F211" s="26" t="n"/>
      <c r="G211" s="13" t="n"/>
      <c r="H211" s="12">
        <f>IF(OR(B211="",O211=""),"",IF(O211&gt;0,IF(P211="Làm việc",WORKDAY(IFERROR(IF(INDEX(SK_D,MATCH(M211,SK_A,0))="",B211,INDEX(SK_D,MATCH(M211,SK_A,0))),B211),O211,HOLI),IFERROR(IF(INDEX(SK_D,MATCH(M211,SK_A,0))="",B211,INDEX(SK_D,MATCH(M211,SK_A,0))),B211)+O211),B211+O211))</f>
        <v/>
      </c>
      <c r="I211" s="13" t="n"/>
      <c r="J211" s="12" t="n"/>
      <c r="K211" s="11" t="n"/>
      <c r="L211" s="27">
        <f>IF(E211="","",IF(I211="Bỏ qua","—",IF(I211="Xong",IF(AND(ISNUMBER(J211),ISNUMBER(H211),J211&gt;H211),"Xong trễ","Xong"),IF(F211="","CHƯA GIAO","")&amp;IF(NOT(ISNUMBER(H211)),"",IF(TODAY()&gt;H211,IF(F211=""," · ","")&amp;"QUÁ HẠN "&amp;(TODAY()-H211)&amp;" ngày",IF(H211-TODAY()&lt;=3,IF(F211=""," · ","")&amp;"Đến hạn "&amp;IF(H211=TODAY(),"hôm nay","trong "&amp;(H211-TODAY())&amp;" ngày"),""))))))</f>
        <v/>
      </c>
      <c r="Q211">
        <f>IF(AND(E211&lt;&gt;"",R211="Có",I211&lt;&gt;"Xong",I211&lt;&gt;"Bỏ qua",ISNUMBER(H211)),H211+ROW()/100000,"")</f>
        <v/>
      </c>
      <c r="R211">
        <f>IF(M211="","",IFERROR(INDEX(SK_L,MATCH(M211,SK_A,0)),""))</f>
        <v/>
      </c>
    </row>
    <row r="212">
      <c r="A212" s="11">
        <f>IF(M212="","",IFERROR(INDEX(SK_B,MATCH(M212,SK_A,0))&amp;"",""))</f>
        <v/>
      </c>
      <c r="B212" s="24">
        <f>IF(M212="","",IFERROR(INDEX(SK_C,MATCH(M212,SK_A,0)),""))</f>
        <v/>
      </c>
      <c r="C212" s="25">
        <f>IF(O212="","",IF(O212=0,"D",IF(O212&lt;0,"D"&amp;O212,"D+"&amp;O212)))</f>
        <v/>
      </c>
      <c r="D212" s="13" t="n"/>
      <c r="E212" s="11" t="n"/>
      <c r="F212" s="26" t="n"/>
      <c r="G212" s="13" t="n"/>
      <c r="H212" s="12">
        <f>IF(OR(B212="",O212=""),"",IF(O212&gt;0,IF(P212="Làm việc",WORKDAY(IFERROR(IF(INDEX(SK_D,MATCH(M212,SK_A,0))="",B212,INDEX(SK_D,MATCH(M212,SK_A,0))),B212),O212,HOLI),IFERROR(IF(INDEX(SK_D,MATCH(M212,SK_A,0))="",B212,INDEX(SK_D,MATCH(M212,SK_A,0))),B212)+O212),B212+O212))</f>
        <v/>
      </c>
      <c r="I212" s="13" t="n"/>
      <c r="J212" s="12" t="n"/>
      <c r="K212" s="11" t="n"/>
      <c r="L212" s="27">
        <f>IF(E212="","",IF(I212="Bỏ qua","—",IF(I212="Xong",IF(AND(ISNUMBER(J212),ISNUMBER(H212),J212&gt;H212),"Xong trễ","Xong"),IF(F212="","CHƯA GIAO","")&amp;IF(NOT(ISNUMBER(H212)),"",IF(TODAY()&gt;H212,IF(F212=""," · ","")&amp;"QUÁ HẠN "&amp;(TODAY()-H212)&amp;" ngày",IF(H212-TODAY()&lt;=3,IF(F212=""," · ","")&amp;"Đến hạn "&amp;IF(H212=TODAY(),"hôm nay","trong "&amp;(H212-TODAY())&amp;" ngày"),""))))))</f>
        <v/>
      </c>
      <c r="Q212">
        <f>IF(AND(E212&lt;&gt;"",R212="Có",I212&lt;&gt;"Xong",I212&lt;&gt;"Bỏ qua",ISNUMBER(H212)),H212+ROW()/100000,"")</f>
        <v/>
      </c>
      <c r="R212">
        <f>IF(M212="","",IFERROR(INDEX(SK_L,MATCH(M212,SK_A,0)),""))</f>
        <v/>
      </c>
    </row>
    <row r="213">
      <c r="A213" s="11">
        <f>IF(M213="","",IFERROR(INDEX(SK_B,MATCH(M213,SK_A,0))&amp;"",""))</f>
        <v/>
      </c>
      <c r="B213" s="24">
        <f>IF(M213="","",IFERROR(INDEX(SK_C,MATCH(M213,SK_A,0)),""))</f>
        <v/>
      </c>
      <c r="C213" s="25">
        <f>IF(O213="","",IF(O213=0,"D",IF(O213&lt;0,"D"&amp;O213,"D+"&amp;O213)))</f>
        <v/>
      </c>
      <c r="D213" s="13" t="n"/>
      <c r="E213" s="11" t="n"/>
      <c r="F213" s="26" t="n"/>
      <c r="G213" s="13" t="n"/>
      <c r="H213" s="12">
        <f>IF(OR(B213="",O213=""),"",IF(O213&gt;0,IF(P213="Làm việc",WORKDAY(IFERROR(IF(INDEX(SK_D,MATCH(M213,SK_A,0))="",B213,INDEX(SK_D,MATCH(M213,SK_A,0))),B213),O213,HOLI),IFERROR(IF(INDEX(SK_D,MATCH(M213,SK_A,0))="",B213,INDEX(SK_D,MATCH(M213,SK_A,0))),B213)+O213),B213+O213))</f>
        <v/>
      </c>
      <c r="I213" s="13" t="n"/>
      <c r="J213" s="12" t="n"/>
      <c r="K213" s="11" t="n"/>
      <c r="L213" s="27">
        <f>IF(E213="","",IF(I213="Bỏ qua","—",IF(I213="Xong",IF(AND(ISNUMBER(J213),ISNUMBER(H213),J213&gt;H213),"Xong trễ","Xong"),IF(F213="","CHƯA GIAO","")&amp;IF(NOT(ISNUMBER(H213)),"",IF(TODAY()&gt;H213,IF(F213=""," · ","")&amp;"QUÁ HẠN "&amp;(TODAY()-H213)&amp;" ngày",IF(H213-TODAY()&lt;=3,IF(F213=""," · ","")&amp;"Đến hạn "&amp;IF(H213=TODAY(),"hôm nay","trong "&amp;(H213-TODAY())&amp;" ngày"),""))))))</f>
        <v/>
      </c>
      <c r="Q213">
        <f>IF(AND(E213&lt;&gt;"",R213="Có",I213&lt;&gt;"Xong",I213&lt;&gt;"Bỏ qua",ISNUMBER(H213)),H213+ROW()/100000,"")</f>
        <v/>
      </c>
      <c r="R213">
        <f>IF(M213="","",IFERROR(INDEX(SK_L,MATCH(M213,SK_A,0)),""))</f>
        <v/>
      </c>
    </row>
    <row r="214">
      <c r="A214" s="11">
        <f>IF(M214="","",IFERROR(INDEX(SK_B,MATCH(M214,SK_A,0))&amp;"",""))</f>
        <v/>
      </c>
      <c r="B214" s="24">
        <f>IF(M214="","",IFERROR(INDEX(SK_C,MATCH(M214,SK_A,0)),""))</f>
        <v/>
      </c>
      <c r="C214" s="25">
        <f>IF(O214="","",IF(O214=0,"D",IF(O214&lt;0,"D"&amp;O214,"D+"&amp;O214)))</f>
        <v/>
      </c>
      <c r="D214" s="13" t="n"/>
      <c r="E214" s="11" t="n"/>
      <c r="F214" s="26" t="n"/>
      <c r="G214" s="13" t="n"/>
      <c r="H214" s="12">
        <f>IF(OR(B214="",O214=""),"",IF(O214&gt;0,IF(P214="Làm việc",WORKDAY(IFERROR(IF(INDEX(SK_D,MATCH(M214,SK_A,0))="",B214,INDEX(SK_D,MATCH(M214,SK_A,0))),B214),O214,HOLI),IFERROR(IF(INDEX(SK_D,MATCH(M214,SK_A,0))="",B214,INDEX(SK_D,MATCH(M214,SK_A,0))),B214)+O214),B214+O214))</f>
        <v/>
      </c>
      <c r="I214" s="13" t="n"/>
      <c r="J214" s="12" t="n"/>
      <c r="K214" s="11" t="n"/>
      <c r="L214" s="27">
        <f>IF(E214="","",IF(I214="Bỏ qua","—",IF(I214="Xong",IF(AND(ISNUMBER(J214),ISNUMBER(H214),J214&gt;H214),"Xong trễ","Xong"),IF(F214="","CHƯA GIAO","")&amp;IF(NOT(ISNUMBER(H214)),"",IF(TODAY()&gt;H214,IF(F214=""," · ","")&amp;"QUÁ HẠN "&amp;(TODAY()-H214)&amp;" ngày",IF(H214-TODAY()&lt;=3,IF(F214=""," · ","")&amp;"Đến hạn "&amp;IF(H214=TODAY(),"hôm nay","trong "&amp;(H214-TODAY())&amp;" ngày"),""))))))</f>
        <v/>
      </c>
      <c r="Q214">
        <f>IF(AND(E214&lt;&gt;"",R214="Có",I214&lt;&gt;"Xong",I214&lt;&gt;"Bỏ qua",ISNUMBER(H214)),H214+ROW()/100000,"")</f>
        <v/>
      </c>
      <c r="R214">
        <f>IF(M214="","",IFERROR(INDEX(SK_L,MATCH(M214,SK_A,0)),""))</f>
        <v/>
      </c>
    </row>
    <row r="215">
      <c r="A215" s="11">
        <f>IF(M215="","",IFERROR(INDEX(SK_B,MATCH(M215,SK_A,0))&amp;"",""))</f>
        <v/>
      </c>
      <c r="B215" s="24">
        <f>IF(M215="","",IFERROR(INDEX(SK_C,MATCH(M215,SK_A,0)),""))</f>
        <v/>
      </c>
      <c r="C215" s="25">
        <f>IF(O215="","",IF(O215=0,"D",IF(O215&lt;0,"D"&amp;O215,"D+"&amp;O215)))</f>
        <v/>
      </c>
      <c r="D215" s="13" t="n"/>
      <c r="E215" s="11" t="n"/>
      <c r="F215" s="26" t="n"/>
      <c r="G215" s="13" t="n"/>
      <c r="H215" s="12">
        <f>IF(OR(B215="",O215=""),"",IF(O215&gt;0,IF(P215="Làm việc",WORKDAY(IFERROR(IF(INDEX(SK_D,MATCH(M215,SK_A,0))="",B215,INDEX(SK_D,MATCH(M215,SK_A,0))),B215),O215,HOLI),IFERROR(IF(INDEX(SK_D,MATCH(M215,SK_A,0))="",B215,INDEX(SK_D,MATCH(M215,SK_A,0))),B215)+O215),B215+O215))</f>
        <v/>
      </c>
      <c r="I215" s="13" t="n"/>
      <c r="J215" s="12" t="n"/>
      <c r="K215" s="11" t="n"/>
      <c r="L215" s="27">
        <f>IF(E215="","",IF(I215="Bỏ qua","—",IF(I215="Xong",IF(AND(ISNUMBER(J215),ISNUMBER(H215),J215&gt;H215),"Xong trễ","Xong"),IF(F215="","CHƯA GIAO","")&amp;IF(NOT(ISNUMBER(H215)),"",IF(TODAY()&gt;H215,IF(F215=""," · ","")&amp;"QUÁ HẠN "&amp;(TODAY()-H215)&amp;" ngày",IF(H215-TODAY()&lt;=3,IF(F215=""," · ","")&amp;"Đến hạn "&amp;IF(H215=TODAY(),"hôm nay","trong "&amp;(H215-TODAY())&amp;" ngày"),""))))))</f>
        <v/>
      </c>
      <c r="Q215">
        <f>IF(AND(E215&lt;&gt;"",R215="Có",I215&lt;&gt;"Xong",I215&lt;&gt;"Bỏ qua",ISNUMBER(H215)),H215+ROW()/100000,"")</f>
        <v/>
      </c>
      <c r="R215">
        <f>IF(M215="","",IFERROR(INDEX(SK_L,MATCH(M215,SK_A,0)),""))</f>
        <v/>
      </c>
    </row>
    <row r="216">
      <c r="A216" s="11">
        <f>IF(M216="","",IFERROR(INDEX(SK_B,MATCH(M216,SK_A,0))&amp;"",""))</f>
        <v/>
      </c>
      <c r="B216" s="24">
        <f>IF(M216="","",IFERROR(INDEX(SK_C,MATCH(M216,SK_A,0)),""))</f>
        <v/>
      </c>
      <c r="C216" s="25">
        <f>IF(O216="","",IF(O216=0,"D",IF(O216&lt;0,"D"&amp;O216,"D+"&amp;O216)))</f>
        <v/>
      </c>
      <c r="D216" s="13" t="n"/>
      <c r="E216" s="11" t="n"/>
      <c r="F216" s="26" t="n"/>
      <c r="G216" s="13" t="n"/>
      <c r="H216" s="12">
        <f>IF(OR(B216="",O216=""),"",IF(O216&gt;0,IF(P216="Làm việc",WORKDAY(IFERROR(IF(INDEX(SK_D,MATCH(M216,SK_A,0))="",B216,INDEX(SK_D,MATCH(M216,SK_A,0))),B216),O216,HOLI),IFERROR(IF(INDEX(SK_D,MATCH(M216,SK_A,0))="",B216,INDEX(SK_D,MATCH(M216,SK_A,0))),B216)+O216),B216+O216))</f>
        <v/>
      </c>
      <c r="I216" s="13" t="n"/>
      <c r="J216" s="12" t="n"/>
      <c r="K216" s="11" t="n"/>
      <c r="L216" s="27">
        <f>IF(E216="","",IF(I216="Bỏ qua","—",IF(I216="Xong",IF(AND(ISNUMBER(J216),ISNUMBER(H216),J216&gt;H216),"Xong trễ","Xong"),IF(F216="","CHƯA GIAO","")&amp;IF(NOT(ISNUMBER(H216)),"",IF(TODAY()&gt;H216,IF(F216=""," · ","")&amp;"QUÁ HẠN "&amp;(TODAY()-H216)&amp;" ngày",IF(H216-TODAY()&lt;=3,IF(F216=""," · ","")&amp;"Đến hạn "&amp;IF(H216=TODAY(),"hôm nay","trong "&amp;(H216-TODAY())&amp;" ngày"),""))))))</f>
        <v/>
      </c>
      <c r="Q216">
        <f>IF(AND(E216&lt;&gt;"",R216="Có",I216&lt;&gt;"Xong",I216&lt;&gt;"Bỏ qua",ISNUMBER(H216)),H216+ROW()/100000,"")</f>
        <v/>
      </c>
      <c r="R216">
        <f>IF(M216="","",IFERROR(INDEX(SK_L,MATCH(M216,SK_A,0)),""))</f>
        <v/>
      </c>
    </row>
    <row r="217">
      <c r="A217" s="11">
        <f>IF(M217="","",IFERROR(INDEX(SK_B,MATCH(M217,SK_A,0))&amp;"",""))</f>
        <v/>
      </c>
      <c r="B217" s="24">
        <f>IF(M217="","",IFERROR(INDEX(SK_C,MATCH(M217,SK_A,0)),""))</f>
        <v/>
      </c>
      <c r="C217" s="25">
        <f>IF(O217="","",IF(O217=0,"D",IF(O217&lt;0,"D"&amp;O217,"D+"&amp;O217)))</f>
        <v/>
      </c>
      <c r="D217" s="13" t="n"/>
      <c r="E217" s="11" t="n"/>
      <c r="F217" s="26" t="n"/>
      <c r="G217" s="13" t="n"/>
      <c r="H217" s="12">
        <f>IF(OR(B217="",O217=""),"",IF(O217&gt;0,IF(P217="Làm việc",WORKDAY(IFERROR(IF(INDEX(SK_D,MATCH(M217,SK_A,0))="",B217,INDEX(SK_D,MATCH(M217,SK_A,0))),B217),O217,HOLI),IFERROR(IF(INDEX(SK_D,MATCH(M217,SK_A,0))="",B217,INDEX(SK_D,MATCH(M217,SK_A,0))),B217)+O217),B217+O217))</f>
        <v/>
      </c>
      <c r="I217" s="13" t="n"/>
      <c r="J217" s="12" t="n"/>
      <c r="K217" s="11" t="n"/>
      <c r="L217" s="27">
        <f>IF(E217="","",IF(I217="Bỏ qua","—",IF(I217="Xong",IF(AND(ISNUMBER(J217),ISNUMBER(H217),J217&gt;H217),"Xong trễ","Xong"),IF(F217="","CHƯA GIAO","")&amp;IF(NOT(ISNUMBER(H217)),"",IF(TODAY()&gt;H217,IF(F217=""," · ","")&amp;"QUÁ HẠN "&amp;(TODAY()-H217)&amp;" ngày",IF(H217-TODAY()&lt;=3,IF(F217=""," · ","")&amp;"Đến hạn "&amp;IF(H217=TODAY(),"hôm nay","trong "&amp;(H217-TODAY())&amp;" ngày"),""))))))</f>
        <v/>
      </c>
      <c r="Q217">
        <f>IF(AND(E217&lt;&gt;"",R217="Có",I217&lt;&gt;"Xong",I217&lt;&gt;"Bỏ qua",ISNUMBER(H217)),H217+ROW()/100000,"")</f>
        <v/>
      </c>
      <c r="R217">
        <f>IF(M217="","",IFERROR(INDEX(SK_L,MATCH(M217,SK_A,0)),""))</f>
        <v/>
      </c>
    </row>
    <row r="218">
      <c r="A218" s="11">
        <f>IF(M218="","",IFERROR(INDEX(SK_B,MATCH(M218,SK_A,0))&amp;"",""))</f>
        <v/>
      </c>
      <c r="B218" s="24">
        <f>IF(M218="","",IFERROR(INDEX(SK_C,MATCH(M218,SK_A,0)),""))</f>
        <v/>
      </c>
      <c r="C218" s="25">
        <f>IF(O218="","",IF(O218=0,"D",IF(O218&lt;0,"D"&amp;O218,"D+"&amp;O218)))</f>
        <v/>
      </c>
      <c r="D218" s="13" t="n"/>
      <c r="E218" s="11" t="n"/>
      <c r="F218" s="26" t="n"/>
      <c r="G218" s="13" t="n"/>
      <c r="H218" s="12">
        <f>IF(OR(B218="",O218=""),"",IF(O218&gt;0,IF(P218="Làm việc",WORKDAY(IFERROR(IF(INDEX(SK_D,MATCH(M218,SK_A,0))="",B218,INDEX(SK_D,MATCH(M218,SK_A,0))),B218),O218,HOLI),IFERROR(IF(INDEX(SK_D,MATCH(M218,SK_A,0))="",B218,INDEX(SK_D,MATCH(M218,SK_A,0))),B218)+O218),B218+O218))</f>
        <v/>
      </c>
      <c r="I218" s="13" t="n"/>
      <c r="J218" s="12" t="n"/>
      <c r="K218" s="11" t="n"/>
      <c r="L218" s="27">
        <f>IF(E218="","",IF(I218="Bỏ qua","—",IF(I218="Xong",IF(AND(ISNUMBER(J218),ISNUMBER(H218),J218&gt;H218),"Xong trễ","Xong"),IF(F218="","CHƯA GIAO","")&amp;IF(NOT(ISNUMBER(H218)),"",IF(TODAY()&gt;H218,IF(F218=""," · ","")&amp;"QUÁ HẠN "&amp;(TODAY()-H218)&amp;" ngày",IF(H218-TODAY()&lt;=3,IF(F218=""," · ","")&amp;"Đến hạn "&amp;IF(H218=TODAY(),"hôm nay","trong "&amp;(H218-TODAY())&amp;" ngày"),""))))))</f>
        <v/>
      </c>
      <c r="Q218">
        <f>IF(AND(E218&lt;&gt;"",R218="Có",I218&lt;&gt;"Xong",I218&lt;&gt;"Bỏ qua",ISNUMBER(H218)),H218+ROW()/100000,"")</f>
        <v/>
      </c>
      <c r="R218">
        <f>IF(M218="","",IFERROR(INDEX(SK_L,MATCH(M218,SK_A,0)),""))</f>
        <v/>
      </c>
    </row>
    <row r="219">
      <c r="A219" s="11">
        <f>IF(M219="","",IFERROR(INDEX(SK_B,MATCH(M219,SK_A,0))&amp;"",""))</f>
        <v/>
      </c>
      <c r="B219" s="24">
        <f>IF(M219="","",IFERROR(INDEX(SK_C,MATCH(M219,SK_A,0)),""))</f>
        <v/>
      </c>
      <c r="C219" s="25">
        <f>IF(O219="","",IF(O219=0,"D",IF(O219&lt;0,"D"&amp;O219,"D+"&amp;O219)))</f>
        <v/>
      </c>
      <c r="D219" s="13" t="n"/>
      <c r="E219" s="11" t="n"/>
      <c r="F219" s="26" t="n"/>
      <c r="G219" s="13" t="n"/>
      <c r="H219" s="12">
        <f>IF(OR(B219="",O219=""),"",IF(O219&gt;0,IF(P219="Làm việc",WORKDAY(IFERROR(IF(INDEX(SK_D,MATCH(M219,SK_A,0))="",B219,INDEX(SK_D,MATCH(M219,SK_A,0))),B219),O219,HOLI),IFERROR(IF(INDEX(SK_D,MATCH(M219,SK_A,0))="",B219,INDEX(SK_D,MATCH(M219,SK_A,0))),B219)+O219),B219+O219))</f>
        <v/>
      </c>
      <c r="I219" s="13" t="n"/>
      <c r="J219" s="12" t="n"/>
      <c r="K219" s="11" t="n"/>
      <c r="L219" s="27">
        <f>IF(E219="","",IF(I219="Bỏ qua","—",IF(I219="Xong",IF(AND(ISNUMBER(J219),ISNUMBER(H219),J219&gt;H219),"Xong trễ","Xong"),IF(F219="","CHƯA GIAO","")&amp;IF(NOT(ISNUMBER(H219)),"",IF(TODAY()&gt;H219,IF(F219=""," · ","")&amp;"QUÁ HẠN "&amp;(TODAY()-H219)&amp;" ngày",IF(H219-TODAY()&lt;=3,IF(F219=""," · ","")&amp;"Đến hạn "&amp;IF(H219=TODAY(),"hôm nay","trong "&amp;(H219-TODAY())&amp;" ngày"),""))))))</f>
        <v/>
      </c>
      <c r="Q219">
        <f>IF(AND(E219&lt;&gt;"",R219="Có",I219&lt;&gt;"Xong",I219&lt;&gt;"Bỏ qua",ISNUMBER(H219)),H219+ROW()/100000,"")</f>
        <v/>
      </c>
      <c r="R219">
        <f>IF(M219="","",IFERROR(INDEX(SK_L,MATCH(M219,SK_A,0)),""))</f>
        <v/>
      </c>
    </row>
    <row r="220">
      <c r="A220" s="11">
        <f>IF(M220="","",IFERROR(INDEX(SK_B,MATCH(M220,SK_A,0))&amp;"",""))</f>
        <v/>
      </c>
      <c r="B220" s="24">
        <f>IF(M220="","",IFERROR(INDEX(SK_C,MATCH(M220,SK_A,0)),""))</f>
        <v/>
      </c>
      <c r="C220" s="25">
        <f>IF(O220="","",IF(O220=0,"D",IF(O220&lt;0,"D"&amp;O220,"D+"&amp;O220)))</f>
        <v/>
      </c>
      <c r="D220" s="13" t="n"/>
      <c r="E220" s="11" t="n"/>
      <c r="F220" s="26" t="n"/>
      <c r="G220" s="13" t="n"/>
      <c r="H220" s="12">
        <f>IF(OR(B220="",O220=""),"",IF(O220&gt;0,IF(P220="Làm việc",WORKDAY(IFERROR(IF(INDEX(SK_D,MATCH(M220,SK_A,0))="",B220,INDEX(SK_D,MATCH(M220,SK_A,0))),B220),O220,HOLI),IFERROR(IF(INDEX(SK_D,MATCH(M220,SK_A,0))="",B220,INDEX(SK_D,MATCH(M220,SK_A,0))),B220)+O220),B220+O220))</f>
        <v/>
      </c>
      <c r="I220" s="13" t="n"/>
      <c r="J220" s="12" t="n"/>
      <c r="K220" s="11" t="n"/>
      <c r="L220" s="27">
        <f>IF(E220="","",IF(I220="Bỏ qua","—",IF(I220="Xong",IF(AND(ISNUMBER(J220),ISNUMBER(H220),J220&gt;H220),"Xong trễ","Xong"),IF(F220="","CHƯA GIAO","")&amp;IF(NOT(ISNUMBER(H220)),"",IF(TODAY()&gt;H220,IF(F220=""," · ","")&amp;"QUÁ HẠN "&amp;(TODAY()-H220)&amp;" ngày",IF(H220-TODAY()&lt;=3,IF(F220=""," · ","")&amp;"Đến hạn "&amp;IF(H220=TODAY(),"hôm nay","trong "&amp;(H220-TODAY())&amp;" ngày"),""))))))</f>
        <v/>
      </c>
      <c r="Q220">
        <f>IF(AND(E220&lt;&gt;"",R220="Có",I220&lt;&gt;"Xong",I220&lt;&gt;"Bỏ qua",ISNUMBER(H220)),H220+ROW()/100000,"")</f>
        <v/>
      </c>
      <c r="R220">
        <f>IF(M220="","",IFERROR(INDEX(SK_L,MATCH(M220,SK_A,0)),""))</f>
        <v/>
      </c>
    </row>
    <row r="221">
      <c r="A221" s="11">
        <f>IF(M221="","",IFERROR(INDEX(SK_B,MATCH(M221,SK_A,0))&amp;"",""))</f>
        <v/>
      </c>
      <c r="B221" s="24">
        <f>IF(M221="","",IFERROR(INDEX(SK_C,MATCH(M221,SK_A,0)),""))</f>
        <v/>
      </c>
      <c r="C221" s="25">
        <f>IF(O221="","",IF(O221=0,"D",IF(O221&lt;0,"D"&amp;O221,"D+"&amp;O221)))</f>
        <v/>
      </c>
      <c r="D221" s="13" t="n"/>
      <c r="E221" s="11" t="n"/>
      <c r="F221" s="26" t="n"/>
      <c r="G221" s="13" t="n"/>
      <c r="H221" s="12">
        <f>IF(OR(B221="",O221=""),"",IF(O221&gt;0,IF(P221="Làm việc",WORKDAY(IFERROR(IF(INDEX(SK_D,MATCH(M221,SK_A,0))="",B221,INDEX(SK_D,MATCH(M221,SK_A,0))),B221),O221,HOLI),IFERROR(IF(INDEX(SK_D,MATCH(M221,SK_A,0))="",B221,INDEX(SK_D,MATCH(M221,SK_A,0))),B221)+O221),B221+O221))</f>
        <v/>
      </c>
      <c r="I221" s="13" t="n"/>
      <c r="J221" s="12" t="n"/>
      <c r="K221" s="11" t="n"/>
      <c r="L221" s="27">
        <f>IF(E221="","",IF(I221="Bỏ qua","—",IF(I221="Xong",IF(AND(ISNUMBER(J221),ISNUMBER(H221),J221&gt;H221),"Xong trễ","Xong"),IF(F221="","CHƯA GIAO","")&amp;IF(NOT(ISNUMBER(H221)),"",IF(TODAY()&gt;H221,IF(F221=""," · ","")&amp;"QUÁ HẠN "&amp;(TODAY()-H221)&amp;" ngày",IF(H221-TODAY()&lt;=3,IF(F221=""," · ","")&amp;"Đến hạn "&amp;IF(H221=TODAY(),"hôm nay","trong "&amp;(H221-TODAY())&amp;" ngày"),""))))))</f>
        <v/>
      </c>
      <c r="Q221">
        <f>IF(AND(E221&lt;&gt;"",R221="Có",I221&lt;&gt;"Xong",I221&lt;&gt;"Bỏ qua",ISNUMBER(H221)),H221+ROW()/100000,"")</f>
        <v/>
      </c>
      <c r="R221">
        <f>IF(M221="","",IFERROR(INDEX(SK_L,MATCH(M221,SK_A,0)),""))</f>
        <v/>
      </c>
    </row>
    <row r="222">
      <c r="A222" s="11">
        <f>IF(M222="","",IFERROR(INDEX(SK_B,MATCH(M222,SK_A,0))&amp;"",""))</f>
        <v/>
      </c>
      <c r="B222" s="24">
        <f>IF(M222="","",IFERROR(INDEX(SK_C,MATCH(M222,SK_A,0)),""))</f>
        <v/>
      </c>
      <c r="C222" s="25">
        <f>IF(O222="","",IF(O222=0,"D",IF(O222&lt;0,"D"&amp;O222,"D+"&amp;O222)))</f>
        <v/>
      </c>
      <c r="D222" s="13" t="n"/>
      <c r="E222" s="11" t="n"/>
      <c r="F222" s="26" t="n"/>
      <c r="G222" s="13" t="n"/>
      <c r="H222" s="12">
        <f>IF(OR(B222="",O222=""),"",IF(O222&gt;0,IF(P222="Làm việc",WORKDAY(IFERROR(IF(INDEX(SK_D,MATCH(M222,SK_A,0))="",B222,INDEX(SK_D,MATCH(M222,SK_A,0))),B222),O222,HOLI),IFERROR(IF(INDEX(SK_D,MATCH(M222,SK_A,0))="",B222,INDEX(SK_D,MATCH(M222,SK_A,0))),B222)+O222),B222+O222))</f>
        <v/>
      </c>
      <c r="I222" s="13" t="n"/>
      <c r="J222" s="12" t="n"/>
      <c r="K222" s="11" t="n"/>
      <c r="L222" s="27">
        <f>IF(E222="","",IF(I222="Bỏ qua","—",IF(I222="Xong",IF(AND(ISNUMBER(J222),ISNUMBER(H222),J222&gt;H222),"Xong trễ","Xong"),IF(F222="","CHƯA GIAO","")&amp;IF(NOT(ISNUMBER(H222)),"",IF(TODAY()&gt;H222,IF(F222=""," · ","")&amp;"QUÁ HẠN "&amp;(TODAY()-H222)&amp;" ngày",IF(H222-TODAY()&lt;=3,IF(F222=""," · ","")&amp;"Đến hạn "&amp;IF(H222=TODAY(),"hôm nay","trong "&amp;(H222-TODAY())&amp;" ngày"),""))))))</f>
        <v/>
      </c>
      <c r="Q222">
        <f>IF(AND(E222&lt;&gt;"",R222="Có",I222&lt;&gt;"Xong",I222&lt;&gt;"Bỏ qua",ISNUMBER(H222)),H222+ROW()/100000,"")</f>
        <v/>
      </c>
      <c r="R222">
        <f>IF(M222="","",IFERROR(INDEX(SK_L,MATCH(M222,SK_A,0)),""))</f>
        <v/>
      </c>
    </row>
    <row r="223">
      <c r="A223" s="11">
        <f>IF(M223="","",IFERROR(INDEX(SK_B,MATCH(M223,SK_A,0))&amp;"",""))</f>
        <v/>
      </c>
      <c r="B223" s="24">
        <f>IF(M223="","",IFERROR(INDEX(SK_C,MATCH(M223,SK_A,0)),""))</f>
        <v/>
      </c>
      <c r="C223" s="25">
        <f>IF(O223="","",IF(O223=0,"D",IF(O223&lt;0,"D"&amp;O223,"D+"&amp;O223)))</f>
        <v/>
      </c>
      <c r="D223" s="13" t="n"/>
      <c r="E223" s="11" t="n"/>
      <c r="F223" s="26" t="n"/>
      <c r="G223" s="13" t="n"/>
      <c r="H223" s="12">
        <f>IF(OR(B223="",O223=""),"",IF(O223&gt;0,IF(P223="Làm việc",WORKDAY(IFERROR(IF(INDEX(SK_D,MATCH(M223,SK_A,0))="",B223,INDEX(SK_D,MATCH(M223,SK_A,0))),B223),O223,HOLI),IFERROR(IF(INDEX(SK_D,MATCH(M223,SK_A,0))="",B223,INDEX(SK_D,MATCH(M223,SK_A,0))),B223)+O223),B223+O223))</f>
        <v/>
      </c>
      <c r="I223" s="13" t="n"/>
      <c r="J223" s="12" t="n"/>
      <c r="K223" s="11" t="n"/>
      <c r="L223" s="27">
        <f>IF(E223="","",IF(I223="Bỏ qua","—",IF(I223="Xong",IF(AND(ISNUMBER(J223),ISNUMBER(H223),J223&gt;H223),"Xong trễ","Xong"),IF(F223="","CHƯA GIAO","")&amp;IF(NOT(ISNUMBER(H223)),"",IF(TODAY()&gt;H223,IF(F223=""," · ","")&amp;"QUÁ HẠN "&amp;(TODAY()-H223)&amp;" ngày",IF(H223-TODAY()&lt;=3,IF(F223=""," · ","")&amp;"Đến hạn "&amp;IF(H223=TODAY(),"hôm nay","trong "&amp;(H223-TODAY())&amp;" ngày"),""))))))</f>
        <v/>
      </c>
      <c r="Q223">
        <f>IF(AND(E223&lt;&gt;"",R223="Có",I223&lt;&gt;"Xong",I223&lt;&gt;"Bỏ qua",ISNUMBER(H223)),H223+ROW()/100000,"")</f>
        <v/>
      </c>
      <c r="R223">
        <f>IF(M223="","",IFERROR(INDEX(SK_L,MATCH(M223,SK_A,0)),""))</f>
        <v/>
      </c>
    </row>
    <row r="224">
      <c r="A224" s="11">
        <f>IF(M224="","",IFERROR(INDEX(SK_B,MATCH(M224,SK_A,0))&amp;"",""))</f>
        <v/>
      </c>
      <c r="B224" s="24">
        <f>IF(M224="","",IFERROR(INDEX(SK_C,MATCH(M224,SK_A,0)),""))</f>
        <v/>
      </c>
      <c r="C224" s="25">
        <f>IF(O224="","",IF(O224=0,"D",IF(O224&lt;0,"D"&amp;O224,"D+"&amp;O224)))</f>
        <v/>
      </c>
      <c r="D224" s="13" t="n"/>
      <c r="E224" s="11" t="n"/>
      <c r="F224" s="26" t="n"/>
      <c r="G224" s="13" t="n"/>
      <c r="H224" s="12">
        <f>IF(OR(B224="",O224=""),"",IF(O224&gt;0,IF(P224="Làm việc",WORKDAY(IFERROR(IF(INDEX(SK_D,MATCH(M224,SK_A,0))="",B224,INDEX(SK_D,MATCH(M224,SK_A,0))),B224),O224,HOLI),IFERROR(IF(INDEX(SK_D,MATCH(M224,SK_A,0))="",B224,INDEX(SK_D,MATCH(M224,SK_A,0))),B224)+O224),B224+O224))</f>
        <v/>
      </c>
      <c r="I224" s="13" t="n"/>
      <c r="J224" s="12" t="n"/>
      <c r="K224" s="11" t="n"/>
      <c r="L224" s="27">
        <f>IF(E224="","",IF(I224="Bỏ qua","—",IF(I224="Xong",IF(AND(ISNUMBER(J224),ISNUMBER(H224),J224&gt;H224),"Xong trễ","Xong"),IF(F224="","CHƯA GIAO","")&amp;IF(NOT(ISNUMBER(H224)),"",IF(TODAY()&gt;H224,IF(F224=""," · ","")&amp;"QUÁ HẠN "&amp;(TODAY()-H224)&amp;" ngày",IF(H224-TODAY()&lt;=3,IF(F224=""," · ","")&amp;"Đến hạn "&amp;IF(H224=TODAY(),"hôm nay","trong "&amp;(H224-TODAY())&amp;" ngày"),""))))))</f>
        <v/>
      </c>
      <c r="Q224">
        <f>IF(AND(E224&lt;&gt;"",R224="Có",I224&lt;&gt;"Xong",I224&lt;&gt;"Bỏ qua",ISNUMBER(H224)),H224+ROW()/100000,"")</f>
        <v/>
      </c>
      <c r="R224">
        <f>IF(M224="","",IFERROR(INDEX(SK_L,MATCH(M224,SK_A,0)),""))</f>
        <v/>
      </c>
    </row>
    <row r="225">
      <c r="A225" s="11">
        <f>IF(M225="","",IFERROR(INDEX(SK_B,MATCH(M225,SK_A,0))&amp;"",""))</f>
        <v/>
      </c>
      <c r="B225" s="24">
        <f>IF(M225="","",IFERROR(INDEX(SK_C,MATCH(M225,SK_A,0)),""))</f>
        <v/>
      </c>
      <c r="C225" s="25">
        <f>IF(O225="","",IF(O225=0,"D",IF(O225&lt;0,"D"&amp;O225,"D+"&amp;O225)))</f>
        <v/>
      </c>
      <c r="D225" s="13" t="n"/>
      <c r="E225" s="11" t="n"/>
      <c r="F225" s="26" t="n"/>
      <c r="G225" s="13" t="n"/>
      <c r="H225" s="12">
        <f>IF(OR(B225="",O225=""),"",IF(O225&gt;0,IF(P225="Làm việc",WORKDAY(IFERROR(IF(INDEX(SK_D,MATCH(M225,SK_A,0))="",B225,INDEX(SK_D,MATCH(M225,SK_A,0))),B225),O225,HOLI),IFERROR(IF(INDEX(SK_D,MATCH(M225,SK_A,0))="",B225,INDEX(SK_D,MATCH(M225,SK_A,0))),B225)+O225),B225+O225))</f>
        <v/>
      </c>
      <c r="I225" s="13" t="n"/>
      <c r="J225" s="12" t="n"/>
      <c r="K225" s="11" t="n"/>
      <c r="L225" s="27">
        <f>IF(E225="","",IF(I225="Bỏ qua","—",IF(I225="Xong",IF(AND(ISNUMBER(J225),ISNUMBER(H225),J225&gt;H225),"Xong trễ","Xong"),IF(F225="","CHƯA GIAO","")&amp;IF(NOT(ISNUMBER(H225)),"",IF(TODAY()&gt;H225,IF(F225=""," · ","")&amp;"QUÁ HẠN "&amp;(TODAY()-H225)&amp;" ngày",IF(H225-TODAY()&lt;=3,IF(F225=""," · ","")&amp;"Đến hạn "&amp;IF(H225=TODAY(),"hôm nay","trong "&amp;(H225-TODAY())&amp;" ngày"),""))))))</f>
        <v/>
      </c>
      <c r="Q225">
        <f>IF(AND(E225&lt;&gt;"",R225="Có",I225&lt;&gt;"Xong",I225&lt;&gt;"Bỏ qua",ISNUMBER(H225)),H225+ROW()/100000,"")</f>
        <v/>
      </c>
      <c r="R225">
        <f>IF(M225="","",IFERROR(INDEX(SK_L,MATCH(M225,SK_A,0)),""))</f>
        <v/>
      </c>
    </row>
    <row r="226">
      <c r="A226" s="11">
        <f>IF(M226="","",IFERROR(INDEX(SK_B,MATCH(M226,SK_A,0))&amp;"",""))</f>
        <v/>
      </c>
      <c r="B226" s="24">
        <f>IF(M226="","",IFERROR(INDEX(SK_C,MATCH(M226,SK_A,0)),""))</f>
        <v/>
      </c>
      <c r="C226" s="25">
        <f>IF(O226="","",IF(O226=0,"D",IF(O226&lt;0,"D"&amp;O226,"D+"&amp;O226)))</f>
        <v/>
      </c>
      <c r="D226" s="13" t="n"/>
      <c r="E226" s="11" t="n"/>
      <c r="F226" s="26" t="n"/>
      <c r="G226" s="13" t="n"/>
      <c r="H226" s="12">
        <f>IF(OR(B226="",O226=""),"",IF(O226&gt;0,IF(P226="Làm việc",WORKDAY(IFERROR(IF(INDEX(SK_D,MATCH(M226,SK_A,0))="",B226,INDEX(SK_D,MATCH(M226,SK_A,0))),B226),O226,HOLI),IFERROR(IF(INDEX(SK_D,MATCH(M226,SK_A,0))="",B226,INDEX(SK_D,MATCH(M226,SK_A,0))),B226)+O226),B226+O226))</f>
        <v/>
      </c>
      <c r="I226" s="13" t="n"/>
      <c r="J226" s="12" t="n"/>
      <c r="K226" s="11" t="n"/>
      <c r="L226" s="27">
        <f>IF(E226="","",IF(I226="Bỏ qua","—",IF(I226="Xong",IF(AND(ISNUMBER(J226),ISNUMBER(H226),J226&gt;H226),"Xong trễ","Xong"),IF(F226="","CHƯA GIAO","")&amp;IF(NOT(ISNUMBER(H226)),"",IF(TODAY()&gt;H226,IF(F226=""," · ","")&amp;"QUÁ HẠN "&amp;(TODAY()-H226)&amp;" ngày",IF(H226-TODAY()&lt;=3,IF(F226=""," · ","")&amp;"Đến hạn "&amp;IF(H226=TODAY(),"hôm nay","trong "&amp;(H226-TODAY())&amp;" ngày"),""))))))</f>
        <v/>
      </c>
      <c r="Q226">
        <f>IF(AND(E226&lt;&gt;"",R226="Có",I226&lt;&gt;"Xong",I226&lt;&gt;"Bỏ qua",ISNUMBER(H226)),H226+ROW()/100000,"")</f>
        <v/>
      </c>
      <c r="R226">
        <f>IF(M226="","",IFERROR(INDEX(SK_L,MATCH(M226,SK_A,0)),""))</f>
        <v/>
      </c>
    </row>
    <row r="227">
      <c r="A227" s="11">
        <f>IF(M227="","",IFERROR(INDEX(SK_B,MATCH(M227,SK_A,0))&amp;"",""))</f>
        <v/>
      </c>
      <c r="B227" s="24">
        <f>IF(M227="","",IFERROR(INDEX(SK_C,MATCH(M227,SK_A,0)),""))</f>
        <v/>
      </c>
      <c r="C227" s="25">
        <f>IF(O227="","",IF(O227=0,"D",IF(O227&lt;0,"D"&amp;O227,"D+"&amp;O227)))</f>
        <v/>
      </c>
      <c r="D227" s="13" t="n"/>
      <c r="E227" s="11" t="n"/>
      <c r="F227" s="26" t="n"/>
      <c r="G227" s="13" t="n"/>
      <c r="H227" s="12">
        <f>IF(OR(B227="",O227=""),"",IF(O227&gt;0,IF(P227="Làm việc",WORKDAY(IFERROR(IF(INDEX(SK_D,MATCH(M227,SK_A,0))="",B227,INDEX(SK_D,MATCH(M227,SK_A,0))),B227),O227,HOLI),IFERROR(IF(INDEX(SK_D,MATCH(M227,SK_A,0))="",B227,INDEX(SK_D,MATCH(M227,SK_A,0))),B227)+O227),B227+O227))</f>
        <v/>
      </c>
      <c r="I227" s="13" t="n"/>
      <c r="J227" s="12" t="n"/>
      <c r="K227" s="11" t="n"/>
      <c r="L227" s="27">
        <f>IF(E227="","",IF(I227="Bỏ qua","—",IF(I227="Xong",IF(AND(ISNUMBER(J227),ISNUMBER(H227),J227&gt;H227),"Xong trễ","Xong"),IF(F227="","CHƯA GIAO","")&amp;IF(NOT(ISNUMBER(H227)),"",IF(TODAY()&gt;H227,IF(F227=""," · ","")&amp;"QUÁ HẠN "&amp;(TODAY()-H227)&amp;" ngày",IF(H227-TODAY()&lt;=3,IF(F227=""," · ","")&amp;"Đến hạn "&amp;IF(H227=TODAY(),"hôm nay","trong "&amp;(H227-TODAY())&amp;" ngày"),""))))))</f>
        <v/>
      </c>
      <c r="Q227">
        <f>IF(AND(E227&lt;&gt;"",R227="Có",I227&lt;&gt;"Xong",I227&lt;&gt;"Bỏ qua",ISNUMBER(H227)),H227+ROW()/100000,"")</f>
        <v/>
      </c>
      <c r="R227">
        <f>IF(M227="","",IFERROR(INDEX(SK_L,MATCH(M227,SK_A,0)),""))</f>
        <v/>
      </c>
    </row>
    <row r="228">
      <c r="A228" s="11">
        <f>IF(M228="","",IFERROR(INDEX(SK_B,MATCH(M228,SK_A,0))&amp;"",""))</f>
        <v/>
      </c>
      <c r="B228" s="24">
        <f>IF(M228="","",IFERROR(INDEX(SK_C,MATCH(M228,SK_A,0)),""))</f>
        <v/>
      </c>
      <c r="C228" s="25">
        <f>IF(O228="","",IF(O228=0,"D",IF(O228&lt;0,"D"&amp;O228,"D+"&amp;O228)))</f>
        <v/>
      </c>
      <c r="D228" s="13" t="n"/>
      <c r="E228" s="11" t="n"/>
      <c r="F228" s="26" t="n"/>
      <c r="G228" s="13" t="n"/>
      <c r="H228" s="12">
        <f>IF(OR(B228="",O228=""),"",IF(O228&gt;0,IF(P228="Làm việc",WORKDAY(IFERROR(IF(INDEX(SK_D,MATCH(M228,SK_A,0))="",B228,INDEX(SK_D,MATCH(M228,SK_A,0))),B228),O228,HOLI),IFERROR(IF(INDEX(SK_D,MATCH(M228,SK_A,0))="",B228,INDEX(SK_D,MATCH(M228,SK_A,0))),B228)+O228),B228+O228))</f>
        <v/>
      </c>
      <c r="I228" s="13" t="n"/>
      <c r="J228" s="12" t="n"/>
      <c r="K228" s="11" t="n"/>
      <c r="L228" s="27">
        <f>IF(E228="","",IF(I228="Bỏ qua","—",IF(I228="Xong",IF(AND(ISNUMBER(J228),ISNUMBER(H228),J228&gt;H228),"Xong trễ","Xong"),IF(F228="","CHƯA GIAO","")&amp;IF(NOT(ISNUMBER(H228)),"",IF(TODAY()&gt;H228,IF(F228=""," · ","")&amp;"QUÁ HẠN "&amp;(TODAY()-H228)&amp;" ngày",IF(H228-TODAY()&lt;=3,IF(F228=""," · ","")&amp;"Đến hạn "&amp;IF(H228=TODAY(),"hôm nay","trong "&amp;(H228-TODAY())&amp;" ngày"),""))))))</f>
        <v/>
      </c>
      <c r="Q228">
        <f>IF(AND(E228&lt;&gt;"",R228="Có",I228&lt;&gt;"Xong",I228&lt;&gt;"Bỏ qua",ISNUMBER(H228)),H228+ROW()/100000,"")</f>
        <v/>
      </c>
      <c r="R228">
        <f>IF(M228="","",IFERROR(INDEX(SK_L,MATCH(M228,SK_A,0)),""))</f>
        <v/>
      </c>
    </row>
    <row r="229">
      <c r="A229" s="11">
        <f>IF(M229="","",IFERROR(INDEX(SK_B,MATCH(M229,SK_A,0))&amp;"",""))</f>
        <v/>
      </c>
      <c r="B229" s="24">
        <f>IF(M229="","",IFERROR(INDEX(SK_C,MATCH(M229,SK_A,0)),""))</f>
        <v/>
      </c>
      <c r="C229" s="25">
        <f>IF(O229="","",IF(O229=0,"D",IF(O229&lt;0,"D"&amp;O229,"D+"&amp;O229)))</f>
        <v/>
      </c>
      <c r="D229" s="13" t="n"/>
      <c r="E229" s="11" t="n"/>
      <c r="F229" s="26" t="n"/>
      <c r="G229" s="13" t="n"/>
      <c r="H229" s="12">
        <f>IF(OR(B229="",O229=""),"",IF(O229&gt;0,IF(P229="Làm việc",WORKDAY(IFERROR(IF(INDEX(SK_D,MATCH(M229,SK_A,0))="",B229,INDEX(SK_D,MATCH(M229,SK_A,0))),B229),O229,HOLI),IFERROR(IF(INDEX(SK_D,MATCH(M229,SK_A,0))="",B229,INDEX(SK_D,MATCH(M229,SK_A,0))),B229)+O229),B229+O229))</f>
        <v/>
      </c>
      <c r="I229" s="13" t="n"/>
      <c r="J229" s="12" t="n"/>
      <c r="K229" s="11" t="n"/>
      <c r="L229" s="27">
        <f>IF(E229="","",IF(I229="Bỏ qua","—",IF(I229="Xong",IF(AND(ISNUMBER(J229),ISNUMBER(H229),J229&gt;H229),"Xong trễ","Xong"),IF(F229="","CHƯA GIAO","")&amp;IF(NOT(ISNUMBER(H229)),"",IF(TODAY()&gt;H229,IF(F229=""," · ","")&amp;"QUÁ HẠN "&amp;(TODAY()-H229)&amp;" ngày",IF(H229-TODAY()&lt;=3,IF(F229=""," · ","")&amp;"Đến hạn "&amp;IF(H229=TODAY(),"hôm nay","trong "&amp;(H229-TODAY())&amp;" ngày"),""))))))</f>
        <v/>
      </c>
      <c r="Q229">
        <f>IF(AND(E229&lt;&gt;"",R229="Có",I229&lt;&gt;"Xong",I229&lt;&gt;"Bỏ qua",ISNUMBER(H229)),H229+ROW()/100000,"")</f>
        <v/>
      </c>
      <c r="R229">
        <f>IF(M229="","",IFERROR(INDEX(SK_L,MATCH(M229,SK_A,0)),""))</f>
        <v/>
      </c>
    </row>
    <row r="230">
      <c r="A230" s="11">
        <f>IF(M230="","",IFERROR(INDEX(SK_B,MATCH(M230,SK_A,0))&amp;"",""))</f>
        <v/>
      </c>
      <c r="B230" s="24">
        <f>IF(M230="","",IFERROR(INDEX(SK_C,MATCH(M230,SK_A,0)),""))</f>
        <v/>
      </c>
      <c r="C230" s="25">
        <f>IF(O230="","",IF(O230=0,"D",IF(O230&lt;0,"D"&amp;O230,"D+"&amp;O230)))</f>
        <v/>
      </c>
      <c r="D230" s="13" t="n"/>
      <c r="E230" s="11" t="n"/>
      <c r="F230" s="26" t="n"/>
      <c r="G230" s="13" t="n"/>
      <c r="H230" s="12">
        <f>IF(OR(B230="",O230=""),"",IF(O230&gt;0,IF(P230="Làm việc",WORKDAY(IFERROR(IF(INDEX(SK_D,MATCH(M230,SK_A,0))="",B230,INDEX(SK_D,MATCH(M230,SK_A,0))),B230),O230,HOLI),IFERROR(IF(INDEX(SK_D,MATCH(M230,SK_A,0))="",B230,INDEX(SK_D,MATCH(M230,SK_A,0))),B230)+O230),B230+O230))</f>
        <v/>
      </c>
      <c r="I230" s="13" t="n"/>
      <c r="J230" s="12" t="n"/>
      <c r="K230" s="11" t="n"/>
      <c r="L230" s="27">
        <f>IF(E230="","",IF(I230="Bỏ qua","—",IF(I230="Xong",IF(AND(ISNUMBER(J230),ISNUMBER(H230),J230&gt;H230),"Xong trễ","Xong"),IF(F230="","CHƯA GIAO","")&amp;IF(NOT(ISNUMBER(H230)),"",IF(TODAY()&gt;H230,IF(F230=""," · ","")&amp;"QUÁ HẠN "&amp;(TODAY()-H230)&amp;" ngày",IF(H230-TODAY()&lt;=3,IF(F230=""," · ","")&amp;"Đến hạn "&amp;IF(H230=TODAY(),"hôm nay","trong "&amp;(H230-TODAY())&amp;" ngày"),""))))))</f>
        <v/>
      </c>
      <c r="Q230">
        <f>IF(AND(E230&lt;&gt;"",R230="Có",I230&lt;&gt;"Xong",I230&lt;&gt;"Bỏ qua",ISNUMBER(H230)),H230+ROW()/100000,"")</f>
        <v/>
      </c>
      <c r="R230">
        <f>IF(M230="","",IFERROR(INDEX(SK_L,MATCH(M230,SK_A,0)),""))</f>
        <v/>
      </c>
    </row>
    <row r="231">
      <c r="A231" s="11">
        <f>IF(M231="","",IFERROR(INDEX(SK_B,MATCH(M231,SK_A,0))&amp;"",""))</f>
        <v/>
      </c>
      <c r="B231" s="24">
        <f>IF(M231="","",IFERROR(INDEX(SK_C,MATCH(M231,SK_A,0)),""))</f>
        <v/>
      </c>
      <c r="C231" s="25">
        <f>IF(O231="","",IF(O231=0,"D",IF(O231&lt;0,"D"&amp;O231,"D+"&amp;O231)))</f>
        <v/>
      </c>
      <c r="D231" s="13" t="n"/>
      <c r="E231" s="11" t="n"/>
      <c r="F231" s="26" t="n"/>
      <c r="G231" s="13" t="n"/>
      <c r="H231" s="12">
        <f>IF(OR(B231="",O231=""),"",IF(O231&gt;0,IF(P231="Làm việc",WORKDAY(IFERROR(IF(INDEX(SK_D,MATCH(M231,SK_A,0))="",B231,INDEX(SK_D,MATCH(M231,SK_A,0))),B231),O231,HOLI),IFERROR(IF(INDEX(SK_D,MATCH(M231,SK_A,0))="",B231,INDEX(SK_D,MATCH(M231,SK_A,0))),B231)+O231),B231+O231))</f>
        <v/>
      </c>
      <c r="I231" s="13" t="n"/>
      <c r="J231" s="12" t="n"/>
      <c r="K231" s="11" t="n"/>
      <c r="L231" s="27">
        <f>IF(E231="","",IF(I231="Bỏ qua","—",IF(I231="Xong",IF(AND(ISNUMBER(J231),ISNUMBER(H231),J231&gt;H231),"Xong trễ","Xong"),IF(F231="","CHƯA GIAO","")&amp;IF(NOT(ISNUMBER(H231)),"",IF(TODAY()&gt;H231,IF(F231=""," · ","")&amp;"QUÁ HẠN "&amp;(TODAY()-H231)&amp;" ngày",IF(H231-TODAY()&lt;=3,IF(F231=""," · ","")&amp;"Đến hạn "&amp;IF(H231=TODAY(),"hôm nay","trong "&amp;(H231-TODAY())&amp;" ngày"),""))))))</f>
        <v/>
      </c>
      <c r="Q231">
        <f>IF(AND(E231&lt;&gt;"",R231="Có",I231&lt;&gt;"Xong",I231&lt;&gt;"Bỏ qua",ISNUMBER(H231)),H231+ROW()/100000,"")</f>
        <v/>
      </c>
      <c r="R231">
        <f>IF(M231="","",IFERROR(INDEX(SK_L,MATCH(M231,SK_A,0)),""))</f>
        <v/>
      </c>
    </row>
    <row r="232">
      <c r="A232" s="11">
        <f>IF(M232="","",IFERROR(INDEX(SK_B,MATCH(M232,SK_A,0))&amp;"",""))</f>
        <v/>
      </c>
      <c r="B232" s="24">
        <f>IF(M232="","",IFERROR(INDEX(SK_C,MATCH(M232,SK_A,0)),""))</f>
        <v/>
      </c>
      <c r="C232" s="25">
        <f>IF(O232="","",IF(O232=0,"D",IF(O232&lt;0,"D"&amp;O232,"D+"&amp;O232)))</f>
        <v/>
      </c>
      <c r="D232" s="13" t="n"/>
      <c r="E232" s="11" t="n"/>
      <c r="F232" s="26" t="n"/>
      <c r="G232" s="13" t="n"/>
      <c r="H232" s="12">
        <f>IF(OR(B232="",O232=""),"",IF(O232&gt;0,IF(P232="Làm việc",WORKDAY(IFERROR(IF(INDEX(SK_D,MATCH(M232,SK_A,0))="",B232,INDEX(SK_D,MATCH(M232,SK_A,0))),B232),O232,HOLI),IFERROR(IF(INDEX(SK_D,MATCH(M232,SK_A,0))="",B232,INDEX(SK_D,MATCH(M232,SK_A,0))),B232)+O232),B232+O232))</f>
        <v/>
      </c>
      <c r="I232" s="13" t="n"/>
      <c r="J232" s="12" t="n"/>
      <c r="K232" s="11" t="n"/>
      <c r="L232" s="27">
        <f>IF(E232="","",IF(I232="Bỏ qua","—",IF(I232="Xong",IF(AND(ISNUMBER(J232),ISNUMBER(H232),J232&gt;H232),"Xong trễ","Xong"),IF(F232="","CHƯA GIAO","")&amp;IF(NOT(ISNUMBER(H232)),"",IF(TODAY()&gt;H232,IF(F232=""," · ","")&amp;"QUÁ HẠN "&amp;(TODAY()-H232)&amp;" ngày",IF(H232-TODAY()&lt;=3,IF(F232=""," · ","")&amp;"Đến hạn "&amp;IF(H232=TODAY(),"hôm nay","trong "&amp;(H232-TODAY())&amp;" ngày"),""))))))</f>
        <v/>
      </c>
      <c r="Q232">
        <f>IF(AND(E232&lt;&gt;"",R232="Có",I232&lt;&gt;"Xong",I232&lt;&gt;"Bỏ qua",ISNUMBER(H232)),H232+ROW()/100000,"")</f>
        <v/>
      </c>
      <c r="R232">
        <f>IF(M232="","",IFERROR(INDEX(SK_L,MATCH(M232,SK_A,0)),""))</f>
        <v/>
      </c>
    </row>
    <row r="233">
      <c r="A233" s="11">
        <f>IF(M233="","",IFERROR(INDEX(SK_B,MATCH(M233,SK_A,0))&amp;"",""))</f>
        <v/>
      </c>
      <c r="B233" s="24">
        <f>IF(M233="","",IFERROR(INDEX(SK_C,MATCH(M233,SK_A,0)),""))</f>
        <v/>
      </c>
      <c r="C233" s="25">
        <f>IF(O233="","",IF(O233=0,"D",IF(O233&lt;0,"D"&amp;O233,"D+"&amp;O233)))</f>
        <v/>
      </c>
      <c r="D233" s="13" t="n"/>
      <c r="E233" s="11" t="n"/>
      <c r="F233" s="26" t="n"/>
      <c r="G233" s="13" t="n"/>
      <c r="H233" s="12">
        <f>IF(OR(B233="",O233=""),"",IF(O233&gt;0,IF(P233="Làm việc",WORKDAY(IFERROR(IF(INDEX(SK_D,MATCH(M233,SK_A,0))="",B233,INDEX(SK_D,MATCH(M233,SK_A,0))),B233),O233,HOLI),IFERROR(IF(INDEX(SK_D,MATCH(M233,SK_A,0))="",B233,INDEX(SK_D,MATCH(M233,SK_A,0))),B233)+O233),B233+O233))</f>
        <v/>
      </c>
      <c r="I233" s="13" t="n"/>
      <c r="J233" s="12" t="n"/>
      <c r="K233" s="11" t="n"/>
      <c r="L233" s="27">
        <f>IF(E233="","",IF(I233="Bỏ qua","—",IF(I233="Xong",IF(AND(ISNUMBER(J233),ISNUMBER(H233),J233&gt;H233),"Xong trễ","Xong"),IF(F233="","CHƯA GIAO","")&amp;IF(NOT(ISNUMBER(H233)),"",IF(TODAY()&gt;H233,IF(F233=""," · ","")&amp;"QUÁ HẠN "&amp;(TODAY()-H233)&amp;" ngày",IF(H233-TODAY()&lt;=3,IF(F233=""," · ","")&amp;"Đến hạn "&amp;IF(H233=TODAY(),"hôm nay","trong "&amp;(H233-TODAY())&amp;" ngày"),""))))))</f>
        <v/>
      </c>
      <c r="Q233">
        <f>IF(AND(E233&lt;&gt;"",R233="Có",I233&lt;&gt;"Xong",I233&lt;&gt;"Bỏ qua",ISNUMBER(H233)),H233+ROW()/100000,"")</f>
        <v/>
      </c>
      <c r="R233">
        <f>IF(M233="","",IFERROR(INDEX(SK_L,MATCH(M233,SK_A,0)),""))</f>
        <v/>
      </c>
    </row>
    <row r="234">
      <c r="A234" s="11">
        <f>IF(M234="","",IFERROR(INDEX(SK_B,MATCH(M234,SK_A,0))&amp;"",""))</f>
        <v/>
      </c>
      <c r="B234" s="24">
        <f>IF(M234="","",IFERROR(INDEX(SK_C,MATCH(M234,SK_A,0)),""))</f>
        <v/>
      </c>
      <c r="C234" s="25">
        <f>IF(O234="","",IF(O234=0,"D",IF(O234&lt;0,"D"&amp;O234,"D+"&amp;O234)))</f>
        <v/>
      </c>
      <c r="D234" s="13" t="n"/>
      <c r="E234" s="11" t="n"/>
      <c r="F234" s="26" t="n"/>
      <c r="G234" s="13" t="n"/>
      <c r="H234" s="12">
        <f>IF(OR(B234="",O234=""),"",IF(O234&gt;0,IF(P234="Làm việc",WORKDAY(IFERROR(IF(INDEX(SK_D,MATCH(M234,SK_A,0))="",B234,INDEX(SK_D,MATCH(M234,SK_A,0))),B234),O234,HOLI),IFERROR(IF(INDEX(SK_D,MATCH(M234,SK_A,0))="",B234,INDEX(SK_D,MATCH(M234,SK_A,0))),B234)+O234),B234+O234))</f>
        <v/>
      </c>
      <c r="I234" s="13" t="n"/>
      <c r="J234" s="12" t="n"/>
      <c r="K234" s="11" t="n"/>
      <c r="L234" s="27">
        <f>IF(E234="","",IF(I234="Bỏ qua","—",IF(I234="Xong",IF(AND(ISNUMBER(J234),ISNUMBER(H234),J234&gt;H234),"Xong trễ","Xong"),IF(F234="","CHƯA GIAO","")&amp;IF(NOT(ISNUMBER(H234)),"",IF(TODAY()&gt;H234,IF(F234=""," · ","")&amp;"QUÁ HẠN "&amp;(TODAY()-H234)&amp;" ngày",IF(H234-TODAY()&lt;=3,IF(F234=""," · ","")&amp;"Đến hạn "&amp;IF(H234=TODAY(),"hôm nay","trong "&amp;(H234-TODAY())&amp;" ngày"),""))))))</f>
        <v/>
      </c>
      <c r="Q234">
        <f>IF(AND(E234&lt;&gt;"",R234="Có",I234&lt;&gt;"Xong",I234&lt;&gt;"Bỏ qua",ISNUMBER(H234)),H234+ROW()/100000,"")</f>
        <v/>
      </c>
      <c r="R234">
        <f>IF(M234="","",IFERROR(INDEX(SK_L,MATCH(M234,SK_A,0)),""))</f>
        <v/>
      </c>
    </row>
    <row r="235">
      <c r="A235" s="11">
        <f>IF(M235="","",IFERROR(INDEX(SK_B,MATCH(M235,SK_A,0))&amp;"",""))</f>
        <v/>
      </c>
      <c r="B235" s="24">
        <f>IF(M235="","",IFERROR(INDEX(SK_C,MATCH(M235,SK_A,0)),""))</f>
        <v/>
      </c>
      <c r="C235" s="25">
        <f>IF(O235="","",IF(O235=0,"D",IF(O235&lt;0,"D"&amp;O235,"D+"&amp;O235)))</f>
        <v/>
      </c>
      <c r="D235" s="13" t="n"/>
      <c r="E235" s="11" t="n"/>
      <c r="F235" s="26" t="n"/>
      <c r="G235" s="13" t="n"/>
      <c r="H235" s="12">
        <f>IF(OR(B235="",O235=""),"",IF(O235&gt;0,IF(P235="Làm việc",WORKDAY(IFERROR(IF(INDEX(SK_D,MATCH(M235,SK_A,0))="",B235,INDEX(SK_D,MATCH(M235,SK_A,0))),B235),O235,HOLI),IFERROR(IF(INDEX(SK_D,MATCH(M235,SK_A,0))="",B235,INDEX(SK_D,MATCH(M235,SK_A,0))),B235)+O235),B235+O235))</f>
        <v/>
      </c>
      <c r="I235" s="13" t="n"/>
      <c r="J235" s="12" t="n"/>
      <c r="K235" s="11" t="n"/>
      <c r="L235" s="27">
        <f>IF(E235="","",IF(I235="Bỏ qua","—",IF(I235="Xong",IF(AND(ISNUMBER(J235),ISNUMBER(H235),J235&gt;H235),"Xong trễ","Xong"),IF(F235="","CHƯA GIAO","")&amp;IF(NOT(ISNUMBER(H235)),"",IF(TODAY()&gt;H235,IF(F235=""," · ","")&amp;"QUÁ HẠN "&amp;(TODAY()-H235)&amp;" ngày",IF(H235-TODAY()&lt;=3,IF(F235=""," · ","")&amp;"Đến hạn "&amp;IF(H235=TODAY(),"hôm nay","trong "&amp;(H235-TODAY())&amp;" ngày"),""))))))</f>
        <v/>
      </c>
      <c r="Q235">
        <f>IF(AND(E235&lt;&gt;"",R235="Có",I235&lt;&gt;"Xong",I235&lt;&gt;"Bỏ qua",ISNUMBER(H235)),H235+ROW()/100000,"")</f>
        <v/>
      </c>
      <c r="R235">
        <f>IF(M235="","",IFERROR(INDEX(SK_L,MATCH(M235,SK_A,0)),""))</f>
        <v/>
      </c>
    </row>
    <row r="236">
      <c r="A236" s="11">
        <f>IF(M236="","",IFERROR(INDEX(SK_B,MATCH(M236,SK_A,0))&amp;"",""))</f>
        <v/>
      </c>
      <c r="B236" s="24">
        <f>IF(M236="","",IFERROR(INDEX(SK_C,MATCH(M236,SK_A,0)),""))</f>
        <v/>
      </c>
      <c r="C236" s="25">
        <f>IF(O236="","",IF(O236=0,"D",IF(O236&lt;0,"D"&amp;O236,"D+"&amp;O236)))</f>
        <v/>
      </c>
      <c r="D236" s="13" t="n"/>
      <c r="E236" s="11" t="n"/>
      <c r="F236" s="26" t="n"/>
      <c r="G236" s="13" t="n"/>
      <c r="H236" s="12">
        <f>IF(OR(B236="",O236=""),"",IF(O236&gt;0,IF(P236="Làm việc",WORKDAY(IFERROR(IF(INDEX(SK_D,MATCH(M236,SK_A,0))="",B236,INDEX(SK_D,MATCH(M236,SK_A,0))),B236),O236,HOLI),IFERROR(IF(INDEX(SK_D,MATCH(M236,SK_A,0))="",B236,INDEX(SK_D,MATCH(M236,SK_A,0))),B236)+O236),B236+O236))</f>
        <v/>
      </c>
      <c r="I236" s="13" t="n"/>
      <c r="J236" s="12" t="n"/>
      <c r="K236" s="11" t="n"/>
      <c r="L236" s="27">
        <f>IF(E236="","",IF(I236="Bỏ qua","—",IF(I236="Xong",IF(AND(ISNUMBER(J236),ISNUMBER(H236),J236&gt;H236),"Xong trễ","Xong"),IF(F236="","CHƯA GIAO","")&amp;IF(NOT(ISNUMBER(H236)),"",IF(TODAY()&gt;H236,IF(F236=""," · ","")&amp;"QUÁ HẠN "&amp;(TODAY()-H236)&amp;" ngày",IF(H236-TODAY()&lt;=3,IF(F236=""," · ","")&amp;"Đến hạn "&amp;IF(H236=TODAY(),"hôm nay","trong "&amp;(H236-TODAY())&amp;" ngày"),""))))))</f>
        <v/>
      </c>
      <c r="Q236">
        <f>IF(AND(E236&lt;&gt;"",R236="Có",I236&lt;&gt;"Xong",I236&lt;&gt;"Bỏ qua",ISNUMBER(H236)),H236+ROW()/100000,"")</f>
        <v/>
      </c>
      <c r="R236">
        <f>IF(M236="","",IFERROR(INDEX(SK_L,MATCH(M236,SK_A,0)),""))</f>
        <v/>
      </c>
    </row>
    <row r="237">
      <c r="A237" s="11">
        <f>IF(M237="","",IFERROR(INDEX(SK_B,MATCH(M237,SK_A,0))&amp;"",""))</f>
        <v/>
      </c>
      <c r="B237" s="24">
        <f>IF(M237="","",IFERROR(INDEX(SK_C,MATCH(M237,SK_A,0)),""))</f>
        <v/>
      </c>
      <c r="C237" s="25">
        <f>IF(O237="","",IF(O237=0,"D",IF(O237&lt;0,"D"&amp;O237,"D+"&amp;O237)))</f>
        <v/>
      </c>
      <c r="D237" s="13" t="n"/>
      <c r="E237" s="11" t="n"/>
      <c r="F237" s="26" t="n"/>
      <c r="G237" s="13" t="n"/>
      <c r="H237" s="12">
        <f>IF(OR(B237="",O237=""),"",IF(O237&gt;0,IF(P237="Làm việc",WORKDAY(IFERROR(IF(INDEX(SK_D,MATCH(M237,SK_A,0))="",B237,INDEX(SK_D,MATCH(M237,SK_A,0))),B237),O237,HOLI),IFERROR(IF(INDEX(SK_D,MATCH(M237,SK_A,0))="",B237,INDEX(SK_D,MATCH(M237,SK_A,0))),B237)+O237),B237+O237))</f>
        <v/>
      </c>
      <c r="I237" s="13" t="n"/>
      <c r="J237" s="12" t="n"/>
      <c r="K237" s="11" t="n"/>
      <c r="L237" s="27">
        <f>IF(E237="","",IF(I237="Bỏ qua","—",IF(I237="Xong",IF(AND(ISNUMBER(J237),ISNUMBER(H237),J237&gt;H237),"Xong trễ","Xong"),IF(F237="","CHƯA GIAO","")&amp;IF(NOT(ISNUMBER(H237)),"",IF(TODAY()&gt;H237,IF(F237=""," · ","")&amp;"QUÁ HẠN "&amp;(TODAY()-H237)&amp;" ngày",IF(H237-TODAY()&lt;=3,IF(F237=""," · ","")&amp;"Đến hạn "&amp;IF(H237=TODAY(),"hôm nay","trong "&amp;(H237-TODAY())&amp;" ngày"),""))))))</f>
        <v/>
      </c>
      <c r="Q237">
        <f>IF(AND(E237&lt;&gt;"",R237="Có",I237&lt;&gt;"Xong",I237&lt;&gt;"Bỏ qua",ISNUMBER(H237)),H237+ROW()/100000,"")</f>
        <v/>
      </c>
      <c r="R237">
        <f>IF(M237="","",IFERROR(INDEX(SK_L,MATCH(M237,SK_A,0)),""))</f>
        <v/>
      </c>
    </row>
    <row r="238">
      <c r="A238" s="11">
        <f>IF(M238="","",IFERROR(INDEX(SK_B,MATCH(M238,SK_A,0))&amp;"",""))</f>
        <v/>
      </c>
      <c r="B238" s="24">
        <f>IF(M238="","",IFERROR(INDEX(SK_C,MATCH(M238,SK_A,0)),""))</f>
        <v/>
      </c>
      <c r="C238" s="25">
        <f>IF(O238="","",IF(O238=0,"D",IF(O238&lt;0,"D"&amp;O238,"D+"&amp;O238)))</f>
        <v/>
      </c>
      <c r="D238" s="13" t="n"/>
      <c r="E238" s="11" t="n"/>
      <c r="F238" s="26" t="n"/>
      <c r="G238" s="13" t="n"/>
      <c r="H238" s="12">
        <f>IF(OR(B238="",O238=""),"",IF(O238&gt;0,IF(P238="Làm việc",WORKDAY(IFERROR(IF(INDEX(SK_D,MATCH(M238,SK_A,0))="",B238,INDEX(SK_D,MATCH(M238,SK_A,0))),B238),O238,HOLI),IFERROR(IF(INDEX(SK_D,MATCH(M238,SK_A,0))="",B238,INDEX(SK_D,MATCH(M238,SK_A,0))),B238)+O238),B238+O238))</f>
        <v/>
      </c>
      <c r="I238" s="13" t="n"/>
      <c r="J238" s="12" t="n"/>
      <c r="K238" s="11" t="n"/>
      <c r="L238" s="27">
        <f>IF(E238="","",IF(I238="Bỏ qua","—",IF(I238="Xong",IF(AND(ISNUMBER(J238),ISNUMBER(H238),J238&gt;H238),"Xong trễ","Xong"),IF(F238="","CHƯA GIAO","")&amp;IF(NOT(ISNUMBER(H238)),"",IF(TODAY()&gt;H238,IF(F238=""," · ","")&amp;"QUÁ HẠN "&amp;(TODAY()-H238)&amp;" ngày",IF(H238-TODAY()&lt;=3,IF(F238=""," · ","")&amp;"Đến hạn "&amp;IF(H238=TODAY(),"hôm nay","trong "&amp;(H238-TODAY())&amp;" ngày"),""))))))</f>
        <v/>
      </c>
      <c r="Q238">
        <f>IF(AND(E238&lt;&gt;"",R238="Có",I238&lt;&gt;"Xong",I238&lt;&gt;"Bỏ qua",ISNUMBER(H238)),H238+ROW()/100000,"")</f>
        <v/>
      </c>
      <c r="R238">
        <f>IF(M238="","",IFERROR(INDEX(SK_L,MATCH(M238,SK_A,0)),""))</f>
        <v/>
      </c>
    </row>
    <row r="239">
      <c r="A239" s="11">
        <f>IF(M239="","",IFERROR(INDEX(SK_B,MATCH(M239,SK_A,0))&amp;"",""))</f>
        <v/>
      </c>
      <c r="B239" s="24">
        <f>IF(M239="","",IFERROR(INDEX(SK_C,MATCH(M239,SK_A,0)),""))</f>
        <v/>
      </c>
      <c r="C239" s="25">
        <f>IF(O239="","",IF(O239=0,"D",IF(O239&lt;0,"D"&amp;O239,"D+"&amp;O239)))</f>
        <v/>
      </c>
      <c r="D239" s="13" t="n"/>
      <c r="E239" s="11" t="n"/>
      <c r="F239" s="26" t="n"/>
      <c r="G239" s="13" t="n"/>
      <c r="H239" s="12">
        <f>IF(OR(B239="",O239=""),"",IF(O239&gt;0,IF(P239="Làm việc",WORKDAY(IFERROR(IF(INDEX(SK_D,MATCH(M239,SK_A,0))="",B239,INDEX(SK_D,MATCH(M239,SK_A,0))),B239),O239,HOLI),IFERROR(IF(INDEX(SK_D,MATCH(M239,SK_A,0))="",B239,INDEX(SK_D,MATCH(M239,SK_A,0))),B239)+O239),B239+O239))</f>
        <v/>
      </c>
      <c r="I239" s="13" t="n"/>
      <c r="J239" s="12" t="n"/>
      <c r="K239" s="11" t="n"/>
      <c r="L239" s="27">
        <f>IF(E239="","",IF(I239="Bỏ qua","—",IF(I239="Xong",IF(AND(ISNUMBER(J239),ISNUMBER(H239),J239&gt;H239),"Xong trễ","Xong"),IF(F239="","CHƯA GIAO","")&amp;IF(NOT(ISNUMBER(H239)),"",IF(TODAY()&gt;H239,IF(F239=""," · ","")&amp;"QUÁ HẠN "&amp;(TODAY()-H239)&amp;" ngày",IF(H239-TODAY()&lt;=3,IF(F239=""," · ","")&amp;"Đến hạn "&amp;IF(H239=TODAY(),"hôm nay","trong "&amp;(H239-TODAY())&amp;" ngày"),""))))))</f>
        <v/>
      </c>
      <c r="Q239">
        <f>IF(AND(E239&lt;&gt;"",R239="Có",I239&lt;&gt;"Xong",I239&lt;&gt;"Bỏ qua",ISNUMBER(H239)),H239+ROW()/100000,"")</f>
        <v/>
      </c>
      <c r="R239">
        <f>IF(M239="","",IFERROR(INDEX(SK_L,MATCH(M239,SK_A,0)),""))</f>
        <v/>
      </c>
    </row>
    <row r="240">
      <c r="A240" s="11">
        <f>IF(M240="","",IFERROR(INDEX(SK_B,MATCH(M240,SK_A,0))&amp;"",""))</f>
        <v/>
      </c>
      <c r="B240" s="24">
        <f>IF(M240="","",IFERROR(INDEX(SK_C,MATCH(M240,SK_A,0)),""))</f>
        <v/>
      </c>
      <c r="C240" s="25">
        <f>IF(O240="","",IF(O240=0,"D",IF(O240&lt;0,"D"&amp;O240,"D+"&amp;O240)))</f>
        <v/>
      </c>
      <c r="D240" s="13" t="n"/>
      <c r="E240" s="11" t="n"/>
      <c r="F240" s="26" t="n"/>
      <c r="G240" s="13" t="n"/>
      <c r="H240" s="12">
        <f>IF(OR(B240="",O240=""),"",IF(O240&gt;0,IF(P240="Làm việc",WORKDAY(IFERROR(IF(INDEX(SK_D,MATCH(M240,SK_A,0))="",B240,INDEX(SK_D,MATCH(M240,SK_A,0))),B240),O240,HOLI),IFERROR(IF(INDEX(SK_D,MATCH(M240,SK_A,0))="",B240,INDEX(SK_D,MATCH(M240,SK_A,0))),B240)+O240),B240+O240))</f>
        <v/>
      </c>
      <c r="I240" s="13" t="n"/>
      <c r="J240" s="12" t="n"/>
      <c r="K240" s="11" t="n"/>
      <c r="L240" s="27">
        <f>IF(E240="","",IF(I240="Bỏ qua","—",IF(I240="Xong",IF(AND(ISNUMBER(J240),ISNUMBER(H240),J240&gt;H240),"Xong trễ","Xong"),IF(F240="","CHƯA GIAO","")&amp;IF(NOT(ISNUMBER(H240)),"",IF(TODAY()&gt;H240,IF(F240=""," · ","")&amp;"QUÁ HẠN "&amp;(TODAY()-H240)&amp;" ngày",IF(H240-TODAY()&lt;=3,IF(F240=""," · ","")&amp;"Đến hạn "&amp;IF(H240=TODAY(),"hôm nay","trong "&amp;(H240-TODAY())&amp;" ngày"),""))))))</f>
        <v/>
      </c>
      <c r="Q240">
        <f>IF(AND(E240&lt;&gt;"",R240="Có",I240&lt;&gt;"Xong",I240&lt;&gt;"Bỏ qua",ISNUMBER(H240)),H240+ROW()/100000,"")</f>
        <v/>
      </c>
      <c r="R240">
        <f>IF(M240="","",IFERROR(INDEX(SK_L,MATCH(M240,SK_A,0)),""))</f>
        <v/>
      </c>
    </row>
    <row r="241">
      <c r="A241" s="11">
        <f>IF(M241="","",IFERROR(INDEX(SK_B,MATCH(M241,SK_A,0))&amp;"",""))</f>
        <v/>
      </c>
      <c r="B241" s="24">
        <f>IF(M241="","",IFERROR(INDEX(SK_C,MATCH(M241,SK_A,0)),""))</f>
        <v/>
      </c>
      <c r="C241" s="25">
        <f>IF(O241="","",IF(O241=0,"D",IF(O241&lt;0,"D"&amp;O241,"D+"&amp;O241)))</f>
        <v/>
      </c>
      <c r="D241" s="13" t="n"/>
      <c r="E241" s="11" t="n"/>
      <c r="F241" s="26" t="n"/>
      <c r="G241" s="13" t="n"/>
      <c r="H241" s="12">
        <f>IF(OR(B241="",O241=""),"",IF(O241&gt;0,IF(P241="Làm việc",WORKDAY(IFERROR(IF(INDEX(SK_D,MATCH(M241,SK_A,0))="",B241,INDEX(SK_D,MATCH(M241,SK_A,0))),B241),O241,HOLI),IFERROR(IF(INDEX(SK_D,MATCH(M241,SK_A,0))="",B241,INDEX(SK_D,MATCH(M241,SK_A,0))),B241)+O241),B241+O241))</f>
        <v/>
      </c>
      <c r="I241" s="13" t="n"/>
      <c r="J241" s="12" t="n"/>
      <c r="K241" s="11" t="n"/>
      <c r="L241" s="27">
        <f>IF(E241="","",IF(I241="Bỏ qua","—",IF(I241="Xong",IF(AND(ISNUMBER(J241),ISNUMBER(H241),J241&gt;H241),"Xong trễ","Xong"),IF(F241="","CHƯA GIAO","")&amp;IF(NOT(ISNUMBER(H241)),"",IF(TODAY()&gt;H241,IF(F241=""," · ","")&amp;"QUÁ HẠN "&amp;(TODAY()-H241)&amp;" ngày",IF(H241-TODAY()&lt;=3,IF(F241=""," · ","")&amp;"Đến hạn "&amp;IF(H241=TODAY(),"hôm nay","trong "&amp;(H241-TODAY())&amp;" ngày"),""))))))</f>
        <v/>
      </c>
      <c r="Q241">
        <f>IF(AND(E241&lt;&gt;"",R241="Có",I241&lt;&gt;"Xong",I241&lt;&gt;"Bỏ qua",ISNUMBER(H241)),H241+ROW()/100000,"")</f>
        <v/>
      </c>
      <c r="R241">
        <f>IF(M241="","",IFERROR(INDEX(SK_L,MATCH(M241,SK_A,0)),""))</f>
        <v/>
      </c>
    </row>
    <row r="242">
      <c r="A242" s="11">
        <f>IF(M242="","",IFERROR(INDEX(SK_B,MATCH(M242,SK_A,0))&amp;"",""))</f>
        <v/>
      </c>
      <c r="B242" s="24">
        <f>IF(M242="","",IFERROR(INDEX(SK_C,MATCH(M242,SK_A,0)),""))</f>
        <v/>
      </c>
      <c r="C242" s="25">
        <f>IF(O242="","",IF(O242=0,"D",IF(O242&lt;0,"D"&amp;O242,"D+"&amp;O242)))</f>
        <v/>
      </c>
      <c r="D242" s="13" t="n"/>
      <c r="E242" s="11" t="n"/>
      <c r="F242" s="26" t="n"/>
      <c r="G242" s="13" t="n"/>
      <c r="H242" s="12">
        <f>IF(OR(B242="",O242=""),"",IF(O242&gt;0,IF(P242="Làm việc",WORKDAY(IFERROR(IF(INDEX(SK_D,MATCH(M242,SK_A,0))="",B242,INDEX(SK_D,MATCH(M242,SK_A,0))),B242),O242,HOLI),IFERROR(IF(INDEX(SK_D,MATCH(M242,SK_A,0))="",B242,INDEX(SK_D,MATCH(M242,SK_A,0))),B242)+O242),B242+O242))</f>
        <v/>
      </c>
      <c r="I242" s="13" t="n"/>
      <c r="J242" s="12" t="n"/>
      <c r="K242" s="11" t="n"/>
      <c r="L242" s="27">
        <f>IF(E242="","",IF(I242="Bỏ qua","—",IF(I242="Xong",IF(AND(ISNUMBER(J242),ISNUMBER(H242),J242&gt;H242),"Xong trễ","Xong"),IF(F242="","CHƯA GIAO","")&amp;IF(NOT(ISNUMBER(H242)),"",IF(TODAY()&gt;H242,IF(F242=""," · ","")&amp;"QUÁ HẠN "&amp;(TODAY()-H242)&amp;" ngày",IF(H242-TODAY()&lt;=3,IF(F242=""," · ","")&amp;"Đến hạn "&amp;IF(H242=TODAY(),"hôm nay","trong "&amp;(H242-TODAY())&amp;" ngày"),""))))))</f>
        <v/>
      </c>
      <c r="Q242">
        <f>IF(AND(E242&lt;&gt;"",R242="Có",I242&lt;&gt;"Xong",I242&lt;&gt;"Bỏ qua",ISNUMBER(H242)),H242+ROW()/100000,"")</f>
        <v/>
      </c>
      <c r="R242">
        <f>IF(M242="","",IFERROR(INDEX(SK_L,MATCH(M242,SK_A,0)),""))</f>
        <v/>
      </c>
    </row>
    <row r="243">
      <c r="A243" s="11">
        <f>IF(M243="","",IFERROR(INDEX(SK_B,MATCH(M243,SK_A,0))&amp;"",""))</f>
        <v/>
      </c>
      <c r="B243" s="24">
        <f>IF(M243="","",IFERROR(INDEX(SK_C,MATCH(M243,SK_A,0)),""))</f>
        <v/>
      </c>
      <c r="C243" s="25">
        <f>IF(O243="","",IF(O243=0,"D",IF(O243&lt;0,"D"&amp;O243,"D+"&amp;O243)))</f>
        <v/>
      </c>
      <c r="D243" s="13" t="n"/>
      <c r="E243" s="11" t="n"/>
      <c r="F243" s="26" t="n"/>
      <c r="G243" s="13" t="n"/>
      <c r="H243" s="12">
        <f>IF(OR(B243="",O243=""),"",IF(O243&gt;0,IF(P243="Làm việc",WORKDAY(IFERROR(IF(INDEX(SK_D,MATCH(M243,SK_A,0))="",B243,INDEX(SK_D,MATCH(M243,SK_A,0))),B243),O243,HOLI),IFERROR(IF(INDEX(SK_D,MATCH(M243,SK_A,0))="",B243,INDEX(SK_D,MATCH(M243,SK_A,0))),B243)+O243),B243+O243))</f>
        <v/>
      </c>
      <c r="I243" s="13" t="n"/>
      <c r="J243" s="12" t="n"/>
      <c r="K243" s="11" t="n"/>
      <c r="L243" s="27">
        <f>IF(E243="","",IF(I243="Bỏ qua","—",IF(I243="Xong",IF(AND(ISNUMBER(J243),ISNUMBER(H243),J243&gt;H243),"Xong trễ","Xong"),IF(F243="","CHƯA GIAO","")&amp;IF(NOT(ISNUMBER(H243)),"",IF(TODAY()&gt;H243,IF(F243=""," · ","")&amp;"QUÁ HẠN "&amp;(TODAY()-H243)&amp;" ngày",IF(H243-TODAY()&lt;=3,IF(F243=""," · ","")&amp;"Đến hạn "&amp;IF(H243=TODAY(),"hôm nay","trong "&amp;(H243-TODAY())&amp;" ngày"),""))))))</f>
        <v/>
      </c>
      <c r="Q243">
        <f>IF(AND(E243&lt;&gt;"",R243="Có",I243&lt;&gt;"Xong",I243&lt;&gt;"Bỏ qua",ISNUMBER(H243)),H243+ROW()/100000,"")</f>
        <v/>
      </c>
      <c r="R243">
        <f>IF(M243="","",IFERROR(INDEX(SK_L,MATCH(M243,SK_A,0)),""))</f>
        <v/>
      </c>
    </row>
    <row r="244">
      <c r="A244" s="11">
        <f>IF(M244="","",IFERROR(INDEX(SK_B,MATCH(M244,SK_A,0))&amp;"",""))</f>
        <v/>
      </c>
      <c r="B244" s="24">
        <f>IF(M244="","",IFERROR(INDEX(SK_C,MATCH(M244,SK_A,0)),""))</f>
        <v/>
      </c>
      <c r="C244" s="25">
        <f>IF(O244="","",IF(O244=0,"D",IF(O244&lt;0,"D"&amp;O244,"D+"&amp;O244)))</f>
        <v/>
      </c>
      <c r="D244" s="13" t="n"/>
      <c r="E244" s="11" t="n"/>
      <c r="F244" s="26" t="n"/>
      <c r="G244" s="13" t="n"/>
      <c r="H244" s="12">
        <f>IF(OR(B244="",O244=""),"",IF(O244&gt;0,IF(P244="Làm việc",WORKDAY(IFERROR(IF(INDEX(SK_D,MATCH(M244,SK_A,0))="",B244,INDEX(SK_D,MATCH(M244,SK_A,0))),B244),O244,HOLI),IFERROR(IF(INDEX(SK_D,MATCH(M244,SK_A,0))="",B244,INDEX(SK_D,MATCH(M244,SK_A,0))),B244)+O244),B244+O244))</f>
        <v/>
      </c>
      <c r="I244" s="13" t="n"/>
      <c r="J244" s="12" t="n"/>
      <c r="K244" s="11" t="n"/>
      <c r="L244" s="27">
        <f>IF(E244="","",IF(I244="Bỏ qua","—",IF(I244="Xong",IF(AND(ISNUMBER(J244),ISNUMBER(H244),J244&gt;H244),"Xong trễ","Xong"),IF(F244="","CHƯA GIAO","")&amp;IF(NOT(ISNUMBER(H244)),"",IF(TODAY()&gt;H244,IF(F244=""," · ","")&amp;"QUÁ HẠN "&amp;(TODAY()-H244)&amp;" ngày",IF(H244-TODAY()&lt;=3,IF(F244=""," · ","")&amp;"Đến hạn "&amp;IF(H244=TODAY(),"hôm nay","trong "&amp;(H244-TODAY())&amp;" ngày"),""))))))</f>
        <v/>
      </c>
      <c r="Q244">
        <f>IF(AND(E244&lt;&gt;"",R244="Có",I244&lt;&gt;"Xong",I244&lt;&gt;"Bỏ qua",ISNUMBER(H244)),H244+ROW()/100000,"")</f>
        <v/>
      </c>
      <c r="R244">
        <f>IF(M244="","",IFERROR(INDEX(SK_L,MATCH(M244,SK_A,0)),""))</f>
        <v/>
      </c>
    </row>
    <row r="245">
      <c r="A245" s="11">
        <f>IF(M245="","",IFERROR(INDEX(SK_B,MATCH(M245,SK_A,0))&amp;"",""))</f>
        <v/>
      </c>
      <c r="B245" s="24">
        <f>IF(M245="","",IFERROR(INDEX(SK_C,MATCH(M245,SK_A,0)),""))</f>
        <v/>
      </c>
      <c r="C245" s="25">
        <f>IF(O245="","",IF(O245=0,"D",IF(O245&lt;0,"D"&amp;O245,"D+"&amp;O245)))</f>
        <v/>
      </c>
      <c r="D245" s="13" t="n"/>
      <c r="E245" s="11" t="n"/>
      <c r="F245" s="26" t="n"/>
      <c r="G245" s="13" t="n"/>
      <c r="H245" s="12">
        <f>IF(OR(B245="",O245=""),"",IF(O245&gt;0,IF(P245="Làm việc",WORKDAY(IFERROR(IF(INDEX(SK_D,MATCH(M245,SK_A,0))="",B245,INDEX(SK_D,MATCH(M245,SK_A,0))),B245),O245,HOLI),IFERROR(IF(INDEX(SK_D,MATCH(M245,SK_A,0))="",B245,INDEX(SK_D,MATCH(M245,SK_A,0))),B245)+O245),B245+O245))</f>
        <v/>
      </c>
      <c r="I245" s="13" t="n"/>
      <c r="J245" s="12" t="n"/>
      <c r="K245" s="11" t="n"/>
      <c r="L245" s="27">
        <f>IF(E245="","",IF(I245="Bỏ qua","—",IF(I245="Xong",IF(AND(ISNUMBER(J245),ISNUMBER(H245),J245&gt;H245),"Xong trễ","Xong"),IF(F245="","CHƯA GIAO","")&amp;IF(NOT(ISNUMBER(H245)),"",IF(TODAY()&gt;H245,IF(F245=""," · ","")&amp;"QUÁ HẠN "&amp;(TODAY()-H245)&amp;" ngày",IF(H245-TODAY()&lt;=3,IF(F245=""," · ","")&amp;"Đến hạn "&amp;IF(H245=TODAY(),"hôm nay","trong "&amp;(H245-TODAY())&amp;" ngày"),""))))))</f>
        <v/>
      </c>
      <c r="Q245">
        <f>IF(AND(E245&lt;&gt;"",R245="Có",I245&lt;&gt;"Xong",I245&lt;&gt;"Bỏ qua",ISNUMBER(H245)),H245+ROW()/100000,"")</f>
        <v/>
      </c>
      <c r="R245">
        <f>IF(M245="","",IFERROR(INDEX(SK_L,MATCH(M245,SK_A,0)),""))</f>
        <v/>
      </c>
    </row>
    <row r="246">
      <c r="A246" s="11">
        <f>IF(M246="","",IFERROR(INDEX(SK_B,MATCH(M246,SK_A,0))&amp;"",""))</f>
        <v/>
      </c>
      <c r="B246" s="24">
        <f>IF(M246="","",IFERROR(INDEX(SK_C,MATCH(M246,SK_A,0)),""))</f>
        <v/>
      </c>
      <c r="C246" s="25">
        <f>IF(O246="","",IF(O246=0,"D",IF(O246&lt;0,"D"&amp;O246,"D+"&amp;O246)))</f>
        <v/>
      </c>
      <c r="D246" s="13" t="n"/>
      <c r="E246" s="11" t="n"/>
      <c r="F246" s="26" t="n"/>
      <c r="G246" s="13" t="n"/>
      <c r="H246" s="12">
        <f>IF(OR(B246="",O246=""),"",IF(O246&gt;0,IF(P246="Làm việc",WORKDAY(IFERROR(IF(INDEX(SK_D,MATCH(M246,SK_A,0))="",B246,INDEX(SK_D,MATCH(M246,SK_A,0))),B246),O246,HOLI),IFERROR(IF(INDEX(SK_D,MATCH(M246,SK_A,0))="",B246,INDEX(SK_D,MATCH(M246,SK_A,0))),B246)+O246),B246+O246))</f>
        <v/>
      </c>
      <c r="I246" s="13" t="n"/>
      <c r="J246" s="12" t="n"/>
      <c r="K246" s="11" t="n"/>
      <c r="L246" s="27">
        <f>IF(E246="","",IF(I246="Bỏ qua","—",IF(I246="Xong",IF(AND(ISNUMBER(J246),ISNUMBER(H246),J246&gt;H246),"Xong trễ","Xong"),IF(F246="","CHƯA GIAO","")&amp;IF(NOT(ISNUMBER(H246)),"",IF(TODAY()&gt;H246,IF(F246=""," · ","")&amp;"QUÁ HẠN "&amp;(TODAY()-H246)&amp;" ngày",IF(H246-TODAY()&lt;=3,IF(F246=""," · ","")&amp;"Đến hạn "&amp;IF(H246=TODAY(),"hôm nay","trong "&amp;(H246-TODAY())&amp;" ngày"),""))))))</f>
        <v/>
      </c>
      <c r="Q246">
        <f>IF(AND(E246&lt;&gt;"",R246="Có",I246&lt;&gt;"Xong",I246&lt;&gt;"Bỏ qua",ISNUMBER(H246)),H246+ROW()/100000,"")</f>
        <v/>
      </c>
      <c r="R246">
        <f>IF(M246="","",IFERROR(INDEX(SK_L,MATCH(M246,SK_A,0)),""))</f>
        <v/>
      </c>
    </row>
    <row r="247">
      <c r="A247" s="11">
        <f>IF(M247="","",IFERROR(INDEX(SK_B,MATCH(M247,SK_A,0))&amp;"",""))</f>
        <v/>
      </c>
      <c r="B247" s="24">
        <f>IF(M247="","",IFERROR(INDEX(SK_C,MATCH(M247,SK_A,0)),""))</f>
        <v/>
      </c>
      <c r="C247" s="25">
        <f>IF(O247="","",IF(O247=0,"D",IF(O247&lt;0,"D"&amp;O247,"D+"&amp;O247)))</f>
        <v/>
      </c>
      <c r="D247" s="13" t="n"/>
      <c r="E247" s="11" t="n"/>
      <c r="F247" s="26" t="n"/>
      <c r="G247" s="13" t="n"/>
      <c r="H247" s="12">
        <f>IF(OR(B247="",O247=""),"",IF(O247&gt;0,IF(P247="Làm việc",WORKDAY(IFERROR(IF(INDEX(SK_D,MATCH(M247,SK_A,0))="",B247,INDEX(SK_D,MATCH(M247,SK_A,0))),B247),O247,HOLI),IFERROR(IF(INDEX(SK_D,MATCH(M247,SK_A,0))="",B247,INDEX(SK_D,MATCH(M247,SK_A,0))),B247)+O247),B247+O247))</f>
        <v/>
      </c>
      <c r="I247" s="13" t="n"/>
      <c r="J247" s="12" t="n"/>
      <c r="K247" s="11" t="n"/>
      <c r="L247" s="27">
        <f>IF(E247="","",IF(I247="Bỏ qua","—",IF(I247="Xong",IF(AND(ISNUMBER(J247),ISNUMBER(H247),J247&gt;H247),"Xong trễ","Xong"),IF(F247="","CHƯA GIAO","")&amp;IF(NOT(ISNUMBER(H247)),"",IF(TODAY()&gt;H247,IF(F247=""," · ","")&amp;"QUÁ HẠN "&amp;(TODAY()-H247)&amp;" ngày",IF(H247-TODAY()&lt;=3,IF(F247=""," · ","")&amp;"Đến hạn "&amp;IF(H247=TODAY(),"hôm nay","trong "&amp;(H247-TODAY())&amp;" ngày"),""))))))</f>
        <v/>
      </c>
      <c r="Q247">
        <f>IF(AND(E247&lt;&gt;"",R247="Có",I247&lt;&gt;"Xong",I247&lt;&gt;"Bỏ qua",ISNUMBER(H247)),H247+ROW()/100000,"")</f>
        <v/>
      </c>
      <c r="R247">
        <f>IF(M247="","",IFERROR(INDEX(SK_L,MATCH(M247,SK_A,0)),""))</f>
        <v/>
      </c>
    </row>
    <row r="248">
      <c r="A248" s="11">
        <f>IF(M248="","",IFERROR(INDEX(SK_B,MATCH(M248,SK_A,0))&amp;"",""))</f>
        <v/>
      </c>
      <c r="B248" s="24">
        <f>IF(M248="","",IFERROR(INDEX(SK_C,MATCH(M248,SK_A,0)),""))</f>
        <v/>
      </c>
      <c r="C248" s="25">
        <f>IF(O248="","",IF(O248=0,"D",IF(O248&lt;0,"D"&amp;O248,"D+"&amp;O248)))</f>
        <v/>
      </c>
      <c r="D248" s="13" t="n"/>
      <c r="E248" s="11" t="n"/>
      <c r="F248" s="26" t="n"/>
      <c r="G248" s="13" t="n"/>
      <c r="H248" s="12">
        <f>IF(OR(B248="",O248=""),"",IF(O248&gt;0,IF(P248="Làm việc",WORKDAY(IFERROR(IF(INDEX(SK_D,MATCH(M248,SK_A,0))="",B248,INDEX(SK_D,MATCH(M248,SK_A,0))),B248),O248,HOLI),IFERROR(IF(INDEX(SK_D,MATCH(M248,SK_A,0))="",B248,INDEX(SK_D,MATCH(M248,SK_A,0))),B248)+O248),B248+O248))</f>
        <v/>
      </c>
      <c r="I248" s="13" t="n"/>
      <c r="J248" s="12" t="n"/>
      <c r="K248" s="11" t="n"/>
      <c r="L248" s="27">
        <f>IF(E248="","",IF(I248="Bỏ qua","—",IF(I248="Xong",IF(AND(ISNUMBER(J248),ISNUMBER(H248),J248&gt;H248),"Xong trễ","Xong"),IF(F248="","CHƯA GIAO","")&amp;IF(NOT(ISNUMBER(H248)),"",IF(TODAY()&gt;H248,IF(F248=""," · ","")&amp;"QUÁ HẠN "&amp;(TODAY()-H248)&amp;" ngày",IF(H248-TODAY()&lt;=3,IF(F248=""," · ","")&amp;"Đến hạn "&amp;IF(H248=TODAY(),"hôm nay","trong "&amp;(H248-TODAY())&amp;" ngày"),""))))))</f>
        <v/>
      </c>
      <c r="Q248">
        <f>IF(AND(E248&lt;&gt;"",R248="Có",I248&lt;&gt;"Xong",I248&lt;&gt;"Bỏ qua",ISNUMBER(H248)),H248+ROW()/100000,"")</f>
        <v/>
      </c>
      <c r="R248">
        <f>IF(M248="","",IFERROR(INDEX(SK_L,MATCH(M248,SK_A,0)),""))</f>
        <v/>
      </c>
    </row>
    <row r="249">
      <c r="A249" s="11">
        <f>IF(M249="","",IFERROR(INDEX(SK_B,MATCH(M249,SK_A,0))&amp;"",""))</f>
        <v/>
      </c>
      <c r="B249" s="24">
        <f>IF(M249="","",IFERROR(INDEX(SK_C,MATCH(M249,SK_A,0)),""))</f>
        <v/>
      </c>
      <c r="C249" s="25">
        <f>IF(O249="","",IF(O249=0,"D",IF(O249&lt;0,"D"&amp;O249,"D+"&amp;O249)))</f>
        <v/>
      </c>
      <c r="D249" s="13" t="n"/>
      <c r="E249" s="11" t="n"/>
      <c r="F249" s="26" t="n"/>
      <c r="G249" s="13" t="n"/>
      <c r="H249" s="12">
        <f>IF(OR(B249="",O249=""),"",IF(O249&gt;0,IF(P249="Làm việc",WORKDAY(IFERROR(IF(INDEX(SK_D,MATCH(M249,SK_A,0))="",B249,INDEX(SK_D,MATCH(M249,SK_A,0))),B249),O249,HOLI),IFERROR(IF(INDEX(SK_D,MATCH(M249,SK_A,0))="",B249,INDEX(SK_D,MATCH(M249,SK_A,0))),B249)+O249),B249+O249))</f>
        <v/>
      </c>
      <c r="I249" s="13" t="n"/>
      <c r="J249" s="12" t="n"/>
      <c r="K249" s="11" t="n"/>
      <c r="L249" s="27">
        <f>IF(E249="","",IF(I249="Bỏ qua","—",IF(I249="Xong",IF(AND(ISNUMBER(J249),ISNUMBER(H249),J249&gt;H249),"Xong trễ","Xong"),IF(F249="","CHƯA GIAO","")&amp;IF(NOT(ISNUMBER(H249)),"",IF(TODAY()&gt;H249,IF(F249=""," · ","")&amp;"QUÁ HẠN "&amp;(TODAY()-H249)&amp;" ngày",IF(H249-TODAY()&lt;=3,IF(F249=""," · ","")&amp;"Đến hạn "&amp;IF(H249=TODAY(),"hôm nay","trong "&amp;(H249-TODAY())&amp;" ngày"),""))))))</f>
        <v/>
      </c>
      <c r="Q249">
        <f>IF(AND(E249&lt;&gt;"",R249="Có",I249&lt;&gt;"Xong",I249&lt;&gt;"Bỏ qua",ISNUMBER(H249)),H249+ROW()/100000,"")</f>
        <v/>
      </c>
      <c r="R249">
        <f>IF(M249="","",IFERROR(INDEX(SK_L,MATCH(M249,SK_A,0)),""))</f>
        <v/>
      </c>
    </row>
    <row r="250">
      <c r="A250" s="11">
        <f>IF(M250="","",IFERROR(INDEX(SK_B,MATCH(M250,SK_A,0))&amp;"",""))</f>
        <v/>
      </c>
      <c r="B250" s="24">
        <f>IF(M250="","",IFERROR(INDEX(SK_C,MATCH(M250,SK_A,0)),""))</f>
        <v/>
      </c>
      <c r="C250" s="25">
        <f>IF(O250="","",IF(O250=0,"D",IF(O250&lt;0,"D"&amp;O250,"D+"&amp;O250)))</f>
        <v/>
      </c>
      <c r="D250" s="13" t="n"/>
      <c r="E250" s="11" t="n"/>
      <c r="F250" s="26" t="n"/>
      <c r="G250" s="13" t="n"/>
      <c r="H250" s="12">
        <f>IF(OR(B250="",O250=""),"",IF(O250&gt;0,IF(P250="Làm việc",WORKDAY(IFERROR(IF(INDEX(SK_D,MATCH(M250,SK_A,0))="",B250,INDEX(SK_D,MATCH(M250,SK_A,0))),B250),O250,HOLI),IFERROR(IF(INDEX(SK_D,MATCH(M250,SK_A,0))="",B250,INDEX(SK_D,MATCH(M250,SK_A,0))),B250)+O250),B250+O250))</f>
        <v/>
      </c>
      <c r="I250" s="13" t="n"/>
      <c r="J250" s="12" t="n"/>
      <c r="K250" s="11" t="n"/>
      <c r="L250" s="27">
        <f>IF(E250="","",IF(I250="Bỏ qua","—",IF(I250="Xong",IF(AND(ISNUMBER(J250),ISNUMBER(H250),J250&gt;H250),"Xong trễ","Xong"),IF(F250="","CHƯA GIAO","")&amp;IF(NOT(ISNUMBER(H250)),"",IF(TODAY()&gt;H250,IF(F250=""," · ","")&amp;"QUÁ HẠN "&amp;(TODAY()-H250)&amp;" ngày",IF(H250-TODAY()&lt;=3,IF(F250=""," · ","")&amp;"Đến hạn "&amp;IF(H250=TODAY(),"hôm nay","trong "&amp;(H250-TODAY())&amp;" ngày"),""))))))</f>
        <v/>
      </c>
      <c r="Q250">
        <f>IF(AND(E250&lt;&gt;"",R250="Có",I250&lt;&gt;"Xong",I250&lt;&gt;"Bỏ qua",ISNUMBER(H250)),H250+ROW()/100000,"")</f>
        <v/>
      </c>
      <c r="R250">
        <f>IF(M250="","",IFERROR(INDEX(SK_L,MATCH(M250,SK_A,0)),""))</f>
        <v/>
      </c>
    </row>
    <row r="251">
      <c r="A251" s="11">
        <f>IF(M251="","",IFERROR(INDEX(SK_B,MATCH(M251,SK_A,0))&amp;"",""))</f>
        <v/>
      </c>
      <c r="B251" s="24">
        <f>IF(M251="","",IFERROR(INDEX(SK_C,MATCH(M251,SK_A,0)),""))</f>
        <v/>
      </c>
      <c r="C251" s="25">
        <f>IF(O251="","",IF(O251=0,"D",IF(O251&lt;0,"D"&amp;O251,"D+"&amp;O251)))</f>
        <v/>
      </c>
      <c r="D251" s="13" t="n"/>
      <c r="E251" s="11" t="n"/>
      <c r="F251" s="26" t="n"/>
      <c r="G251" s="13" t="n"/>
      <c r="H251" s="12">
        <f>IF(OR(B251="",O251=""),"",IF(O251&gt;0,IF(P251="Làm việc",WORKDAY(IFERROR(IF(INDEX(SK_D,MATCH(M251,SK_A,0))="",B251,INDEX(SK_D,MATCH(M251,SK_A,0))),B251),O251,HOLI),IFERROR(IF(INDEX(SK_D,MATCH(M251,SK_A,0))="",B251,INDEX(SK_D,MATCH(M251,SK_A,0))),B251)+O251),B251+O251))</f>
        <v/>
      </c>
      <c r="I251" s="13" t="n"/>
      <c r="J251" s="12" t="n"/>
      <c r="K251" s="11" t="n"/>
      <c r="L251" s="27">
        <f>IF(E251="","",IF(I251="Bỏ qua","—",IF(I251="Xong",IF(AND(ISNUMBER(J251),ISNUMBER(H251),J251&gt;H251),"Xong trễ","Xong"),IF(F251="","CHƯA GIAO","")&amp;IF(NOT(ISNUMBER(H251)),"",IF(TODAY()&gt;H251,IF(F251=""," · ","")&amp;"QUÁ HẠN "&amp;(TODAY()-H251)&amp;" ngày",IF(H251-TODAY()&lt;=3,IF(F251=""," · ","")&amp;"Đến hạn "&amp;IF(H251=TODAY(),"hôm nay","trong "&amp;(H251-TODAY())&amp;" ngày"),""))))))</f>
        <v/>
      </c>
      <c r="Q251">
        <f>IF(AND(E251&lt;&gt;"",R251="Có",I251&lt;&gt;"Xong",I251&lt;&gt;"Bỏ qua",ISNUMBER(H251)),H251+ROW()/100000,"")</f>
        <v/>
      </c>
      <c r="R251">
        <f>IF(M251="","",IFERROR(INDEX(SK_L,MATCH(M251,SK_A,0)),""))</f>
        <v/>
      </c>
    </row>
    <row r="252">
      <c r="A252" s="11">
        <f>IF(M252="","",IFERROR(INDEX(SK_B,MATCH(M252,SK_A,0))&amp;"",""))</f>
        <v/>
      </c>
      <c r="B252" s="24">
        <f>IF(M252="","",IFERROR(INDEX(SK_C,MATCH(M252,SK_A,0)),""))</f>
        <v/>
      </c>
      <c r="C252" s="25">
        <f>IF(O252="","",IF(O252=0,"D",IF(O252&lt;0,"D"&amp;O252,"D+"&amp;O252)))</f>
        <v/>
      </c>
      <c r="D252" s="13" t="n"/>
      <c r="E252" s="11" t="n"/>
      <c r="F252" s="26" t="n"/>
      <c r="G252" s="13" t="n"/>
      <c r="H252" s="12">
        <f>IF(OR(B252="",O252=""),"",IF(O252&gt;0,IF(P252="Làm việc",WORKDAY(IFERROR(IF(INDEX(SK_D,MATCH(M252,SK_A,0))="",B252,INDEX(SK_D,MATCH(M252,SK_A,0))),B252),O252,HOLI),IFERROR(IF(INDEX(SK_D,MATCH(M252,SK_A,0))="",B252,INDEX(SK_D,MATCH(M252,SK_A,0))),B252)+O252),B252+O252))</f>
        <v/>
      </c>
      <c r="I252" s="13" t="n"/>
      <c r="J252" s="12" t="n"/>
      <c r="K252" s="11" t="n"/>
      <c r="L252" s="27">
        <f>IF(E252="","",IF(I252="Bỏ qua","—",IF(I252="Xong",IF(AND(ISNUMBER(J252),ISNUMBER(H252),J252&gt;H252),"Xong trễ","Xong"),IF(F252="","CHƯA GIAO","")&amp;IF(NOT(ISNUMBER(H252)),"",IF(TODAY()&gt;H252,IF(F252=""," · ","")&amp;"QUÁ HẠN "&amp;(TODAY()-H252)&amp;" ngày",IF(H252-TODAY()&lt;=3,IF(F252=""," · ","")&amp;"Đến hạn "&amp;IF(H252=TODAY(),"hôm nay","trong "&amp;(H252-TODAY())&amp;" ngày"),""))))))</f>
        <v/>
      </c>
      <c r="Q252">
        <f>IF(AND(E252&lt;&gt;"",R252="Có",I252&lt;&gt;"Xong",I252&lt;&gt;"Bỏ qua",ISNUMBER(H252)),H252+ROW()/100000,"")</f>
        <v/>
      </c>
      <c r="R252">
        <f>IF(M252="","",IFERROR(INDEX(SK_L,MATCH(M252,SK_A,0)),""))</f>
        <v/>
      </c>
    </row>
    <row r="253">
      <c r="A253" s="11">
        <f>IF(M253="","",IFERROR(INDEX(SK_B,MATCH(M253,SK_A,0))&amp;"",""))</f>
        <v/>
      </c>
      <c r="B253" s="24">
        <f>IF(M253="","",IFERROR(INDEX(SK_C,MATCH(M253,SK_A,0)),""))</f>
        <v/>
      </c>
      <c r="C253" s="25">
        <f>IF(O253="","",IF(O253=0,"D",IF(O253&lt;0,"D"&amp;O253,"D+"&amp;O253)))</f>
        <v/>
      </c>
      <c r="D253" s="13" t="n"/>
      <c r="E253" s="11" t="n"/>
      <c r="F253" s="26" t="n"/>
      <c r="G253" s="13" t="n"/>
      <c r="H253" s="12">
        <f>IF(OR(B253="",O253=""),"",IF(O253&gt;0,IF(P253="Làm việc",WORKDAY(IFERROR(IF(INDEX(SK_D,MATCH(M253,SK_A,0))="",B253,INDEX(SK_D,MATCH(M253,SK_A,0))),B253),O253,HOLI),IFERROR(IF(INDEX(SK_D,MATCH(M253,SK_A,0))="",B253,INDEX(SK_D,MATCH(M253,SK_A,0))),B253)+O253),B253+O253))</f>
        <v/>
      </c>
      <c r="I253" s="13" t="n"/>
      <c r="J253" s="12" t="n"/>
      <c r="K253" s="11" t="n"/>
      <c r="L253" s="27">
        <f>IF(E253="","",IF(I253="Bỏ qua","—",IF(I253="Xong",IF(AND(ISNUMBER(J253),ISNUMBER(H253),J253&gt;H253),"Xong trễ","Xong"),IF(F253="","CHƯA GIAO","")&amp;IF(NOT(ISNUMBER(H253)),"",IF(TODAY()&gt;H253,IF(F253=""," · ","")&amp;"QUÁ HẠN "&amp;(TODAY()-H253)&amp;" ngày",IF(H253-TODAY()&lt;=3,IF(F253=""," · ","")&amp;"Đến hạn "&amp;IF(H253=TODAY(),"hôm nay","trong "&amp;(H253-TODAY())&amp;" ngày"),""))))))</f>
        <v/>
      </c>
      <c r="Q253">
        <f>IF(AND(E253&lt;&gt;"",R253="Có",I253&lt;&gt;"Xong",I253&lt;&gt;"Bỏ qua",ISNUMBER(H253)),H253+ROW()/100000,"")</f>
        <v/>
      </c>
      <c r="R253">
        <f>IF(M253="","",IFERROR(INDEX(SK_L,MATCH(M253,SK_A,0)),""))</f>
        <v/>
      </c>
    </row>
    <row r="254">
      <c r="A254" s="11">
        <f>IF(M254="","",IFERROR(INDEX(SK_B,MATCH(M254,SK_A,0))&amp;"",""))</f>
        <v/>
      </c>
      <c r="B254" s="24">
        <f>IF(M254="","",IFERROR(INDEX(SK_C,MATCH(M254,SK_A,0)),""))</f>
        <v/>
      </c>
      <c r="C254" s="25">
        <f>IF(O254="","",IF(O254=0,"D",IF(O254&lt;0,"D"&amp;O254,"D+"&amp;O254)))</f>
        <v/>
      </c>
      <c r="D254" s="13" t="n"/>
      <c r="E254" s="11" t="n"/>
      <c r="F254" s="26" t="n"/>
      <c r="G254" s="13" t="n"/>
      <c r="H254" s="12">
        <f>IF(OR(B254="",O254=""),"",IF(O254&gt;0,IF(P254="Làm việc",WORKDAY(IFERROR(IF(INDEX(SK_D,MATCH(M254,SK_A,0))="",B254,INDEX(SK_D,MATCH(M254,SK_A,0))),B254),O254,HOLI),IFERROR(IF(INDEX(SK_D,MATCH(M254,SK_A,0))="",B254,INDEX(SK_D,MATCH(M254,SK_A,0))),B254)+O254),B254+O254))</f>
        <v/>
      </c>
      <c r="I254" s="13" t="n"/>
      <c r="J254" s="12" t="n"/>
      <c r="K254" s="11" t="n"/>
      <c r="L254" s="27">
        <f>IF(E254="","",IF(I254="Bỏ qua","—",IF(I254="Xong",IF(AND(ISNUMBER(J254),ISNUMBER(H254),J254&gt;H254),"Xong trễ","Xong"),IF(F254="","CHƯA GIAO","")&amp;IF(NOT(ISNUMBER(H254)),"",IF(TODAY()&gt;H254,IF(F254=""," · ","")&amp;"QUÁ HẠN "&amp;(TODAY()-H254)&amp;" ngày",IF(H254-TODAY()&lt;=3,IF(F254=""," · ","")&amp;"Đến hạn "&amp;IF(H254=TODAY(),"hôm nay","trong "&amp;(H254-TODAY())&amp;" ngày"),""))))))</f>
        <v/>
      </c>
      <c r="Q254">
        <f>IF(AND(E254&lt;&gt;"",R254="Có",I254&lt;&gt;"Xong",I254&lt;&gt;"Bỏ qua",ISNUMBER(H254)),H254+ROW()/100000,"")</f>
        <v/>
      </c>
      <c r="R254">
        <f>IF(M254="","",IFERROR(INDEX(SK_L,MATCH(M254,SK_A,0)),""))</f>
        <v/>
      </c>
    </row>
    <row r="255">
      <c r="A255" s="11">
        <f>IF(M255="","",IFERROR(INDEX(SK_B,MATCH(M255,SK_A,0))&amp;"",""))</f>
        <v/>
      </c>
      <c r="B255" s="24">
        <f>IF(M255="","",IFERROR(INDEX(SK_C,MATCH(M255,SK_A,0)),""))</f>
        <v/>
      </c>
      <c r="C255" s="25">
        <f>IF(O255="","",IF(O255=0,"D",IF(O255&lt;0,"D"&amp;O255,"D+"&amp;O255)))</f>
        <v/>
      </c>
      <c r="D255" s="13" t="n"/>
      <c r="E255" s="11" t="n"/>
      <c r="F255" s="26" t="n"/>
      <c r="G255" s="13" t="n"/>
      <c r="H255" s="12">
        <f>IF(OR(B255="",O255=""),"",IF(O255&gt;0,IF(P255="Làm việc",WORKDAY(IFERROR(IF(INDEX(SK_D,MATCH(M255,SK_A,0))="",B255,INDEX(SK_D,MATCH(M255,SK_A,0))),B255),O255,HOLI),IFERROR(IF(INDEX(SK_D,MATCH(M255,SK_A,0))="",B255,INDEX(SK_D,MATCH(M255,SK_A,0))),B255)+O255),B255+O255))</f>
        <v/>
      </c>
      <c r="I255" s="13" t="n"/>
      <c r="J255" s="12" t="n"/>
      <c r="K255" s="11" t="n"/>
      <c r="L255" s="27">
        <f>IF(E255="","",IF(I255="Bỏ qua","—",IF(I255="Xong",IF(AND(ISNUMBER(J255),ISNUMBER(H255),J255&gt;H255),"Xong trễ","Xong"),IF(F255="","CHƯA GIAO","")&amp;IF(NOT(ISNUMBER(H255)),"",IF(TODAY()&gt;H255,IF(F255=""," · ","")&amp;"QUÁ HẠN "&amp;(TODAY()-H255)&amp;" ngày",IF(H255-TODAY()&lt;=3,IF(F255=""," · ","")&amp;"Đến hạn "&amp;IF(H255=TODAY(),"hôm nay","trong "&amp;(H255-TODAY())&amp;" ngày"),""))))))</f>
        <v/>
      </c>
      <c r="Q255">
        <f>IF(AND(E255&lt;&gt;"",R255="Có",I255&lt;&gt;"Xong",I255&lt;&gt;"Bỏ qua",ISNUMBER(H255)),H255+ROW()/100000,"")</f>
        <v/>
      </c>
      <c r="R255">
        <f>IF(M255="","",IFERROR(INDEX(SK_L,MATCH(M255,SK_A,0)),""))</f>
        <v/>
      </c>
    </row>
    <row r="256">
      <c r="A256" s="11">
        <f>IF(M256="","",IFERROR(INDEX(SK_B,MATCH(M256,SK_A,0))&amp;"",""))</f>
        <v/>
      </c>
      <c r="B256" s="24">
        <f>IF(M256="","",IFERROR(INDEX(SK_C,MATCH(M256,SK_A,0)),""))</f>
        <v/>
      </c>
      <c r="C256" s="25">
        <f>IF(O256="","",IF(O256=0,"D",IF(O256&lt;0,"D"&amp;O256,"D+"&amp;O256)))</f>
        <v/>
      </c>
      <c r="D256" s="13" t="n"/>
      <c r="E256" s="11" t="n"/>
      <c r="F256" s="26" t="n"/>
      <c r="G256" s="13" t="n"/>
      <c r="H256" s="12">
        <f>IF(OR(B256="",O256=""),"",IF(O256&gt;0,IF(P256="Làm việc",WORKDAY(IFERROR(IF(INDEX(SK_D,MATCH(M256,SK_A,0))="",B256,INDEX(SK_D,MATCH(M256,SK_A,0))),B256),O256,HOLI),IFERROR(IF(INDEX(SK_D,MATCH(M256,SK_A,0))="",B256,INDEX(SK_D,MATCH(M256,SK_A,0))),B256)+O256),B256+O256))</f>
        <v/>
      </c>
      <c r="I256" s="13" t="n"/>
      <c r="J256" s="12" t="n"/>
      <c r="K256" s="11" t="n"/>
      <c r="L256" s="27">
        <f>IF(E256="","",IF(I256="Bỏ qua","—",IF(I256="Xong",IF(AND(ISNUMBER(J256),ISNUMBER(H256),J256&gt;H256),"Xong trễ","Xong"),IF(F256="","CHƯA GIAO","")&amp;IF(NOT(ISNUMBER(H256)),"",IF(TODAY()&gt;H256,IF(F256=""," · ","")&amp;"QUÁ HẠN "&amp;(TODAY()-H256)&amp;" ngày",IF(H256-TODAY()&lt;=3,IF(F256=""," · ","")&amp;"Đến hạn "&amp;IF(H256=TODAY(),"hôm nay","trong "&amp;(H256-TODAY())&amp;" ngày"),""))))))</f>
        <v/>
      </c>
      <c r="Q256">
        <f>IF(AND(E256&lt;&gt;"",R256="Có",I256&lt;&gt;"Xong",I256&lt;&gt;"Bỏ qua",ISNUMBER(H256)),H256+ROW()/100000,"")</f>
        <v/>
      </c>
      <c r="R256">
        <f>IF(M256="","",IFERROR(INDEX(SK_L,MATCH(M256,SK_A,0)),""))</f>
        <v/>
      </c>
    </row>
    <row r="257">
      <c r="A257" s="11">
        <f>IF(M257="","",IFERROR(INDEX(SK_B,MATCH(M257,SK_A,0))&amp;"",""))</f>
        <v/>
      </c>
      <c r="B257" s="24">
        <f>IF(M257="","",IFERROR(INDEX(SK_C,MATCH(M257,SK_A,0)),""))</f>
        <v/>
      </c>
      <c r="C257" s="25">
        <f>IF(O257="","",IF(O257=0,"D",IF(O257&lt;0,"D"&amp;O257,"D+"&amp;O257)))</f>
        <v/>
      </c>
      <c r="D257" s="13" t="n"/>
      <c r="E257" s="11" t="n"/>
      <c r="F257" s="26" t="n"/>
      <c r="G257" s="13" t="n"/>
      <c r="H257" s="12">
        <f>IF(OR(B257="",O257=""),"",IF(O257&gt;0,IF(P257="Làm việc",WORKDAY(IFERROR(IF(INDEX(SK_D,MATCH(M257,SK_A,0))="",B257,INDEX(SK_D,MATCH(M257,SK_A,0))),B257),O257,HOLI),IFERROR(IF(INDEX(SK_D,MATCH(M257,SK_A,0))="",B257,INDEX(SK_D,MATCH(M257,SK_A,0))),B257)+O257),B257+O257))</f>
        <v/>
      </c>
      <c r="I257" s="13" t="n"/>
      <c r="J257" s="12" t="n"/>
      <c r="K257" s="11" t="n"/>
      <c r="L257" s="27">
        <f>IF(E257="","",IF(I257="Bỏ qua","—",IF(I257="Xong",IF(AND(ISNUMBER(J257),ISNUMBER(H257),J257&gt;H257),"Xong trễ","Xong"),IF(F257="","CHƯA GIAO","")&amp;IF(NOT(ISNUMBER(H257)),"",IF(TODAY()&gt;H257,IF(F257=""," · ","")&amp;"QUÁ HẠN "&amp;(TODAY()-H257)&amp;" ngày",IF(H257-TODAY()&lt;=3,IF(F257=""," · ","")&amp;"Đến hạn "&amp;IF(H257=TODAY(),"hôm nay","trong "&amp;(H257-TODAY())&amp;" ngày"),""))))))</f>
        <v/>
      </c>
      <c r="Q257">
        <f>IF(AND(E257&lt;&gt;"",R257="Có",I257&lt;&gt;"Xong",I257&lt;&gt;"Bỏ qua",ISNUMBER(H257)),H257+ROW()/100000,"")</f>
        <v/>
      </c>
      <c r="R257">
        <f>IF(M257="","",IFERROR(INDEX(SK_L,MATCH(M257,SK_A,0)),""))</f>
        <v/>
      </c>
    </row>
    <row r="258">
      <c r="A258" s="11">
        <f>IF(M258="","",IFERROR(INDEX(SK_B,MATCH(M258,SK_A,0))&amp;"",""))</f>
        <v/>
      </c>
      <c r="B258" s="24">
        <f>IF(M258="","",IFERROR(INDEX(SK_C,MATCH(M258,SK_A,0)),""))</f>
        <v/>
      </c>
      <c r="C258" s="25">
        <f>IF(O258="","",IF(O258=0,"D",IF(O258&lt;0,"D"&amp;O258,"D+"&amp;O258)))</f>
        <v/>
      </c>
      <c r="D258" s="13" t="n"/>
      <c r="E258" s="11" t="n"/>
      <c r="F258" s="26" t="n"/>
      <c r="G258" s="13" t="n"/>
      <c r="H258" s="12">
        <f>IF(OR(B258="",O258=""),"",IF(O258&gt;0,IF(P258="Làm việc",WORKDAY(IFERROR(IF(INDEX(SK_D,MATCH(M258,SK_A,0))="",B258,INDEX(SK_D,MATCH(M258,SK_A,0))),B258),O258,HOLI),IFERROR(IF(INDEX(SK_D,MATCH(M258,SK_A,0))="",B258,INDEX(SK_D,MATCH(M258,SK_A,0))),B258)+O258),B258+O258))</f>
        <v/>
      </c>
      <c r="I258" s="13" t="n"/>
      <c r="J258" s="12" t="n"/>
      <c r="K258" s="11" t="n"/>
      <c r="L258" s="27">
        <f>IF(E258="","",IF(I258="Bỏ qua","—",IF(I258="Xong",IF(AND(ISNUMBER(J258),ISNUMBER(H258),J258&gt;H258),"Xong trễ","Xong"),IF(F258="","CHƯA GIAO","")&amp;IF(NOT(ISNUMBER(H258)),"",IF(TODAY()&gt;H258,IF(F258=""," · ","")&amp;"QUÁ HẠN "&amp;(TODAY()-H258)&amp;" ngày",IF(H258-TODAY()&lt;=3,IF(F258=""," · ","")&amp;"Đến hạn "&amp;IF(H258=TODAY(),"hôm nay","trong "&amp;(H258-TODAY())&amp;" ngày"),""))))))</f>
        <v/>
      </c>
      <c r="Q258">
        <f>IF(AND(E258&lt;&gt;"",R258="Có",I258&lt;&gt;"Xong",I258&lt;&gt;"Bỏ qua",ISNUMBER(H258)),H258+ROW()/100000,"")</f>
        <v/>
      </c>
      <c r="R258">
        <f>IF(M258="","",IFERROR(INDEX(SK_L,MATCH(M258,SK_A,0)),""))</f>
        <v/>
      </c>
    </row>
    <row r="259">
      <c r="A259" s="11">
        <f>IF(M259="","",IFERROR(INDEX(SK_B,MATCH(M259,SK_A,0))&amp;"",""))</f>
        <v/>
      </c>
      <c r="B259" s="24">
        <f>IF(M259="","",IFERROR(INDEX(SK_C,MATCH(M259,SK_A,0)),""))</f>
        <v/>
      </c>
      <c r="C259" s="25">
        <f>IF(O259="","",IF(O259=0,"D",IF(O259&lt;0,"D"&amp;O259,"D+"&amp;O259)))</f>
        <v/>
      </c>
      <c r="D259" s="13" t="n"/>
      <c r="E259" s="11" t="n"/>
      <c r="F259" s="26" t="n"/>
      <c r="G259" s="13" t="n"/>
      <c r="H259" s="12">
        <f>IF(OR(B259="",O259=""),"",IF(O259&gt;0,IF(P259="Làm việc",WORKDAY(IFERROR(IF(INDEX(SK_D,MATCH(M259,SK_A,0))="",B259,INDEX(SK_D,MATCH(M259,SK_A,0))),B259),O259,HOLI),IFERROR(IF(INDEX(SK_D,MATCH(M259,SK_A,0))="",B259,INDEX(SK_D,MATCH(M259,SK_A,0))),B259)+O259),B259+O259))</f>
        <v/>
      </c>
      <c r="I259" s="13" t="n"/>
      <c r="J259" s="12" t="n"/>
      <c r="K259" s="11" t="n"/>
      <c r="L259" s="27">
        <f>IF(E259="","",IF(I259="Bỏ qua","—",IF(I259="Xong",IF(AND(ISNUMBER(J259),ISNUMBER(H259),J259&gt;H259),"Xong trễ","Xong"),IF(F259="","CHƯA GIAO","")&amp;IF(NOT(ISNUMBER(H259)),"",IF(TODAY()&gt;H259,IF(F259=""," · ","")&amp;"QUÁ HẠN "&amp;(TODAY()-H259)&amp;" ngày",IF(H259-TODAY()&lt;=3,IF(F259=""," · ","")&amp;"Đến hạn "&amp;IF(H259=TODAY(),"hôm nay","trong "&amp;(H259-TODAY())&amp;" ngày"),""))))))</f>
        <v/>
      </c>
      <c r="Q259">
        <f>IF(AND(E259&lt;&gt;"",R259="Có",I259&lt;&gt;"Xong",I259&lt;&gt;"Bỏ qua",ISNUMBER(H259)),H259+ROW()/100000,"")</f>
        <v/>
      </c>
      <c r="R259">
        <f>IF(M259="","",IFERROR(INDEX(SK_L,MATCH(M259,SK_A,0)),""))</f>
        <v/>
      </c>
    </row>
    <row r="260">
      <c r="A260" s="11">
        <f>IF(M260="","",IFERROR(INDEX(SK_B,MATCH(M260,SK_A,0))&amp;"",""))</f>
        <v/>
      </c>
      <c r="B260" s="24">
        <f>IF(M260="","",IFERROR(INDEX(SK_C,MATCH(M260,SK_A,0)),""))</f>
        <v/>
      </c>
      <c r="C260" s="25">
        <f>IF(O260="","",IF(O260=0,"D",IF(O260&lt;0,"D"&amp;O260,"D+"&amp;O260)))</f>
        <v/>
      </c>
      <c r="D260" s="13" t="n"/>
      <c r="E260" s="11" t="n"/>
      <c r="F260" s="26" t="n"/>
      <c r="G260" s="13" t="n"/>
      <c r="H260" s="12">
        <f>IF(OR(B260="",O260=""),"",IF(O260&gt;0,IF(P260="Làm việc",WORKDAY(IFERROR(IF(INDEX(SK_D,MATCH(M260,SK_A,0))="",B260,INDEX(SK_D,MATCH(M260,SK_A,0))),B260),O260,HOLI),IFERROR(IF(INDEX(SK_D,MATCH(M260,SK_A,0))="",B260,INDEX(SK_D,MATCH(M260,SK_A,0))),B260)+O260),B260+O260))</f>
        <v/>
      </c>
      <c r="I260" s="13" t="n"/>
      <c r="J260" s="12" t="n"/>
      <c r="K260" s="11" t="n"/>
      <c r="L260" s="27">
        <f>IF(E260="","",IF(I260="Bỏ qua","—",IF(I260="Xong",IF(AND(ISNUMBER(J260),ISNUMBER(H260),J260&gt;H260),"Xong trễ","Xong"),IF(F260="","CHƯA GIAO","")&amp;IF(NOT(ISNUMBER(H260)),"",IF(TODAY()&gt;H260,IF(F260=""," · ","")&amp;"QUÁ HẠN "&amp;(TODAY()-H260)&amp;" ngày",IF(H260-TODAY()&lt;=3,IF(F260=""," · ","")&amp;"Đến hạn "&amp;IF(H260=TODAY(),"hôm nay","trong "&amp;(H260-TODAY())&amp;" ngày"),""))))))</f>
        <v/>
      </c>
      <c r="Q260">
        <f>IF(AND(E260&lt;&gt;"",R260="Có",I260&lt;&gt;"Xong",I260&lt;&gt;"Bỏ qua",ISNUMBER(H260)),H260+ROW()/100000,"")</f>
        <v/>
      </c>
      <c r="R260">
        <f>IF(M260="","",IFERROR(INDEX(SK_L,MATCH(M260,SK_A,0)),""))</f>
        <v/>
      </c>
    </row>
    <row r="261">
      <c r="A261" s="11">
        <f>IF(M261="","",IFERROR(INDEX(SK_B,MATCH(M261,SK_A,0))&amp;"",""))</f>
        <v/>
      </c>
      <c r="B261" s="24">
        <f>IF(M261="","",IFERROR(INDEX(SK_C,MATCH(M261,SK_A,0)),""))</f>
        <v/>
      </c>
      <c r="C261" s="25">
        <f>IF(O261="","",IF(O261=0,"D",IF(O261&lt;0,"D"&amp;O261,"D+"&amp;O261)))</f>
        <v/>
      </c>
      <c r="D261" s="13" t="n"/>
      <c r="E261" s="11" t="n"/>
      <c r="F261" s="26" t="n"/>
      <c r="G261" s="13" t="n"/>
      <c r="H261" s="12">
        <f>IF(OR(B261="",O261=""),"",IF(O261&gt;0,IF(P261="Làm việc",WORKDAY(IFERROR(IF(INDEX(SK_D,MATCH(M261,SK_A,0))="",B261,INDEX(SK_D,MATCH(M261,SK_A,0))),B261),O261,HOLI),IFERROR(IF(INDEX(SK_D,MATCH(M261,SK_A,0))="",B261,INDEX(SK_D,MATCH(M261,SK_A,0))),B261)+O261),B261+O261))</f>
        <v/>
      </c>
      <c r="I261" s="13" t="n"/>
      <c r="J261" s="12" t="n"/>
      <c r="K261" s="11" t="n"/>
      <c r="L261" s="27">
        <f>IF(E261="","",IF(I261="Bỏ qua","—",IF(I261="Xong",IF(AND(ISNUMBER(J261),ISNUMBER(H261),J261&gt;H261),"Xong trễ","Xong"),IF(F261="","CHƯA GIAO","")&amp;IF(NOT(ISNUMBER(H261)),"",IF(TODAY()&gt;H261,IF(F261=""," · ","")&amp;"QUÁ HẠN "&amp;(TODAY()-H261)&amp;" ngày",IF(H261-TODAY()&lt;=3,IF(F261=""," · ","")&amp;"Đến hạn "&amp;IF(H261=TODAY(),"hôm nay","trong "&amp;(H261-TODAY())&amp;" ngày"),""))))))</f>
        <v/>
      </c>
      <c r="Q261">
        <f>IF(AND(E261&lt;&gt;"",R261="Có",I261&lt;&gt;"Xong",I261&lt;&gt;"Bỏ qua",ISNUMBER(H261)),H261+ROW()/100000,"")</f>
        <v/>
      </c>
      <c r="R261">
        <f>IF(M261="","",IFERROR(INDEX(SK_L,MATCH(M261,SK_A,0)),""))</f>
        <v/>
      </c>
    </row>
    <row r="262">
      <c r="A262" s="11">
        <f>IF(M262="","",IFERROR(INDEX(SK_B,MATCH(M262,SK_A,0))&amp;"",""))</f>
        <v/>
      </c>
      <c r="B262" s="24">
        <f>IF(M262="","",IFERROR(INDEX(SK_C,MATCH(M262,SK_A,0)),""))</f>
        <v/>
      </c>
      <c r="C262" s="25">
        <f>IF(O262="","",IF(O262=0,"D",IF(O262&lt;0,"D"&amp;O262,"D+"&amp;O262)))</f>
        <v/>
      </c>
      <c r="D262" s="13" t="n"/>
      <c r="E262" s="11" t="n"/>
      <c r="F262" s="26" t="n"/>
      <c r="G262" s="13" t="n"/>
      <c r="H262" s="12">
        <f>IF(OR(B262="",O262=""),"",IF(O262&gt;0,IF(P262="Làm việc",WORKDAY(IFERROR(IF(INDEX(SK_D,MATCH(M262,SK_A,0))="",B262,INDEX(SK_D,MATCH(M262,SK_A,0))),B262),O262,HOLI),IFERROR(IF(INDEX(SK_D,MATCH(M262,SK_A,0))="",B262,INDEX(SK_D,MATCH(M262,SK_A,0))),B262)+O262),B262+O262))</f>
        <v/>
      </c>
      <c r="I262" s="13" t="n"/>
      <c r="J262" s="12" t="n"/>
      <c r="K262" s="11" t="n"/>
      <c r="L262" s="27">
        <f>IF(E262="","",IF(I262="Bỏ qua","—",IF(I262="Xong",IF(AND(ISNUMBER(J262),ISNUMBER(H262),J262&gt;H262),"Xong trễ","Xong"),IF(F262="","CHƯA GIAO","")&amp;IF(NOT(ISNUMBER(H262)),"",IF(TODAY()&gt;H262,IF(F262=""," · ","")&amp;"QUÁ HẠN "&amp;(TODAY()-H262)&amp;" ngày",IF(H262-TODAY()&lt;=3,IF(F262=""," · ","")&amp;"Đến hạn "&amp;IF(H262=TODAY(),"hôm nay","trong "&amp;(H262-TODAY())&amp;" ngày"),""))))))</f>
        <v/>
      </c>
      <c r="Q262">
        <f>IF(AND(E262&lt;&gt;"",R262="Có",I262&lt;&gt;"Xong",I262&lt;&gt;"Bỏ qua",ISNUMBER(H262)),H262+ROW()/100000,"")</f>
        <v/>
      </c>
      <c r="R262">
        <f>IF(M262="","",IFERROR(INDEX(SK_L,MATCH(M262,SK_A,0)),""))</f>
        <v/>
      </c>
    </row>
    <row r="263">
      <c r="A263" s="11">
        <f>IF(M263="","",IFERROR(INDEX(SK_B,MATCH(M263,SK_A,0))&amp;"",""))</f>
        <v/>
      </c>
      <c r="B263" s="24">
        <f>IF(M263="","",IFERROR(INDEX(SK_C,MATCH(M263,SK_A,0)),""))</f>
        <v/>
      </c>
      <c r="C263" s="25">
        <f>IF(O263="","",IF(O263=0,"D",IF(O263&lt;0,"D"&amp;O263,"D+"&amp;O263)))</f>
        <v/>
      </c>
      <c r="D263" s="13" t="n"/>
      <c r="E263" s="11" t="n"/>
      <c r="F263" s="26" t="n"/>
      <c r="G263" s="13" t="n"/>
      <c r="H263" s="12">
        <f>IF(OR(B263="",O263=""),"",IF(O263&gt;0,IF(P263="Làm việc",WORKDAY(IFERROR(IF(INDEX(SK_D,MATCH(M263,SK_A,0))="",B263,INDEX(SK_D,MATCH(M263,SK_A,0))),B263),O263,HOLI),IFERROR(IF(INDEX(SK_D,MATCH(M263,SK_A,0))="",B263,INDEX(SK_D,MATCH(M263,SK_A,0))),B263)+O263),B263+O263))</f>
        <v/>
      </c>
      <c r="I263" s="13" t="n"/>
      <c r="J263" s="12" t="n"/>
      <c r="K263" s="11" t="n"/>
      <c r="L263" s="27">
        <f>IF(E263="","",IF(I263="Bỏ qua","—",IF(I263="Xong",IF(AND(ISNUMBER(J263),ISNUMBER(H263),J263&gt;H263),"Xong trễ","Xong"),IF(F263="","CHƯA GIAO","")&amp;IF(NOT(ISNUMBER(H263)),"",IF(TODAY()&gt;H263,IF(F263=""," · ","")&amp;"QUÁ HẠN "&amp;(TODAY()-H263)&amp;" ngày",IF(H263-TODAY()&lt;=3,IF(F263=""," · ","")&amp;"Đến hạn "&amp;IF(H263=TODAY(),"hôm nay","trong "&amp;(H263-TODAY())&amp;" ngày"),""))))))</f>
        <v/>
      </c>
      <c r="Q263">
        <f>IF(AND(E263&lt;&gt;"",R263="Có",I263&lt;&gt;"Xong",I263&lt;&gt;"Bỏ qua",ISNUMBER(H263)),H263+ROW()/100000,"")</f>
        <v/>
      </c>
      <c r="R263">
        <f>IF(M263="","",IFERROR(INDEX(SK_L,MATCH(M263,SK_A,0)),""))</f>
        <v/>
      </c>
    </row>
    <row r="264">
      <c r="A264" s="11">
        <f>IF(M264="","",IFERROR(INDEX(SK_B,MATCH(M264,SK_A,0))&amp;"",""))</f>
        <v/>
      </c>
      <c r="B264" s="24">
        <f>IF(M264="","",IFERROR(INDEX(SK_C,MATCH(M264,SK_A,0)),""))</f>
        <v/>
      </c>
      <c r="C264" s="25">
        <f>IF(O264="","",IF(O264=0,"D",IF(O264&lt;0,"D"&amp;O264,"D+"&amp;O264)))</f>
        <v/>
      </c>
      <c r="D264" s="13" t="n"/>
      <c r="E264" s="11" t="n"/>
      <c r="F264" s="26" t="n"/>
      <c r="G264" s="13" t="n"/>
      <c r="H264" s="12">
        <f>IF(OR(B264="",O264=""),"",IF(O264&gt;0,IF(P264="Làm việc",WORKDAY(IFERROR(IF(INDEX(SK_D,MATCH(M264,SK_A,0))="",B264,INDEX(SK_D,MATCH(M264,SK_A,0))),B264),O264,HOLI),IFERROR(IF(INDEX(SK_D,MATCH(M264,SK_A,0))="",B264,INDEX(SK_D,MATCH(M264,SK_A,0))),B264)+O264),B264+O264))</f>
        <v/>
      </c>
      <c r="I264" s="13" t="n"/>
      <c r="J264" s="12" t="n"/>
      <c r="K264" s="11" t="n"/>
      <c r="L264" s="27">
        <f>IF(E264="","",IF(I264="Bỏ qua","—",IF(I264="Xong",IF(AND(ISNUMBER(J264),ISNUMBER(H264),J264&gt;H264),"Xong trễ","Xong"),IF(F264="","CHƯA GIAO","")&amp;IF(NOT(ISNUMBER(H264)),"",IF(TODAY()&gt;H264,IF(F264=""," · ","")&amp;"QUÁ HẠN "&amp;(TODAY()-H264)&amp;" ngày",IF(H264-TODAY()&lt;=3,IF(F264=""," · ","")&amp;"Đến hạn "&amp;IF(H264=TODAY(),"hôm nay","trong "&amp;(H264-TODAY())&amp;" ngày"),""))))))</f>
        <v/>
      </c>
      <c r="Q264">
        <f>IF(AND(E264&lt;&gt;"",R264="Có",I264&lt;&gt;"Xong",I264&lt;&gt;"Bỏ qua",ISNUMBER(H264)),H264+ROW()/100000,"")</f>
        <v/>
      </c>
      <c r="R264">
        <f>IF(M264="","",IFERROR(INDEX(SK_L,MATCH(M264,SK_A,0)),""))</f>
        <v/>
      </c>
    </row>
    <row r="265">
      <c r="A265" s="11">
        <f>IF(M265="","",IFERROR(INDEX(SK_B,MATCH(M265,SK_A,0))&amp;"",""))</f>
        <v/>
      </c>
      <c r="B265" s="24">
        <f>IF(M265="","",IFERROR(INDEX(SK_C,MATCH(M265,SK_A,0)),""))</f>
        <v/>
      </c>
      <c r="C265" s="25">
        <f>IF(O265="","",IF(O265=0,"D",IF(O265&lt;0,"D"&amp;O265,"D+"&amp;O265)))</f>
        <v/>
      </c>
      <c r="D265" s="13" t="n"/>
      <c r="E265" s="11" t="n"/>
      <c r="F265" s="26" t="n"/>
      <c r="G265" s="13" t="n"/>
      <c r="H265" s="12">
        <f>IF(OR(B265="",O265=""),"",IF(O265&gt;0,IF(P265="Làm việc",WORKDAY(IFERROR(IF(INDEX(SK_D,MATCH(M265,SK_A,0))="",B265,INDEX(SK_D,MATCH(M265,SK_A,0))),B265),O265,HOLI),IFERROR(IF(INDEX(SK_D,MATCH(M265,SK_A,0))="",B265,INDEX(SK_D,MATCH(M265,SK_A,0))),B265)+O265),B265+O265))</f>
        <v/>
      </c>
      <c r="I265" s="13" t="n"/>
      <c r="J265" s="12" t="n"/>
      <c r="K265" s="11" t="n"/>
      <c r="L265" s="27">
        <f>IF(E265="","",IF(I265="Bỏ qua","—",IF(I265="Xong",IF(AND(ISNUMBER(J265),ISNUMBER(H265),J265&gt;H265),"Xong trễ","Xong"),IF(F265="","CHƯA GIAO","")&amp;IF(NOT(ISNUMBER(H265)),"",IF(TODAY()&gt;H265,IF(F265=""," · ","")&amp;"QUÁ HẠN "&amp;(TODAY()-H265)&amp;" ngày",IF(H265-TODAY()&lt;=3,IF(F265=""," · ","")&amp;"Đến hạn "&amp;IF(H265=TODAY(),"hôm nay","trong "&amp;(H265-TODAY())&amp;" ngày"),""))))))</f>
        <v/>
      </c>
      <c r="Q265">
        <f>IF(AND(E265&lt;&gt;"",R265="Có",I265&lt;&gt;"Xong",I265&lt;&gt;"Bỏ qua",ISNUMBER(H265)),H265+ROW()/100000,"")</f>
        <v/>
      </c>
      <c r="R265">
        <f>IF(M265="","",IFERROR(INDEX(SK_L,MATCH(M265,SK_A,0)),""))</f>
        <v/>
      </c>
    </row>
    <row r="266">
      <c r="A266" s="11">
        <f>IF(M266="","",IFERROR(INDEX(SK_B,MATCH(M266,SK_A,0))&amp;"",""))</f>
        <v/>
      </c>
      <c r="B266" s="24">
        <f>IF(M266="","",IFERROR(INDEX(SK_C,MATCH(M266,SK_A,0)),""))</f>
        <v/>
      </c>
      <c r="C266" s="25">
        <f>IF(O266="","",IF(O266=0,"D",IF(O266&lt;0,"D"&amp;O266,"D+"&amp;O266)))</f>
        <v/>
      </c>
      <c r="D266" s="13" t="n"/>
      <c r="E266" s="11" t="n"/>
      <c r="F266" s="26" t="n"/>
      <c r="G266" s="13" t="n"/>
      <c r="H266" s="12">
        <f>IF(OR(B266="",O266=""),"",IF(O266&gt;0,IF(P266="Làm việc",WORKDAY(IFERROR(IF(INDEX(SK_D,MATCH(M266,SK_A,0))="",B266,INDEX(SK_D,MATCH(M266,SK_A,0))),B266),O266,HOLI),IFERROR(IF(INDEX(SK_D,MATCH(M266,SK_A,0))="",B266,INDEX(SK_D,MATCH(M266,SK_A,0))),B266)+O266),B266+O266))</f>
        <v/>
      </c>
      <c r="I266" s="13" t="n"/>
      <c r="J266" s="12" t="n"/>
      <c r="K266" s="11" t="n"/>
      <c r="L266" s="27">
        <f>IF(E266="","",IF(I266="Bỏ qua","—",IF(I266="Xong",IF(AND(ISNUMBER(J266),ISNUMBER(H266),J266&gt;H266),"Xong trễ","Xong"),IF(F266="","CHƯA GIAO","")&amp;IF(NOT(ISNUMBER(H266)),"",IF(TODAY()&gt;H266,IF(F266=""," · ","")&amp;"QUÁ HẠN "&amp;(TODAY()-H266)&amp;" ngày",IF(H266-TODAY()&lt;=3,IF(F266=""," · ","")&amp;"Đến hạn "&amp;IF(H266=TODAY(),"hôm nay","trong "&amp;(H266-TODAY())&amp;" ngày"),""))))))</f>
        <v/>
      </c>
      <c r="Q266">
        <f>IF(AND(E266&lt;&gt;"",R266="Có",I266&lt;&gt;"Xong",I266&lt;&gt;"Bỏ qua",ISNUMBER(H266)),H266+ROW()/100000,"")</f>
        <v/>
      </c>
      <c r="R266">
        <f>IF(M266="","",IFERROR(INDEX(SK_L,MATCH(M266,SK_A,0)),""))</f>
        <v/>
      </c>
    </row>
    <row r="267">
      <c r="A267" s="11">
        <f>IF(M267="","",IFERROR(INDEX(SK_B,MATCH(M267,SK_A,0))&amp;"",""))</f>
        <v/>
      </c>
      <c r="B267" s="24">
        <f>IF(M267="","",IFERROR(INDEX(SK_C,MATCH(M267,SK_A,0)),""))</f>
        <v/>
      </c>
      <c r="C267" s="25">
        <f>IF(O267="","",IF(O267=0,"D",IF(O267&lt;0,"D"&amp;O267,"D+"&amp;O267)))</f>
        <v/>
      </c>
      <c r="D267" s="13" t="n"/>
      <c r="E267" s="11" t="n"/>
      <c r="F267" s="26" t="n"/>
      <c r="G267" s="13" t="n"/>
      <c r="H267" s="12">
        <f>IF(OR(B267="",O267=""),"",IF(O267&gt;0,IF(P267="Làm việc",WORKDAY(IFERROR(IF(INDEX(SK_D,MATCH(M267,SK_A,0))="",B267,INDEX(SK_D,MATCH(M267,SK_A,0))),B267),O267,HOLI),IFERROR(IF(INDEX(SK_D,MATCH(M267,SK_A,0))="",B267,INDEX(SK_D,MATCH(M267,SK_A,0))),B267)+O267),B267+O267))</f>
        <v/>
      </c>
      <c r="I267" s="13" t="n"/>
      <c r="J267" s="12" t="n"/>
      <c r="K267" s="11" t="n"/>
      <c r="L267" s="27">
        <f>IF(E267="","",IF(I267="Bỏ qua","—",IF(I267="Xong",IF(AND(ISNUMBER(J267),ISNUMBER(H267),J267&gt;H267),"Xong trễ","Xong"),IF(F267="","CHƯA GIAO","")&amp;IF(NOT(ISNUMBER(H267)),"",IF(TODAY()&gt;H267,IF(F267=""," · ","")&amp;"QUÁ HẠN "&amp;(TODAY()-H267)&amp;" ngày",IF(H267-TODAY()&lt;=3,IF(F267=""," · ","")&amp;"Đến hạn "&amp;IF(H267=TODAY(),"hôm nay","trong "&amp;(H267-TODAY())&amp;" ngày"),""))))))</f>
        <v/>
      </c>
      <c r="Q267">
        <f>IF(AND(E267&lt;&gt;"",R267="Có",I267&lt;&gt;"Xong",I267&lt;&gt;"Bỏ qua",ISNUMBER(H267)),H267+ROW()/100000,"")</f>
        <v/>
      </c>
      <c r="R267">
        <f>IF(M267="","",IFERROR(INDEX(SK_L,MATCH(M267,SK_A,0)),""))</f>
        <v/>
      </c>
    </row>
    <row r="268">
      <c r="A268" s="11">
        <f>IF(M268="","",IFERROR(INDEX(SK_B,MATCH(M268,SK_A,0))&amp;"",""))</f>
        <v/>
      </c>
      <c r="B268" s="24">
        <f>IF(M268="","",IFERROR(INDEX(SK_C,MATCH(M268,SK_A,0)),""))</f>
        <v/>
      </c>
      <c r="C268" s="25">
        <f>IF(O268="","",IF(O268=0,"D",IF(O268&lt;0,"D"&amp;O268,"D+"&amp;O268)))</f>
        <v/>
      </c>
      <c r="D268" s="13" t="n"/>
      <c r="E268" s="11" t="n"/>
      <c r="F268" s="26" t="n"/>
      <c r="G268" s="13" t="n"/>
      <c r="H268" s="12">
        <f>IF(OR(B268="",O268=""),"",IF(O268&gt;0,IF(P268="Làm việc",WORKDAY(IFERROR(IF(INDEX(SK_D,MATCH(M268,SK_A,0))="",B268,INDEX(SK_D,MATCH(M268,SK_A,0))),B268),O268,HOLI),IFERROR(IF(INDEX(SK_D,MATCH(M268,SK_A,0))="",B268,INDEX(SK_D,MATCH(M268,SK_A,0))),B268)+O268),B268+O268))</f>
        <v/>
      </c>
      <c r="I268" s="13" t="n"/>
      <c r="J268" s="12" t="n"/>
      <c r="K268" s="11" t="n"/>
      <c r="L268" s="27">
        <f>IF(E268="","",IF(I268="Bỏ qua","—",IF(I268="Xong",IF(AND(ISNUMBER(J268),ISNUMBER(H268),J268&gt;H268),"Xong trễ","Xong"),IF(F268="","CHƯA GIAO","")&amp;IF(NOT(ISNUMBER(H268)),"",IF(TODAY()&gt;H268,IF(F268=""," · ","")&amp;"QUÁ HẠN "&amp;(TODAY()-H268)&amp;" ngày",IF(H268-TODAY()&lt;=3,IF(F268=""," · ","")&amp;"Đến hạn "&amp;IF(H268=TODAY(),"hôm nay","trong "&amp;(H268-TODAY())&amp;" ngày"),""))))))</f>
        <v/>
      </c>
      <c r="Q268">
        <f>IF(AND(E268&lt;&gt;"",R268="Có",I268&lt;&gt;"Xong",I268&lt;&gt;"Bỏ qua",ISNUMBER(H268)),H268+ROW()/100000,"")</f>
        <v/>
      </c>
      <c r="R268">
        <f>IF(M268="","",IFERROR(INDEX(SK_L,MATCH(M268,SK_A,0)),""))</f>
        <v/>
      </c>
    </row>
    <row r="269">
      <c r="A269" s="11">
        <f>IF(M269="","",IFERROR(INDEX(SK_B,MATCH(M269,SK_A,0))&amp;"",""))</f>
        <v/>
      </c>
      <c r="B269" s="24">
        <f>IF(M269="","",IFERROR(INDEX(SK_C,MATCH(M269,SK_A,0)),""))</f>
        <v/>
      </c>
      <c r="C269" s="25">
        <f>IF(O269="","",IF(O269=0,"D",IF(O269&lt;0,"D"&amp;O269,"D+"&amp;O269)))</f>
        <v/>
      </c>
      <c r="D269" s="13" t="n"/>
      <c r="E269" s="11" t="n"/>
      <c r="F269" s="26" t="n"/>
      <c r="G269" s="13" t="n"/>
      <c r="H269" s="12">
        <f>IF(OR(B269="",O269=""),"",IF(O269&gt;0,IF(P269="Làm việc",WORKDAY(IFERROR(IF(INDEX(SK_D,MATCH(M269,SK_A,0))="",B269,INDEX(SK_D,MATCH(M269,SK_A,0))),B269),O269,HOLI),IFERROR(IF(INDEX(SK_D,MATCH(M269,SK_A,0))="",B269,INDEX(SK_D,MATCH(M269,SK_A,0))),B269)+O269),B269+O269))</f>
        <v/>
      </c>
      <c r="I269" s="13" t="n"/>
      <c r="J269" s="12" t="n"/>
      <c r="K269" s="11" t="n"/>
      <c r="L269" s="27">
        <f>IF(E269="","",IF(I269="Bỏ qua","—",IF(I269="Xong",IF(AND(ISNUMBER(J269),ISNUMBER(H269),J269&gt;H269),"Xong trễ","Xong"),IF(F269="","CHƯA GIAO","")&amp;IF(NOT(ISNUMBER(H269)),"",IF(TODAY()&gt;H269,IF(F269=""," · ","")&amp;"QUÁ HẠN "&amp;(TODAY()-H269)&amp;" ngày",IF(H269-TODAY()&lt;=3,IF(F269=""," · ","")&amp;"Đến hạn "&amp;IF(H269=TODAY(),"hôm nay","trong "&amp;(H269-TODAY())&amp;" ngày"),""))))))</f>
        <v/>
      </c>
      <c r="Q269">
        <f>IF(AND(E269&lt;&gt;"",R269="Có",I269&lt;&gt;"Xong",I269&lt;&gt;"Bỏ qua",ISNUMBER(H269)),H269+ROW()/100000,"")</f>
        <v/>
      </c>
      <c r="R269">
        <f>IF(M269="","",IFERROR(INDEX(SK_L,MATCH(M269,SK_A,0)),""))</f>
        <v/>
      </c>
    </row>
    <row r="270">
      <c r="A270" s="11">
        <f>IF(M270="","",IFERROR(INDEX(SK_B,MATCH(M270,SK_A,0))&amp;"",""))</f>
        <v/>
      </c>
      <c r="B270" s="24">
        <f>IF(M270="","",IFERROR(INDEX(SK_C,MATCH(M270,SK_A,0)),""))</f>
        <v/>
      </c>
      <c r="C270" s="25">
        <f>IF(O270="","",IF(O270=0,"D",IF(O270&lt;0,"D"&amp;O270,"D+"&amp;O270)))</f>
        <v/>
      </c>
      <c r="D270" s="13" t="n"/>
      <c r="E270" s="11" t="n"/>
      <c r="F270" s="26" t="n"/>
      <c r="G270" s="13" t="n"/>
      <c r="H270" s="12">
        <f>IF(OR(B270="",O270=""),"",IF(O270&gt;0,IF(P270="Làm việc",WORKDAY(IFERROR(IF(INDEX(SK_D,MATCH(M270,SK_A,0))="",B270,INDEX(SK_D,MATCH(M270,SK_A,0))),B270),O270,HOLI),IFERROR(IF(INDEX(SK_D,MATCH(M270,SK_A,0))="",B270,INDEX(SK_D,MATCH(M270,SK_A,0))),B270)+O270),B270+O270))</f>
        <v/>
      </c>
      <c r="I270" s="13" t="n"/>
      <c r="J270" s="12" t="n"/>
      <c r="K270" s="11" t="n"/>
      <c r="L270" s="27">
        <f>IF(E270="","",IF(I270="Bỏ qua","—",IF(I270="Xong",IF(AND(ISNUMBER(J270),ISNUMBER(H270),J270&gt;H270),"Xong trễ","Xong"),IF(F270="","CHƯA GIAO","")&amp;IF(NOT(ISNUMBER(H270)),"",IF(TODAY()&gt;H270,IF(F270=""," · ","")&amp;"QUÁ HẠN "&amp;(TODAY()-H270)&amp;" ngày",IF(H270-TODAY()&lt;=3,IF(F270=""," · ","")&amp;"Đến hạn "&amp;IF(H270=TODAY(),"hôm nay","trong "&amp;(H270-TODAY())&amp;" ngày"),""))))))</f>
        <v/>
      </c>
      <c r="Q270">
        <f>IF(AND(E270&lt;&gt;"",R270="Có",I270&lt;&gt;"Xong",I270&lt;&gt;"Bỏ qua",ISNUMBER(H270)),H270+ROW()/100000,"")</f>
        <v/>
      </c>
      <c r="R270">
        <f>IF(M270="","",IFERROR(INDEX(SK_L,MATCH(M270,SK_A,0)),""))</f>
        <v/>
      </c>
    </row>
    <row r="271">
      <c r="A271" s="11">
        <f>IF(M271="","",IFERROR(INDEX(SK_B,MATCH(M271,SK_A,0))&amp;"",""))</f>
        <v/>
      </c>
      <c r="B271" s="24">
        <f>IF(M271="","",IFERROR(INDEX(SK_C,MATCH(M271,SK_A,0)),""))</f>
        <v/>
      </c>
      <c r="C271" s="25">
        <f>IF(O271="","",IF(O271=0,"D",IF(O271&lt;0,"D"&amp;O271,"D+"&amp;O271)))</f>
        <v/>
      </c>
      <c r="D271" s="13" t="n"/>
      <c r="E271" s="11" t="n"/>
      <c r="F271" s="26" t="n"/>
      <c r="G271" s="13" t="n"/>
      <c r="H271" s="12">
        <f>IF(OR(B271="",O271=""),"",IF(O271&gt;0,IF(P271="Làm việc",WORKDAY(IFERROR(IF(INDEX(SK_D,MATCH(M271,SK_A,0))="",B271,INDEX(SK_D,MATCH(M271,SK_A,0))),B271),O271,HOLI),IFERROR(IF(INDEX(SK_D,MATCH(M271,SK_A,0))="",B271,INDEX(SK_D,MATCH(M271,SK_A,0))),B271)+O271),B271+O271))</f>
        <v/>
      </c>
      <c r="I271" s="13" t="n"/>
      <c r="J271" s="12" t="n"/>
      <c r="K271" s="11" t="n"/>
      <c r="L271" s="27">
        <f>IF(E271="","",IF(I271="Bỏ qua","—",IF(I271="Xong",IF(AND(ISNUMBER(J271),ISNUMBER(H271),J271&gt;H271),"Xong trễ","Xong"),IF(F271="","CHƯA GIAO","")&amp;IF(NOT(ISNUMBER(H271)),"",IF(TODAY()&gt;H271,IF(F271=""," · ","")&amp;"QUÁ HẠN "&amp;(TODAY()-H271)&amp;" ngày",IF(H271-TODAY()&lt;=3,IF(F271=""," · ","")&amp;"Đến hạn "&amp;IF(H271=TODAY(),"hôm nay","trong "&amp;(H271-TODAY())&amp;" ngày"),""))))))</f>
        <v/>
      </c>
      <c r="Q271">
        <f>IF(AND(E271&lt;&gt;"",R271="Có",I271&lt;&gt;"Xong",I271&lt;&gt;"Bỏ qua",ISNUMBER(H271)),H271+ROW()/100000,"")</f>
        <v/>
      </c>
      <c r="R271">
        <f>IF(M271="","",IFERROR(INDEX(SK_L,MATCH(M271,SK_A,0)),""))</f>
        <v/>
      </c>
    </row>
    <row r="272">
      <c r="A272" s="11">
        <f>IF(M272="","",IFERROR(INDEX(SK_B,MATCH(M272,SK_A,0))&amp;"",""))</f>
        <v/>
      </c>
      <c r="B272" s="24">
        <f>IF(M272="","",IFERROR(INDEX(SK_C,MATCH(M272,SK_A,0)),""))</f>
        <v/>
      </c>
      <c r="C272" s="25">
        <f>IF(O272="","",IF(O272=0,"D",IF(O272&lt;0,"D"&amp;O272,"D+"&amp;O272)))</f>
        <v/>
      </c>
      <c r="D272" s="13" t="n"/>
      <c r="E272" s="11" t="n"/>
      <c r="F272" s="26" t="n"/>
      <c r="G272" s="13" t="n"/>
      <c r="H272" s="12">
        <f>IF(OR(B272="",O272=""),"",IF(O272&gt;0,IF(P272="Làm việc",WORKDAY(IFERROR(IF(INDEX(SK_D,MATCH(M272,SK_A,0))="",B272,INDEX(SK_D,MATCH(M272,SK_A,0))),B272),O272,HOLI),IFERROR(IF(INDEX(SK_D,MATCH(M272,SK_A,0))="",B272,INDEX(SK_D,MATCH(M272,SK_A,0))),B272)+O272),B272+O272))</f>
        <v/>
      </c>
      <c r="I272" s="13" t="n"/>
      <c r="J272" s="12" t="n"/>
      <c r="K272" s="11" t="n"/>
      <c r="L272" s="27">
        <f>IF(E272="","",IF(I272="Bỏ qua","—",IF(I272="Xong",IF(AND(ISNUMBER(J272),ISNUMBER(H272),J272&gt;H272),"Xong trễ","Xong"),IF(F272="","CHƯA GIAO","")&amp;IF(NOT(ISNUMBER(H272)),"",IF(TODAY()&gt;H272,IF(F272=""," · ","")&amp;"QUÁ HẠN "&amp;(TODAY()-H272)&amp;" ngày",IF(H272-TODAY()&lt;=3,IF(F272=""," · ","")&amp;"Đến hạn "&amp;IF(H272=TODAY(),"hôm nay","trong "&amp;(H272-TODAY())&amp;" ngày"),""))))))</f>
        <v/>
      </c>
      <c r="Q272">
        <f>IF(AND(E272&lt;&gt;"",R272="Có",I272&lt;&gt;"Xong",I272&lt;&gt;"Bỏ qua",ISNUMBER(H272)),H272+ROW()/100000,"")</f>
        <v/>
      </c>
      <c r="R272">
        <f>IF(M272="","",IFERROR(INDEX(SK_L,MATCH(M272,SK_A,0)),""))</f>
        <v/>
      </c>
    </row>
    <row r="273">
      <c r="A273" s="11">
        <f>IF(M273="","",IFERROR(INDEX(SK_B,MATCH(M273,SK_A,0))&amp;"",""))</f>
        <v/>
      </c>
      <c r="B273" s="24">
        <f>IF(M273="","",IFERROR(INDEX(SK_C,MATCH(M273,SK_A,0)),""))</f>
        <v/>
      </c>
      <c r="C273" s="25">
        <f>IF(O273="","",IF(O273=0,"D",IF(O273&lt;0,"D"&amp;O273,"D+"&amp;O273)))</f>
        <v/>
      </c>
      <c r="D273" s="13" t="n"/>
      <c r="E273" s="11" t="n"/>
      <c r="F273" s="26" t="n"/>
      <c r="G273" s="13" t="n"/>
      <c r="H273" s="12">
        <f>IF(OR(B273="",O273=""),"",IF(O273&gt;0,IF(P273="Làm việc",WORKDAY(IFERROR(IF(INDEX(SK_D,MATCH(M273,SK_A,0))="",B273,INDEX(SK_D,MATCH(M273,SK_A,0))),B273),O273,HOLI),IFERROR(IF(INDEX(SK_D,MATCH(M273,SK_A,0))="",B273,INDEX(SK_D,MATCH(M273,SK_A,0))),B273)+O273),B273+O273))</f>
        <v/>
      </c>
      <c r="I273" s="13" t="n"/>
      <c r="J273" s="12" t="n"/>
      <c r="K273" s="11" t="n"/>
      <c r="L273" s="27">
        <f>IF(E273="","",IF(I273="Bỏ qua","—",IF(I273="Xong",IF(AND(ISNUMBER(J273),ISNUMBER(H273),J273&gt;H273),"Xong trễ","Xong"),IF(F273="","CHƯA GIAO","")&amp;IF(NOT(ISNUMBER(H273)),"",IF(TODAY()&gt;H273,IF(F273=""," · ","")&amp;"QUÁ HẠN "&amp;(TODAY()-H273)&amp;" ngày",IF(H273-TODAY()&lt;=3,IF(F273=""," · ","")&amp;"Đến hạn "&amp;IF(H273=TODAY(),"hôm nay","trong "&amp;(H273-TODAY())&amp;" ngày"),""))))))</f>
        <v/>
      </c>
      <c r="Q273">
        <f>IF(AND(E273&lt;&gt;"",R273="Có",I273&lt;&gt;"Xong",I273&lt;&gt;"Bỏ qua",ISNUMBER(H273)),H273+ROW()/100000,"")</f>
        <v/>
      </c>
      <c r="R273">
        <f>IF(M273="","",IFERROR(INDEX(SK_L,MATCH(M273,SK_A,0)),""))</f>
        <v/>
      </c>
    </row>
    <row r="274">
      <c r="A274" s="11">
        <f>IF(M274="","",IFERROR(INDEX(SK_B,MATCH(M274,SK_A,0))&amp;"",""))</f>
        <v/>
      </c>
      <c r="B274" s="24">
        <f>IF(M274="","",IFERROR(INDEX(SK_C,MATCH(M274,SK_A,0)),""))</f>
        <v/>
      </c>
      <c r="C274" s="25">
        <f>IF(O274="","",IF(O274=0,"D",IF(O274&lt;0,"D"&amp;O274,"D+"&amp;O274)))</f>
        <v/>
      </c>
      <c r="D274" s="13" t="n"/>
      <c r="E274" s="11" t="n"/>
      <c r="F274" s="26" t="n"/>
      <c r="G274" s="13" t="n"/>
      <c r="H274" s="12">
        <f>IF(OR(B274="",O274=""),"",IF(O274&gt;0,IF(P274="Làm việc",WORKDAY(IFERROR(IF(INDEX(SK_D,MATCH(M274,SK_A,0))="",B274,INDEX(SK_D,MATCH(M274,SK_A,0))),B274),O274,HOLI),IFERROR(IF(INDEX(SK_D,MATCH(M274,SK_A,0))="",B274,INDEX(SK_D,MATCH(M274,SK_A,0))),B274)+O274),B274+O274))</f>
        <v/>
      </c>
      <c r="I274" s="13" t="n"/>
      <c r="J274" s="12" t="n"/>
      <c r="K274" s="11" t="n"/>
      <c r="L274" s="27">
        <f>IF(E274="","",IF(I274="Bỏ qua","—",IF(I274="Xong",IF(AND(ISNUMBER(J274),ISNUMBER(H274),J274&gt;H274),"Xong trễ","Xong"),IF(F274="","CHƯA GIAO","")&amp;IF(NOT(ISNUMBER(H274)),"",IF(TODAY()&gt;H274,IF(F274=""," · ","")&amp;"QUÁ HẠN "&amp;(TODAY()-H274)&amp;" ngày",IF(H274-TODAY()&lt;=3,IF(F274=""," · ","")&amp;"Đến hạn "&amp;IF(H274=TODAY(),"hôm nay","trong "&amp;(H274-TODAY())&amp;" ngày"),""))))))</f>
        <v/>
      </c>
      <c r="Q274">
        <f>IF(AND(E274&lt;&gt;"",R274="Có",I274&lt;&gt;"Xong",I274&lt;&gt;"Bỏ qua",ISNUMBER(H274)),H274+ROW()/100000,"")</f>
        <v/>
      </c>
      <c r="R274">
        <f>IF(M274="","",IFERROR(INDEX(SK_L,MATCH(M274,SK_A,0)),""))</f>
        <v/>
      </c>
    </row>
    <row r="275">
      <c r="A275" s="11">
        <f>IF(M275="","",IFERROR(INDEX(SK_B,MATCH(M275,SK_A,0))&amp;"",""))</f>
        <v/>
      </c>
      <c r="B275" s="24">
        <f>IF(M275="","",IFERROR(INDEX(SK_C,MATCH(M275,SK_A,0)),""))</f>
        <v/>
      </c>
      <c r="C275" s="25">
        <f>IF(O275="","",IF(O275=0,"D",IF(O275&lt;0,"D"&amp;O275,"D+"&amp;O275)))</f>
        <v/>
      </c>
      <c r="D275" s="13" t="n"/>
      <c r="E275" s="11" t="n"/>
      <c r="F275" s="26" t="n"/>
      <c r="G275" s="13" t="n"/>
      <c r="H275" s="12">
        <f>IF(OR(B275="",O275=""),"",IF(O275&gt;0,IF(P275="Làm việc",WORKDAY(IFERROR(IF(INDEX(SK_D,MATCH(M275,SK_A,0))="",B275,INDEX(SK_D,MATCH(M275,SK_A,0))),B275),O275,HOLI),IFERROR(IF(INDEX(SK_D,MATCH(M275,SK_A,0))="",B275,INDEX(SK_D,MATCH(M275,SK_A,0))),B275)+O275),B275+O275))</f>
        <v/>
      </c>
      <c r="I275" s="13" t="n"/>
      <c r="J275" s="12" t="n"/>
      <c r="K275" s="11" t="n"/>
      <c r="L275" s="27">
        <f>IF(E275="","",IF(I275="Bỏ qua","—",IF(I275="Xong",IF(AND(ISNUMBER(J275),ISNUMBER(H275),J275&gt;H275),"Xong trễ","Xong"),IF(F275="","CHƯA GIAO","")&amp;IF(NOT(ISNUMBER(H275)),"",IF(TODAY()&gt;H275,IF(F275=""," · ","")&amp;"QUÁ HẠN "&amp;(TODAY()-H275)&amp;" ngày",IF(H275-TODAY()&lt;=3,IF(F275=""," · ","")&amp;"Đến hạn "&amp;IF(H275=TODAY(),"hôm nay","trong "&amp;(H275-TODAY())&amp;" ngày"),""))))))</f>
        <v/>
      </c>
      <c r="Q275">
        <f>IF(AND(E275&lt;&gt;"",R275="Có",I275&lt;&gt;"Xong",I275&lt;&gt;"Bỏ qua",ISNUMBER(H275)),H275+ROW()/100000,"")</f>
        <v/>
      </c>
      <c r="R275">
        <f>IF(M275="","",IFERROR(INDEX(SK_L,MATCH(M275,SK_A,0)),""))</f>
        <v/>
      </c>
    </row>
    <row r="276">
      <c r="A276" s="11">
        <f>IF(M276="","",IFERROR(INDEX(SK_B,MATCH(M276,SK_A,0))&amp;"",""))</f>
        <v/>
      </c>
      <c r="B276" s="24">
        <f>IF(M276="","",IFERROR(INDEX(SK_C,MATCH(M276,SK_A,0)),""))</f>
        <v/>
      </c>
      <c r="C276" s="25">
        <f>IF(O276="","",IF(O276=0,"D",IF(O276&lt;0,"D"&amp;O276,"D+"&amp;O276)))</f>
        <v/>
      </c>
      <c r="D276" s="13" t="n"/>
      <c r="E276" s="11" t="n"/>
      <c r="F276" s="26" t="n"/>
      <c r="G276" s="13" t="n"/>
      <c r="H276" s="12">
        <f>IF(OR(B276="",O276=""),"",IF(O276&gt;0,IF(P276="Làm việc",WORKDAY(IFERROR(IF(INDEX(SK_D,MATCH(M276,SK_A,0))="",B276,INDEX(SK_D,MATCH(M276,SK_A,0))),B276),O276,HOLI),IFERROR(IF(INDEX(SK_D,MATCH(M276,SK_A,0))="",B276,INDEX(SK_D,MATCH(M276,SK_A,0))),B276)+O276),B276+O276))</f>
        <v/>
      </c>
      <c r="I276" s="13" t="n"/>
      <c r="J276" s="12" t="n"/>
      <c r="K276" s="11" t="n"/>
      <c r="L276" s="27">
        <f>IF(E276="","",IF(I276="Bỏ qua","—",IF(I276="Xong",IF(AND(ISNUMBER(J276),ISNUMBER(H276),J276&gt;H276),"Xong trễ","Xong"),IF(F276="","CHƯA GIAO","")&amp;IF(NOT(ISNUMBER(H276)),"",IF(TODAY()&gt;H276,IF(F276=""," · ","")&amp;"QUÁ HẠN "&amp;(TODAY()-H276)&amp;" ngày",IF(H276-TODAY()&lt;=3,IF(F276=""," · ","")&amp;"Đến hạn "&amp;IF(H276=TODAY(),"hôm nay","trong "&amp;(H276-TODAY())&amp;" ngày"),""))))))</f>
        <v/>
      </c>
      <c r="Q276">
        <f>IF(AND(E276&lt;&gt;"",R276="Có",I276&lt;&gt;"Xong",I276&lt;&gt;"Bỏ qua",ISNUMBER(H276)),H276+ROW()/100000,"")</f>
        <v/>
      </c>
      <c r="R276">
        <f>IF(M276="","",IFERROR(INDEX(SK_L,MATCH(M276,SK_A,0)),""))</f>
        <v/>
      </c>
    </row>
    <row r="277">
      <c r="A277" s="11">
        <f>IF(M277="","",IFERROR(INDEX(SK_B,MATCH(M277,SK_A,0))&amp;"",""))</f>
        <v/>
      </c>
      <c r="B277" s="24">
        <f>IF(M277="","",IFERROR(INDEX(SK_C,MATCH(M277,SK_A,0)),""))</f>
        <v/>
      </c>
      <c r="C277" s="25">
        <f>IF(O277="","",IF(O277=0,"D",IF(O277&lt;0,"D"&amp;O277,"D+"&amp;O277)))</f>
        <v/>
      </c>
      <c r="D277" s="13" t="n"/>
      <c r="E277" s="11" t="n"/>
      <c r="F277" s="26" t="n"/>
      <c r="G277" s="13" t="n"/>
      <c r="H277" s="12">
        <f>IF(OR(B277="",O277=""),"",IF(O277&gt;0,IF(P277="Làm việc",WORKDAY(IFERROR(IF(INDEX(SK_D,MATCH(M277,SK_A,0))="",B277,INDEX(SK_D,MATCH(M277,SK_A,0))),B277),O277,HOLI),IFERROR(IF(INDEX(SK_D,MATCH(M277,SK_A,0))="",B277,INDEX(SK_D,MATCH(M277,SK_A,0))),B277)+O277),B277+O277))</f>
        <v/>
      </c>
      <c r="I277" s="13" t="n"/>
      <c r="J277" s="12" t="n"/>
      <c r="K277" s="11" t="n"/>
      <c r="L277" s="27">
        <f>IF(E277="","",IF(I277="Bỏ qua","—",IF(I277="Xong",IF(AND(ISNUMBER(J277),ISNUMBER(H277),J277&gt;H277),"Xong trễ","Xong"),IF(F277="","CHƯA GIAO","")&amp;IF(NOT(ISNUMBER(H277)),"",IF(TODAY()&gt;H277,IF(F277=""," · ","")&amp;"QUÁ HẠN "&amp;(TODAY()-H277)&amp;" ngày",IF(H277-TODAY()&lt;=3,IF(F277=""," · ","")&amp;"Đến hạn "&amp;IF(H277=TODAY(),"hôm nay","trong "&amp;(H277-TODAY())&amp;" ngày"),""))))))</f>
        <v/>
      </c>
      <c r="Q277">
        <f>IF(AND(E277&lt;&gt;"",R277="Có",I277&lt;&gt;"Xong",I277&lt;&gt;"Bỏ qua",ISNUMBER(H277)),H277+ROW()/100000,"")</f>
        <v/>
      </c>
      <c r="R277">
        <f>IF(M277="","",IFERROR(INDEX(SK_L,MATCH(M277,SK_A,0)),""))</f>
        <v/>
      </c>
    </row>
    <row r="278">
      <c r="A278" s="11">
        <f>IF(M278="","",IFERROR(INDEX(SK_B,MATCH(M278,SK_A,0))&amp;"",""))</f>
        <v/>
      </c>
      <c r="B278" s="24">
        <f>IF(M278="","",IFERROR(INDEX(SK_C,MATCH(M278,SK_A,0)),""))</f>
        <v/>
      </c>
      <c r="C278" s="25">
        <f>IF(O278="","",IF(O278=0,"D",IF(O278&lt;0,"D"&amp;O278,"D+"&amp;O278)))</f>
        <v/>
      </c>
      <c r="D278" s="13" t="n"/>
      <c r="E278" s="11" t="n"/>
      <c r="F278" s="26" t="n"/>
      <c r="G278" s="13" t="n"/>
      <c r="H278" s="12">
        <f>IF(OR(B278="",O278=""),"",IF(O278&gt;0,IF(P278="Làm việc",WORKDAY(IFERROR(IF(INDEX(SK_D,MATCH(M278,SK_A,0))="",B278,INDEX(SK_D,MATCH(M278,SK_A,0))),B278),O278,HOLI),IFERROR(IF(INDEX(SK_D,MATCH(M278,SK_A,0))="",B278,INDEX(SK_D,MATCH(M278,SK_A,0))),B278)+O278),B278+O278))</f>
        <v/>
      </c>
      <c r="I278" s="13" t="n"/>
      <c r="J278" s="12" t="n"/>
      <c r="K278" s="11" t="n"/>
      <c r="L278" s="27">
        <f>IF(E278="","",IF(I278="Bỏ qua","—",IF(I278="Xong",IF(AND(ISNUMBER(J278),ISNUMBER(H278),J278&gt;H278),"Xong trễ","Xong"),IF(F278="","CHƯA GIAO","")&amp;IF(NOT(ISNUMBER(H278)),"",IF(TODAY()&gt;H278,IF(F278=""," · ","")&amp;"QUÁ HẠN "&amp;(TODAY()-H278)&amp;" ngày",IF(H278-TODAY()&lt;=3,IF(F278=""," · ","")&amp;"Đến hạn "&amp;IF(H278=TODAY(),"hôm nay","trong "&amp;(H278-TODAY())&amp;" ngày"),""))))))</f>
        <v/>
      </c>
      <c r="Q278">
        <f>IF(AND(E278&lt;&gt;"",R278="Có",I278&lt;&gt;"Xong",I278&lt;&gt;"Bỏ qua",ISNUMBER(H278)),H278+ROW()/100000,"")</f>
        <v/>
      </c>
      <c r="R278">
        <f>IF(M278="","",IFERROR(INDEX(SK_L,MATCH(M278,SK_A,0)),""))</f>
        <v/>
      </c>
    </row>
    <row r="279">
      <c r="A279" s="11">
        <f>IF(M279="","",IFERROR(INDEX(SK_B,MATCH(M279,SK_A,0))&amp;"",""))</f>
        <v/>
      </c>
      <c r="B279" s="24">
        <f>IF(M279="","",IFERROR(INDEX(SK_C,MATCH(M279,SK_A,0)),""))</f>
        <v/>
      </c>
      <c r="C279" s="25">
        <f>IF(O279="","",IF(O279=0,"D",IF(O279&lt;0,"D"&amp;O279,"D+"&amp;O279)))</f>
        <v/>
      </c>
      <c r="D279" s="13" t="n"/>
      <c r="E279" s="11" t="n"/>
      <c r="F279" s="26" t="n"/>
      <c r="G279" s="13" t="n"/>
      <c r="H279" s="12">
        <f>IF(OR(B279="",O279=""),"",IF(O279&gt;0,IF(P279="Làm việc",WORKDAY(IFERROR(IF(INDEX(SK_D,MATCH(M279,SK_A,0))="",B279,INDEX(SK_D,MATCH(M279,SK_A,0))),B279),O279,HOLI),IFERROR(IF(INDEX(SK_D,MATCH(M279,SK_A,0))="",B279,INDEX(SK_D,MATCH(M279,SK_A,0))),B279)+O279),B279+O279))</f>
        <v/>
      </c>
      <c r="I279" s="13" t="n"/>
      <c r="J279" s="12" t="n"/>
      <c r="K279" s="11" t="n"/>
      <c r="L279" s="27">
        <f>IF(E279="","",IF(I279="Bỏ qua","—",IF(I279="Xong",IF(AND(ISNUMBER(J279),ISNUMBER(H279),J279&gt;H279),"Xong trễ","Xong"),IF(F279="","CHƯA GIAO","")&amp;IF(NOT(ISNUMBER(H279)),"",IF(TODAY()&gt;H279,IF(F279=""," · ","")&amp;"QUÁ HẠN "&amp;(TODAY()-H279)&amp;" ngày",IF(H279-TODAY()&lt;=3,IF(F279=""," · ","")&amp;"Đến hạn "&amp;IF(H279=TODAY(),"hôm nay","trong "&amp;(H279-TODAY())&amp;" ngày"),""))))))</f>
        <v/>
      </c>
      <c r="Q279">
        <f>IF(AND(E279&lt;&gt;"",R279="Có",I279&lt;&gt;"Xong",I279&lt;&gt;"Bỏ qua",ISNUMBER(H279)),H279+ROW()/100000,"")</f>
        <v/>
      </c>
      <c r="R279">
        <f>IF(M279="","",IFERROR(INDEX(SK_L,MATCH(M279,SK_A,0)),""))</f>
        <v/>
      </c>
    </row>
    <row r="280">
      <c r="A280" s="11">
        <f>IF(M280="","",IFERROR(INDEX(SK_B,MATCH(M280,SK_A,0))&amp;"",""))</f>
        <v/>
      </c>
      <c r="B280" s="24">
        <f>IF(M280="","",IFERROR(INDEX(SK_C,MATCH(M280,SK_A,0)),""))</f>
        <v/>
      </c>
      <c r="C280" s="25">
        <f>IF(O280="","",IF(O280=0,"D",IF(O280&lt;0,"D"&amp;O280,"D+"&amp;O280)))</f>
        <v/>
      </c>
      <c r="D280" s="13" t="n"/>
      <c r="E280" s="11" t="n"/>
      <c r="F280" s="26" t="n"/>
      <c r="G280" s="13" t="n"/>
      <c r="H280" s="12">
        <f>IF(OR(B280="",O280=""),"",IF(O280&gt;0,IF(P280="Làm việc",WORKDAY(IFERROR(IF(INDEX(SK_D,MATCH(M280,SK_A,0))="",B280,INDEX(SK_D,MATCH(M280,SK_A,0))),B280),O280,HOLI),IFERROR(IF(INDEX(SK_D,MATCH(M280,SK_A,0))="",B280,INDEX(SK_D,MATCH(M280,SK_A,0))),B280)+O280),B280+O280))</f>
        <v/>
      </c>
      <c r="I280" s="13" t="n"/>
      <c r="J280" s="12" t="n"/>
      <c r="K280" s="11" t="n"/>
      <c r="L280" s="27">
        <f>IF(E280="","",IF(I280="Bỏ qua","—",IF(I280="Xong",IF(AND(ISNUMBER(J280),ISNUMBER(H280),J280&gt;H280),"Xong trễ","Xong"),IF(F280="","CHƯA GIAO","")&amp;IF(NOT(ISNUMBER(H280)),"",IF(TODAY()&gt;H280,IF(F280=""," · ","")&amp;"QUÁ HẠN "&amp;(TODAY()-H280)&amp;" ngày",IF(H280-TODAY()&lt;=3,IF(F280=""," · ","")&amp;"Đến hạn "&amp;IF(H280=TODAY(),"hôm nay","trong "&amp;(H280-TODAY())&amp;" ngày"),""))))))</f>
        <v/>
      </c>
      <c r="Q280">
        <f>IF(AND(E280&lt;&gt;"",R280="Có",I280&lt;&gt;"Xong",I280&lt;&gt;"Bỏ qua",ISNUMBER(H280)),H280+ROW()/100000,"")</f>
        <v/>
      </c>
      <c r="R280">
        <f>IF(M280="","",IFERROR(INDEX(SK_L,MATCH(M280,SK_A,0)),""))</f>
        <v/>
      </c>
    </row>
    <row r="281">
      <c r="A281" s="11">
        <f>IF(M281="","",IFERROR(INDEX(SK_B,MATCH(M281,SK_A,0))&amp;"",""))</f>
        <v/>
      </c>
      <c r="B281" s="24">
        <f>IF(M281="","",IFERROR(INDEX(SK_C,MATCH(M281,SK_A,0)),""))</f>
        <v/>
      </c>
      <c r="C281" s="25">
        <f>IF(O281="","",IF(O281=0,"D",IF(O281&lt;0,"D"&amp;O281,"D+"&amp;O281)))</f>
        <v/>
      </c>
      <c r="D281" s="13" t="n"/>
      <c r="E281" s="11" t="n"/>
      <c r="F281" s="26" t="n"/>
      <c r="G281" s="13" t="n"/>
      <c r="H281" s="12">
        <f>IF(OR(B281="",O281=""),"",IF(O281&gt;0,IF(P281="Làm việc",WORKDAY(IFERROR(IF(INDEX(SK_D,MATCH(M281,SK_A,0))="",B281,INDEX(SK_D,MATCH(M281,SK_A,0))),B281),O281,HOLI),IFERROR(IF(INDEX(SK_D,MATCH(M281,SK_A,0))="",B281,INDEX(SK_D,MATCH(M281,SK_A,0))),B281)+O281),B281+O281))</f>
        <v/>
      </c>
      <c r="I281" s="13" t="n"/>
      <c r="J281" s="12" t="n"/>
      <c r="K281" s="11" t="n"/>
      <c r="L281" s="27">
        <f>IF(E281="","",IF(I281="Bỏ qua","—",IF(I281="Xong",IF(AND(ISNUMBER(J281),ISNUMBER(H281),J281&gt;H281),"Xong trễ","Xong"),IF(F281="","CHƯA GIAO","")&amp;IF(NOT(ISNUMBER(H281)),"",IF(TODAY()&gt;H281,IF(F281=""," · ","")&amp;"QUÁ HẠN "&amp;(TODAY()-H281)&amp;" ngày",IF(H281-TODAY()&lt;=3,IF(F281=""," · ","")&amp;"Đến hạn "&amp;IF(H281=TODAY(),"hôm nay","trong "&amp;(H281-TODAY())&amp;" ngày"),""))))))</f>
        <v/>
      </c>
      <c r="Q281">
        <f>IF(AND(E281&lt;&gt;"",R281="Có",I281&lt;&gt;"Xong",I281&lt;&gt;"Bỏ qua",ISNUMBER(H281)),H281+ROW()/100000,"")</f>
        <v/>
      </c>
      <c r="R281">
        <f>IF(M281="","",IFERROR(INDEX(SK_L,MATCH(M281,SK_A,0)),""))</f>
        <v/>
      </c>
    </row>
    <row r="282">
      <c r="A282" s="11">
        <f>IF(M282="","",IFERROR(INDEX(SK_B,MATCH(M282,SK_A,0))&amp;"",""))</f>
        <v/>
      </c>
      <c r="B282" s="24">
        <f>IF(M282="","",IFERROR(INDEX(SK_C,MATCH(M282,SK_A,0)),""))</f>
        <v/>
      </c>
      <c r="C282" s="25">
        <f>IF(O282="","",IF(O282=0,"D",IF(O282&lt;0,"D"&amp;O282,"D+"&amp;O282)))</f>
        <v/>
      </c>
      <c r="D282" s="13" t="n"/>
      <c r="E282" s="11" t="n"/>
      <c r="F282" s="26" t="n"/>
      <c r="G282" s="13" t="n"/>
      <c r="H282" s="12">
        <f>IF(OR(B282="",O282=""),"",IF(O282&gt;0,IF(P282="Làm việc",WORKDAY(IFERROR(IF(INDEX(SK_D,MATCH(M282,SK_A,0))="",B282,INDEX(SK_D,MATCH(M282,SK_A,0))),B282),O282,HOLI),IFERROR(IF(INDEX(SK_D,MATCH(M282,SK_A,0))="",B282,INDEX(SK_D,MATCH(M282,SK_A,0))),B282)+O282),B282+O282))</f>
        <v/>
      </c>
      <c r="I282" s="13" t="n"/>
      <c r="J282" s="12" t="n"/>
      <c r="K282" s="11" t="n"/>
      <c r="L282" s="27">
        <f>IF(E282="","",IF(I282="Bỏ qua","—",IF(I282="Xong",IF(AND(ISNUMBER(J282),ISNUMBER(H282),J282&gt;H282),"Xong trễ","Xong"),IF(F282="","CHƯA GIAO","")&amp;IF(NOT(ISNUMBER(H282)),"",IF(TODAY()&gt;H282,IF(F282=""," · ","")&amp;"QUÁ HẠN "&amp;(TODAY()-H282)&amp;" ngày",IF(H282-TODAY()&lt;=3,IF(F282=""," · ","")&amp;"Đến hạn "&amp;IF(H282=TODAY(),"hôm nay","trong "&amp;(H282-TODAY())&amp;" ngày"),""))))))</f>
        <v/>
      </c>
      <c r="Q282">
        <f>IF(AND(E282&lt;&gt;"",R282="Có",I282&lt;&gt;"Xong",I282&lt;&gt;"Bỏ qua",ISNUMBER(H282)),H282+ROW()/100000,"")</f>
        <v/>
      </c>
      <c r="R282">
        <f>IF(M282="","",IFERROR(INDEX(SK_L,MATCH(M282,SK_A,0)),""))</f>
        <v/>
      </c>
    </row>
    <row r="283">
      <c r="A283" s="11">
        <f>IF(M283="","",IFERROR(INDEX(SK_B,MATCH(M283,SK_A,0))&amp;"",""))</f>
        <v/>
      </c>
      <c r="B283" s="24">
        <f>IF(M283="","",IFERROR(INDEX(SK_C,MATCH(M283,SK_A,0)),""))</f>
        <v/>
      </c>
      <c r="C283" s="25">
        <f>IF(O283="","",IF(O283=0,"D",IF(O283&lt;0,"D"&amp;O283,"D+"&amp;O283)))</f>
        <v/>
      </c>
      <c r="D283" s="13" t="n"/>
      <c r="E283" s="11" t="n"/>
      <c r="F283" s="26" t="n"/>
      <c r="G283" s="13" t="n"/>
      <c r="H283" s="12">
        <f>IF(OR(B283="",O283=""),"",IF(O283&gt;0,IF(P283="Làm việc",WORKDAY(IFERROR(IF(INDEX(SK_D,MATCH(M283,SK_A,0))="",B283,INDEX(SK_D,MATCH(M283,SK_A,0))),B283),O283,HOLI),IFERROR(IF(INDEX(SK_D,MATCH(M283,SK_A,0))="",B283,INDEX(SK_D,MATCH(M283,SK_A,0))),B283)+O283),B283+O283))</f>
        <v/>
      </c>
      <c r="I283" s="13" t="n"/>
      <c r="J283" s="12" t="n"/>
      <c r="K283" s="11" t="n"/>
      <c r="L283" s="27">
        <f>IF(E283="","",IF(I283="Bỏ qua","—",IF(I283="Xong",IF(AND(ISNUMBER(J283),ISNUMBER(H283),J283&gt;H283),"Xong trễ","Xong"),IF(F283="","CHƯA GIAO","")&amp;IF(NOT(ISNUMBER(H283)),"",IF(TODAY()&gt;H283,IF(F283=""," · ","")&amp;"QUÁ HẠN "&amp;(TODAY()-H283)&amp;" ngày",IF(H283-TODAY()&lt;=3,IF(F283=""," · ","")&amp;"Đến hạn "&amp;IF(H283=TODAY(),"hôm nay","trong "&amp;(H283-TODAY())&amp;" ngày"),""))))))</f>
        <v/>
      </c>
      <c r="Q283">
        <f>IF(AND(E283&lt;&gt;"",R283="Có",I283&lt;&gt;"Xong",I283&lt;&gt;"Bỏ qua",ISNUMBER(H283)),H283+ROW()/100000,"")</f>
        <v/>
      </c>
      <c r="R283">
        <f>IF(M283="","",IFERROR(INDEX(SK_L,MATCH(M283,SK_A,0)),""))</f>
        <v/>
      </c>
    </row>
    <row r="284">
      <c r="A284" s="11">
        <f>IF(M284="","",IFERROR(INDEX(SK_B,MATCH(M284,SK_A,0))&amp;"",""))</f>
        <v/>
      </c>
      <c r="B284" s="24">
        <f>IF(M284="","",IFERROR(INDEX(SK_C,MATCH(M284,SK_A,0)),""))</f>
        <v/>
      </c>
      <c r="C284" s="25">
        <f>IF(O284="","",IF(O284=0,"D",IF(O284&lt;0,"D"&amp;O284,"D+"&amp;O284)))</f>
        <v/>
      </c>
      <c r="D284" s="13" t="n"/>
      <c r="E284" s="11" t="n"/>
      <c r="F284" s="26" t="n"/>
      <c r="G284" s="13" t="n"/>
      <c r="H284" s="12">
        <f>IF(OR(B284="",O284=""),"",IF(O284&gt;0,IF(P284="Làm việc",WORKDAY(IFERROR(IF(INDEX(SK_D,MATCH(M284,SK_A,0))="",B284,INDEX(SK_D,MATCH(M284,SK_A,0))),B284),O284,HOLI),IFERROR(IF(INDEX(SK_D,MATCH(M284,SK_A,0))="",B284,INDEX(SK_D,MATCH(M284,SK_A,0))),B284)+O284),B284+O284))</f>
        <v/>
      </c>
      <c r="I284" s="13" t="n"/>
      <c r="J284" s="12" t="n"/>
      <c r="K284" s="11" t="n"/>
      <c r="L284" s="27">
        <f>IF(E284="","",IF(I284="Bỏ qua","—",IF(I284="Xong",IF(AND(ISNUMBER(J284),ISNUMBER(H284),J284&gt;H284),"Xong trễ","Xong"),IF(F284="","CHƯA GIAO","")&amp;IF(NOT(ISNUMBER(H284)),"",IF(TODAY()&gt;H284,IF(F284=""," · ","")&amp;"QUÁ HẠN "&amp;(TODAY()-H284)&amp;" ngày",IF(H284-TODAY()&lt;=3,IF(F284=""," · ","")&amp;"Đến hạn "&amp;IF(H284=TODAY(),"hôm nay","trong "&amp;(H284-TODAY())&amp;" ngày"),""))))))</f>
        <v/>
      </c>
      <c r="Q284">
        <f>IF(AND(E284&lt;&gt;"",R284="Có",I284&lt;&gt;"Xong",I284&lt;&gt;"Bỏ qua",ISNUMBER(H284)),H284+ROW()/100000,"")</f>
        <v/>
      </c>
      <c r="R284">
        <f>IF(M284="","",IFERROR(INDEX(SK_L,MATCH(M284,SK_A,0)),""))</f>
        <v/>
      </c>
    </row>
    <row r="285">
      <c r="A285" s="11">
        <f>IF(M285="","",IFERROR(INDEX(SK_B,MATCH(M285,SK_A,0))&amp;"",""))</f>
        <v/>
      </c>
      <c r="B285" s="24">
        <f>IF(M285="","",IFERROR(INDEX(SK_C,MATCH(M285,SK_A,0)),""))</f>
        <v/>
      </c>
      <c r="C285" s="25">
        <f>IF(O285="","",IF(O285=0,"D",IF(O285&lt;0,"D"&amp;O285,"D+"&amp;O285)))</f>
        <v/>
      </c>
      <c r="D285" s="13" t="n"/>
      <c r="E285" s="11" t="n"/>
      <c r="F285" s="26" t="n"/>
      <c r="G285" s="13" t="n"/>
      <c r="H285" s="12">
        <f>IF(OR(B285="",O285=""),"",IF(O285&gt;0,IF(P285="Làm việc",WORKDAY(IFERROR(IF(INDEX(SK_D,MATCH(M285,SK_A,0))="",B285,INDEX(SK_D,MATCH(M285,SK_A,0))),B285),O285,HOLI),IFERROR(IF(INDEX(SK_D,MATCH(M285,SK_A,0))="",B285,INDEX(SK_D,MATCH(M285,SK_A,0))),B285)+O285),B285+O285))</f>
        <v/>
      </c>
      <c r="I285" s="13" t="n"/>
      <c r="J285" s="12" t="n"/>
      <c r="K285" s="11" t="n"/>
      <c r="L285" s="27">
        <f>IF(E285="","",IF(I285="Bỏ qua","—",IF(I285="Xong",IF(AND(ISNUMBER(J285),ISNUMBER(H285),J285&gt;H285),"Xong trễ","Xong"),IF(F285="","CHƯA GIAO","")&amp;IF(NOT(ISNUMBER(H285)),"",IF(TODAY()&gt;H285,IF(F285=""," · ","")&amp;"QUÁ HẠN "&amp;(TODAY()-H285)&amp;" ngày",IF(H285-TODAY()&lt;=3,IF(F285=""," · ","")&amp;"Đến hạn "&amp;IF(H285=TODAY(),"hôm nay","trong "&amp;(H285-TODAY())&amp;" ngày"),""))))))</f>
        <v/>
      </c>
      <c r="Q285">
        <f>IF(AND(E285&lt;&gt;"",R285="Có",I285&lt;&gt;"Xong",I285&lt;&gt;"Bỏ qua",ISNUMBER(H285)),H285+ROW()/100000,"")</f>
        <v/>
      </c>
      <c r="R285">
        <f>IF(M285="","",IFERROR(INDEX(SK_L,MATCH(M285,SK_A,0)),""))</f>
        <v/>
      </c>
    </row>
    <row r="286">
      <c r="A286" s="11">
        <f>IF(M286="","",IFERROR(INDEX(SK_B,MATCH(M286,SK_A,0))&amp;"",""))</f>
        <v/>
      </c>
      <c r="B286" s="24">
        <f>IF(M286="","",IFERROR(INDEX(SK_C,MATCH(M286,SK_A,0)),""))</f>
        <v/>
      </c>
      <c r="C286" s="25">
        <f>IF(O286="","",IF(O286=0,"D",IF(O286&lt;0,"D"&amp;O286,"D+"&amp;O286)))</f>
        <v/>
      </c>
      <c r="D286" s="13" t="n"/>
      <c r="E286" s="11" t="n"/>
      <c r="F286" s="26" t="n"/>
      <c r="G286" s="13" t="n"/>
      <c r="H286" s="12">
        <f>IF(OR(B286="",O286=""),"",IF(O286&gt;0,IF(P286="Làm việc",WORKDAY(IFERROR(IF(INDEX(SK_D,MATCH(M286,SK_A,0))="",B286,INDEX(SK_D,MATCH(M286,SK_A,0))),B286),O286,HOLI),IFERROR(IF(INDEX(SK_D,MATCH(M286,SK_A,0))="",B286,INDEX(SK_D,MATCH(M286,SK_A,0))),B286)+O286),B286+O286))</f>
        <v/>
      </c>
      <c r="I286" s="13" t="n"/>
      <c r="J286" s="12" t="n"/>
      <c r="K286" s="11" t="n"/>
      <c r="L286" s="27">
        <f>IF(E286="","",IF(I286="Bỏ qua","—",IF(I286="Xong",IF(AND(ISNUMBER(J286),ISNUMBER(H286),J286&gt;H286),"Xong trễ","Xong"),IF(F286="","CHƯA GIAO","")&amp;IF(NOT(ISNUMBER(H286)),"",IF(TODAY()&gt;H286,IF(F286=""," · ","")&amp;"QUÁ HẠN "&amp;(TODAY()-H286)&amp;" ngày",IF(H286-TODAY()&lt;=3,IF(F286=""," · ","")&amp;"Đến hạn "&amp;IF(H286=TODAY(),"hôm nay","trong "&amp;(H286-TODAY())&amp;" ngày"),""))))))</f>
        <v/>
      </c>
      <c r="Q286">
        <f>IF(AND(E286&lt;&gt;"",R286="Có",I286&lt;&gt;"Xong",I286&lt;&gt;"Bỏ qua",ISNUMBER(H286)),H286+ROW()/100000,"")</f>
        <v/>
      </c>
      <c r="R286">
        <f>IF(M286="","",IFERROR(INDEX(SK_L,MATCH(M286,SK_A,0)),""))</f>
        <v/>
      </c>
    </row>
    <row r="287">
      <c r="A287" s="11">
        <f>IF(M287="","",IFERROR(INDEX(SK_B,MATCH(M287,SK_A,0))&amp;"",""))</f>
        <v/>
      </c>
      <c r="B287" s="24">
        <f>IF(M287="","",IFERROR(INDEX(SK_C,MATCH(M287,SK_A,0)),""))</f>
        <v/>
      </c>
      <c r="C287" s="25">
        <f>IF(O287="","",IF(O287=0,"D",IF(O287&lt;0,"D"&amp;O287,"D+"&amp;O287)))</f>
        <v/>
      </c>
      <c r="D287" s="13" t="n"/>
      <c r="E287" s="11" t="n"/>
      <c r="F287" s="26" t="n"/>
      <c r="G287" s="13" t="n"/>
      <c r="H287" s="12">
        <f>IF(OR(B287="",O287=""),"",IF(O287&gt;0,IF(P287="Làm việc",WORKDAY(IFERROR(IF(INDEX(SK_D,MATCH(M287,SK_A,0))="",B287,INDEX(SK_D,MATCH(M287,SK_A,0))),B287),O287,HOLI),IFERROR(IF(INDEX(SK_D,MATCH(M287,SK_A,0))="",B287,INDEX(SK_D,MATCH(M287,SK_A,0))),B287)+O287),B287+O287))</f>
        <v/>
      </c>
      <c r="I287" s="13" t="n"/>
      <c r="J287" s="12" t="n"/>
      <c r="K287" s="11" t="n"/>
      <c r="L287" s="27">
        <f>IF(E287="","",IF(I287="Bỏ qua","—",IF(I287="Xong",IF(AND(ISNUMBER(J287),ISNUMBER(H287),J287&gt;H287),"Xong trễ","Xong"),IF(F287="","CHƯA GIAO","")&amp;IF(NOT(ISNUMBER(H287)),"",IF(TODAY()&gt;H287,IF(F287=""," · ","")&amp;"QUÁ HẠN "&amp;(TODAY()-H287)&amp;" ngày",IF(H287-TODAY()&lt;=3,IF(F287=""," · ","")&amp;"Đến hạn "&amp;IF(H287=TODAY(),"hôm nay","trong "&amp;(H287-TODAY())&amp;" ngày"),""))))))</f>
        <v/>
      </c>
      <c r="Q287">
        <f>IF(AND(E287&lt;&gt;"",R287="Có",I287&lt;&gt;"Xong",I287&lt;&gt;"Bỏ qua",ISNUMBER(H287)),H287+ROW()/100000,"")</f>
        <v/>
      </c>
      <c r="R287">
        <f>IF(M287="","",IFERROR(INDEX(SK_L,MATCH(M287,SK_A,0)),""))</f>
        <v/>
      </c>
    </row>
    <row r="288">
      <c r="A288" s="11">
        <f>IF(M288="","",IFERROR(INDEX(SK_B,MATCH(M288,SK_A,0))&amp;"",""))</f>
        <v/>
      </c>
      <c r="B288" s="24">
        <f>IF(M288="","",IFERROR(INDEX(SK_C,MATCH(M288,SK_A,0)),""))</f>
        <v/>
      </c>
      <c r="C288" s="25">
        <f>IF(O288="","",IF(O288=0,"D",IF(O288&lt;0,"D"&amp;O288,"D+"&amp;O288)))</f>
        <v/>
      </c>
      <c r="D288" s="13" t="n"/>
      <c r="E288" s="11" t="n"/>
      <c r="F288" s="26" t="n"/>
      <c r="G288" s="13" t="n"/>
      <c r="H288" s="12">
        <f>IF(OR(B288="",O288=""),"",IF(O288&gt;0,IF(P288="Làm việc",WORKDAY(IFERROR(IF(INDEX(SK_D,MATCH(M288,SK_A,0))="",B288,INDEX(SK_D,MATCH(M288,SK_A,0))),B288),O288,HOLI),IFERROR(IF(INDEX(SK_D,MATCH(M288,SK_A,0))="",B288,INDEX(SK_D,MATCH(M288,SK_A,0))),B288)+O288),B288+O288))</f>
        <v/>
      </c>
      <c r="I288" s="13" t="n"/>
      <c r="J288" s="12" t="n"/>
      <c r="K288" s="11" t="n"/>
      <c r="L288" s="27">
        <f>IF(E288="","",IF(I288="Bỏ qua","—",IF(I288="Xong",IF(AND(ISNUMBER(J288),ISNUMBER(H288),J288&gt;H288),"Xong trễ","Xong"),IF(F288="","CHƯA GIAO","")&amp;IF(NOT(ISNUMBER(H288)),"",IF(TODAY()&gt;H288,IF(F288=""," · ","")&amp;"QUÁ HẠN "&amp;(TODAY()-H288)&amp;" ngày",IF(H288-TODAY()&lt;=3,IF(F288=""," · ","")&amp;"Đến hạn "&amp;IF(H288=TODAY(),"hôm nay","trong "&amp;(H288-TODAY())&amp;" ngày"),""))))))</f>
        <v/>
      </c>
      <c r="Q288">
        <f>IF(AND(E288&lt;&gt;"",R288="Có",I288&lt;&gt;"Xong",I288&lt;&gt;"Bỏ qua",ISNUMBER(H288)),H288+ROW()/100000,"")</f>
        <v/>
      </c>
      <c r="R288">
        <f>IF(M288="","",IFERROR(INDEX(SK_L,MATCH(M288,SK_A,0)),""))</f>
        <v/>
      </c>
    </row>
    <row r="289">
      <c r="A289" s="11">
        <f>IF(M289="","",IFERROR(INDEX(SK_B,MATCH(M289,SK_A,0))&amp;"",""))</f>
        <v/>
      </c>
      <c r="B289" s="24">
        <f>IF(M289="","",IFERROR(INDEX(SK_C,MATCH(M289,SK_A,0)),""))</f>
        <v/>
      </c>
      <c r="C289" s="25">
        <f>IF(O289="","",IF(O289=0,"D",IF(O289&lt;0,"D"&amp;O289,"D+"&amp;O289)))</f>
        <v/>
      </c>
      <c r="D289" s="13" t="n"/>
      <c r="E289" s="11" t="n"/>
      <c r="F289" s="26" t="n"/>
      <c r="G289" s="13" t="n"/>
      <c r="H289" s="12">
        <f>IF(OR(B289="",O289=""),"",IF(O289&gt;0,IF(P289="Làm việc",WORKDAY(IFERROR(IF(INDEX(SK_D,MATCH(M289,SK_A,0))="",B289,INDEX(SK_D,MATCH(M289,SK_A,0))),B289),O289,HOLI),IFERROR(IF(INDEX(SK_D,MATCH(M289,SK_A,0))="",B289,INDEX(SK_D,MATCH(M289,SK_A,0))),B289)+O289),B289+O289))</f>
        <v/>
      </c>
      <c r="I289" s="13" t="n"/>
      <c r="J289" s="12" t="n"/>
      <c r="K289" s="11" t="n"/>
      <c r="L289" s="27">
        <f>IF(E289="","",IF(I289="Bỏ qua","—",IF(I289="Xong",IF(AND(ISNUMBER(J289),ISNUMBER(H289),J289&gt;H289),"Xong trễ","Xong"),IF(F289="","CHƯA GIAO","")&amp;IF(NOT(ISNUMBER(H289)),"",IF(TODAY()&gt;H289,IF(F289=""," · ","")&amp;"QUÁ HẠN "&amp;(TODAY()-H289)&amp;" ngày",IF(H289-TODAY()&lt;=3,IF(F289=""," · ","")&amp;"Đến hạn "&amp;IF(H289=TODAY(),"hôm nay","trong "&amp;(H289-TODAY())&amp;" ngày"),""))))))</f>
        <v/>
      </c>
      <c r="Q289">
        <f>IF(AND(E289&lt;&gt;"",R289="Có",I289&lt;&gt;"Xong",I289&lt;&gt;"Bỏ qua",ISNUMBER(H289)),H289+ROW()/100000,"")</f>
        <v/>
      </c>
      <c r="R289">
        <f>IF(M289="","",IFERROR(INDEX(SK_L,MATCH(M289,SK_A,0)),""))</f>
        <v/>
      </c>
    </row>
    <row r="290">
      <c r="A290" s="11">
        <f>IF(M290="","",IFERROR(INDEX(SK_B,MATCH(M290,SK_A,0))&amp;"",""))</f>
        <v/>
      </c>
      <c r="B290" s="24">
        <f>IF(M290="","",IFERROR(INDEX(SK_C,MATCH(M290,SK_A,0)),""))</f>
        <v/>
      </c>
      <c r="C290" s="25">
        <f>IF(O290="","",IF(O290=0,"D",IF(O290&lt;0,"D"&amp;O290,"D+"&amp;O290)))</f>
        <v/>
      </c>
      <c r="D290" s="13" t="n"/>
      <c r="E290" s="11" t="n"/>
      <c r="F290" s="26" t="n"/>
      <c r="G290" s="13" t="n"/>
      <c r="H290" s="12">
        <f>IF(OR(B290="",O290=""),"",IF(O290&gt;0,IF(P290="Làm việc",WORKDAY(IFERROR(IF(INDEX(SK_D,MATCH(M290,SK_A,0))="",B290,INDEX(SK_D,MATCH(M290,SK_A,0))),B290),O290,HOLI),IFERROR(IF(INDEX(SK_D,MATCH(M290,SK_A,0))="",B290,INDEX(SK_D,MATCH(M290,SK_A,0))),B290)+O290),B290+O290))</f>
        <v/>
      </c>
      <c r="I290" s="13" t="n"/>
      <c r="J290" s="12" t="n"/>
      <c r="K290" s="11" t="n"/>
      <c r="L290" s="27">
        <f>IF(E290="","",IF(I290="Bỏ qua","—",IF(I290="Xong",IF(AND(ISNUMBER(J290),ISNUMBER(H290),J290&gt;H290),"Xong trễ","Xong"),IF(F290="","CHƯA GIAO","")&amp;IF(NOT(ISNUMBER(H290)),"",IF(TODAY()&gt;H290,IF(F290=""," · ","")&amp;"QUÁ HẠN "&amp;(TODAY()-H290)&amp;" ngày",IF(H290-TODAY()&lt;=3,IF(F290=""," · ","")&amp;"Đến hạn "&amp;IF(H290=TODAY(),"hôm nay","trong "&amp;(H290-TODAY())&amp;" ngày"),""))))))</f>
        <v/>
      </c>
      <c r="Q290">
        <f>IF(AND(E290&lt;&gt;"",R290="Có",I290&lt;&gt;"Xong",I290&lt;&gt;"Bỏ qua",ISNUMBER(H290)),H290+ROW()/100000,"")</f>
        <v/>
      </c>
      <c r="R290">
        <f>IF(M290="","",IFERROR(INDEX(SK_L,MATCH(M290,SK_A,0)),""))</f>
        <v/>
      </c>
    </row>
    <row r="291">
      <c r="A291" s="11">
        <f>IF(M291="","",IFERROR(INDEX(SK_B,MATCH(M291,SK_A,0))&amp;"",""))</f>
        <v/>
      </c>
      <c r="B291" s="24">
        <f>IF(M291="","",IFERROR(INDEX(SK_C,MATCH(M291,SK_A,0)),""))</f>
        <v/>
      </c>
      <c r="C291" s="25">
        <f>IF(O291="","",IF(O291=0,"D",IF(O291&lt;0,"D"&amp;O291,"D+"&amp;O291)))</f>
        <v/>
      </c>
      <c r="D291" s="13" t="n"/>
      <c r="E291" s="11" t="n"/>
      <c r="F291" s="26" t="n"/>
      <c r="G291" s="13" t="n"/>
      <c r="H291" s="12">
        <f>IF(OR(B291="",O291=""),"",IF(O291&gt;0,IF(P291="Làm việc",WORKDAY(IFERROR(IF(INDEX(SK_D,MATCH(M291,SK_A,0))="",B291,INDEX(SK_D,MATCH(M291,SK_A,0))),B291),O291,HOLI),IFERROR(IF(INDEX(SK_D,MATCH(M291,SK_A,0))="",B291,INDEX(SK_D,MATCH(M291,SK_A,0))),B291)+O291),B291+O291))</f>
        <v/>
      </c>
      <c r="I291" s="13" t="n"/>
      <c r="J291" s="12" t="n"/>
      <c r="K291" s="11" t="n"/>
      <c r="L291" s="27">
        <f>IF(E291="","",IF(I291="Bỏ qua","—",IF(I291="Xong",IF(AND(ISNUMBER(J291),ISNUMBER(H291),J291&gt;H291),"Xong trễ","Xong"),IF(F291="","CHƯA GIAO","")&amp;IF(NOT(ISNUMBER(H291)),"",IF(TODAY()&gt;H291,IF(F291=""," · ","")&amp;"QUÁ HẠN "&amp;(TODAY()-H291)&amp;" ngày",IF(H291-TODAY()&lt;=3,IF(F291=""," · ","")&amp;"Đến hạn "&amp;IF(H291=TODAY(),"hôm nay","trong "&amp;(H291-TODAY())&amp;" ngày"),""))))))</f>
        <v/>
      </c>
      <c r="Q291">
        <f>IF(AND(E291&lt;&gt;"",R291="Có",I291&lt;&gt;"Xong",I291&lt;&gt;"Bỏ qua",ISNUMBER(H291)),H291+ROW()/100000,"")</f>
        <v/>
      </c>
      <c r="R291">
        <f>IF(M291="","",IFERROR(INDEX(SK_L,MATCH(M291,SK_A,0)),""))</f>
        <v/>
      </c>
    </row>
    <row r="292">
      <c r="A292" s="11">
        <f>IF(M292="","",IFERROR(INDEX(SK_B,MATCH(M292,SK_A,0))&amp;"",""))</f>
        <v/>
      </c>
      <c r="B292" s="24">
        <f>IF(M292="","",IFERROR(INDEX(SK_C,MATCH(M292,SK_A,0)),""))</f>
        <v/>
      </c>
      <c r="C292" s="25">
        <f>IF(O292="","",IF(O292=0,"D",IF(O292&lt;0,"D"&amp;O292,"D+"&amp;O292)))</f>
        <v/>
      </c>
      <c r="D292" s="13" t="n"/>
      <c r="E292" s="11" t="n"/>
      <c r="F292" s="26" t="n"/>
      <c r="G292" s="13" t="n"/>
      <c r="H292" s="12">
        <f>IF(OR(B292="",O292=""),"",IF(O292&gt;0,IF(P292="Làm việc",WORKDAY(IFERROR(IF(INDEX(SK_D,MATCH(M292,SK_A,0))="",B292,INDEX(SK_D,MATCH(M292,SK_A,0))),B292),O292,HOLI),IFERROR(IF(INDEX(SK_D,MATCH(M292,SK_A,0))="",B292,INDEX(SK_D,MATCH(M292,SK_A,0))),B292)+O292),B292+O292))</f>
        <v/>
      </c>
      <c r="I292" s="13" t="n"/>
      <c r="J292" s="12" t="n"/>
      <c r="K292" s="11" t="n"/>
      <c r="L292" s="27">
        <f>IF(E292="","",IF(I292="Bỏ qua","—",IF(I292="Xong",IF(AND(ISNUMBER(J292),ISNUMBER(H292),J292&gt;H292),"Xong trễ","Xong"),IF(F292="","CHƯA GIAO","")&amp;IF(NOT(ISNUMBER(H292)),"",IF(TODAY()&gt;H292,IF(F292=""," · ","")&amp;"QUÁ HẠN "&amp;(TODAY()-H292)&amp;" ngày",IF(H292-TODAY()&lt;=3,IF(F292=""," · ","")&amp;"Đến hạn "&amp;IF(H292=TODAY(),"hôm nay","trong "&amp;(H292-TODAY())&amp;" ngày"),""))))))</f>
        <v/>
      </c>
      <c r="Q292">
        <f>IF(AND(E292&lt;&gt;"",R292="Có",I292&lt;&gt;"Xong",I292&lt;&gt;"Bỏ qua",ISNUMBER(H292)),H292+ROW()/100000,"")</f>
        <v/>
      </c>
      <c r="R292">
        <f>IF(M292="","",IFERROR(INDEX(SK_L,MATCH(M292,SK_A,0)),""))</f>
        <v/>
      </c>
    </row>
    <row r="293">
      <c r="A293" s="11">
        <f>IF(M293="","",IFERROR(INDEX(SK_B,MATCH(M293,SK_A,0))&amp;"",""))</f>
        <v/>
      </c>
      <c r="B293" s="24">
        <f>IF(M293="","",IFERROR(INDEX(SK_C,MATCH(M293,SK_A,0)),""))</f>
        <v/>
      </c>
      <c r="C293" s="25">
        <f>IF(O293="","",IF(O293=0,"D",IF(O293&lt;0,"D"&amp;O293,"D+"&amp;O293)))</f>
        <v/>
      </c>
      <c r="D293" s="13" t="n"/>
      <c r="E293" s="11" t="n"/>
      <c r="F293" s="26" t="n"/>
      <c r="G293" s="13" t="n"/>
      <c r="H293" s="12">
        <f>IF(OR(B293="",O293=""),"",IF(O293&gt;0,IF(P293="Làm việc",WORKDAY(IFERROR(IF(INDEX(SK_D,MATCH(M293,SK_A,0))="",B293,INDEX(SK_D,MATCH(M293,SK_A,0))),B293),O293,HOLI),IFERROR(IF(INDEX(SK_D,MATCH(M293,SK_A,0))="",B293,INDEX(SK_D,MATCH(M293,SK_A,0))),B293)+O293),B293+O293))</f>
        <v/>
      </c>
      <c r="I293" s="13" t="n"/>
      <c r="J293" s="12" t="n"/>
      <c r="K293" s="11" t="n"/>
      <c r="L293" s="27">
        <f>IF(E293="","",IF(I293="Bỏ qua","—",IF(I293="Xong",IF(AND(ISNUMBER(J293),ISNUMBER(H293),J293&gt;H293),"Xong trễ","Xong"),IF(F293="","CHƯA GIAO","")&amp;IF(NOT(ISNUMBER(H293)),"",IF(TODAY()&gt;H293,IF(F293=""," · ","")&amp;"QUÁ HẠN "&amp;(TODAY()-H293)&amp;" ngày",IF(H293-TODAY()&lt;=3,IF(F293=""," · ","")&amp;"Đến hạn "&amp;IF(H293=TODAY(),"hôm nay","trong "&amp;(H293-TODAY())&amp;" ngày"),""))))))</f>
        <v/>
      </c>
      <c r="Q293">
        <f>IF(AND(E293&lt;&gt;"",R293="Có",I293&lt;&gt;"Xong",I293&lt;&gt;"Bỏ qua",ISNUMBER(H293)),H293+ROW()/100000,"")</f>
        <v/>
      </c>
      <c r="R293">
        <f>IF(M293="","",IFERROR(INDEX(SK_L,MATCH(M293,SK_A,0)),""))</f>
        <v/>
      </c>
    </row>
    <row r="294">
      <c r="A294" s="11">
        <f>IF(M294="","",IFERROR(INDEX(SK_B,MATCH(M294,SK_A,0))&amp;"",""))</f>
        <v/>
      </c>
      <c r="B294" s="24">
        <f>IF(M294="","",IFERROR(INDEX(SK_C,MATCH(M294,SK_A,0)),""))</f>
        <v/>
      </c>
      <c r="C294" s="25">
        <f>IF(O294="","",IF(O294=0,"D",IF(O294&lt;0,"D"&amp;O294,"D+"&amp;O294)))</f>
        <v/>
      </c>
      <c r="D294" s="13" t="n"/>
      <c r="E294" s="11" t="n"/>
      <c r="F294" s="26" t="n"/>
      <c r="G294" s="13" t="n"/>
      <c r="H294" s="12">
        <f>IF(OR(B294="",O294=""),"",IF(O294&gt;0,IF(P294="Làm việc",WORKDAY(IFERROR(IF(INDEX(SK_D,MATCH(M294,SK_A,0))="",B294,INDEX(SK_D,MATCH(M294,SK_A,0))),B294),O294,HOLI),IFERROR(IF(INDEX(SK_D,MATCH(M294,SK_A,0))="",B294,INDEX(SK_D,MATCH(M294,SK_A,0))),B294)+O294),B294+O294))</f>
        <v/>
      </c>
      <c r="I294" s="13" t="n"/>
      <c r="J294" s="12" t="n"/>
      <c r="K294" s="11" t="n"/>
      <c r="L294" s="27">
        <f>IF(E294="","",IF(I294="Bỏ qua","—",IF(I294="Xong",IF(AND(ISNUMBER(J294),ISNUMBER(H294),J294&gt;H294),"Xong trễ","Xong"),IF(F294="","CHƯA GIAO","")&amp;IF(NOT(ISNUMBER(H294)),"",IF(TODAY()&gt;H294,IF(F294=""," · ","")&amp;"QUÁ HẠN "&amp;(TODAY()-H294)&amp;" ngày",IF(H294-TODAY()&lt;=3,IF(F294=""," · ","")&amp;"Đến hạn "&amp;IF(H294=TODAY(),"hôm nay","trong "&amp;(H294-TODAY())&amp;" ngày"),""))))))</f>
        <v/>
      </c>
      <c r="Q294">
        <f>IF(AND(E294&lt;&gt;"",R294="Có",I294&lt;&gt;"Xong",I294&lt;&gt;"Bỏ qua",ISNUMBER(H294)),H294+ROW()/100000,"")</f>
        <v/>
      </c>
      <c r="R294">
        <f>IF(M294="","",IFERROR(INDEX(SK_L,MATCH(M294,SK_A,0)),""))</f>
        <v/>
      </c>
    </row>
    <row r="295">
      <c r="A295" s="11">
        <f>IF(M295="","",IFERROR(INDEX(SK_B,MATCH(M295,SK_A,0))&amp;"",""))</f>
        <v/>
      </c>
      <c r="B295" s="24">
        <f>IF(M295="","",IFERROR(INDEX(SK_C,MATCH(M295,SK_A,0)),""))</f>
        <v/>
      </c>
      <c r="C295" s="25">
        <f>IF(O295="","",IF(O295=0,"D",IF(O295&lt;0,"D"&amp;O295,"D+"&amp;O295)))</f>
        <v/>
      </c>
      <c r="D295" s="13" t="n"/>
      <c r="E295" s="11" t="n"/>
      <c r="F295" s="26" t="n"/>
      <c r="G295" s="13" t="n"/>
      <c r="H295" s="12">
        <f>IF(OR(B295="",O295=""),"",IF(O295&gt;0,IF(P295="Làm việc",WORKDAY(IFERROR(IF(INDEX(SK_D,MATCH(M295,SK_A,0))="",B295,INDEX(SK_D,MATCH(M295,SK_A,0))),B295),O295,HOLI),IFERROR(IF(INDEX(SK_D,MATCH(M295,SK_A,0))="",B295,INDEX(SK_D,MATCH(M295,SK_A,0))),B295)+O295),B295+O295))</f>
        <v/>
      </c>
      <c r="I295" s="13" t="n"/>
      <c r="J295" s="12" t="n"/>
      <c r="K295" s="11" t="n"/>
      <c r="L295" s="27">
        <f>IF(E295="","",IF(I295="Bỏ qua","—",IF(I295="Xong",IF(AND(ISNUMBER(J295),ISNUMBER(H295),J295&gt;H295),"Xong trễ","Xong"),IF(F295="","CHƯA GIAO","")&amp;IF(NOT(ISNUMBER(H295)),"",IF(TODAY()&gt;H295,IF(F295=""," · ","")&amp;"QUÁ HẠN "&amp;(TODAY()-H295)&amp;" ngày",IF(H295-TODAY()&lt;=3,IF(F295=""," · ","")&amp;"Đến hạn "&amp;IF(H295=TODAY(),"hôm nay","trong "&amp;(H295-TODAY())&amp;" ngày"),""))))))</f>
        <v/>
      </c>
      <c r="Q295">
        <f>IF(AND(E295&lt;&gt;"",R295="Có",I295&lt;&gt;"Xong",I295&lt;&gt;"Bỏ qua",ISNUMBER(H295)),H295+ROW()/100000,"")</f>
        <v/>
      </c>
      <c r="R295">
        <f>IF(M295="","",IFERROR(INDEX(SK_L,MATCH(M295,SK_A,0)),""))</f>
        <v/>
      </c>
    </row>
    <row r="296">
      <c r="A296" s="11">
        <f>IF(M296="","",IFERROR(INDEX(SK_B,MATCH(M296,SK_A,0))&amp;"",""))</f>
        <v/>
      </c>
      <c r="B296" s="24">
        <f>IF(M296="","",IFERROR(INDEX(SK_C,MATCH(M296,SK_A,0)),""))</f>
        <v/>
      </c>
      <c r="C296" s="25">
        <f>IF(O296="","",IF(O296=0,"D",IF(O296&lt;0,"D"&amp;O296,"D+"&amp;O296)))</f>
        <v/>
      </c>
      <c r="D296" s="13" t="n"/>
      <c r="E296" s="11" t="n"/>
      <c r="F296" s="26" t="n"/>
      <c r="G296" s="13" t="n"/>
      <c r="H296" s="12">
        <f>IF(OR(B296="",O296=""),"",IF(O296&gt;0,IF(P296="Làm việc",WORKDAY(IFERROR(IF(INDEX(SK_D,MATCH(M296,SK_A,0))="",B296,INDEX(SK_D,MATCH(M296,SK_A,0))),B296),O296,HOLI),IFERROR(IF(INDEX(SK_D,MATCH(M296,SK_A,0))="",B296,INDEX(SK_D,MATCH(M296,SK_A,0))),B296)+O296),B296+O296))</f>
        <v/>
      </c>
      <c r="I296" s="13" t="n"/>
      <c r="J296" s="12" t="n"/>
      <c r="K296" s="11" t="n"/>
      <c r="L296" s="27">
        <f>IF(E296="","",IF(I296="Bỏ qua","—",IF(I296="Xong",IF(AND(ISNUMBER(J296),ISNUMBER(H296),J296&gt;H296),"Xong trễ","Xong"),IF(F296="","CHƯA GIAO","")&amp;IF(NOT(ISNUMBER(H296)),"",IF(TODAY()&gt;H296,IF(F296=""," · ","")&amp;"QUÁ HẠN "&amp;(TODAY()-H296)&amp;" ngày",IF(H296-TODAY()&lt;=3,IF(F296=""," · ","")&amp;"Đến hạn "&amp;IF(H296=TODAY(),"hôm nay","trong "&amp;(H296-TODAY())&amp;" ngày"),""))))))</f>
        <v/>
      </c>
      <c r="Q296">
        <f>IF(AND(E296&lt;&gt;"",R296="Có",I296&lt;&gt;"Xong",I296&lt;&gt;"Bỏ qua",ISNUMBER(H296)),H296+ROW()/100000,"")</f>
        <v/>
      </c>
      <c r="R296">
        <f>IF(M296="","",IFERROR(INDEX(SK_L,MATCH(M296,SK_A,0)),""))</f>
        <v/>
      </c>
    </row>
    <row r="297">
      <c r="A297" s="11">
        <f>IF(M297="","",IFERROR(INDEX(SK_B,MATCH(M297,SK_A,0))&amp;"",""))</f>
        <v/>
      </c>
      <c r="B297" s="24">
        <f>IF(M297="","",IFERROR(INDEX(SK_C,MATCH(M297,SK_A,0)),""))</f>
        <v/>
      </c>
      <c r="C297" s="25">
        <f>IF(O297="","",IF(O297=0,"D",IF(O297&lt;0,"D"&amp;O297,"D+"&amp;O297)))</f>
        <v/>
      </c>
      <c r="D297" s="13" t="n"/>
      <c r="E297" s="11" t="n"/>
      <c r="F297" s="26" t="n"/>
      <c r="G297" s="13" t="n"/>
      <c r="H297" s="12">
        <f>IF(OR(B297="",O297=""),"",IF(O297&gt;0,IF(P297="Làm việc",WORKDAY(IFERROR(IF(INDEX(SK_D,MATCH(M297,SK_A,0))="",B297,INDEX(SK_D,MATCH(M297,SK_A,0))),B297),O297,HOLI),IFERROR(IF(INDEX(SK_D,MATCH(M297,SK_A,0))="",B297,INDEX(SK_D,MATCH(M297,SK_A,0))),B297)+O297),B297+O297))</f>
        <v/>
      </c>
      <c r="I297" s="13" t="n"/>
      <c r="J297" s="12" t="n"/>
      <c r="K297" s="11" t="n"/>
      <c r="L297" s="27">
        <f>IF(E297="","",IF(I297="Bỏ qua","—",IF(I297="Xong",IF(AND(ISNUMBER(J297),ISNUMBER(H297),J297&gt;H297),"Xong trễ","Xong"),IF(F297="","CHƯA GIAO","")&amp;IF(NOT(ISNUMBER(H297)),"",IF(TODAY()&gt;H297,IF(F297=""," · ","")&amp;"QUÁ HẠN "&amp;(TODAY()-H297)&amp;" ngày",IF(H297-TODAY()&lt;=3,IF(F297=""," · ","")&amp;"Đến hạn "&amp;IF(H297=TODAY(),"hôm nay","trong "&amp;(H297-TODAY())&amp;" ngày"),""))))))</f>
        <v/>
      </c>
      <c r="Q297">
        <f>IF(AND(E297&lt;&gt;"",R297="Có",I297&lt;&gt;"Xong",I297&lt;&gt;"Bỏ qua",ISNUMBER(H297)),H297+ROW()/100000,"")</f>
        <v/>
      </c>
      <c r="R297">
        <f>IF(M297="","",IFERROR(INDEX(SK_L,MATCH(M297,SK_A,0)),""))</f>
        <v/>
      </c>
    </row>
    <row r="298">
      <c r="A298" s="11">
        <f>IF(M298="","",IFERROR(INDEX(SK_B,MATCH(M298,SK_A,0))&amp;"",""))</f>
        <v/>
      </c>
      <c r="B298" s="24">
        <f>IF(M298="","",IFERROR(INDEX(SK_C,MATCH(M298,SK_A,0)),""))</f>
        <v/>
      </c>
      <c r="C298" s="25">
        <f>IF(O298="","",IF(O298=0,"D",IF(O298&lt;0,"D"&amp;O298,"D+"&amp;O298)))</f>
        <v/>
      </c>
      <c r="D298" s="13" t="n"/>
      <c r="E298" s="11" t="n"/>
      <c r="F298" s="26" t="n"/>
      <c r="G298" s="13" t="n"/>
      <c r="H298" s="12">
        <f>IF(OR(B298="",O298=""),"",IF(O298&gt;0,IF(P298="Làm việc",WORKDAY(IFERROR(IF(INDEX(SK_D,MATCH(M298,SK_A,0))="",B298,INDEX(SK_D,MATCH(M298,SK_A,0))),B298),O298,HOLI),IFERROR(IF(INDEX(SK_D,MATCH(M298,SK_A,0))="",B298,INDEX(SK_D,MATCH(M298,SK_A,0))),B298)+O298),B298+O298))</f>
        <v/>
      </c>
      <c r="I298" s="13" t="n"/>
      <c r="J298" s="12" t="n"/>
      <c r="K298" s="11" t="n"/>
      <c r="L298" s="27">
        <f>IF(E298="","",IF(I298="Bỏ qua","—",IF(I298="Xong",IF(AND(ISNUMBER(J298),ISNUMBER(H298),J298&gt;H298),"Xong trễ","Xong"),IF(F298="","CHƯA GIAO","")&amp;IF(NOT(ISNUMBER(H298)),"",IF(TODAY()&gt;H298,IF(F298=""," · ","")&amp;"QUÁ HẠN "&amp;(TODAY()-H298)&amp;" ngày",IF(H298-TODAY()&lt;=3,IF(F298=""," · ","")&amp;"Đến hạn "&amp;IF(H298=TODAY(),"hôm nay","trong "&amp;(H298-TODAY())&amp;" ngày"),""))))))</f>
        <v/>
      </c>
      <c r="Q298">
        <f>IF(AND(E298&lt;&gt;"",R298="Có",I298&lt;&gt;"Xong",I298&lt;&gt;"Bỏ qua",ISNUMBER(H298)),H298+ROW()/100000,"")</f>
        <v/>
      </c>
      <c r="R298">
        <f>IF(M298="","",IFERROR(INDEX(SK_L,MATCH(M298,SK_A,0)),""))</f>
        <v/>
      </c>
    </row>
    <row r="299">
      <c r="A299" s="11">
        <f>IF(M299="","",IFERROR(INDEX(SK_B,MATCH(M299,SK_A,0))&amp;"",""))</f>
        <v/>
      </c>
      <c r="B299" s="24">
        <f>IF(M299="","",IFERROR(INDEX(SK_C,MATCH(M299,SK_A,0)),""))</f>
        <v/>
      </c>
      <c r="C299" s="25">
        <f>IF(O299="","",IF(O299=0,"D",IF(O299&lt;0,"D"&amp;O299,"D+"&amp;O299)))</f>
        <v/>
      </c>
      <c r="D299" s="13" t="n"/>
      <c r="E299" s="11" t="n"/>
      <c r="F299" s="26" t="n"/>
      <c r="G299" s="13" t="n"/>
      <c r="H299" s="12">
        <f>IF(OR(B299="",O299=""),"",IF(O299&gt;0,IF(P299="Làm việc",WORKDAY(IFERROR(IF(INDEX(SK_D,MATCH(M299,SK_A,0))="",B299,INDEX(SK_D,MATCH(M299,SK_A,0))),B299),O299,HOLI),IFERROR(IF(INDEX(SK_D,MATCH(M299,SK_A,0))="",B299,INDEX(SK_D,MATCH(M299,SK_A,0))),B299)+O299),B299+O299))</f>
        <v/>
      </c>
      <c r="I299" s="13" t="n"/>
      <c r="J299" s="12" t="n"/>
      <c r="K299" s="11" t="n"/>
      <c r="L299" s="27">
        <f>IF(E299="","",IF(I299="Bỏ qua","—",IF(I299="Xong",IF(AND(ISNUMBER(J299),ISNUMBER(H299),J299&gt;H299),"Xong trễ","Xong"),IF(F299="","CHƯA GIAO","")&amp;IF(NOT(ISNUMBER(H299)),"",IF(TODAY()&gt;H299,IF(F299=""," · ","")&amp;"QUÁ HẠN "&amp;(TODAY()-H299)&amp;" ngày",IF(H299-TODAY()&lt;=3,IF(F299=""," · ","")&amp;"Đến hạn "&amp;IF(H299=TODAY(),"hôm nay","trong "&amp;(H299-TODAY())&amp;" ngày"),""))))))</f>
        <v/>
      </c>
      <c r="Q299">
        <f>IF(AND(E299&lt;&gt;"",R299="Có",I299&lt;&gt;"Xong",I299&lt;&gt;"Bỏ qua",ISNUMBER(H299)),H299+ROW()/100000,"")</f>
        <v/>
      </c>
      <c r="R299">
        <f>IF(M299="","",IFERROR(INDEX(SK_L,MATCH(M299,SK_A,0)),""))</f>
        <v/>
      </c>
    </row>
    <row r="300">
      <c r="A300" s="11">
        <f>IF(M300="","",IFERROR(INDEX(SK_B,MATCH(M300,SK_A,0))&amp;"",""))</f>
        <v/>
      </c>
      <c r="B300" s="24">
        <f>IF(M300="","",IFERROR(INDEX(SK_C,MATCH(M300,SK_A,0)),""))</f>
        <v/>
      </c>
      <c r="C300" s="25">
        <f>IF(O300="","",IF(O300=0,"D",IF(O300&lt;0,"D"&amp;O300,"D+"&amp;O300)))</f>
        <v/>
      </c>
      <c r="D300" s="13" t="n"/>
      <c r="E300" s="11" t="n"/>
      <c r="F300" s="26" t="n"/>
      <c r="G300" s="13" t="n"/>
      <c r="H300" s="12">
        <f>IF(OR(B300="",O300=""),"",IF(O300&gt;0,IF(P300="Làm việc",WORKDAY(IFERROR(IF(INDEX(SK_D,MATCH(M300,SK_A,0))="",B300,INDEX(SK_D,MATCH(M300,SK_A,0))),B300),O300,HOLI),IFERROR(IF(INDEX(SK_D,MATCH(M300,SK_A,0))="",B300,INDEX(SK_D,MATCH(M300,SK_A,0))),B300)+O300),B300+O300))</f>
        <v/>
      </c>
      <c r="I300" s="13" t="n"/>
      <c r="J300" s="12" t="n"/>
      <c r="K300" s="11" t="n"/>
      <c r="L300" s="27">
        <f>IF(E300="","",IF(I300="Bỏ qua","—",IF(I300="Xong",IF(AND(ISNUMBER(J300),ISNUMBER(H300),J300&gt;H300),"Xong trễ","Xong"),IF(F300="","CHƯA GIAO","")&amp;IF(NOT(ISNUMBER(H300)),"",IF(TODAY()&gt;H300,IF(F300=""," · ","")&amp;"QUÁ HẠN "&amp;(TODAY()-H300)&amp;" ngày",IF(H300-TODAY()&lt;=3,IF(F300=""," · ","")&amp;"Đến hạn "&amp;IF(H300=TODAY(),"hôm nay","trong "&amp;(H300-TODAY())&amp;" ngày"),""))))))</f>
        <v/>
      </c>
      <c r="Q300">
        <f>IF(AND(E300&lt;&gt;"",R300="Có",I300&lt;&gt;"Xong",I300&lt;&gt;"Bỏ qua",ISNUMBER(H300)),H300+ROW()/100000,"")</f>
        <v/>
      </c>
      <c r="R300">
        <f>IF(M300="","",IFERROR(INDEX(SK_L,MATCH(M300,SK_A,0)),""))</f>
        <v/>
      </c>
    </row>
    <row r="301">
      <c r="A301" s="11">
        <f>IF(M301="","",IFERROR(INDEX(SK_B,MATCH(M301,SK_A,0))&amp;"",""))</f>
        <v/>
      </c>
      <c r="B301" s="24">
        <f>IF(M301="","",IFERROR(INDEX(SK_C,MATCH(M301,SK_A,0)),""))</f>
        <v/>
      </c>
      <c r="C301" s="25">
        <f>IF(O301="","",IF(O301=0,"D",IF(O301&lt;0,"D"&amp;O301,"D+"&amp;O301)))</f>
        <v/>
      </c>
      <c r="D301" s="13" t="n"/>
      <c r="E301" s="11" t="n"/>
      <c r="F301" s="26" t="n"/>
      <c r="G301" s="13" t="n"/>
      <c r="H301" s="12">
        <f>IF(OR(B301="",O301=""),"",IF(O301&gt;0,IF(P301="Làm việc",WORKDAY(IFERROR(IF(INDEX(SK_D,MATCH(M301,SK_A,0))="",B301,INDEX(SK_D,MATCH(M301,SK_A,0))),B301),O301,HOLI),IFERROR(IF(INDEX(SK_D,MATCH(M301,SK_A,0))="",B301,INDEX(SK_D,MATCH(M301,SK_A,0))),B301)+O301),B301+O301))</f>
        <v/>
      </c>
      <c r="I301" s="13" t="n"/>
      <c r="J301" s="12" t="n"/>
      <c r="K301" s="11" t="n"/>
      <c r="L301" s="27">
        <f>IF(E301="","",IF(I301="Bỏ qua","—",IF(I301="Xong",IF(AND(ISNUMBER(J301),ISNUMBER(H301),J301&gt;H301),"Xong trễ","Xong"),IF(F301="","CHƯA GIAO","")&amp;IF(NOT(ISNUMBER(H301)),"",IF(TODAY()&gt;H301,IF(F301=""," · ","")&amp;"QUÁ HẠN "&amp;(TODAY()-H301)&amp;" ngày",IF(H301-TODAY()&lt;=3,IF(F301=""," · ","")&amp;"Đến hạn "&amp;IF(H301=TODAY(),"hôm nay","trong "&amp;(H301-TODAY())&amp;" ngày"),""))))))</f>
        <v/>
      </c>
      <c r="Q301">
        <f>IF(AND(E301&lt;&gt;"",R301="Có",I301&lt;&gt;"Xong",I301&lt;&gt;"Bỏ qua",ISNUMBER(H301)),H301+ROW()/100000,"")</f>
        <v/>
      </c>
      <c r="R301">
        <f>IF(M301="","",IFERROR(INDEX(SK_L,MATCH(M301,SK_A,0)),""))</f>
        <v/>
      </c>
    </row>
    <row r="302">
      <c r="A302" s="11">
        <f>IF(M302="","",IFERROR(INDEX(SK_B,MATCH(M302,SK_A,0))&amp;"",""))</f>
        <v/>
      </c>
      <c r="B302" s="24">
        <f>IF(M302="","",IFERROR(INDEX(SK_C,MATCH(M302,SK_A,0)),""))</f>
        <v/>
      </c>
      <c r="C302" s="25">
        <f>IF(O302="","",IF(O302=0,"D",IF(O302&lt;0,"D"&amp;O302,"D+"&amp;O302)))</f>
        <v/>
      </c>
      <c r="D302" s="13" t="n"/>
      <c r="E302" s="11" t="n"/>
      <c r="F302" s="26" t="n"/>
      <c r="G302" s="13" t="n"/>
      <c r="H302" s="12">
        <f>IF(OR(B302="",O302=""),"",IF(O302&gt;0,IF(P302="Làm việc",WORKDAY(IFERROR(IF(INDEX(SK_D,MATCH(M302,SK_A,0))="",B302,INDEX(SK_D,MATCH(M302,SK_A,0))),B302),O302,HOLI),IFERROR(IF(INDEX(SK_D,MATCH(M302,SK_A,0))="",B302,INDEX(SK_D,MATCH(M302,SK_A,0))),B302)+O302),B302+O302))</f>
        <v/>
      </c>
      <c r="I302" s="13" t="n"/>
      <c r="J302" s="12" t="n"/>
      <c r="K302" s="11" t="n"/>
      <c r="L302" s="27">
        <f>IF(E302="","",IF(I302="Bỏ qua","—",IF(I302="Xong",IF(AND(ISNUMBER(J302),ISNUMBER(H302),J302&gt;H302),"Xong trễ","Xong"),IF(F302="","CHƯA GIAO","")&amp;IF(NOT(ISNUMBER(H302)),"",IF(TODAY()&gt;H302,IF(F302=""," · ","")&amp;"QUÁ HẠN "&amp;(TODAY()-H302)&amp;" ngày",IF(H302-TODAY()&lt;=3,IF(F302=""," · ","")&amp;"Đến hạn "&amp;IF(H302=TODAY(),"hôm nay","trong "&amp;(H302-TODAY())&amp;" ngày"),""))))))</f>
        <v/>
      </c>
      <c r="Q302">
        <f>IF(AND(E302&lt;&gt;"",R302="Có",I302&lt;&gt;"Xong",I302&lt;&gt;"Bỏ qua",ISNUMBER(H302)),H302+ROW()/100000,"")</f>
        <v/>
      </c>
      <c r="R302">
        <f>IF(M302="","",IFERROR(INDEX(SK_L,MATCH(M302,SK_A,0)),""))</f>
        <v/>
      </c>
    </row>
    <row r="303">
      <c r="A303" s="11">
        <f>IF(M303="","",IFERROR(INDEX(SK_B,MATCH(M303,SK_A,0))&amp;"",""))</f>
        <v/>
      </c>
      <c r="B303" s="24">
        <f>IF(M303="","",IFERROR(INDEX(SK_C,MATCH(M303,SK_A,0)),""))</f>
        <v/>
      </c>
      <c r="C303" s="25">
        <f>IF(O303="","",IF(O303=0,"D",IF(O303&lt;0,"D"&amp;O303,"D+"&amp;O303)))</f>
        <v/>
      </c>
      <c r="D303" s="13" t="n"/>
      <c r="E303" s="11" t="n"/>
      <c r="F303" s="26" t="n"/>
      <c r="G303" s="13" t="n"/>
      <c r="H303" s="12">
        <f>IF(OR(B303="",O303=""),"",IF(O303&gt;0,IF(P303="Làm việc",WORKDAY(IFERROR(IF(INDEX(SK_D,MATCH(M303,SK_A,0))="",B303,INDEX(SK_D,MATCH(M303,SK_A,0))),B303),O303,HOLI),IFERROR(IF(INDEX(SK_D,MATCH(M303,SK_A,0))="",B303,INDEX(SK_D,MATCH(M303,SK_A,0))),B303)+O303),B303+O303))</f>
        <v/>
      </c>
      <c r="I303" s="13" t="n"/>
      <c r="J303" s="12" t="n"/>
      <c r="K303" s="11" t="n"/>
      <c r="L303" s="27">
        <f>IF(E303="","",IF(I303="Bỏ qua","—",IF(I303="Xong",IF(AND(ISNUMBER(J303),ISNUMBER(H303),J303&gt;H303),"Xong trễ","Xong"),IF(F303="","CHƯA GIAO","")&amp;IF(NOT(ISNUMBER(H303)),"",IF(TODAY()&gt;H303,IF(F303=""," · ","")&amp;"QUÁ HẠN "&amp;(TODAY()-H303)&amp;" ngày",IF(H303-TODAY()&lt;=3,IF(F303=""," · ","")&amp;"Đến hạn "&amp;IF(H303=TODAY(),"hôm nay","trong "&amp;(H303-TODAY())&amp;" ngày"),""))))))</f>
        <v/>
      </c>
      <c r="Q303">
        <f>IF(AND(E303&lt;&gt;"",R303="Có",I303&lt;&gt;"Xong",I303&lt;&gt;"Bỏ qua",ISNUMBER(H303)),H303+ROW()/100000,"")</f>
        <v/>
      </c>
      <c r="R303">
        <f>IF(M303="","",IFERROR(INDEX(SK_L,MATCH(M303,SK_A,0)),""))</f>
        <v/>
      </c>
    </row>
    <row r="304">
      <c r="A304" s="11">
        <f>IF(M304="","",IFERROR(INDEX(SK_B,MATCH(M304,SK_A,0))&amp;"",""))</f>
        <v/>
      </c>
      <c r="B304" s="24">
        <f>IF(M304="","",IFERROR(INDEX(SK_C,MATCH(M304,SK_A,0)),""))</f>
        <v/>
      </c>
      <c r="C304" s="25">
        <f>IF(O304="","",IF(O304=0,"D",IF(O304&lt;0,"D"&amp;O304,"D+"&amp;O304)))</f>
        <v/>
      </c>
      <c r="D304" s="13" t="n"/>
      <c r="E304" s="11" t="n"/>
      <c r="F304" s="26" t="n"/>
      <c r="G304" s="13" t="n"/>
      <c r="H304" s="12">
        <f>IF(OR(B304="",O304=""),"",IF(O304&gt;0,IF(P304="Làm việc",WORKDAY(IFERROR(IF(INDEX(SK_D,MATCH(M304,SK_A,0))="",B304,INDEX(SK_D,MATCH(M304,SK_A,0))),B304),O304,HOLI),IFERROR(IF(INDEX(SK_D,MATCH(M304,SK_A,0))="",B304,INDEX(SK_D,MATCH(M304,SK_A,0))),B304)+O304),B304+O304))</f>
        <v/>
      </c>
      <c r="I304" s="13" t="n"/>
      <c r="J304" s="12" t="n"/>
      <c r="K304" s="11" t="n"/>
      <c r="L304" s="27">
        <f>IF(E304="","",IF(I304="Bỏ qua","—",IF(I304="Xong",IF(AND(ISNUMBER(J304),ISNUMBER(H304),J304&gt;H304),"Xong trễ","Xong"),IF(F304="","CHƯA GIAO","")&amp;IF(NOT(ISNUMBER(H304)),"",IF(TODAY()&gt;H304,IF(F304=""," · ","")&amp;"QUÁ HẠN "&amp;(TODAY()-H304)&amp;" ngày",IF(H304-TODAY()&lt;=3,IF(F304=""," · ","")&amp;"Đến hạn "&amp;IF(H304=TODAY(),"hôm nay","trong "&amp;(H304-TODAY())&amp;" ngày"),""))))))</f>
        <v/>
      </c>
      <c r="Q304">
        <f>IF(AND(E304&lt;&gt;"",R304="Có",I304&lt;&gt;"Xong",I304&lt;&gt;"Bỏ qua",ISNUMBER(H304)),H304+ROW()/100000,"")</f>
        <v/>
      </c>
      <c r="R304">
        <f>IF(M304="","",IFERROR(INDEX(SK_L,MATCH(M304,SK_A,0)),""))</f>
        <v/>
      </c>
    </row>
    <row r="305">
      <c r="A305" s="11">
        <f>IF(M305="","",IFERROR(INDEX(SK_B,MATCH(M305,SK_A,0))&amp;"",""))</f>
        <v/>
      </c>
      <c r="B305" s="24">
        <f>IF(M305="","",IFERROR(INDEX(SK_C,MATCH(M305,SK_A,0)),""))</f>
        <v/>
      </c>
      <c r="C305" s="25">
        <f>IF(O305="","",IF(O305=0,"D",IF(O305&lt;0,"D"&amp;O305,"D+"&amp;O305)))</f>
        <v/>
      </c>
      <c r="D305" s="13" t="n"/>
      <c r="E305" s="11" t="n"/>
      <c r="F305" s="26" t="n"/>
      <c r="G305" s="13" t="n"/>
      <c r="H305" s="12">
        <f>IF(OR(B305="",O305=""),"",IF(O305&gt;0,IF(P305="Làm việc",WORKDAY(IFERROR(IF(INDEX(SK_D,MATCH(M305,SK_A,0))="",B305,INDEX(SK_D,MATCH(M305,SK_A,0))),B305),O305,HOLI),IFERROR(IF(INDEX(SK_D,MATCH(M305,SK_A,0))="",B305,INDEX(SK_D,MATCH(M305,SK_A,0))),B305)+O305),B305+O305))</f>
        <v/>
      </c>
      <c r="I305" s="13" t="n"/>
      <c r="J305" s="12" t="n"/>
      <c r="K305" s="11" t="n"/>
      <c r="L305" s="27">
        <f>IF(E305="","",IF(I305="Bỏ qua","—",IF(I305="Xong",IF(AND(ISNUMBER(J305),ISNUMBER(H305),J305&gt;H305),"Xong trễ","Xong"),IF(F305="","CHƯA GIAO","")&amp;IF(NOT(ISNUMBER(H305)),"",IF(TODAY()&gt;H305,IF(F305=""," · ","")&amp;"QUÁ HẠN "&amp;(TODAY()-H305)&amp;" ngày",IF(H305-TODAY()&lt;=3,IF(F305=""," · ","")&amp;"Đến hạn "&amp;IF(H305=TODAY(),"hôm nay","trong "&amp;(H305-TODAY())&amp;" ngày"),""))))))</f>
        <v/>
      </c>
      <c r="Q305">
        <f>IF(AND(E305&lt;&gt;"",R305="Có",I305&lt;&gt;"Xong",I305&lt;&gt;"Bỏ qua",ISNUMBER(H305)),H305+ROW()/100000,"")</f>
        <v/>
      </c>
      <c r="R305">
        <f>IF(M305="","",IFERROR(INDEX(SK_L,MATCH(M305,SK_A,0)),""))</f>
        <v/>
      </c>
    </row>
    <row r="306">
      <c r="A306" s="11">
        <f>IF(M306="","",IFERROR(INDEX(SK_B,MATCH(M306,SK_A,0))&amp;"",""))</f>
        <v/>
      </c>
      <c r="B306" s="24">
        <f>IF(M306="","",IFERROR(INDEX(SK_C,MATCH(M306,SK_A,0)),""))</f>
        <v/>
      </c>
      <c r="C306" s="25">
        <f>IF(O306="","",IF(O306=0,"D",IF(O306&lt;0,"D"&amp;O306,"D+"&amp;O306)))</f>
        <v/>
      </c>
      <c r="D306" s="13" t="n"/>
      <c r="E306" s="11" t="n"/>
      <c r="F306" s="26" t="n"/>
      <c r="G306" s="13" t="n"/>
      <c r="H306" s="12">
        <f>IF(OR(B306="",O306=""),"",IF(O306&gt;0,IF(P306="Làm việc",WORKDAY(IFERROR(IF(INDEX(SK_D,MATCH(M306,SK_A,0))="",B306,INDEX(SK_D,MATCH(M306,SK_A,0))),B306),O306,HOLI),IFERROR(IF(INDEX(SK_D,MATCH(M306,SK_A,0))="",B306,INDEX(SK_D,MATCH(M306,SK_A,0))),B306)+O306),B306+O306))</f>
        <v/>
      </c>
      <c r="I306" s="13" t="n"/>
      <c r="J306" s="12" t="n"/>
      <c r="K306" s="11" t="n"/>
      <c r="L306" s="27">
        <f>IF(E306="","",IF(I306="Bỏ qua","—",IF(I306="Xong",IF(AND(ISNUMBER(J306),ISNUMBER(H306),J306&gt;H306),"Xong trễ","Xong"),IF(F306="","CHƯA GIAO","")&amp;IF(NOT(ISNUMBER(H306)),"",IF(TODAY()&gt;H306,IF(F306=""," · ","")&amp;"QUÁ HẠN "&amp;(TODAY()-H306)&amp;" ngày",IF(H306-TODAY()&lt;=3,IF(F306=""," · ","")&amp;"Đến hạn "&amp;IF(H306=TODAY(),"hôm nay","trong "&amp;(H306-TODAY())&amp;" ngày"),""))))))</f>
        <v/>
      </c>
      <c r="Q306">
        <f>IF(AND(E306&lt;&gt;"",R306="Có",I306&lt;&gt;"Xong",I306&lt;&gt;"Bỏ qua",ISNUMBER(H306)),H306+ROW()/100000,"")</f>
        <v/>
      </c>
      <c r="R306">
        <f>IF(M306="","",IFERROR(INDEX(SK_L,MATCH(M306,SK_A,0)),""))</f>
        <v/>
      </c>
    </row>
    <row r="307">
      <c r="A307" s="11">
        <f>IF(M307="","",IFERROR(INDEX(SK_B,MATCH(M307,SK_A,0))&amp;"",""))</f>
        <v/>
      </c>
      <c r="B307" s="24">
        <f>IF(M307="","",IFERROR(INDEX(SK_C,MATCH(M307,SK_A,0)),""))</f>
        <v/>
      </c>
      <c r="C307" s="25">
        <f>IF(O307="","",IF(O307=0,"D",IF(O307&lt;0,"D"&amp;O307,"D+"&amp;O307)))</f>
        <v/>
      </c>
      <c r="D307" s="13" t="n"/>
      <c r="E307" s="11" t="n"/>
      <c r="F307" s="26" t="n"/>
      <c r="G307" s="13" t="n"/>
      <c r="H307" s="12">
        <f>IF(OR(B307="",O307=""),"",IF(O307&gt;0,IF(P307="Làm việc",WORKDAY(IFERROR(IF(INDEX(SK_D,MATCH(M307,SK_A,0))="",B307,INDEX(SK_D,MATCH(M307,SK_A,0))),B307),O307,HOLI),IFERROR(IF(INDEX(SK_D,MATCH(M307,SK_A,0))="",B307,INDEX(SK_D,MATCH(M307,SK_A,0))),B307)+O307),B307+O307))</f>
        <v/>
      </c>
      <c r="I307" s="13" t="n"/>
      <c r="J307" s="12" t="n"/>
      <c r="K307" s="11" t="n"/>
      <c r="L307" s="27">
        <f>IF(E307="","",IF(I307="Bỏ qua","—",IF(I307="Xong",IF(AND(ISNUMBER(J307),ISNUMBER(H307),J307&gt;H307),"Xong trễ","Xong"),IF(F307="","CHƯA GIAO","")&amp;IF(NOT(ISNUMBER(H307)),"",IF(TODAY()&gt;H307,IF(F307=""," · ","")&amp;"QUÁ HẠN "&amp;(TODAY()-H307)&amp;" ngày",IF(H307-TODAY()&lt;=3,IF(F307=""," · ","")&amp;"Đến hạn "&amp;IF(H307=TODAY(),"hôm nay","trong "&amp;(H307-TODAY())&amp;" ngày"),""))))))</f>
        <v/>
      </c>
      <c r="Q307">
        <f>IF(AND(E307&lt;&gt;"",R307="Có",I307&lt;&gt;"Xong",I307&lt;&gt;"Bỏ qua",ISNUMBER(H307)),H307+ROW()/100000,"")</f>
        <v/>
      </c>
      <c r="R307">
        <f>IF(M307="","",IFERROR(INDEX(SK_L,MATCH(M307,SK_A,0)),""))</f>
        <v/>
      </c>
    </row>
    <row r="308">
      <c r="A308" s="11">
        <f>IF(M308="","",IFERROR(INDEX(SK_B,MATCH(M308,SK_A,0))&amp;"",""))</f>
        <v/>
      </c>
      <c r="B308" s="24">
        <f>IF(M308="","",IFERROR(INDEX(SK_C,MATCH(M308,SK_A,0)),""))</f>
        <v/>
      </c>
      <c r="C308" s="25">
        <f>IF(O308="","",IF(O308=0,"D",IF(O308&lt;0,"D"&amp;O308,"D+"&amp;O308)))</f>
        <v/>
      </c>
      <c r="D308" s="13" t="n"/>
      <c r="E308" s="11" t="n"/>
      <c r="F308" s="26" t="n"/>
      <c r="G308" s="13" t="n"/>
      <c r="H308" s="12">
        <f>IF(OR(B308="",O308=""),"",IF(O308&gt;0,IF(P308="Làm việc",WORKDAY(IFERROR(IF(INDEX(SK_D,MATCH(M308,SK_A,0))="",B308,INDEX(SK_D,MATCH(M308,SK_A,0))),B308),O308,HOLI),IFERROR(IF(INDEX(SK_D,MATCH(M308,SK_A,0))="",B308,INDEX(SK_D,MATCH(M308,SK_A,0))),B308)+O308),B308+O308))</f>
        <v/>
      </c>
      <c r="I308" s="13" t="n"/>
      <c r="J308" s="12" t="n"/>
      <c r="K308" s="11" t="n"/>
      <c r="L308" s="27">
        <f>IF(E308="","",IF(I308="Bỏ qua","—",IF(I308="Xong",IF(AND(ISNUMBER(J308),ISNUMBER(H308),J308&gt;H308),"Xong trễ","Xong"),IF(F308="","CHƯA GIAO","")&amp;IF(NOT(ISNUMBER(H308)),"",IF(TODAY()&gt;H308,IF(F308=""," · ","")&amp;"QUÁ HẠN "&amp;(TODAY()-H308)&amp;" ngày",IF(H308-TODAY()&lt;=3,IF(F308=""," · ","")&amp;"Đến hạn "&amp;IF(H308=TODAY(),"hôm nay","trong "&amp;(H308-TODAY())&amp;" ngày"),""))))))</f>
        <v/>
      </c>
      <c r="Q308">
        <f>IF(AND(E308&lt;&gt;"",R308="Có",I308&lt;&gt;"Xong",I308&lt;&gt;"Bỏ qua",ISNUMBER(H308)),H308+ROW()/100000,"")</f>
        <v/>
      </c>
      <c r="R308">
        <f>IF(M308="","",IFERROR(INDEX(SK_L,MATCH(M308,SK_A,0)),""))</f>
        <v/>
      </c>
    </row>
    <row r="309">
      <c r="A309" s="11">
        <f>IF(M309="","",IFERROR(INDEX(SK_B,MATCH(M309,SK_A,0))&amp;"",""))</f>
        <v/>
      </c>
      <c r="B309" s="24">
        <f>IF(M309="","",IFERROR(INDEX(SK_C,MATCH(M309,SK_A,0)),""))</f>
        <v/>
      </c>
      <c r="C309" s="25">
        <f>IF(O309="","",IF(O309=0,"D",IF(O309&lt;0,"D"&amp;O309,"D+"&amp;O309)))</f>
        <v/>
      </c>
      <c r="D309" s="13" t="n"/>
      <c r="E309" s="11" t="n"/>
      <c r="F309" s="26" t="n"/>
      <c r="G309" s="13" t="n"/>
      <c r="H309" s="12">
        <f>IF(OR(B309="",O309=""),"",IF(O309&gt;0,IF(P309="Làm việc",WORKDAY(IFERROR(IF(INDEX(SK_D,MATCH(M309,SK_A,0))="",B309,INDEX(SK_D,MATCH(M309,SK_A,0))),B309),O309,HOLI),IFERROR(IF(INDEX(SK_D,MATCH(M309,SK_A,0))="",B309,INDEX(SK_D,MATCH(M309,SK_A,0))),B309)+O309),B309+O309))</f>
        <v/>
      </c>
      <c r="I309" s="13" t="n"/>
      <c r="J309" s="12" t="n"/>
      <c r="K309" s="11" t="n"/>
      <c r="L309" s="27">
        <f>IF(E309="","",IF(I309="Bỏ qua","—",IF(I309="Xong",IF(AND(ISNUMBER(J309),ISNUMBER(H309),J309&gt;H309),"Xong trễ","Xong"),IF(F309="","CHƯA GIAO","")&amp;IF(NOT(ISNUMBER(H309)),"",IF(TODAY()&gt;H309,IF(F309=""," · ","")&amp;"QUÁ HẠN "&amp;(TODAY()-H309)&amp;" ngày",IF(H309-TODAY()&lt;=3,IF(F309=""," · ","")&amp;"Đến hạn "&amp;IF(H309=TODAY(),"hôm nay","trong "&amp;(H309-TODAY())&amp;" ngày"),""))))))</f>
        <v/>
      </c>
      <c r="Q309">
        <f>IF(AND(E309&lt;&gt;"",R309="Có",I309&lt;&gt;"Xong",I309&lt;&gt;"Bỏ qua",ISNUMBER(H309)),H309+ROW()/100000,"")</f>
        <v/>
      </c>
      <c r="R309">
        <f>IF(M309="","",IFERROR(INDEX(SK_L,MATCH(M309,SK_A,0)),""))</f>
        <v/>
      </c>
    </row>
    <row r="310">
      <c r="A310" s="11">
        <f>IF(M310="","",IFERROR(INDEX(SK_B,MATCH(M310,SK_A,0))&amp;"",""))</f>
        <v/>
      </c>
      <c r="B310" s="24">
        <f>IF(M310="","",IFERROR(INDEX(SK_C,MATCH(M310,SK_A,0)),""))</f>
        <v/>
      </c>
      <c r="C310" s="25">
        <f>IF(O310="","",IF(O310=0,"D",IF(O310&lt;0,"D"&amp;O310,"D+"&amp;O310)))</f>
        <v/>
      </c>
      <c r="D310" s="13" t="n"/>
      <c r="E310" s="11" t="n"/>
      <c r="F310" s="26" t="n"/>
      <c r="G310" s="13" t="n"/>
      <c r="H310" s="12">
        <f>IF(OR(B310="",O310=""),"",IF(O310&gt;0,IF(P310="Làm việc",WORKDAY(IFERROR(IF(INDEX(SK_D,MATCH(M310,SK_A,0))="",B310,INDEX(SK_D,MATCH(M310,SK_A,0))),B310),O310,HOLI),IFERROR(IF(INDEX(SK_D,MATCH(M310,SK_A,0))="",B310,INDEX(SK_D,MATCH(M310,SK_A,0))),B310)+O310),B310+O310))</f>
        <v/>
      </c>
      <c r="I310" s="13" t="n"/>
      <c r="J310" s="12" t="n"/>
      <c r="K310" s="11" t="n"/>
      <c r="L310" s="27">
        <f>IF(E310="","",IF(I310="Bỏ qua","—",IF(I310="Xong",IF(AND(ISNUMBER(J310),ISNUMBER(H310),J310&gt;H310),"Xong trễ","Xong"),IF(F310="","CHƯA GIAO","")&amp;IF(NOT(ISNUMBER(H310)),"",IF(TODAY()&gt;H310,IF(F310=""," · ","")&amp;"QUÁ HẠN "&amp;(TODAY()-H310)&amp;" ngày",IF(H310-TODAY()&lt;=3,IF(F310=""," · ","")&amp;"Đến hạn "&amp;IF(H310=TODAY(),"hôm nay","trong "&amp;(H310-TODAY())&amp;" ngày"),""))))))</f>
        <v/>
      </c>
      <c r="Q310">
        <f>IF(AND(E310&lt;&gt;"",R310="Có",I310&lt;&gt;"Xong",I310&lt;&gt;"Bỏ qua",ISNUMBER(H310)),H310+ROW()/100000,"")</f>
        <v/>
      </c>
      <c r="R310">
        <f>IF(M310="","",IFERROR(INDEX(SK_L,MATCH(M310,SK_A,0)),""))</f>
        <v/>
      </c>
    </row>
    <row r="311">
      <c r="A311" s="11">
        <f>IF(M311="","",IFERROR(INDEX(SK_B,MATCH(M311,SK_A,0))&amp;"",""))</f>
        <v/>
      </c>
      <c r="B311" s="24">
        <f>IF(M311="","",IFERROR(INDEX(SK_C,MATCH(M311,SK_A,0)),""))</f>
        <v/>
      </c>
      <c r="C311" s="25">
        <f>IF(O311="","",IF(O311=0,"D",IF(O311&lt;0,"D"&amp;O311,"D+"&amp;O311)))</f>
        <v/>
      </c>
      <c r="D311" s="13" t="n"/>
      <c r="E311" s="11" t="n"/>
      <c r="F311" s="26" t="n"/>
      <c r="G311" s="13" t="n"/>
      <c r="H311" s="12">
        <f>IF(OR(B311="",O311=""),"",IF(O311&gt;0,IF(P311="Làm việc",WORKDAY(IFERROR(IF(INDEX(SK_D,MATCH(M311,SK_A,0))="",B311,INDEX(SK_D,MATCH(M311,SK_A,0))),B311),O311,HOLI),IFERROR(IF(INDEX(SK_D,MATCH(M311,SK_A,0))="",B311,INDEX(SK_D,MATCH(M311,SK_A,0))),B311)+O311),B311+O311))</f>
        <v/>
      </c>
      <c r="I311" s="13" t="n"/>
      <c r="J311" s="12" t="n"/>
      <c r="K311" s="11" t="n"/>
      <c r="L311" s="27">
        <f>IF(E311="","",IF(I311="Bỏ qua","—",IF(I311="Xong",IF(AND(ISNUMBER(J311),ISNUMBER(H311),J311&gt;H311),"Xong trễ","Xong"),IF(F311="","CHƯA GIAO","")&amp;IF(NOT(ISNUMBER(H311)),"",IF(TODAY()&gt;H311,IF(F311=""," · ","")&amp;"QUÁ HẠN "&amp;(TODAY()-H311)&amp;" ngày",IF(H311-TODAY()&lt;=3,IF(F311=""," · ","")&amp;"Đến hạn "&amp;IF(H311=TODAY(),"hôm nay","trong "&amp;(H311-TODAY())&amp;" ngày"),""))))))</f>
        <v/>
      </c>
      <c r="Q311">
        <f>IF(AND(E311&lt;&gt;"",R311="Có",I311&lt;&gt;"Xong",I311&lt;&gt;"Bỏ qua",ISNUMBER(H311)),H311+ROW()/100000,"")</f>
        <v/>
      </c>
      <c r="R311">
        <f>IF(M311="","",IFERROR(INDEX(SK_L,MATCH(M311,SK_A,0)),""))</f>
        <v/>
      </c>
    </row>
    <row r="312">
      <c r="A312" s="11">
        <f>IF(M312="","",IFERROR(INDEX(SK_B,MATCH(M312,SK_A,0))&amp;"",""))</f>
        <v/>
      </c>
      <c r="B312" s="24">
        <f>IF(M312="","",IFERROR(INDEX(SK_C,MATCH(M312,SK_A,0)),""))</f>
        <v/>
      </c>
      <c r="C312" s="25">
        <f>IF(O312="","",IF(O312=0,"D",IF(O312&lt;0,"D"&amp;O312,"D+"&amp;O312)))</f>
        <v/>
      </c>
      <c r="D312" s="13" t="n"/>
      <c r="E312" s="11" t="n"/>
      <c r="F312" s="26" t="n"/>
      <c r="G312" s="13" t="n"/>
      <c r="H312" s="12">
        <f>IF(OR(B312="",O312=""),"",IF(O312&gt;0,IF(P312="Làm việc",WORKDAY(IFERROR(IF(INDEX(SK_D,MATCH(M312,SK_A,0))="",B312,INDEX(SK_D,MATCH(M312,SK_A,0))),B312),O312,HOLI),IFERROR(IF(INDEX(SK_D,MATCH(M312,SK_A,0))="",B312,INDEX(SK_D,MATCH(M312,SK_A,0))),B312)+O312),B312+O312))</f>
        <v/>
      </c>
      <c r="I312" s="13" t="n"/>
      <c r="J312" s="12" t="n"/>
      <c r="K312" s="11" t="n"/>
      <c r="L312" s="27">
        <f>IF(E312="","",IF(I312="Bỏ qua","—",IF(I312="Xong",IF(AND(ISNUMBER(J312),ISNUMBER(H312),J312&gt;H312),"Xong trễ","Xong"),IF(F312="","CHƯA GIAO","")&amp;IF(NOT(ISNUMBER(H312)),"",IF(TODAY()&gt;H312,IF(F312=""," · ","")&amp;"QUÁ HẠN "&amp;(TODAY()-H312)&amp;" ngày",IF(H312-TODAY()&lt;=3,IF(F312=""," · ","")&amp;"Đến hạn "&amp;IF(H312=TODAY(),"hôm nay","trong "&amp;(H312-TODAY())&amp;" ngày"),""))))))</f>
        <v/>
      </c>
      <c r="Q312">
        <f>IF(AND(E312&lt;&gt;"",R312="Có",I312&lt;&gt;"Xong",I312&lt;&gt;"Bỏ qua",ISNUMBER(H312)),H312+ROW()/100000,"")</f>
        <v/>
      </c>
      <c r="R312">
        <f>IF(M312="","",IFERROR(INDEX(SK_L,MATCH(M312,SK_A,0)),""))</f>
        <v/>
      </c>
    </row>
    <row r="313">
      <c r="A313" s="11">
        <f>IF(M313="","",IFERROR(INDEX(SK_B,MATCH(M313,SK_A,0))&amp;"",""))</f>
        <v/>
      </c>
      <c r="B313" s="24">
        <f>IF(M313="","",IFERROR(INDEX(SK_C,MATCH(M313,SK_A,0)),""))</f>
        <v/>
      </c>
      <c r="C313" s="25">
        <f>IF(O313="","",IF(O313=0,"D",IF(O313&lt;0,"D"&amp;O313,"D+"&amp;O313)))</f>
        <v/>
      </c>
      <c r="D313" s="13" t="n"/>
      <c r="E313" s="11" t="n"/>
      <c r="F313" s="26" t="n"/>
      <c r="G313" s="13" t="n"/>
      <c r="H313" s="12">
        <f>IF(OR(B313="",O313=""),"",IF(O313&gt;0,IF(P313="Làm việc",WORKDAY(IFERROR(IF(INDEX(SK_D,MATCH(M313,SK_A,0))="",B313,INDEX(SK_D,MATCH(M313,SK_A,0))),B313),O313,HOLI),IFERROR(IF(INDEX(SK_D,MATCH(M313,SK_A,0))="",B313,INDEX(SK_D,MATCH(M313,SK_A,0))),B313)+O313),B313+O313))</f>
        <v/>
      </c>
      <c r="I313" s="13" t="n"/>
      <c r="J313" s="12" t="n"/>
      <c r="K313" s="11" t="n"/>
      <c r="L313" s="27">
        <f>IF(E313="","",IF(I313="Bỏ qua","—",IF(I313="Xong",IF(AND(ISNUMBER(J313),ISNUMBER(H313),J313&gt;H313),"Xong trễ","Xong"),IF(F313="","CHƯA GIAO","")&amp;IF(NOT(ISNUMBER(H313)),"",IF(TODAY()&gt;H313,IF(F313=""," · ","")&amp;"QUÁ HẠN "&amp;(TODAY()-H313)&amp;" ngày",IF(H313-TODAY()&lt;=3,IF(F313=""," · ","")&amp;"Đến hạn "&amp;IF(H313=TODAY(),"hôm nay","trong "&amp;(H313-TODAY())&amp;" ngày"),""))))))</f>
        <v/>
      </c>
      <c r="Q313">
        <f>IF(AND(E313&lt;&gt;"",R313="Có",I313&lt;&gt;"Xong",I313&lt;&gt;"Bỏ qua",ISNUMBER(H313)),H313+ROW()/100000,"")</f>
        <v/>
      </c>
      <c r="R313">
        <f>IF(M313="","",IFERROR(INDEX(SK_L,MATCH(M313,SK_A,0)),""))</f>
        <v/>
      </c>
    </row>
    <row r="314">
      <c r="A314" s="11">
        <f>IF(M314="","",IFERROR(INDEX(SK_B,MATCH(M314,SK_A,0))&amp;"",""))</f>
        <v/>
      </c>
      <c r="B314" s="24">
        <f>IF(M314="","",IFERROR(INDEX(SK_C,MATCH(M314,SK_A,0)),""))</f>
        <v/>
      </c>
      <c r="C314" s="25">
        <f>IF(O314="","",IF(O314=0,"D",IF(O314&lt;0,"D"&amp;O314,"D+"&amp;O314)))</f>
        <v/>
      </c>
      <c r="D314" s="13" t="n"/>
      <c r="E314" s="11" t="n"/>
      <c r="F314" s="26" t="n"/>
      <c r="G314" s="13" t="n"/>
      <c r="H314" s="12">
        <f>IF(OR(B314="",O314=""),"",IF(O314&gt;0,IF(P314="Làm việc",WORKDAY(IFERROR(IF(INDEX(SK_D,MATCH(M314,SK_A,0))="",B314,INDEX(SK_D,MATCH(M314,SK_A,0))),B314),O314,HOLI),IFERROR(IF(INDEX(SK_D,MATCH(M314,SK_A,0))="",B314,INDEX(SK_D,MATCH(M314,SK_A,0))),B314)+O314),B314+O314))</f>
        <v/>
      </c>
      <c r="I314" s="13" t="n"/>
      <c r="J314" s="12" t="n"/>
      <c r="K314" s="11" t="n"/>
      <c r="L314" s="27">
        <f>IF(E314="","",IF(I314="Bỏ qua","—",IF(I314="Xong",IF(AND(ISNUMBER(J314),ISNUMBER(H314),J314&gt;H314),"Xong trễ","Xong"),IF(F314="","CHƯA GIAO","")&amp;IF(NOT(ISNUMBER(H314)),"",IF(TODAY()&gt;H314,IF(F314=""," · ","")&amp;"QUÁ HẠN "&amp;(TODAY()-H314)&amp;" ngày",IF(H314-TODAY()&lt;=3,IF(F314=""," · ","")&amp;"Đến hạn "&amp;IF(H314=TODAY(),"hôm nay","trong "&amp;(H314-TODAY())&amp;" ngày"),""))))))</f>
        <v/>
      </c>
      <c r="Q314">
        <f>IF(AND(E314&lt;&gt;"",R314="Có",I314&lt;&gt;"Xong",I314&lt;&gt;"Bỏ qua",ISNUMBER(H314)),H314+ROW()/100000,"")</f>
        <v/>
      </c>
      <c r="R314">
        <f>IF(M314="","",IFERROR(INDEX(SK_L,MATCH(M314,SK_A,0)),""))</f>
        <v/>
      </c>
    </row>
    <row r="315">
      <c r="A315" s="11">
        <f>IF(M315="","",IFERROR(INDEX(SK_B,MATCH(M315,SK_A,0))&amp;"",""))</f>
        <v/>
      </c>
      <c r="B315" s="24">
        <f>IF(M315="","",IFERROR(INDEX(SK_C,MATCH(M315,SK_A,0)),""))</f>
        <v/>
      </c>
      <c r="C315" s="25">
        <f>IF(O315="","",IF(O315=0,"D",IF(O315&lt;0,"D"&amp;O315,"D+"&amp;O315)))</f>
        <v/>
      </c>
      <c r="D315" s="13" t="n"/>
      <c r="E315" s="11" t="n"/>
      <c r="F315" s="26" t="n"/>
      <c r="G315" s="13" t="n"/>
      <c r="H315" s="12">
        <f>IF(OR(B315="",O315=""),"",IF(O315&gt;0,IF(P315="Làm việc",WORKDAY(IFERROR(IF(INDEX(SK_D,MATCH(M315,SK_A,0))="",B315,INDEX(SK_D,MATCH(M315,SK_A,0))),B315),O315,HOLI),IFERROR(IF(INDEX(SK_D,MATCH(M315,SK_A,0))="",B315,INDEX(SK_D,MATCH(M315,SK_A,0))),B315)+O315),B315+O315))</f>
        <v/>
      </c>
      <c r="I315" s="13" t="n"/>
      <c r="J315" s="12" t="n"/>
      <c r="K315" s="11" t="n"/>
      <c r="L315" s="27">
        <f>IF(E315="","",IF(I315="Bỏ qua","—",IF(I315="Xong",IF(AND(ISNUMBER(J315),ISNUMBER(H315),J315&gt;H315),"Xong trễ","Xong"),IF(F315="","CHƯA GIAO","")&amp;IF(NOT(ISNUMBER(H315)),"",IF(TODAY()&gt;H315,IF(F315=""," · ","")&amp;"QUÁ HẠN "&amp;(TODAY()-H315)&amp;" ngày",IF(H315-TODAY()&lt;=3,IF(F315=""," · ","")&amp;"Đến hạn "&amp;IF(H315=TODAY(),"hôm nay","trong "&amp;(H315-TODAY())&amp;" ngày"),""))))))</f>
        <v/>
      </c>
      <c r="Q315">
        <f>IF(AND(E315&lt;&gt;"",R315="Có",I315&lt;&gt;"Xong",I315&lt;&gt;"Bỏ qua",ISNUMBER(H315)),H315+ROW()/100000,"")</f>
        <v/>
      </c>
      <c r="R315">
        <f>IF(M315="","",IFERROR(INDEX(SK_L,MATCH(M315,SK_A,0)),""))</f>
        <v/>
      </c>
    </row>
    <row r="316">
      <c r="A316" s="11">
        <f>IF(M316="","",IFERROR(INDEX(SK_B,MATCH(M316,SK_A,0))&amp;"",""))</f>
        <v/>
      </c>
      <c r="B316" s="24">
        <f>IF(M316="","",IFERROR(INDEX(SK_C,MATCH(M316,SK_A,0)),""))</f>
        <v/>
      </c>
      <c r="C316" s="25">
        <f>IF(O316="","",IF(O316=0,"D",IF(O316&lt;0,"D"&amp;O316,"D+"&amp;O316)))</f>
        <v/>
      </c>
      <c r="D316" s="13" t="n"/>
      <c r="E316" s="11" t="n"/>
      <c r="F316" s="26" t="n"/>
      <c r="G316" s="13" t="n"/>
      <c r="H316" s="12">
        <f>IF(OR(B316="",O316=""),"",IF(O316&gt;0,IF(P316="Làm việc",WORKDAY(IFERROR(IF(INDEX(SK_D,MATCH(M316,SK_A,0))="",B316,INDEX(SK_D,MATCH(M316,SK_A,0))),B316),O316,HOLI),IFERROR(IF(INDEX(SK_D,MATCH(M316,SK_A,0))="",B316,INDEX(SK_D,MATCH(M316,SK_A,0))),B316)+O316),B316+O316))</f>
        <v/>
      </c>
      <c r="I316" s="13" t="n"/>
      <c r="J316" s="12" t="n"/>
      <c r="K316" s="11" t="n"/>
      <c r="L316" s="27">
        <f>IF(E316="","",IF(I316="Bỏ qua","—",IF(I316="Xong",IF(AND(ISNUMBER(J316),ISNUMBER(H316),J316&gt;H316),"Xong trễ","Xong"),IF(F316="","CHƯA GIAO","")&amp;IF(NOT(ISNUMBER(H316)),"",IF(TODAY()&gt;H316,IF(F316=""," · ","")&amp;"QUÁ HẠN "&amp;(TODAY()-H316)&amp;" ngày",IF(H316-TODAY()&lt;=3,IF(F316=""," · ","")&amp;"Đến hạn "&amp;IF(H316=TODAY(),"hôm nay","trong "&amp;(H316-TODAY())&amp;" ngày"),""))))))</f>
        <v/>
      </c>
      <c r="Q316">
        <f>IF(AND(E316&lt;&gt;"",R316="Có",I316&lt;&gt;"Xong",I316&lt;&gt;"Bỏ qua",ISNUMBER(H316)),H316+ROW()/100000,"")</f>
        <v/>
      </c>
      <c r="R316">
        <f>IF(M316="","",IFERROR(INDEX(SK_L,MATCH(M316,SK_A,0)),""))</f>
        <v/>
      </c>
    </row>
    <row r="317">
      <c r="A317" s="11">
        <f>IF(M317="","",IFERROR(INDEX(SK_B,MATCH(M317,SK_A,0))&amp;"",""))</f>
        <v/>
      </c>
      <c r="B317" s="24">
        <f>IF(M317="","",IFERROR(INDEX(SK_C,MATCH(M317,SK_A,0)),""))</f>
        <v/>
      </c>
      <c r="C317" s="25">
        <f>IF(O317="","",IF(O317=0,"D",IF(O317&lt;0,"D"&amp;O317,"D+"&amp;O317)))</f>
        <v/>
      </c>
      <c r="D317" s="13" t="n"/>
      <c r="E317" s="11" t="n"/>
      <c r="F317" s="26" t="n"/>
      <c r="G317" s="13" t="n"/>
      <c r="H317" s="12">
        <f>IF(OR(B317="",O317=""),"",IF(O317&gt;0,IF(P317="Làm việc",WORKDAY(IFERROR(IF(INDEX(SK_D,MATCH(M317,SK_A,0))="",B317,INDEX(SK_D,MATCH(M317,SK_A,0))),B317),O317,HOLI),IFERROR(IF(INDEX(SK_D,MATCH(M317,SK_A,0))="",B317,INDEX(SK_D,MATCH(M317,SK_A,0))),B317)+O317),B317+O317))</f>
        <v/>
      </c>
      <c r="I317" s="13" t="n"/>
      <c r="J317" s="12" t="n"/>
      <c r="K317" s="11" t="n"/>
      <c r="L317" s="27">
        <f>IF(E317="","",IF(I317="Bỏ qua","—",IF(I317="Xong",IF(AND(ISNUMBER(J317),ISNUMBER(H317),J317&gt;H317),"Xong trễ","Xong"),IF(F317="","CHƯA GIAO","")&amp;IF(NOT(ISNUMBER(H317)),"",IF(TODAY()&gt;H317,IF(F317=""," · ","")&amp;"QUÁ HẠN "&amp;(TODAY()-H317)&amp;" ngày",IF(H317-TODAY()&lt;=3,IF(F317=""," · ","")&amp;"Đến hạn "&amp;IF(H317=TODAY(),"hôm nay","trong "&amp;(H317-TODAY())&amp;" ngày"),""))))))</f>
        <v/>
      </c>
      <c r="Q317">
        <f>IF(AND(E317&lt;&gt;"",R317="Có",I317&lt;&gt;"Xong",I317&lt;&gt;"Bỏ qua",ISNUMBER(H317)),H317+ROW()/100000,"")</f>
        <v/>
      </c>
      <c r="R317">
        <f>IF(M317="","",IFERROR(INDEX(SK_L,MATCH(M317,SK_A,0)),""))</f>
        <v/>
      </c>
    </row>
    <row r="318">
      <c r="A318" s="11">
        <f>IF(M318="","",IFERROR(INDEX(SK_B,MATCH(M318,SK_A,0))&amp;"",""))</f>
        <v/>
      </c>
      <c r="B318" s="24">
        <f>IF(M318="","",IFERROR(INDEX(SK_C,MATCH(M318,SK_A,0)),""))</f>
        <v/>
      </c>
      <c r="C318" s="25">
        <f>IF(O318="","",IF(O318=0,"D",IF(O318&lt;0,"D"&amp;O318,"D+"&amp;O318)))</f>
        <v/>
      </c>
      <c r="D318" s="13" t="n"/>
      <c r="E318" s="11" t="n"/>
      <c r="F318" s="26" t="n"/>
      <c r="G318" s="13" t="n"/>
      <c r="H318" s="12">
        <f>IF(OR(B318="",O318=""),"",IF(O318&gt;0,IF(P318="Làm việc",WORKDAY(IFERROR(IF(INDEX(SK_D,MATCH(M318,SK_A,0))="",B318,INDEX(SK_D,MATCH(M318,SK_A,0))),B318),O318,HOLI),IFERROR(IF(INDEX(SK_D,MATCH(M318,SK_A,0))="",B318,INDEX(SK_D,MATCH(M318,SK_A,0))),B318)+O318),B318+O318))</f>
        <v/>
      </c>
      <c r="I318" s="13" t="n"/>
      <c r="J318" s="12" t="n"/>
      <c r="K318" s="11" t="n"/>
      <c r="L318" s="27">
        <f>IF(E318="","",IF(I318="Bỏ qua","—",IF(I318="Xong",IF(AND(ISNUMBER(J318),ISNUMBER(H318),J318&gt;H318),"Xong trễ","Xong"),IF(F318="","CHƯA GIAO","")&amp;IF(NOT(ISNUMBER(H318)),"",IF(TODAY()&gt;H318,IF(F318=""," · ","")&amp;"QUÁ HẠN "&amp;(TODAY()-H318)&amp;" ngày",IF(H318-TODAY()&lt;=3,IF(F318=""," · ","")&amp;"Đến hạn "&amp;IF(H318=TODAY(),"hôm nay","trong "&amp;(H318-TODAY())&amp;" ngày"),""))))))</f>
        <v/>
      </c>
      <c r="Q318">
        <f>IF(AND(E318&lt;&gt;"",R318="Có",I318&lt;&gt;"Xong",I318&lt;&gt;"Bỏ qua",ISNUMBER(H318)),H318+ROW()/100000,"")</f>
        <v/>
      </c>
      <c r="R318">
        <f>IF(M318="","",IFERROR(INDEX(SK_L,MATCH(M318,SK_A,0)),""))</f>
        <v/>
      </c>
    </row>
    <row r="319">
      <c r="A319" s="11">
        <f>IF(M319="","",IFERROR(INDEX(SK_B,MATCH(M319,SK_A,0))&amp;"",""))</f>
        <v/>
      </c>
      <c r="B319" s="24">
        <f>IF(M319="","",IFERROR(INDEX(SK_C,MATCH(M319,SK_A,0)),""))</f>
        <v/>
      </c>
      <c r="C319" s="25">
        <f>IF(O319="","",IF(O319=0,"D",IF(O319&lt;0,"D"&amp;O319,"D+"&amp;O319)))</f>
        <v/>
      </c>
      <c r="D319" s="13" t="n"/>
      <c r="E319" s="11" t="n"/>
      <c r="F319" s="26" t="n"/>
      <c r="G319" s="13" t="n"/>
      <c r="H319" s="12">
        <f>IF(OR(B319="",O319=""),"",IF(O319&gt;0,IF(P319="Làm việc",WORKDAY(IFERROR(IF(INDEX(SK_D,MATCH(M319,SK_A,0))="",B319,INDEX(SK_D,MATCH(M319,SK_A,0))),B319),O319,HOLI),IFERROR(IF(INDEX(SK_D,MATCH(M319,SK_A,0))="",B319,INDEX(SK_D,MATCH(M319,SK_A,0))),B319)+O319),B319+O319))</f>
        <v/>
      </c>
      <c r="I319" s="13" t="n"/>
      <c r="J319" s="12" t="n"/>
      <c r="K319" s="11" t="n"/>
      <c r="L319" s="27">
        <f>IF(E319="","",IF(I319="Bỏ qua","—",IF(I319="Xong",IF(AND(ISNUMBER(J319),ISNUMBER(H319),J319&gt;H319),"Xong trễ","Xong"),IF(F319="","CHƯA GIAO","")&amp;IF(NOT(ISNUMBER(H319)),"",IF(TODAY()&gt;H319,IF(F319=""," · ","")&amp;"QUÁ HẠN "&amp;(TODAY()-H319)&amp;" ngày",IF(H319-TODAY()&lt;=3,IF(F319=""," · ","")&amp;"Đến hạn "&amp;IF(H319=TODAY(),"hôm nay","trong "&amp;(H319-TODAY())&amp;" ngày"),""))))))</f>
        <v/>
      </c>
      <c r="Q319">
        <f>IF(AND(E319&lt;&gt;"",R319="Có",I319&lt;&gt;"Xong",I319&lt;&gt;"Bỏ qua",ISNUMBER(H319)),H319+ROW()/100000,"")</f>
        <v/>
      </c>
      <c r="R319">
        <f>IF(M319="","",IFERROR(INDEX(SK_L,MATCH(M319,SK_A,0)),""))</f>
        <v/>
      </c>
    </row>
    <row r="320">
      <c r="A320" s="11">
        <f>IF(M320="","",IFERROR(INDEX(SK_B,MATCH(M320,SK_A,0))&amp;"",""))</f>
        <v/>
      </c>
      <c r="B320" s="24">
        <f>IF(M320="","",IFERROR(INDEX(SK_C,MATCH(M320,SK_A,0)),""))</f>
        <v/>
      </c>
      <c r="C320" s="25">
        <f>IF(O320="","",IF(O320=0,"D",IF(O320&lt;0,"D"&amp;O320,"D+"&amp;O320)))</f>
        <v/>
      </c>
      <c r="D320" s="13" t="n"/>
      <c r="E320" s="11" t="n"/>
      <c r="F320" s="26" t="n"/>
      <c r="G320" s="13" t="n"/>
      <c r="H320" s="12">
        <f>IF(OR(B320="",O320=""),"",IF(O320&gt;0,IF(P320="Làm việc",WORKDAY(IFERROR(IF(INDEX(SK_D,MATCH(M320,SK_A,0))="",B320,INDEX(SK_D,MATCH(M320,SK_A,0))),B320),O320,HOLI),IFERROR(IF(INDEX(SK_D,MATCH(M320,SK_A,0))="",B320,INDEX(SK_D,MATCH(M320,SK_A,0))),B320)+O320),B320+O320))</f>
        <v/>
      </c>
      <c r="I320" s="13" t="n"/>
      <c r="J320" s="12" t="n"/>
      <c r="K320" s="11" t="n"/>
      <c r="L320" s="27">
        <f>IF(E320="","",IF(I320="Bỏ qua","—",IF(I320="Xong",IF(AND(ISNUMBER(J320),ISNUMBER(H320),J320&gt;H320),"Xong trễ","Xong"),IF(F320="","CHƯA GIAO","")&amp;IF(NOT(ISNUMBER(H320)),"",IF(TODAY()&gt;H320,IF(F320=""," · ","")&amp;"QUÁ HẠN "&amp;(TODAY()-H320)&amp;" ngày",IF(H320-TODAY()&lt;=3,IF(F320=""," · ","")&amp;"Đến hạn "&amp;IF(H320=TODAY(),"hôm nay","trong "&amp;(H320-TODAY())&amp;" ngày"),""))))))</f>
        <v/>
      </c>
      <c r="Q320">
        <f>IF(AND(E320&lt;&gt;"",R320="Có",I320&lt;&gt;"Xong",I320&lt;&gt;"Bỏ qua",ISNUMBER(H320)),H320+ROW()/100000,"")</f>
        <v/>
      </c>
      <c r="R320">
        <f>IF(M320="","",IFERROR(INDEX(SK_L,MATCH(M320,SK_A,0)),""))</f>
        <v/>
      </c>
    </row>
    <row r="321">
      <c r="A321" s="11">
        <f>IF(M321="","",IFERROR(INDEX(SK_B,MATCH(M321,SK_A,0))&amp;"",""))</f>
        <v/>
      </c>
      <c r="B321" s="24">
        <f>IF(M321="","",IFERROR(INDEX(SK_C,MATCH(M321,SK_A,0)),""))</f>
        <v/>
      </c>
      <c r="C321" s="25">
        <f>IF(O321="","",IF(O321=0,"D",IF(O321&lt;0,"D"&amp;O321,"D+"&amp;O321)))</f>
        <v/>
      </c>
      <c r="D321" s="13" t="n"/>
      <c r="E321" s="11" t="n"/>
      <c r="F321" s="26" t="n"/>
      <c r="G321" s="13" t="n"/>
      <c r="H321" s="12">
        <f>IF(OR(B321="",O321=""),"",IF(O321&gt;0,IF(P321="Làm việc",WORKDAY(IFERROR(IF(INDEX(SK_D,MATCH(M321,SK_A,0))="",B321,INDEX(SK_D,MATCH(M321,SK_A,0))),B321),O321,HOLI),IFERROR(IF(INDEX(SK_D,MATCH(M321,SK_A,0))="",B321,INDEX(SK_D,MATCH(M321,SK_A,0))),B321)+O321),B321+O321))</f>
        <v/>
      </c>
      <c r="I321" s="13" t="n"/>
      <c r="J321" s="12" t="n"/>
      <c r="K321" s="11" t="n"/>
      <c r="L321" s="27">
        <f>IF(E321="","",IF(I321="Bỏ qua","—",IF(I321="Xong",IF(AND(ISNUMBER(J321),ISNUMBER(H321),J321&gt;H321),"Xong trễ","Xong"),IF(F321="","CHƯA GIAO","")&amp;IF(NOT(ISNUMBER(H321)),"",IF(TODAY()&gt;H321,IF(F321=""," · ","")&amp;"QUÁ HẠN "&amp;(TODAY()-H321)&amp;" ngày",IF(H321-TODAY()&lt;=3,IF(F321=""," · ","")&amp;"Đến hạn "&amp;IF(H321=TODAY(),"hôm nay","trong "&amp;(H321-TODAY())&amp;" ngày"),""))))))</f>
        <v/>
      </c>
      <c r="Q321">
        <f>IF(AND(E321&lt;&gt;"",R321="Có",I321&lt;&gt;"Xong",I321&lt;&gt;"Bỏ qua",ISNUMBER(H321)),H321+ROW()/100000,"")</f>
        <v/>
      </c>
      <c r="R321">
        <f>IF(M321="","",IFERROR(INDEX(SK_L,MATCH(M321,SK_A,0)),""))</f>
        <v/>
      </c>
    </row>
    <row r="322">
      <c r="A322" s="11">
        <f>IF(M322="","",IFERROR(INDEX(SK_B,MATCH(M322,SK_A,0))&amp;"",""))</f>
        <v/>
      </c>
      <c r="B322" s="24">
        <f>IF(M322="","",IFERROR(INDEX(SK_C,MATCH(M322,SK_A,0)),""))</f>
        <v/>
      </c>
      <c r="C322" s="25">
        <f>IF(O322="","",IF(O322=0,"D",IF(O322&lt;0,"D"&amp;O322,"D+"&amp;O322)))</f>
        <v/>
      </c>
      <c r="D322" s="13" t="n"/>
      <c r="E322" s="11" t="n"/>
      <c r="F322" s="26" t="n"/>
      <c r="G322" s="13" t="n"/>
      <c r="H322" s="12">
        <f>IF(OR(B322="",O322=""),"",IF(O322&gt;0,IF(P322="Làm việc",WORKDAY(IFERROR(IF(INDEX(SK_D,MATCH(M322,SK_A,0))="",B322,INDEX(SK_D,MATCH(M322,SK_A,0))),B322),O322,HOLI),IFERROR(IF(INDEX(SK_D,MATCH(M322,SK_A,0))="",B322,INDEX(SK_D,MATCH(M322,SK_A,0))),B322)+O322),B322+O322))</f>
        <v/>
      </c>
      <c r="I322" s="13" t="n"/>
      <c r="J322" s="12" t="n"/>
      <c r="K322" s="11" t="n"/>
      <c r="L322" s="27">
        <f>IF(E322="","",IF(I322="Bỏ qua","—",IF(I322="Xong",IF(AND(ISNUMBER(J322),ISNUMBER(H322),J322&gt;H322),"Xong trễ","Xong"),IF(F322="","CHƯA GIAO","")&amp;IF(NOT(ISNUMBER(H322)),"",IF(TODAY()&gt;H322,IF(F322=""," · ","")&amp;"QUÁ HẠN "&amp;(TODAY()-H322)&amp;" ngày",IF(H322-TODAY()&lt;=3,IF(F322=""," · ","")&amp;"Đến hạn "&amp;IF(H322=TODAY(),"hôm nay","trong "&amp;(H322-TODAY())&amp;" ngày"),""))))))</f>
        <v/>
      </c>
      <c r="Q322">
        <f>IF(AND(E322&lt;&gt;"",R322="Có",I322&lt;&gt;"Xong",I322&lt;&gt;"Bỏ qua",ISNUMBER(H322)),H322+ROW()/100000,"")</f>
        <v/>
      </c>
      <c r="R322">
        <f>IF(M322="","",IFERROR(INDEX(SK_L,MATCH(M322,SK_A,0)),""))</f>
        <v/>
      </c>
    </row>
    <row r="323">
      <c r="A323" s="11">
        <f>IF(M323="","",IFERROR(INDEX(SK_B,MATCH(M323,SK_A,0))&amp;"",""))</f>
        <v/>
      </c>
      <c r="B323" s="24">
        <f>IF(M323="","",IFERROR(INDEX(SK_C,MATCH(M323,SK_A,0)),""))</f>
        <v/>
      </c>
      <c r="C323" s="25">
        <f>IF(O323="","",IF(O323=0,"D",IF(O323&lt;0,"D"&amp;O323,"D+"&amp;O323)))</f>
        <v/>
      </c>
      <c r="D323" s="13" t="n"/>
      <c r="E323" s="11" t="n"/>
      <c r="F323" s="26" t="n"/>
      <c r="G323" s="13" t="n"/>
      <c r="H323" s="12">
        <f>IF(OR(B323="",O323=""),"",IF(O323&gt;0,IF(P323="Làm việc",WORKDAY(IFERROR(IF(INDEX(SK_D,MATCH(M323,SK_A,0))="",B323,INDEX(SK_D,MATCH(M323,SK_A,0))),B323),O323,HOLI),IFERROR(IF(INDEX(SK_D,MATCH(M323,SK_A,0))="",B323,INDEX(SK_D,MATCH(M323,SK_A,0))),B323)+O323),B323+O323))</f>
        <v/>
      </c>
      <c r="I323" s="13" t="n"/>
      <c r="J323" s="12" t="n"/>
      <c r="K323" s="11" t="n"/>
      <c r="L323" s="27">
        <f>IF(E323="","",IF(I323="Bỏ qua","—",IF(I323="Xong",IF(AND(ISNUMBER(J323),ISNUMBER(H323),J323&gt;H323),"Xong trễ","Xong"),IF(F323="","CHƯA GIAO","")&amp;IF(NOT(ISNUMBER(H323)),"",IF(TODAY()&gt;H323,IF(F323=""," · ","")&amp;"QUÁ HẠN "&amp;(TODAY()-H323)&amp;" ngày",IF(H323-TODAY()&lt;=3,IF(F323=""," · ","")&amp;"Đến hạn "&amp;IF(H323=TODAY(),"hôm nay","trong "&amp;(H323-TODAY())&amp;" ngày"),""))))))</f>
        <v/>
      </c>
      <c r="Q323">
        <f>IF(AND(E323&lt;&gt;"",R323="Có",I323&lt;&gt;"Xong",I323&lt;&gt;"Bỏ qua",ISNUMBER(H323)),H323+ROW()/100000,"")</f>
        <v/>
      </c>
      <c r="R323">
        <f>IF(M323="","",IFERROR(INDEX(SK_L,MATCH(M323,SK_A,0)),""))</f>
        <v/>
      </c>
    </row>
    <row r="324">
      <c r="A324" s="11">
        <f>IF(M324="","",IFERROR(INDEX(SK_B,MATCH(M324,SK_A,0))&amp;"",""))</f>
        <v/>
      </c>
      <c r="B324" s="24">
        <f>IF(M324="","",IFERROR(INDEX(SK_C,MATCH(M324,SK_A,0)),""))</f>
        <v/>
      </c>
      <c r="C324" s="25">
        <f>IF(O324="","",IF(O324=0,"D",IF(O324&lt;0,"D"&amp;O324,"D+"&amp;O324)))</f>
        <v/>
      </c>
      <c r="D324" s="13" t="n"/>
      <c r="E324" s="11" t="n"/>
      <c r="F324" s="26" t="n"/>
      <c r="G324" s="13" t="n"/>
      <c r="H324" s="12">
        <f>IF(OR(B324="",O324=""),"",IF(O324&gt;0,IF(P324="Làm việc",WORKDAY(IFERROR(IF(INDEX(SK_D,MATCH(M324,SK_A,0))="",B324,INDEX(SK_D,MATCH(M324,SK_A,0))),B324),O324,HOLI),IFERROR(IF(INDEX(SK_D,MATCH(M324,SK_A,0))="",B324,INDEX(SK_D,MATCH(M324,SK_A,0))),B324)+O324),B324+O324))</f>
        <v/>
      </c>
      <c r="I324" s="13" t="n"/>
      <c r="J324" s="12" t="n"/>
      <c r="K324" s="11" t="n"/>
      <c r="L324" s="27">
        <f>IF(E324="","",IF(I324="Bỏ qua","—",IF(I324="Xong",IF(AND(ISNUMBER(J324),ISNUMBER(H324),J324&gt;H324),"Xong trễ","Xong"),IF(F324="","CHƯA GIAO","")&amp;IF(NOT(ISNUMBER(H324)),"",IF(TODAY()&gt;H324,IF(F324=""," · ","")&amp;"QUÁ HẠN "&amp;(TODAY()-H324)&amp;" ngày",IF(H324-TODAY()&lt;=3,IF(F324=""," · ","")&amp;"Đến hạn "&amp;IF(H324=TODAY(),"hôm nay","trong "&amp;(H324-TODAY())&amp;" ngày"),""))))))</f>
        <v/>
      </c>
      <c r="Q324">
        <f>IF(AND(E324&lt;&gt;"",R324="Có",I324&lt;&gt;"Xong",I324&lt;&gt;"Bỏ qua",ISNUMBER(H324)),H324+ROW()/100000,"")</f>
        <v/>
      </c>
      <c r="R324">
        <f>IF(M324="","",IFERROR(INDEX(SK_L,MATCH(M324,SK_A,0)),""))</f>
        <v/>
      </c>
    </row>
    <row r="325">
      <c r="A325" s="11">
        <f>IF(M325="","",IFERROR(INDEX(SK_B,MATCH(M325,SK_A,0))&amp;"",""))</f>
        <v/>
      </c>
      <c r="B325" s="24">
        <f>IF(M325="","",IFERROR(INDEX(SK_C,MATCH(M325,SK_A,0)),""))</f>
        <v/>
      </c>
      <c r="C325" s="25">
        <f>IF(O325="","",IF(O325=0,"D",IF(O325&lt;0,"D"&amp;O325,"D+"&amp;O325)))</f>
        <v/>
      </c>
      <c r="D325" s="13" t="n"/>
      <c r="E325" s="11" t="n"/>
      <c r="F325" s="26" t="n"/>
      <c r="G325" s="13" t="n"/>
      <c r="H325" s="12">
        <f>IF(OR(B325="",O325=""),"",IF(O325&gt;0,IF(P325="Làm việc",WORKDAY(IFERROR(IF(INDEX(SK_D,MATCH(M325,SK_A,0))="",B325,INDEX(SK_D,MATCH(M325,SK_A,0))),B325),O325,HOLI),IFERROR(IF(INDEX(SK_D,MATCH(M325,SK_A,0))="",B325,INDEX(SK_D,MATCH(M325,SK_A,0))),B325)+O325),B325+O325))</f>
        <v/>
      </c>
      <c r="I325" s="13" t="n"/>
      <c r="J325" s="12" t="n"/>
      <c r="K325" s="11" t="n"/>
      <c r="L325" s="27">
        <f>IF(E325="","",IF(I325="Bỏ qua","—",IF(I325="Xong",IF(AND(ISNUMBER(J325),ISNUMBER(H325),J325&gt;H325),"Xong trễ","Xong"),IF(F325="","CHƯA GIAO","")&amp;IF(NOT(ISNUMBER(H325)),"",IF(TODAY()&gt;H325,IF(F325=""," · ","")&amp;"QUÁ HẠN "&amp;(TODAY()-H325)&amp;" ngày",IF(H325-TODAY()&lt;=3,IF(F325=""," · ","")&amp;"Đến hạn "&amp;IF(H325=TODAY(),"hôm nay","trong "&amp;(H325-TODAY())&amp;" ngày"),""))))))</f>
        <v/>
      </c>
      <c r="Q325">
        <f>IF(AND(E325&lt;&gt;"",R325="Có",I325&lt;&gt;"Xong",I325&lt;&gt;"Bỏ qua",ISNUMBER(H325)),H325+ROW()/100000,"")</f>
        <v/>
      </c>
      <c r="R325">
        <f>IF(M325="","",IFERROR(INDEX(SK_L,MATCH(M325,SK_A,0)),""))</f>
        <v/>
      </c>
    </row>
    <row r="326">
      <c r="A326" s="11">
        <f>IF(M326="","",IFERROR(INDEX(SK_B,MATCH(M326,SK_A,0))&amp;"",""))</f>
        <v/>
      </c>
      <c r="B326" s="24">
        <f>IF(M326="","",IFERROR(INDEX(SK_C,MATCH(M326,SK_A,0)),""))</f>
        <v/>
      </c>
      <c r="C326" s="25">
        <f>IF(O326="","",IF(O326=0,"D",IF(O326&lt;0,"D"&amp;O326,"D+"&amp;O326)))</f>
        <v/>
      </c>
      <c r="D326" s="13" t="n"/>
      <c r="E326" s="11" t="n"/>
      <c r="F326" s="26" t="n"/>
      <c r="G326" s="13" t="n"/>
      <c r="H326" s="12">
        <f>IF(OR(B326="",O326=""),"",IF(O326&gt;0,IF(P326="Làm việc",WORKDAY(IFERROR(IF(INDEX(SK_D,MATCH(M326,SK_A,0))="",B326,INDEX(SK_D,MATCH(M326,SK_A,0))),B326),O326,HOLI),IFERROR(IF(INDEX(SK_D,MATCH(M326,SK_A,0))="",B326,INDEX(SK_D,MATCH(M326,SK_A,0))),B326)+O326),B326+O326))</f>
        <v/>
      </c>
      <c r="I326" s="13" t="n"/>
      <c r="J326" s="12" t="n"/>
      <c r="K326" s="11" t="n"/>
      <c r="L326" s="27">
        <f>IF(E326="","",IF(I326="Bỏ qua","—",IF(I326="Xong",IF(AND(ISNUMBER(J326),ISNUMBER(H326),J326&gt;H326),"Xong trễ","Xong"),IF(F326="","CHƯA GIAO","")&amp;IF(NOT(ISNUMBER(H326)),"",IF(TODAY()&gt;H326,IF(F326=""," · ","")&amp;"QUÁ HẠN "&amp;(TODAY()-H326)&amp;" ngày",IF(H326-TODAY()&lt;=3,IF(F326=""," · ","")&amp;"Đến hạn "&amp;IF(H326=TODAY(),"hôm nay","trong "&amp;(H326-TODAY())&amp;" ngày"),""))))))</f>
        <v/>
      </c>
      <c r="Q326">
        <f>IF(AND(E326&lt;&gt;"",R326="Có",I326&lt;&gt;"Xong",I326&lt;&gt;"Bỏ qua",ISNUMBER(H326)),H326+ROW()/100000,"")</f>
        <v/>
      </c>
      <c r="R326">
        <f>IF(M326="","",IFERROR(INDEX(SK_L,MATCH(M326,SK_A,0)),""))</f>
        <v/>
      </c>
    </row>
    <row r="327">
      <c r="A327" s="11">
        <f>IF(M327="","",IFERROR(INDEX(SK_B,MATCH(M327,SK_A,0))&amp;"",""))</f>
        <v/>
      </c>
      <c r="B327" s="24">
        <f>IF(M327="","",IFERROR(INDEX(SK_C,MATCH(M327,SK_A,0)),""))</f>
        <v/>
      </c>
      <c r="C327" s="25">
        <f>IF(O327="","",IF(O327=0,"D",IF(O327&lt;0,"D"&amp;O327,"D+"&amp;O327)))</f>
        <v/>
      </c>
      <c r="D327" s="13" t="n"/>
      <c r="E327" s="11" t="n"/>
      <c r="F327" s="26" t="n"/>
      <c r="G327" s="13" t="n"/>
      <c r="H327" s="12">
        <f>IF(OR(B327="",O327=""),"",IF(O327&gt;0,IF(P327="Làm việc",WORKDAY(IFERROR(IF(INDEX(SK_D,MATCH(M327,SK_A,0))="",B327,INDEX(SK_D,MATCH(M327,SK_A,0))),B327),O327,HOLI),IFERROR(IF(INDEX(SK_D,MATCH(M327,SK_A,0))="",B327,INDEX(SK_D,MATCH(M327,SK_A,0))),B327)+O327),B327+O327))</f>
        <v/>
      </c>
      <c r="I327" s="13" t="n"/>
      <c r="J327" s="12" t="n"/>
      <c r="K327" s="11" t="n"/>
      <c r="L327" s="27">
        <f>IF(E327="","",IF(I327="Bỏ qua","—",IF(I327="Xong",IF(AND(ISNUMBER(J327),ISNUMBER(H327),J327&gt;H327),"Xong trễ","Xong"),IF(F327="","CHƯA GIAO","")&amp;IF(NOT(ISNUMBER(H327)),"",IF(TODAY()&gt;H327,IF(F327=""," · ","")&amp;"QUÁ HẠN "&amp;(TODAY()-H327)&amp;" ngày",IF(H327-TODAY()&lt;=3,IF(F327=""," · ","")&amp;"Đến hạn "&amp;IF(H327=TODAY(),"hôm nay","trong "&amp;(H327-TODAY())&amp;" ngày"),""))))))</f>
        <v/>
      </c>
      <c r="Q327">
        <f>IF(AND(E327&lt;&gt;"",R327="Có",I327&lt;&gt;"Xong",I327&lt;&gt;"Bỏ qua",ISNUMBER(H327)),H327+ROW()/100000,"")</f>
        <v/>
      </c>
      <c r="R327">
        <f>IF(M327="","",IFERROR(INDEX(SK_L,MATCH(M327,SK_A,0)),""))</f>
        <v/>
      </c>
    </row>
    <row r="328">
      <c r="A328" s="11">
        <f>IF(M328="","",IFERROR(INDEX(SK_B,MATCH(M328,SK_A,0))&amp;"",""))</f>
        <v/>
      </c>
      <c r="B328" s="24">
        <f>IF(M328="","",IFERROR(INDEX(SK_C,MATCH(M328,SK_A,0)),""))</f>
        <v/>
      </c>
      <c r="C328" s="25">
        <f>IF(O328="","",IF(O328=0,"D",IF(O328&lt;0,"D"&amp;O328,"D+"&amp;O328)))</f>
        <v/>
      </c>
      <c r="D328" s="13" t="n"/>
      <c r="E328" s="11" t="n"/>
      <c r="F328" s="26" t="n"/>
      <c r="G328" s="13" t="n"/>
      <c r="H328" s="12">
        <f>IF(OR(B328="",O328=""),"",IF(O328&gt;0,IF(P328="Làm việc",WORKDAY(IFERROR(IF(INDEX(SK_D,MATCH(M328,SK_A,0))="",B328,INDEX(SK_D,MATCH(M328,SK_A,0))),B328),O328,HOLI),IFERROR(IF(INDEX(SK_D,MATCH(M328,SK_A,0))="",B328,INDEX(SK_D,MATCH(M328,SK_A,0))),B328)+O328),B328+O328))</f>
        <v/>
      </c>
      <c r="I328" s="13" t="n"/>
      <c r="J328" s="12" t="n"/>
      <c r="K328" s="11" t="n"/>
      <c r="L328" s="27">
        <f>IF(E328="","",IF(I328="Bỏ qua","—",IF(I328="Xong",IF(AND(ISNUMBER(J328),ISNUMBER(H328),J328&gt;H328),"Xong trễ","Xong"),IF(F328="","CHƯA GIAO","")&amp;IF(NOT(ISNUMBER(H328)),"",IF(TODAY()&gt;H328,IF(F328=""," · ","")&amp;"QUÁ HẠN "&amp;(TODAY()-H328)&amp;" ngày",IF(H328-TODAY()&lt;=3,IF(F328=""," · ","")&amp;"Đến hạn "&amp;IF(H328=TODAY(),"hôm nay","trong "&amp;(H328-TODAY())&amp;" ngày"),""))))))</f>
        <v/>
      </c>
      <c r="Q328">
        <f>IF(AND(E328&lt;&gt;"",R328="Có",I328&lt;&gt;"Xong",I328&lt;&gt;"Bỏ qua",ISNUMBER(H328)),H328+ROW()/100000,"")</f>
        <v/>
      </c>
      <c r="R328">
        <f>IF(M328="","",IFERROR(INDEX(SK_L,MATCH(M328,SK_A,0)),""))</f>
        <v/>
      </c>
    </row>
    <row r="329">
      <c r="A329" s="11">
        <f>IF(M329="","",IFERROR(INDEX(SK_B,MATCH(M329,SK_A,0))&amp;"",""))</f>
        <v/>
      </c>
      <c r="B329" s="24">
        <f>IF(M329="","",IFERROR(INDEX(SK_C,MATCH(M329,SK_A,0)),""))</f>
        <v/>
      </c>
      <c r="C329" s="25">
        <f>IF(O329="","",IF(O329=0,"D",IF(O329&lt;0,"D"&amp;O329,"D+"&amp;O329)))</f>
        <v/>
      </c>
      <c r="D329" s="13" t="n"/>
      <c r="E329" s="11" t="n"/>
      <c r="F329" s="26" t="n"/>
      <c r="G329" s="13" t="n"/>
      <c r="H329" s="12">
        <f>IF(OR(B329="",O329=""),"",IF(O329&gt;0,IF(P329="Làm việc",WORKDAY(IFERROR(IF(INDEX(SK_D,MATCH(M329,SK_A,0))="",B329,INDEX(SK_D,MATCH(M329,SK_A,0))),B329),O329,HOLI),IFERROR(IF(INDEX(SK_D,MATCH(M329,SK_A,0))="",B329,INDEX(SK_D,MATCH(M329,SK_A,0))),B329)+O329),B329+O329))</f>
        <v/>
      </c>
      <c r="I329" s="13" t="n"/>
      <c r="J329" s="12" t="n"/>
      <c r="K329" s="11" t="n"/>
      <c r="L329" s="27">
        <f>IF(E329="","",IF(I329="Bỏ qua","—",IF(I329="Xong",IF(AND(ISNUMBER(J329),ISNUMBER(H329),J329&gt;H329),"Xong trễ","Xong"),IF(F329="","CHƯA GIAO","")&amp;IF(NOT(ISNUMBER(H329)),"",IF(TODAY()&gt;H329,IF(F329=""," · ","")&amp;"QUÁ HẠN "&amp;(TODAY()-H329)&amp;" ngày",IF(H329-TODAY()&lt;=3,IF(F329=""," · ","")&amp;"Đến hạn "&amp;IF(H329=TODAY(),"hôm nay","trong "&amp;(H329-TODAY())&amp;" ngày"),""))))))</f>
        <v/>
      </c>
      <c r="Q329">
        <f>IF(AND(E329&lt;&gt;"",R329="Có",I329&lt;&gt;"Xong",I329&lt;&gt;"Bỏ qua",ISNUMBER(H329)),H329+ROW()/100000,"")</f>
        <v/>
      </c>
      <c r="R329">
        <f>IF(M329="","",IFERROR(INDEX(SK_L,MATCH(M329,SK_A,0)),""))</f>
        <v/>
      </c>
    </row>
    <row r="330">
      <c r="A330" s="11">
        <f>IF(M330="","",IFERROR(INDEX(SK_B,MATCH(M330,SK_A,0))&amp;"",""))</f>
        <v/>
      </c>
      <c r="B330" s="24">
        <f>IF(M330="","",IFERROR(INDEX(SK_C,MATCH(M330,SK_A,0)),""))</f>
        <v/>
      </c>
      <c r="C330" s="25">
        <f>IF(O330="","",IF(O330=0,"D",IF(O330&lt;0,"D"&amp;O330,"D+"&amp;O330)))</f>
        <v/>
      </c>
      <c r="D330" s="13" t="n"/>
      <c r="E330" s="11" t="n"/>
      <c r="F330" s="26" t="n"/>
      <c r="G330" s="13" t="n"/>
      <c r="H330" s="12">
        <f>IF(OR(B330="",O330=""),"",IF(O330&gt;0,IF(P330="Làm việc",WORKDAY(IFERROR(IF(INDEX(SK_D,MATCH(M330,SK_A,0))="",B330,INDEX(SK_D,MATCH(M330,SK_A,0))),B330),O330,HOLI),IFERROR(IF(INDEX(SK_D,MATCH(M330,SK_A,0))="",B330,INDEX(SK_D,MATCH(M330,SK_A,0))),B330)+O330),B330+O330))</f>
        <v/>
      </c>
      <c r="I330" s="13" t="n"/>
      <c r="J330" s="12" t="n"/>
      <c r="K330" s="11" t="n"/>
      <c r="L330" s="27">
        <f>IF(E330="","",IF(I330="Bỏ qua","—",IF(I330="Xong",IF(AND(ISNUMBER(J330),ISNUMBER(H330),J330&gt;H330),"Xong trễ","Xong"),IF(F330="","CHƯA GIAO","")&amp;IF(NOT(ISNUMBER(H330)),"",IF(TODAY()&gt;H330,IF(F330=""," · ","")&amp;"QUÁ HẠN "&amp;(TODAY()-H330)&amp;" ngày",IF(H330-TODAY()&lt;=3,IF(F330=""," · ","")&amp;"Đến hạn "&amp;IF(H330=TODAY(),"hôm nay","trong "&amp;(H330-TODAY())&amp;" ngày"),""))))))</f>
        <v/>
      </c>
      <c r="Q330">
        <f>IF(AND(E330&lt;&gt;"",R330="Có",I330&lt;&gt;"Xong",I330&lt;&gt;"Bỏ qua",ISNUMBER(H330)),H330+ROW()/100000,"")</f>
        <v/>
      </c>
      <c r="R330">
        <f>IF(M330="","",IFERROR(INDEX(SK_L,MATCH(M330,SK_A,0)),""))</f>
        <v/>
      </c>
    </row>
    <row r="331">
      <c r="A331" s="11">
        <f>IF(M331="","",IFERROR(INDEX(SK_B,MATCH(M331,SK_A,0))&amp;"",""))</f>
        <v/>
      </c>
      <c r="B331" s="24">
        <f>IF(M331="","",IFERROR(INDEX(SK_C,MATCH(M331,SK_A,0)),""))</f>
        <v/>
      </c>
      <c r="C331" s="25">
        <f>IF(O331="","",IF(O331=0,"D",IF(O331&lt;0,"D"&amp;O331,"D+"&amp;O331)))</f>
        <v/>
      </c>
      <c r="D331" s="13" t="n"/>
      <c r="E331" s="11" t="n"/>
      <c r="F331" s="26" t="n"/>
      <c r="G331" s="13" t="n"/>
      <c r="H331" s="12">
        <f>IF(OR(B331="",O331=""),"",IF(O331&gt;0,IF(P331="Làm việc",WORKDAY(IFERROR(IF(INDEX(SK_D,MATCH(M331,SK_A,0))="",B331,INDEX(SK_D,MATCH(M331,SK_A,0))),B331),O331,HOLI),IFERROR(IF(INDEX(SK_D,MATCH(M331,SK_A,0))="",B331,INDEX(SK_D,MATCH(M331,SK_A,0))),B331)+O331),B331+O331))</f>
        <v/>
      </c>
      <c r="I331" s="13" t="n"/>
      <c r="J331" s="12" t="n"/>
      <c r="K331" s="11" t="n"/>
      <c r="L331" s="27">
        <f>IF(E331="","",IF(I331="Bỏ qua","—",IF(I331="Xong",IF(AND(ISNUMBER(J331),ISNUMBER(H331),J331&gt;H331),"Xong trễ","Xong"),IF(F331="","CHƯA GIAO","")&amp;IF(NOT(ISNUMBER(H331)),"",IF(TODAY()&gt;H331,IF(F331=""," · ","")&amp;"QUÁ HẠN "&amp;(TODAY()-H331)&amp;" ngày",IF(H331-TODAY()&lt;=3,IF(F331=""," · ","")&amp;"Đến hạn "&amp;IF(H331=TODAY(),"hôm nay","trong "&amp;(H331-TODAY())&amp;" ngày"),""))))))</f>
        <v/>
      </c>
      <c r="Q331">
        <f>IF(AND(E331&lt;&gt;"",R331="Có",I331&lt;&gt;"Xong",I331&lt;&gt;"Bỏ qua",ISNUMBER(H331)),H331+ROW()/100000,"")</f>
        <v/>
      </c>
      <c r="R331">
        <f>IF(M331="","",IFERROR(INDEX(SK_L,MATCH(M331,SK_A,0)),""))</f>
        <v/>
      </c>
    </row>
    <row r="332">
      <c r="A332" s="11">
        <f>IF(M332="","",IFERROR(INDEX(SK_B,MATCH(M332,SK_A,0))&amp;"",""))</f>
        <v/>
      </c>
      <c r="B332" s="24">
        <f>IF(M332="","",IFERROR(INDEX(SK_C,MATCH(M332,SK_A,0)),""))</f>
        <v/>
      </c>
      <c r="C332" s="25">
        <f>IF(O332="","",IF(O332=0,"D",IF(O332&lt;0,"D"&amp;O332,"D+"&amp;O332)))</f>
        <v/>
      </c>
      <c r="D332" s="13" t="n"/>
      <c r="E332" s="11" t="n"/>
      <c r="F332" s="26" t="n"/>
      <c r="G332" s="13" t="n"/>
      <c r="H332" s="12">
        <f>IF(OR(B332="",O332=""),"",IF(O332&gt;0,IF(P332="Làm việc",WORKDAY(IFERROR(IF(INDEX(SK_D,MATCH(M332,SK_A,0))="",B332,INDEX(SK_D,MATCH(M332,SK_A,0))),B332),O332,HOLI),IFERROR(IF(INDEX(SK_D,MATCH(M332,SK_A,0))="",B332,INDEX(SK_D,MATCH(M332,SK_A,0))),B332)+O332),B332+O332))</f>
        <v/>
      </c>
      <c r="I332" s="13" t="n"/>
      <c r="J332" s="12" t="n"/>
      <c r="K332" s="11" t="n"/>
      <c r="L332" s="27">
        <f>IF(E332="","",IF(I332="Bỏ qua","—",IF(I332="Xong",IF(AND(ISNUMBER(J332),ISNUMBER(H332),J332&gt;H332),"Xong trễ","Xong"),IF(F332="","CHƯA GIAO","")&amp;IF(NOT(ISNUMBER(H332)),"",IF(TODAY()&gt;H332,IF(F332=""," · ","")&amp;"QUÁ HẠN "&amp;(TODAY()-H332)&amp;" ngày",IF(H332-TODAY()&lt;=3,IF(F332=""," · ","")&amp;"Đến hạn "&amp;IF(H332=TODAY(),"hôm nay","trong "&amp;(H332-TODAY())&amp;" ngày"),""))))))</f>
        <v/>
      </c>
      <c r="Q332">
        <f>IF(AND(E332&lt;&gt;"",R332="Có",I332&lt;&gt;"Xong",I332&lt;&gt;"Bỏ qua",ISNUMBER(H332)),H332+ROW()/100000,"")</f>
        <v/>
      </c>
      <c r="R332">
        <f>IF(M332="","",IFERROR(INDEX(SK_L,MATCH(M332,SK_A,0)),""))</f>
        <v/>
      </c>
    </row>
    <row r="333">
      <c r="A333" s="11">
        <f>IF(M333="","",IFERROR(INDEX(SK_B,MATCH(M333,SK_A,0))&amp;"",""))</f>
        <v/>
      </c>
      <c r="B333" s="24">
        <f>IF(M333="","",IFERROR(INDEX(SK_C,MATCH(M333,SK_A,0)),""))</f>
        <v/>
      </c>
      <c r="C333" s="25">
        <f>IF(O333="","",IF(O333=0,"D",IF(O333&lt;0,"D"&amp;O333,"D+"&amp;O333)))</f>
        <v/>
      </c>
      <c r="D333" s="13" t="n"/>
      <c r="E333" s="11" t="n"/>
      <c r="F333" s="26" t="n"/>
      <c r="G333" s="13" t="n"/>
      <c r="H333" s="12">
        <f>IF(OR(B333="",O333=""),"",IF(O333&gt;0,IF(P333="Làm việc",WORKDAY(IFERROR(IF(INDEX(SK_D,MATCH(M333,SK_A,0))="",B333,INDEX(SK_D,MATCH(M333,SK_A,0))),B333),O333,HOLI),IFERROR(IF(INDEX(SK_D,MATCH(M333,SK_A,0))="",B333,INDEX(SK_D,MATCH(M333,SK_A,0))),B333)+O333),B333+O333))</f>
        <v/>
      </c>
      <c r="I333" s="13" t="n"/>
      <c r="J333" s="12" t="n"/>
      <c r="K333" s="11" t="n"/>
      <c r="L333" s="27">
        <f>IF(E333="","",IF(I333="Bỏ qua","—",IF(I333="Xong",IF(AND(ISNUMBER(J333),ISNUMBER(H333),J333&gt;H333),"Xong trễ","Xong"),IF(F333="","CHƯA GIAO","")&amp;IF(NOT(ISNUMBER(H333)),"",IF(TODAY()&gt;H333,IF(F333=""," · ","")&amp;"QUÁ HẠN "&amp;(TODAY()-H333)&amp;" ngày",IF(H333-TODAY()&lt;=3,IF(F333=""," · ","")&amp;"Đến hạn "&amp;IF(H333=TODAY(),"hôm nay","trong "&amp;(H333-TODAY())&amp;" ngày"),""))))))</f>
        <v/>
      </c>
      <c r="Q333">
        <f>IF(AND(E333&lt;&gt;"",R333="Có",I333&lt;&gt;"Xong",I333&lt;&gt;"Bỏ qua",ISNUMBER(H333)),H333+ROW()/100000,"")</f>
        <v/>
      </c>
      <c r="R333">
        <f>IF(M333="","",IFERROR(INDEX(SK_L,MATCH(M333,SK_A,0)),""))</f>
        <v/>
      </c>
    </row>
    <row r="334">
      <c r="A334" s="11">
        <f>IF(M334="","",IFERROR(INDEX(SK_B,MATCH(M334,SK_A,0))&amp;"",""))</f>
        <v/>
      </c>
      <c r="B334" s="24">
        <f>IF(M334="","",IFERROR(INDEX(SK_C,MATCH(M334,SK_A,0)),""))</f>
        <v/>
      </c>
      <c r="C334" s="25">
        <f>IF(O334="","",IF(O334=0,"D",IF(O334&lt;0,"D"&amp;O334,"D+"&amp;O334)))</f>
        <v/>
      </c>
      <c r="D334" s="13" t="n"/>
      <c r="E334" s="11" t="n"/>
      <c r="F334" s="26" t="n"/>
      <c r="G334" s="13" t="n"/>
      <c r="H334" s="12">
        <f>IF(OR(B334="",O334=""),"",IF(O334&gt;0,IF(P334="Làm việc",WORKDAY(IFERROR(IF(INDEX(SK_D,MATCH(M334,SK_A,0))="",B334,INDEX(SK_D,MATCH(M334,SK_A,0))),B334),O334,HOLI),IFERROR(IF(INDEX(SK_D,MATCH(M334,SK_A,0))="",B334,INDEX(SK_D,MATCH(M334,SK_A,0))),B334)+O334),B334+O334))</f>
        <v/>
      </c>
      <c r="I334" s="13" t="n"/>
      <c r="J334" s="12" t="n"/>
      <c r="K334" s="11" t="n"/>
      <c r="L334" s="27">
        <f>IF(E334="","",IF(I334="Bỏ qua","—",IF(I334="Xong",IF(AND(ISNUMBER(J334),ISNUMBER(H334),J334&gt;H334),"Xong trễ","Xong"),IF(F334="","CHƯA GIAO","")&amp;IF(NOT(ISNUMBER(H334)),"",IF(TODAY()&gt;H334,IF(F334=""," · ","")&amp;"QUÁ HẠN "&amp;(TODAY()-H334)&amp;" ngày",IF(H334-TODAY()&lt;=3,IF(F334=""," · ","")&amp;"Đến hạn "&amp;IF(H334=TODAY(),"hôm nay","trong "&amp;(H334-TODAY())&amp;" ngày"),""))))))</f>
        <v/>
      </c>
      <c r="Q334">
        <f>IF(AND(E334&lt;&gt;"",R334="Có",I334&lt;&gt;"Xong",I334&lt;&gt;"Bỏ qua",ISNUMBER(H334)),H334+ROW()/100000,"")</f>
        <v/>
      </c>
      <c r="R334">
        <f>IF(M334="","",IFERROR(INDEX(SK_L,MATCH(M334,SK_A,0)),""))</f>
        <v/>
      </c>
    </row>
    <row r="335">
      <c r="A335" s="11">
        <f>IF(M335="","",IFERROR(INDEX(SK_B,MATCH(M335,SK_A,0))&amp;"",""))</f>
        <v/>
      </c>
      <c r="B335" s="24">
        <f>IF(M335="","",IFERROR(INDEX(SK_C,MATCH(M335,SK_A,0)),""))</f>
        <v/>
      </c>
      <c r="C335" s="25">
        <f>IF(O335="","",IF(O335=0,"D",IF(O335&lt;0,"D"&amp;O335,"D+"&amp;O335)))</f>
        <v/>
      </c>
      <c r="D335" s="13" t="n"/>
      <c r="E335" s="11" t="n"/>
      <c r="F335" s="26" t="n"/>
      <c r="G335" s="13" t="n"/>
      <c r="H335" s="12">
        <f>IF(OR(B335="",O335=""),"",IF(O335&gt;0,IF(P335="Làm việc",WORKDAY(IFERROR(IF(INDEX(SK_D,MATCH(M335,SK_A,0))="",B335,INDEX(SK_D,MATCH(M335,SK_A,0))),B335),O335,HOLI),IFERROR(IF(INDEX(SK_D,MATCH(M335,SK_A,0))="",B335,INDEX(SK_D,MATCH(M335,SK_A,0))),B335)+O335),B335+O335))</f>
        <v/>
      </c>
      <c r="I335" s="13" t="n"/>
      <c r="J335" s="12" t="n"/>
      <c r="K335" s="11" t="n"/>
      <c r="L335" s="27">
        <f>IF(E335="","",IF(I335="Bỏ qua","—",IF(I335="Xong",IF(AND(ISNUMBER(J335),ISNUMBER(H335),J335&gt;H335),"Xong trễ","Xong"),IF(F335="","CHƯA GIAO","")&amp;IF(NOT(ISNUMBER(H335)),"",IF(TODAY()&gt;H335,IF(F335=""," · ","")&amp;"QUÁ HẠN "&amp;(TODAY()-H335)&amp;" ngày",IF(H335-TODAY()&lt;=3,IF(F335=""," · ","")&amp;"Đến hạn "&amp;IF(H335=TODAY(),"hôm nay","trong "&amp;(H335-TODAY())&amp;" ngày"),""))))))</f>
        <v/>
      </c>
      <c r="Q335">
        <f>IF(AND(E335&lt;&gt;"",R335="Có",I335&lt;&gt;"Xong",I335&lt;&gt;"Bỏ qua",ISNUMBER(H335)),H335+ROW()/100000,"")</f>
        <v/>
      </c>
      <c r="R335">
        <f>IF(M335="","",IFERROR(INDEX(SK_L,MATCH(M335,SK_A,0)),""))</f>
        <v/>
      </c>
    </row>
    <row r="336">
      <c r="A336" s="11">
        <f>IF(M336="","",IFERROR(INDEX(SK_B,MATCH(M336,SK_A,0))&amp;"",""))</f>
        <v/>
      </c>
      <c r="B336" s="24">
        <f>IF(M336="","",IFERROR(INDEX(SK_C,MATCH(M336,SK_A,0)),""))</f>
        <v/>
      </c>
      <c r="C336" s="25">
        <f>IF(O336="","",IF(O336=0,"D",IF(O336&lt;0,"D"&amp;O336,"D+"&amp;O336)))</f>
        <v/>
      </c>
      <c r="D336" s="13" t="n"/>
      <c r="E336" s="11" t="n"/>
      <c r="F336" s="26" t="n"/>
      <c r="G336" s="13" t="n"/>
      <c r="H336" s="12">
        <f>IF(OR(B336="",O336=""),"",IF(O336&gt;0,IF(P336="Làm việc",WORKDAY(IFERROR(IF(INDEX(SK_D,MATCH(M336,SK_A,0))="",B336,INDEX(SK_D,MATCH(M336,SK_A,0))),B336),O336,HOLI),IFERROR(IF(INDEX(SK_D,MATCH(M336,SK_A,0))="",B336,INDEX(SK_D,MATCH(M336,SK_A,0))),B336)+O336),B336+O336))</f>
        <v/>
      </c>
      <c r="I336" s="13" t="n"/>
      <c r="J336" s="12" t="n"/>
      <c r="K336" s="11" t="n"/>
      <c r="L336" s="27">
        <f>IF(E336="","",IF(I336="Bỏ qua","—",IF(I336="Xong",IF(AND(ISNUMBER(J336),ISNUMBER(H336),J336&gt;H336),"Xong trễ","Xong"),IF(F336="","CHƯA GIAO","")&amp;IF(NOT(ISNUMBER(H336)),"",IF(TODAY()&gt;H336,IF(F336=""," · ","")&amp;"QUÁ HẠN "&amp;(TODAY()-H336)&amp;" ngày",IF(H336-TODAY()&lt;=3,IF(F336=""," · ","")&amp;"Đến hạn "&amp;IF(H336=TODAY(),"hôm nay","trong "&amp;(H336-TODAY())&amp;" ngày"),""))))))</f>
        <v/>
      </c>
      <c r="Q336">
        <f>IF(AND(E336&lt;&gt;"",R336="Có",I336&lt;&gt;"Xong",I336&lt;&gt;"Bỏ qua",ISNUMBER(H336)),H336+ROW()/100000,"")</f>
        <v/>
      </c>
      <c r="R336">
        <f>IF(M336="","",IFERROR(INDEX(SK_L,MATCH(M336,SK_A,0)),""))</f>
        <v/>
      </c>
    </row>
    <row r="337">
      <c r="A337" s="11">
        <f>IF(M337="","",IFERROR(INDEX(SK_B,MATCH(M337,SK_A,0))&amp;"",""))</f>
        <v/>
      </c>
      <c r="B337" s="24">
        <f>IF(M337="","",IFERROR(INDEX(SK_C,MATCH(M337,SK_A,0)),""))</f>
        <v/>
      </c>
      <c r="C337" s="25">
        <f>IF(O337="","",IF(O337=0,"D",IF(O337&lt;0,"D"&amp;O337,"D+"&amp;O337)))</f>
        <v/>
      </c>
      <c r="D337" s="13" t="n"/>
      <c r="E337" s="11" t="n"/>
      <c r="F337" s="26" t="n"/>
      <c r="G337" s="13" t="n"/>
      <c r="H337" s="12">
        <f>IF(OR(B337="",O337=""),"",IF(O337&gt;0,IF(P337="Làm việc",WORKDAY(IFERROR(IF(INDEX(SK_D,MATCH(M337,SK_A,0))="",B337,INDEX(SK_D,MATCH(M337,SK_A,0))),B337),O337,HOLI),IFERROR(IF(INDEX(SK_D,MATCH(M337,SK_A,0))="",B337,INDEX(SK_D,MATCH(M337,SK_A,0))),B337)+O337),B337+O337))</f>
        <v/>
      </c>
      <c r="I337" s="13" t="n"/>
      <c r="J337" s="12" t="n"/>
      <c r="K337" s="11" t="n"/>
      <c r="L337" s="27">
        <f>IF(E337="","",IF(I337="Bỏ qua","—",IF(I337="Xong",IF(AND(ISNUMBER(J337),ISNUMBER(H337),J337&gt;H337),"Xong trễ","Xong"),IF(F337="","CHƯA GIAO","")&amp;IF(NOT(ISNUMBER(H337)),"",IF(TODAY()&gt;H337,IF(F337=""," · ","")&amp;"QUÁ HẠN "&amp;(TODAY()-H337)&amp;" ngày",IF(H337-TODAY()&lt;=3,IF(F337=""," · ","")&amp;"Đến hạn "&amp;IF(H337=TODAY(),"hôm nay","trong "&amp;(H337-TODAY())&amp;" ngày"),""))))))</f>
        <v/>
      </c>
      <c r="Q337">
        <f>IF(AND(E337&lt;&gt;"",R337="Có",I337&lt;&gt;"Xong",I337&lt;&gt;"Bỏ qua",ISNUMBER(H337)),H337+ROW()/100000,"")</f>
        <v/>
      </c>
      <c r="R337">
        <f>IF(M337="","",IFERROR(INDEX(SK_L,MATCH(M337,SK_A,0)),""))</f>
        <v/>
      </c>
    </row>
    <row r="338">
      <c r="A338" s="11">
        <f>IF(M338="","",IFERROR(INDEX(SK_B,MATCH(M338,SK_A,0))&amp;"",""))</f>
        <v/>
      </c>
      <c r="B338" s="24">
        <f>IF(M338="","",IFERROR(INDEX(SK_C,MATCH(M338,SK_A,0)),""))</f>
        <v/>
      </c>
      <c r="C338" s="25">
        <f>IF(O338="","",IF(O338=0,"D",IF(O338&lt;0,"D"&amp;O338,"D+"&amp;O338)))</f>
        <v/>
      </c>
      <c r="D338" s="13" t="n"/>
      <c r="E338" s="11" t="n"/>
      <c r="F338" s="26" t="n"/>
      <c r="G338" s="13" t="n"/>
      <c r="H338" s="12">
        <f>IF(OR(B338="",O338=""),"",IF(O338&gt;0,IF(P338="Làm việc",WORKDAY(IFERROR(IF(INDEX(SK_D,MATCH(M338,SK_A,0))="",B338,INDEX(SK_D,MATCH(M338,SK_A,0))),B338),O338,HOLI),IFERROR(IF(INDEX(SK_D,MATCH(M338,SK_A,0))="",B338,INDEX(SK_D,MATCH(M338,SK_A,0))),B338)+O338),B338+O338))</f>
        <v/>
      </c>
      <c r="I338" s="13" t="n"/>
      <c r="J338" s="12" t="n"/>
      <c r="K338" s="11" t="n"/>
      <c r="L338" s="27">
        <f>IF(E338="","",IF(I338="Bỏ qua","—",IF(I338="Xong",IF(AND(ISNUMBER(J338),ISNUMBER(H338),J338&gt;H338),"Xong trễ","Xong"),IF(F338="","CHƯA GIAO","")&amp;IF(NOT(ISNUMBER(H338)),"",IF(TODAY()&gt;H338,IF(F338=""," · ","")&amp;"QUÁ HẠN "&amp;(TODAY()-H338)&amp;" ngày",IF(H338-TODAY()&lt;=3,IF(F338=""," · ","")&amp;"Đến hạn "&amp;IF(H338=TODAY(),"hôm nay","trong "&amp;(H338-TODAY())&amp;" ngày"),""))))))</f>
        <v/>
      </c>
      <c r="Q338">
        <f>IF(AND(E338&lt;&gt;"",R338="Có",I338&lt;&gt;"Xong",I338&lt;&gt;"Bỏ qua",ISNUMBER(H338)),H338+ROW()/100000,"")</f>
        <v/>
      </c>
      <c r="R338">
        <f>IF(M338="","",IFERROR(INDEX(SK_L,MATCH(M338,SK_A,0)),""))</f>
        <v/>
      </c>
    </row>
    <row r="339">
      <c r="A339" s="11">
        <f>IF(M339="","",IFERROR(INDEX(SK_B,MATCH(M339,SK_A,0))&amp;"",""))</f>
        <v/>
      </c>
      <c r="B339" s="24">
        <f>IF(M339="","",IFERROR(INDEX(SK_C,MATCH(M339,SK_A,0)),""))</f>
        <v/>
      </c>
      <c r="C339" s="25">
        <f>IF(O339="","",IF(O339=0,"D",IF(O339&lt;0,"D"&amp;O339,"D+"&amp;O339)))</f>
        <v/>
      </c>
      <c r="D339" s="13" t="n"/>
      <c r="E339" s="11" t="n"/>
      <c r="F339" s="26" t="n"/>
      <c r="G339" s="13" t="n"/>
      <c r="H339" s="12">
        <f>IF(OR(B339="",O339=""),"",IF(O339&gt;0,IF(P339="Làm việc",WORKDAY(IFERROR(IF(INDEX(SK_D,MATCH(M339,SK_A,0))="",B339,INDEX(SK_D,MATCH(M339,SK_A,0))),B339),O339,HOLI),IFERROR(IF(INDEX(SK_D,MATCH(M339,SK_A,0))="",B339,INDEX(SK_D,MATCH(M339,SK_A,0))),B339)+O339),B339+O339))</f>
        <v/>
      </c>
      <c r="I339" s="13" t="n"/>
      <c r="J339" s="12" t="n"/>
      <c r="K339" s="11" t="n"/>
      <c r="L339" s="27">
        <f>IF(E339="","",IF(I339="Bỏ qua","—",IF(I339="Xong",IF(AND(ISNUMBER(J339),ISNUMBER(H339),J339&gt;H339),"Xong trễ","Xong"),IF(F339="","CHƯA GIAO","")&amp;IF(NOT(ISNUMBER(H339)),"",IF(TODAY()&gt;H339,IF(F339=""," · ","")&amp;"QUÁ HẠN "&amp;(TODAY()-H339)&amp;" ngày",IF(H339-TODAY()&lt;=3,IF(F339=""," · ","")&amp;"Đến hạn "&amp;IF(H339=TODAY(),"hôm nay","trong "&amp;(H339-TODAY())&amp;" ngày"),""))))))</f>
        <v/>
      </c>
      <c r="Q339">
        <f>IF(AND(E339&lt;&gt;"",R339="Có",I339&lt;&gt;"Xong",I339&lt;&gt;"Bỏ qua",ISNUMBER(H339)),H339+ROW()/100000,"")</f>
        <v/>
      </c>
      <c r="R339">
        <f>IF(M339="","",IFERROR(INDEX(SK_L,MATCH(M339,SK_A,0)),""))</f>
        <v/>
      </c>
    </row>
    <row r="340">
      <c r="A340" s="11">
        <f>IF(M340="","",IFERROR(INDEX(SK_B,MATCH(M340,SK_A,0))&amp;"",""))</f>
        <v/>
      </c>
      <c r="B340" s="24">
        <f>IF(M340="","",IFERROR(INDEX(SK_C,MATCH(M340,SK_A,0)),""))</f>
        <v/>
      </c>
      <c r="C340" s="25">
        <f>IF(O340="","",IF(O340=0,"D",IF(O340&lt;0,"D"&amp;O340,"D+"&amp;O340)))</f>
        <v/>
      </c>
      <c r="D340" s="13" t="n"/>
      <c r="E340" s="11" t="n"/>
      <c r="F340" s="26" t="n"/>
      <c r="G340" s="13" t="n"/>
      <c r="H340" s="12">
        <f>IF(OR(B340="",O340=""),"",IF(O340&gt;0,IF(P340="Làm việc",WORKDAY(IFERROR(IF(INDEX(SK_D,MATCH(M340,SK_A,0))="",B340,INDEX(SK_D,MATCH(M340,SK_A,0))),B340),O340,HOLI),IFERROR(IF(INDEX(SK_D,MATCH(M340,SK_A,0))="",B340,INDEX(SK_D,MATCH(M340,SK_A,0))),B340)+O340),B340+O340))</f>
        <v/>
      </c>
      <c r="I340" s="13" t="n"/>
      <c r="J340" s="12" t="n"/>
      <c r="K340" s="11" t="n"/>
      <c r="L340" s="27">
        <f>IF(E340="","",IF(I340="Bỏ qua","—",IF(I340="Xong",IF(AND(ISNUMBER(J340),ISNUMBER(H340),J340&gt;H340),"Xong trễ","Xong"),IF(F340="","CHƯA GIAO","")&amp;IF(NOT(ISNUMBER(H340)),"",IF(TODAY()&gt;H340,IF(F340=""," · ","")&amp;"QUÁ HẠN "&amp;(TODAY()-H340)&amp;" ngày",IF(H340-TODAY()&lt;=3,IF(F340=""," · ","")&amp;"Đến hạn "&amp;IF(H340=TODAY(),"hôm nay","trong "&amp;(H340-TODAY())&amp;" ngày"),""))))))</f>
        <v/>
      </c>
      <c r="Q340">
        <f>IF(AND(E340&lt;&gt;"",R340="Có",I340&lt;&gt;"Xong",I340&lt;&gt;"Bỏ qua",ISNUMBER(H340)),H340+ROW()/100000,"")</f>
        <v/>
      </c>
      <c r="R340">
        <f>IF(M340="","",IFERROR(INDEX(SK_L,MATCH(M340,SK_A,0)),""))</f>
        <v/>
      </c>
    </row>
    <row r="341">
      <c r="A341" s="11">
        <f>IF(M341="","",IFERROR(INDEX(SK_B,MATCH(M341,SK_A,0))&amp;"",""))</f>
        <v/>
      </c>
      <c r="B341" s="24">
        <f>IF(M341="","",IFERROR(INDEX(SK_C,MATCH(M341,SK_A,0)),""))</f>
        <v/>
      </c>
      <c r="C341" s="25">
        <f>IF(O341="","",IF(O341=0,"D",IF(O341&lt;0,"D"&amp;O341,"D+"&amp;O341)))</f>
        <v/>
      </c>
      <c r="D341" s="13" t="n"/>
      <c r="E341" s="11" t="n"/>
      <c r="F341" s="26" t="n"/>
      <c r="G341" s="13" t="n"/>
      <c r="H341" s="12">
        <f>IF(OR(B341="",O341=""),"",IF(O341&gt;0,IF(P341="Làm việc",WORKDAY(IFERROR(IF(INDEX(SK_D,MATCH(M341,SK_A,0))="",B341,INDEX(SK_D,MATCH(M341,SK_A,0))),B341),O341,HOLI),IFERROR(IF(INDEX(SK_D,MATCH(M341,SK_A,0))="",B341,INDEX(SK_D,MATCH(M341,SK_A,0))),B341)+O341),B341+O341))</f>
        <v/>
      </c>
      <c r="I341" s="13" t="n"/>
      <c r="J341" s="12" t="n"/>
      <c r="K341" s="11" t="n"/>
      <c r="L341" s="27">
        <f>IF(E341="","",IF(I341="Bỏ qua","—",IF(I341="Xong",IF(AND(ISNUMBER(J341),ISNUMBER(H341),J341&gt;H341),"Xong trễ","Xong"),IF(F341="","CHƯA GIAO","")&amp;IF(NOT(ISNUMBER(H341)),"",IF(TODAY()&gt;H341,IF(F341=""," · ","")&amp;"QUÁ HẠN "&amp;(TODAY()-H341)&amp;" ngày",IF(H341-TODAY()&lt;=3,IF(F341=""," · ","")&amp;"Đến hạn "&amp;IF(H341=TODAY(),"hôm nay","trong "&amp;(H341-TODAY())&amp;" ngày"),""))))))</f>
        <v/>
      </c>
      <c r="Q341">
        <f>IF(AND(E341&lt;&gt;"",R341="Có",I341&lt;&gt;"Xong",I341&lt;&gt;"Bỏ qua",ISNUMBER(H341)),H341+ROW()/100000,"")</f>
        <v/>
      </c>
      <c r="R341">
        <f>IF(M341="","",IFERROR(INDEX(SK_L,MATCH(M341,SK_A,0)),""))</f>
        <v/>
      </c>
    </row>
    <row r="342">
      <c r="A342" s="11">
        <f>IF(M342="","",IFERROR(INDEX(SK_B,MATCH(M342,SK_A,0))&amp;"",""))</f>
        <v/>
      </c>
      <c r="B342" s="24">
        <f>IF(M342="","",IFERROR(INDEX(SK_C,MATCH(M342,SK_A,0)),""))</f>
        <v/>
      </c>
      <c r="C342" s="25">
        <f>IF(O342="","",IF(O342=0,"D",IF(O342&lt;0,"D"&amp;O342,"D+"&amp;O342)))</f>
        <v/>
      </c>
      <c r="D342" s="13" t="n"/>
      <c r="E342" s="11" t="n"/>
      <c r="F342" s="26" t="n"/>
      <c r="G342" s="13" t="n"/>
      <c r="H342" s="12">
        <f>IF(OR(B342="",O342=""),"",IF(O342&gt;0,IF(P342="Làm việc",WORKDAY(IFERROR(IF(INDEX(SK_D,MATCH(M342,SK_A,0))="",B342,INDEX(SK_D,MATCH(M342,SK_A,0))),B342),O342,HOLI),IFERROR(IF(INDEX(SK_D,MATCH(M342,SK_A,0))="",B342,INDEX(SK_D,MATCH(M342,SK_A,0))),B342)+O342),B342+O342))</f>
        <v/>
      </c>
      <c r="I342" s="13" t="n"/>
      <c r="J342" s="12" t="n"/>
      <c r="K342" s="11" t="n"/>
      <c r="L342" s="27">
        <f>IF(E342="","",IF(I342="Bỏ qua","—",IF(I342="Xong",IF(AND(ISNUMBER(J342),ISNUMBER(H342),J342&gt;H342),"Xong trễ","Xong"),IF(F342="","CHƯA GIAO","")&amp;IF(NOT(ISNUMBER(H342)),"",IF(TODAY()&gt;H342,IF(F342=""," · ","")&amp;"QUÁ HẠN "&amp;(TODAY()-H342)&amp;" ngày",IF(H342-TODAY()&lt;=3,IF(F342=""," · ","")&amp;"Đến hạn "&amp;IF(H342=TODAY(),"hôm nay","trong "&amp;(H342-TODAY())&amp;" ngày"),""))))))</f>
        <v/>
      </c>
      <c r="Q342">
        <f>IF(AND(E342&lt;&gt;"",R342="Có",I342&lt;&gt;"Xong",I342&lt;&gt;"Bỏ qua",ISNUMBER(H342)),H342+ROW()/100000,"")</f>
        <v/>
      </c>
      <c r="R342">
        <f>IF(M342="","",IFERROR(INDEX(SK_L,MATCH(M342,SK_A,0)),""))</f>
        <v/>
      </c>
    </row>
    <row r="343">
      <c r="A343" s="11">
        <f>IF(M343="","",IFERROR(INDEX(SK_B,MATCH(M343,SK_A,0))&amp;"",""))</f>
        <v/>
      </c>
      <c r="B343" s="24">
        <f>IF(M343="","",IFERROR(INDEX(SK_C,MATCH(M343,SK_A,0)),""))</f>
        <v/>
      </c>
      <c r="C343" s="25">
        <f>IF(O343="","",IF(O343=0,"D",IF(O343&lt;0,"D"&amp;O343,"D+"&amp;O343)))</f>
        <v/>
      </c>
      <c r="D343" s="13" t="n"/>
      <c r="E343" s="11" t="n"/>
      <c r="F343" s="26" t="n"/>
      <c r="G343" s="13" t="n"/>
      <c r="H343" s="12">
        <f>IF(OR(B343="",O343=""),"",IF(O343&gt;0,IF(P343="Làm việc",WORKDAY(IFERROR(IF(INDEX(SK_D,MATCH(M343,SK_A,0))="",B343,INDEX(SK_D,MATCH(M343,SK_A,0))),B343),O343,HOLI),IFERROR(IF(INDEX(SK_D,MATCH(M343,SK_A,0))="",B343,INDEX(SK_D,MATCH(M343,SK_A,0))),B343)+O343),B343+O343))</f>
        <v/>
      </c>
      <c r="I343" s="13" t="n"/>
      <c r="J343" s="12" t="n"/>
      <c r="K343" s="11" t="n"/>
      <c r="L343" s="27">
        <f>IF(E343="","",IF(I343="Bỏ qua","—",IF(I343="Xong",IF(AND(ISNUMBER(J343),ISNUMBER(H343),J343&gt;H343),"Xong trễ","Xong"),IF(F343="","CHƯA GIAO","")&amp;IF(NOT(ISNUMBER(H343)),"",IF(TODAY()&gt;H343,IF(F343=""," · ","")&amp;"QUÁ HẠN "&amp;(TODAY()-H343)&amp;" ngày",IF(H343-TODAY()&lt;=3,IF(F343=""," · ","")&amp;"Đến hạn "&amp;IF(H343=TODAY(),"hôm nay","trong "&amp;(H343-TODAY())&amp;" ngày"),""))))))</f>
        <v/>
      </c>
      <c r="Q343">
        <f>IF(AND(E343&lt;&gt;"",R343="Có",I343&lt;&gt;"Xong",I343&lt;&gt;"Bỏ qua",ISNUMBER(H343)),H343+ROW()/100000,"")</f>
        <v/>
      </c>
      <c r="R343">
        <f>IF(M343="","",IFERROR(INDEX(SK_L,MATCH(M343,SK_A,0)),""))</f>
        <v/>
      </c>
    </row>
    <row r="344">
      <c r="A344" s="11">
        <f>IF(M344="","",IFERROR(INDEX(SK_B,MATCH(M344,SK_A,0))&amp;"",""))</f>
        <v/>
      </c>
      <c r="B344" s="24">
        <f>IF(M344="","",IFERROR(INDEX(SK_C,MATCH(M344,SK_A,0)),""))</f>
        <v/>
      </c>
      <c r="C344" s="25">
        <f>IF(O344="","",IF(O344=0,"D",IF(O344&lt;0,"D"&amp;O344,"D+"&amp;O344)))</f>
        <v/>
      </c>
      <c r="D344" s="13" t="n"/>
      <c r="E344" s="11" t="n"/>
      <c r="F344" s="26" t="n"/>
      <c r="G344" s="13" t="n"/>
      <c r="H344" s="12">
        <f>IF(OR(B344="",O344=""),"",IF(O344&gt;0,IF(P344="Làm việc",WORKDAY(IFERROR(IF(INDEX(SK_D,MATCH(M344,SK_A,0))="",B344,INDEX(SK_D,MATCH(M344,SK_A,0))),B344),O344,HOLI),IFERROR(IF(INDEX(SK_D,MATCH(M344,SK_A,0))="",B344,INDEX(SK_D,MATCH(M344,SK_A,0))),B344)+O344),B344+O344))</f>
        <v/>
      </c>
      <c r="I344" s="13" t="n"/>
      <c r="J344" s="12" t="n"/>
      <c r="K344" s="11" t="n"/>
      <c r="L344" s="27">
        <f>IF(E344="","",IF(I344="Bỏ qua","—",IF(I344="Xong",IF(AND(ISNUMBER(J344),ISNUMBER(H344),J344&gt;H344),"Xong trễ","Xong"),IF(F344="","CHƯA GIAO","")&amp;IF(NOT(ISNUMBER(H344)),"",IF(TODAY()&gt;H344,IF(F344=""," · ","")&amp;"QUÁ HẠN "&amp;(TODAY()-H344)&amp;" ngày",IF(H344-TODAY()&lt;=3,IF(F344=""," · ","")&amp;"Đến hạn "&amp;IF(H344=TODAY(),"hôm nay","trong "&amp;(H344-TODAY())&amp;" ngày"),""))))))</f>
        <v/>
      </c>
      <c r="Q344">
        <f>IF(AND(E344&lt;&gt;"",R344="Có",I344&lt;&gt;"Xong",I344&lt;&gt;"Bỏ qua",ISNUMBER(H344)),H344+ROW()/100000,"")</f>
        <v/>
      </c>
      <c r="R344">
        <f>IF(M344="","",IFERROR(INDEX(SK_L,MATCH(M344,SK_A,0)),""))</f>
        <v/>
      </c>
    </row>
    <row r="345">
      <c r="A345" s="11">
        <f>IF(M345="","",IFERROR(INDEX(SK_B,MATCH(M345,SK_A,0))&amp;"",""))</f>
        <v/>
      </c>
      <c r="B345" s="24">
        <f>IF(M345="","",IFERROR(INDEX(SK_C,MATCH(M345,SK_A,0)),""))</f>
        <v/>
      </c>
      <c r="C345" s="25">
        <f>IF(O345="","",IF(O345=0,"D",IF(O345&lt;0,"D"&amp;O345,"D+"&amp;O345)))</f>
        <v/>
      </c>
      <c r="D345" s="13" t="n"/>
      <c r="E345" s="11" t="n"/>
      <c r="F345" s="26" t="n"/>
      <c r="G345" s="13" t="n"/>
      <c r="H345" s="12">
        <f>IF(OR(B345="",O345=""),"",IF(O345&gt;0,IF(P345="Làm việc",WORKDAY(IFERROR(IF(INDEX(SK_D,MATCH(M345,SK_A,0))="",B345,INDEX(SK_D,MATCH(M345,SK_A,0))),B345),O345,HOLI),IFERROR(IF(INDEX(SK_D,MATCH(M345,SK_A,0))="",B345,INDEX(SK_D,MATCH(M345,SK_A,0))),B345)+O345),B345+O345))</f>
        <v/>
      </c>
      <c r="I345" s="13" t="n"/>
      <c r="J345" s="12" t="n"/>
      <c r="K345" s="11" t="n"/>
      <c r="L345" s="27">
        <f>IF(E345="","",IF(I345="Bỏ qua","—",IF(I345="Xong",IF(AND(ISNUMBER(J345),ISNUMBER(H345),J345&gt;H345),"Xong trễ","Xong"),IF(F345="","CHƯA GIAO","")&amp;IF(NOT(ISNUMBER(H345)),"",IF(TODAY()&gt;H345,IF(F345=""," · ","")&amp;"QUÁ HẠN "&amp;(TODAY()-H345)&amp;" ngày",IF(H345-TODAY()&lt;=3,IF(F345=""," · ","")&amp;"Đến hạn "&amp;IF(H345=TODAY(),"hôm nay","trong "&amp;(H345-TODAY())&amp;" ngày"),""))))))</f>
        <v/>
      </c>
      <c r="Q345">
        <f>IF(AND(E345&lt;&gt;"",R345="Có",I345&lt;&gt;"Xong",I345&lt;&gt;"Bỏ qua",ISNUMBER(H345)),H345+ROW()/100000,"")</f>
        <v/>
      </c>
      <c r="R345">
        <f>IF(M345="","",IFERROR(INDEX(SK_L,MATCH(M345,SK_A,0)),""))</f>
        <v/>
      </c>
    </row>
    <row r="346">
      <c r="A346" s="11">
        <f>IF(M346="","",IFERROR(INDEX(SK_B,MATCH(M346,SK_A,0))&amp;"",""))</f>
        <v/>
      </c>
      <c r="B346" s="24">
        <f>IF(M346="","",IFERROR(INDEX(SK_C,MATCH(M346,SK_A,0)),""))</f>
        <v/>
      </c>
      <c r="C346" s="25">
        <f>IF(O346="","",IF(O346=0,"D",IF(O346&lt;0,"D"&amp;O346,"D+"&amp;O346)))</f>
        <v/>
      </c>
      <c r="D346" s="13" t="n"/>
      <c r="E346" s="11" t="n"/>
      <c r="F346" s="26" t="n"/>
      <c r="G346" s="13" t="n"/>
      <c r="H346" s="12">
        <f>IF(OR(B346="",O346=""),"",IF(O346&gt;0,IF(P346="Làm việc",WORKDAY(IFERROR(IF(INDEX(SK_D,MATCH(M346,SK_A,0))="",B346,INDEX(SK_D,MATCH(M346,SK_A,0))),B346),O346,HOLI),IFERROR(IF(INDEX(SK_D,MATCH(M346,SK_A,0))="",B346,INDEX(SK_D,MATCH(M346,SK_A,0))),B346)+O346),B346+O346))</f>
        <v/>
      </c>
      <c r="I346" s="13" t="n"/>
      <c r="J346" s="12" t="n"/>
      <c r="K346" s="11" t="n"/>
      <c r="L346" s="27">
        <f>IF(E346="","",IF(I346="Bỏ qua","—",IF(I346="Xong",IF(AND(ISNUMBER(J346),ISNUMBER(H346),J346&gt;H346),"Xong trễ","Xong"),IF(F346="","CHƯA GIAO","")&amp;IF(NOT(ISNUMBER(H346)),"",IF(TODAY()&gt;H346,IF(F346=""," · ","")&amp;"QUÁ HẠN "&amp;(TODAY()-H346)&amp;" ngày",IF(H346-TODAY()&lt;=3,IF(F346=""," · ","")&amp;"Đến hạn "&amp;IF(H346=TODAY(),"hôm nay","trong "&amp;(H346-TODAY())&amp;" ngày"),""))))))</f>
        <v/>
      </c>
      <c r="Q346">
        <f>IF(AND(E346&lt;&gt;"",R346="Có",I346&lt;&gt;"Xong",I346&lt;&gt;"Bỏ qua",ISNUMBER(H346)),H346+ROW()/100000,"")</f>
        <v/>
      </c>
      <c r="R346">
        <f>IF(M346="","",IFERROR(INDEX(SK_L,MATCH(M346,SK_A,0)),""))</f>
        <v/>
      </c>
    </row>
    <row r="347">
      <c r="A347" s="11">
        <f>IF(M347="","",IFERROR(INDEX(SK_B,MATCH(M347,SK_A,0))&amp;"",""))</f>
        <v/>
      </c>
      <c r="B347" s="24">
        <f>IF(M347="","",IFERROR(INDEX(SK_C,MATCH(M347,SK_A,0)),""))</f>
        <v/>
      </c>
      <c r="C347" s="25">
        <f>IF(O347="","",IF(O347=0,"D",IF(O347&lt;0,"D"&amp;O347,"D+"&amp;O347)))</f>
        <v/>
      </c>
      <c r="D347" s="13" t="n"/>
      <c r="E347" s="11" t="n"/>
      <c r="F347" s="26" t="n"/>
      <c r="G347" s="13" t="n"/>
      <c r="H347" s="12">
        <f>IF(OR(B347="",O347=""),"",IF(O347&gt;0,IF(P347="Làm việc",WORKDAY(IFERROR(IF(INDEX(SK_D,MATCH(M347,SK_A,0))="",B347,INDEX(SK_D,MATCH(M347,SK_A,0))),B347),O347,HOLI),IFERROR(IF(INDEX(SK_D,MATCH(M347,SK_A,0))="",B347,INDEX(SK_D,MATCH(M347,SK_A,0))),B347)+O347),B347+O347))</f>
        <v/>
      </c>
      <c r="I347" s="13" t="n"/>
      <c r="J347" s="12" t="n"/>
      <c r="K347" s="11" t="n"/>
      <c r="L347" s="27">
        <f>IF(E347="","",IF(I347="Bỏ qua","—",IF(I347="Xong",IF(AND(ISNUMBER(J347),ISNUMBER(H347),J347&gt;H347),"Xong trễ","Xong"),IF(F347="","CHƯA GIAO","")&amp;IF(NOT(ISNUMBER(H347)),"",IF(TODAY()&gt;H347,IF(F347=""," · ","")&amp;"QUÁ HẠN "&amp;(TODAY()-H347)&amp;" ngày",IF(H347-TODAY()&lt;=3,IF(F347=""," · ","")&amp;"Đến hạn "&amp;IF(H347=TODAY(),"hôm nay","trong "&amp;(H347-TODAY())&amp;" ngày"),""))))))</f>
        <v/>
      </c>
      <c r="Q347">
        <f>IF(AND(E347&lt;&gt;"",R347="Có",I347&lt;&gt;"Xong",I347&lt;&gt;"Bỏ qua",ISNUMBER(H347)),H347+ROW()/100000,"")</f>
        <v/>
      </c>
      <c r="R347">
        <f>IF(M347="","",IFERROR(INDEX(SK_L,MATCH(M347,SK_A,0)),""))</f>
        <v/>
      </c>
    </row>
    <row r="348">
      <c r="A348" s="11">
        <f>IF(M348="","",IFERROR(INDEX(SK_B,MATCH(M348,SK_A,0))&amp;"",""))</f>
        <v/>
      </c>
      <c r="B348" s="24">
        <f>IF(M348="","",IFERROR(INDEX(SK_C,MATCH(M348,SK_A,0)),""))</f>
        <v/>
      </c>
      <c r="C348" s="25">
        <f>IF(O348="","",IF(O348=0,"D",IF(O348&lt;0,"D"&amp;O348,"D+"&amp;O348)))</f>
        <v/>
      </c>
      <c r="D348" s="13" t="n"/>
      <c r="E348" s="11" t="n"/>
      <c r="F348" s="26" t="n"/>
      <c r="G348" s="13" t="n"/>
      <c r="H348" s="12">
        <f>IF(OR(B348="",O348=""),"",IF(O348&gt;0,IF(P348="Làm việc",WORKDAY(IFERROR(IF(INDEX(SK_D,MATCH(M348,SK_A,0))="",B348,INDEX(SK_D,MATCH(M348,SK_A,0))),B348),O348,HOLI),IFERROR(IF(INDEX(SK_D,MATCH(M348,SK_A,0))="",B348,INDEX(SK_D,MATCH(M348,SK_A,0))),B348)+O348),B348+O348))</f>
        <v/>
      </c>
      <c r="I348" s="13" t="n"/>
      <c r="J348" s="12" t="n"/>
      <c r="K348" s="11" t="n"/>
      <c r="L348" s="27">
        <f>IF(E348="","",IF(I348="Bỏ qua","—",IF(I348="Xong",IF(AND(ISNUMBER(J348),ISNUMBER(H348),J348&gt;H348),"Xong trễ","Xong"),IF(F348="","CHƯA GIAO","")&amp;IF(NOT(ISNUMBER(H348)),"",IF(TODAY()&gt;H348,IF(F348=""," · ","")&amp;"QUÁ HẠN "&amp;(TODAY()-H348)&amp;" ngày",IF(H348-TODAY()&lt;=3,IF(F348=""," · ","")&amp;"Đến hạn "&amp;IF(H348=TODAY(),"hôm nay","trong "&amp;(H348-TODAY())&amp;" ngày"),""))))))</f>
        <v/>
      </c>
      <c r="Q348">
        <f>IF(AND(E348&lt;&gt;"",R348="Có",I348&lt;&gt;"Xong",I348&lt;&gt;"Bỏ qua",ISNUMBER(H348)),H348+ROW()/100000,"")</f>
        <v/>
      </c>
      <c r="R348">
        <f>IF(M348="","",IFERROR(INDEX(SK_L,MATCH(M348,SK_A,0)),""))</f>
        <v/>
      </c>
    </row>
    <row r="349">
      <c r="A349" s="11">
        <f>IF(M349="","",IFERROR(INDEX(SK_B,MATCH(M349,SK_A,0))&amp;"",""))</f>
        <v/>
      </c>
      <c r="B349" s="24">
        <f>IF(M349="","",IFERROR(INDEX(SK_C,MATCH(M349,SK_A,0)),""))</f>
        <v/>
      </c>
      <c r="C349" s="25">
        <f>IF(O349="","",IF(O349=0,"D",IF(O349&lt;0,"D"&amp;O349,"D+"&amp;O349)))</f>
        <v/>
      </c>
      <c r="D349" s="13" t="n"/>
      <c r="E349" s="11" t="n"/>
      <c r="F349" s="26" t="n"/>
      <c r="G349" s="13" t="n"/>
      <c r="H349" s="12">
        <f>IF(OR(B349="",O349=""),"",IF(O349&gt;0,IF(P349="Làm việc",WORKDAY(IFERROR(IF(INDEX(SK_D,MATCH(M349,SK_A,0))="",B349,INDEX(SK_D,MATCH(M349,SK_A,0))),B349),O349,HOLI),IFERROR(IF(INDEX(SK_D,MATCH(M349,SK_A,0))="",B349,INDEX(SK_D,MATCH(M349,SK_A,0))),B349)+O349),B349+O349))</f>
        <v/>
      </c>
      <c r="I349" s="13" t="n"/>
      <c r="J349" s="12" t="n"/>
      <c r="K349" s="11" t="n"/>
      <c r="L349" s="27">
        <f>IF(E349="","",IF(I349="Bỏ qua","—",IF(I349="Xong",IF(AND(ISNUMBER(J349),ISNUMBER(H349),J349&gt;H349),"Xong trễ","Xong"),IF(F349="","CHƯA GIAO","")&amp;IF(NOT(ISNUMBER(H349)),"",IF(TODAY()&gt;H349,IF(F349=""," · ","")&amp;"QUÁ HẠN "&amp;(TODAY()-H349)&amp;" ngày",IF(H349-TODAY()&lt;=3,IF(F349=""," · ","")&amp;"Đến hạn "&amp;IF(H349=TODAY(),"hôm nay","trong "&amp;(H349-TODAY())&amp;" ngày"),""))))))</f>
        <v/>
      </c>
      <c r="Q349">
        <f>IF(AND(E349&lt;&gt;"",R349="Có",I349&lt;&gt;"Xong",I349&lt;&gt;"Bỏ qua",ISNUMBER(H349)),H349+ROW()/100000,"")</f>
        <v/>
      </c>
      <c r="R349">
        <f>IF(M349="","",IFERROR(INDEX(SK_L,MATCH(M349,SK_A,0)),""))</f>
        <v/>
      </c>
    </row>
    <row r="350">
      <c r="A350" s="11">
        <f>IF(M350="","",IFERROR(INDEX(SK_B,MATCH(M350,SK_A,0))&amp;"",""))</f>
        <v/>
      </c>
      <c r="B350" s="24">
        <f>IF(M350="","",IFERROR(INDEX(SK_C,MATCH(M350,SK_A,0)),""))</f>
        <v/>
      </c>
      <c r="C350" s="25">
        <f>IF(O350="","",IF(O350=0,"D",IF(O350&lt;0,"D"&amp;O350,"D+"&amp;O350)))</f>
        <v/>
      </c>
      <c r="D350" s="13" t="n"/>
      <c r="E350" s="11" t="n"/>
      <c r="F350" s="26" t="n"/>
      <c r="G350" s="13" t="n"/>
      <c r="H350" s="12">
        <f>IF(OR(B350="",O350=""),"",IF(O350&gt;0,IF(P350="Làm việc",WORKDAY(IFERROR(IF(INDEX(SK_D,MATCH(M350,SK_A,0))="",B350,INDEX(SK_D,MATCH(M350,SK_A,0))),B350),O350,HOLI),IFERROR(IF(INDEX(SK_D,MATCH(M350,SK_A,0))="",B350,INDEX(SK_D,MATCH(M350,SK_A,0))),B350)+O350),B350+O350))</f>
        <v/>
      </c>
      <c r="I350" s="13" t="n"/>
      <c r="J350" s="12" t="n"/>
      <c r="K350" s="11" t="n"/>
      <c r="L350" s="27">
        <f>IF(E350="","",IF(I350="Bỏ qua","—",IF(I350="Xong",IF(AND(ISNUMBER(J350),ISNUMBER(H350),J350&gt;H350),"Xong trễ","Xong"),IF(F350="","CHƯA GIAO","")&amp;IF(NOT(ISNUMBER(H350)),"",IF(TODAY()&gt;H350,IF(F350=""," · ","")&amp;"QUÁ HẠN "&amp;(TODAY()-H350)&amp;" ngày",IF(H350-TODAY()&lt;=3,IF(F350=""," · ","")&amp;"Đến hạn "&amp;IF(H350=TODAY(),"hôm nay","trong "&amp;(H350-TODAY())&amp;" ngày"),""))))))</f>
        <v/>
      </c>
      <c r="Q350">
        <f>IF(AND(E350&lt;&gt;"",R350="Có",I350&lt;&gt;"Xong",I350&lt;&gt;"Bỏ qua",ISNUMBER(H350)),H350+ROW()/100000,"")</f>
        <v/>
      </c>
      <c r="R350">
        <f>IF(M350="","",IFERROR(INDEX(SK_L,MATCH(M350,SK_A,0)),""))</f>
        <v/>
      </c>
    </row>
    <row r="351">
      <c r="A351" s="11">
        <f>IF(M351="","",IFERROR(INDEX(SK_B,MATCH(M351,SK_A,0))&amp;"",""))</f>
        <v/>
      </c>
      <c r="B351" s="24">
        <f>IF(M351="","",IFERROR(INDEX(SK_C,MATCH(M351,SK_A,0)),""))</f>
        <v/>
      </c>
      <c r="C351" s="25">
        <f>IF(O351="","",IF(O351=0,"D",IF(O351&lt;0,"D"&amp;O351,"D+"&amp;O351)))</f>
        <v/>
      </c>
      <c r="D351" s="13" t="n"/>
      <c r="E351" s="11" t="n"/>
      <c r="F351" s="26" t="n"/>
      <c r="G351" s="13" t="n"/>
      <c r="H351" s="12">
        <f>IF(OR(B351="",O351=""),"",IF(O351&gt;0,IF(P351="Làm việc",WORKDAY(IFERROR(IF(INDEX(SK_D,MATCH(M351,SK_A,0))="",B351,INDEX(SK_D,MATCH(M351,SK_A,0))),B351),O351,HOLI),IFERROR(IF(INDEX(SK_D,MATCH(M351,SK_A,0))="",B351,INDEX(SK_D,MATCH(M351,SK_A,0))),B351)+O351),B351+O351))</f>
        <v/>
      </c>
      <c r="I351" s="13" t="n"/>
      <c r="J351" s="12" t="n"/>
      <c r="K351" s="11" t="n"/>
      <c r="L351" s="27">
        <f>IF(E351="","",IF(I351="Bỏ qua","—",IF(I351="Xong",IF(AND(ISNUMBER(J351),ISNUMBER(H351),J351&gt;H351),"Xong trễ","Xong"),IF(F351="","CHƯA GIAO","")&amp;IF(NOT(ISNUMBER(H351)),"",IF(TODAY()&gt;H351,IF(F351=""," · ","")&amp;"QUÁ HẠN "&amp;(TODAY()-H351)&amp;" ngày",IF(H351-TODAY()&lt;=3,IF(F351=""," · ","")&amp;"Đến hạn "&amp;IF(H351=TODAY(),"hôm nay","trong "&amp;(H351-TODAY())&amp;" ngày"),""))))))</f>
        <v/>
      </c>
      <c r="Q351">
        <f>IF(AND(E351&lt;&gt;"",R351="Có",I351&lt;&gt;"Xong",I351&lt;&gt;"Bỏ qua",ISNUMBER(H351)),H351+ROW()/100000,"")</f>
        <v/>
      </c>
      <c r="R351">
        <f>IF(M351="","",IFERROR(INDEX(SK_L,MATCH(M351,SK_A,0)),""))</f>
        <v/>
      </c>
    </row>
    <row r="352">
      <c r="A352" s="11">
        <f>IF(M352="","",IFERROR(INDEX(SK_B,MATCH(M352,SK_A,0))&amp;"",""))</f>
        <v/>
      </c>
      <c r="B352" s="24">
        <f>IF(M352="","",IFERROR(INDEX(SK_C,MATCH(M352,SK_A,0)),""))</f>
        <v/>
      </c>
      <c r="C352" s="25">
        <f>IF(O352="","",IF(O352=0,"D",IF(O352&lt;0,"D"&amp;O352,"D+"&amp;O352)))</f>
        <v/>
      </c>
      <c r="D352" s="13" t="n"/>
      <c r="E352" s="11" t="n"/>
      <c r="F352" s="26" t="n"/>
      <c r="G352" s="13" t="n"/>
      <c r="H352" s="12">
        <f>IF(OR(B352="",O352=""),"",IF(O352&gt;0,IF(P352="Làm việc",WORKDAY(IFERROR(IF(INDEX(SK_D,MATCH(M352,SK_A,0))="",B352,INDEX(SK_D,MATCH(M352,SK_A,0))),B352),O352,HOLI),IFERROR(IF(INDEX(SK_D,MATCH(M352,SK_A,0))="",B352,INDEX(SK_D,MATCH(M352,SK_A,0))),B352)+O352),B352+O352))</f>
        <v/>
      </c>
      <c r="I352" s="13" t="n"/>
      <c r="J352" s="12" t="n"/>
      <c r="K352" s="11" t="n"/>
      <c r="L352" s="27">
        <f>IF(E352="","",IF(I352="Bỏ qua","—",IF(I352="Xong",IF(AND(ISNUMBER(J352),ISNUMBER(H352),J352&gt;H352),"Xong trễ","Xong"),IF(F352="","CHƯA GIAO","")&amp;IF(NOT(ISNUMBER(H352)),"",IF(TODAY()&gt;H352,IF(F352=""," · ","")&amp;"QUÁ HẠN "&amp;(TODAY()-H352)&amp;" ngày",IF(H352-TODAY()&lt;=3,IF(F352=""," · ","")&amp;"Đến hạn "&amp;IF(H352=TODAY(),"hôm nay","trong "&amp;(H352-TODAY())&amp;" ngày"),""))))))</f>
        <v/>
      </c>
      <c r="Q352">
        <f>IF(AND(E352&lt;&gt;"",R352="Có",I352&lt;&gt;"Xong",I352&lt;&gt;"Bỏ qua",ISNUMBER(H352)),H352+ROW()/100000,"")</f>
        <v/>
      </c>
      <c r="R352">
        <f>IF(M352="","",IFERROR(INDEX(SK_L,MATCH(M352,SK_A,0)),""))</f>
        <v/>
      </c>
    </row>
    <row r="353">
      <c r="A353" s="11">
        <f>IF(M353="","",IFERROR(INDEX(SK_B,MATCH(M353,SK_A,0))&amp;"",""))</f>
        <v/>
      </c>
      <c r="B353" s="24">
        <f>IF(M353="","",IFERROR(INDEX(SK_C,MATCH(M353,SK_A,0)),""))</f>
        <v/>
      </c>
      <c r="C353" s="25">
        <f>IF(O353="","",IF(O353=0,"D",IF(O353&lt;0,"D"&amp;O353,"D+"&amp;O353)))</f>
        <v/>
      </c>
      <c r="D353" s="13" t="n"/>
      <c r="E353" s="11" t="n"/>
      <c r="F353" s="26" t="n"/>
      <c r="G353" s="13" t="n"/>
      <c r="H353" s="12">
        <f>IF(OR(B353="",O353=""),"",IF(O353&gt;0,IF(P353="Làm việc",WORKDAY(IFERROR(IF(INDEX(SK_D,MATCH(M353,SK_A,0))="",B353,INDEX(SK_D,MATCH(M353,SK_A,0))),B353),O353,HOLI),IFERROR(IF(INDEX(SK_D,MATCH(M353,SK_A,0))="",B353,INDEX(SK_D,MATCH(M353,SK_A,0))),B353)+O353),B353+O353))</f>
        <v/>
      </c>
      <c r="I353" s="13" t="n"/>
      <c r="J353" s="12" t="n"/>
      <c r="K353" s="11" t="n"/>
      <c r="L353" s="27">
        <f>IF(E353="","",IF(I353="Bỏ qua","—",IF(I353="Xong",IF(AND(ISNUMBER(J353),ISNUMBER(H353),J353&gt;H353),"Xong trễ","Xong"),IF(F353="","CHƯA GIAO","")&amp;IF(NOT(ISNUMBER(H353)),"",IF(TODAY()&gt;H353,IF(F353=""," · ","")&amp;"QUÁ HẠN "&amp;(TODAY()-H353)&amp;" ngày",IF(H353-TODAY()&lt;=3,IF(F353=""," · ","")&amp;"Đến hạn "&amp;IF(H353=TODAY(),"hôm nay","trong "&amp;(H353-TODAY())&amp;" ngày"),""))))))</f>
        <v/>
      </c>
      <c r="Q353">
        <f>IF(AND(E353&lt;&gt;"",R353="Có",I353&lt;&gt;"Xong",I353&lt;&gt;"Bỏ qua",ISNUMBER(H353)),H353+ROW()/100000,"")</f>
        <v/>
      </c>
      <c r="R353">
        <f>IF(M353="","",IFERROR(INDEX(SK_L,MATCH(M353,SK_A,0)),""))</f>
        <v/>
      </c>
    </row>
    <row r="354">
      <c r="A354" s="11">
        <f>IF(M354="","",IFERROR(INDEX(SK_B,MATCH(M354,SK_A,0))&amp;"",""))</f>
        <v/>
      </c>
      <c r="B354" s="24">
        <f>IF(M354="","",IFERROR(INDEX(SK_C,MATCH(M354,SK_A,0)),""))</f>
        <v/>
      </c>
      <c r="C354" s="25">
        <f>IF(O354="","",IF(O354=0,"D",IF(O354&lt;0,"D"&amp;O354,"D+"&amp;O354)))</f>
        <v/>
      </c>
      <c r="D354" s="13" t="n"/>
      <c r="E354" s="11" t="n"/>
      <c r="F354" s="26" t="n"/>
      <c r="G354" s="13" t="n"/>
      <c r="H354" s="12">
        <f>IF(OR(B354="",O354=""),"",IF(O354&gt;0,IF(P354="Làm việc",WORKDAY(IFERROR(IF(INDEX(SK_D,MATCH(M354,SK_A,0))="",B354,INDEX(SK_D,MATCH(M354,SK_A,0))),B354),O354,HOLI),IFERROR(IF(INDEX(SK_D,MATCH(M354,SK_A,0))="",B354,INDEX(SK_D,MATCH(M354,SK_A,0))),B354)+O354),B354+O354))</f>
        <v/>
      </c>
      <c r="I354" s="13" t="n"/>
      <c r="J354" s="12" t="n"/>
      <c r="K354" s="11" t="n"/>
      <c r="L354" s="27">
        <f>IF(E354="","",IF(I354="Bỏ qua","—",IF(I354="Xong",IF(AND(ISNUMBER(J354),ISNUMBER(H354),J354&gt;H354),"Xong trễ","Xong"),IF(F354="","CHƯA GIAO","")&amp;IF(NOT(ISNUMBER(H354)),"",IF(TODAY()&gt;H354,IF(F354=""," · ","")&amp;"QUÁ HẠN "&amp;(TODAY()-H354)&amp;" ngày",IF(H354-TODAY()&lt;=3,IF(F354=""," · ","")&amp;"Đến hạn "&amp;IF(H354=TODAY(),"hôm nay","trong "&amp;(H354-TODAY())&amp;" ngày"),""))))))</f>
        <v/>
      </c>
      <c r="Q354">
        <f>IF(AND(E354&lt;&gt;"",R354="Có",I354&lt;&gt;"Xong",I354&lt;&gt;"Bỏ qua",ISNUMBER(H354)),H354+ROW()/100000,"")</f>
        <v/>
      </c>
      <c r="R354">
        <f>IF(M354="","",IFERROR(INDEX(SK_L,MATCH(M354,SK_A,0)),""))</f>
        <v/>
      </c>
    </row>
    <row r="355">
      <c r="A355" s="11">
        <f>IF(M355="","",IFERROR(INDEX(SK_B,MATCH(M355,SK_A,0))&amp;"",""))</f>
        <v/>
      </c>
      <c r="B355" s="24">
        <f>IF(M355="","",IFERROR(INDEX(SK_C,MATCH(M355,SK_A,0)),""))</f>
        <v/>
      </c>
      <c r="C355" s="25">
        <f>IF(O355="","",IF(O355=0,"D",IF(O355&lt;0,"D"&amp;O355,"D+"&amp;O355)))</f>
        <v/>
      </c>
      <c r="D355" s="13" t="n"/>
      <c r="E355" s="11" t="n"/>
      <c r="F355" s="26" t="n"/>
      <c r="G355" s="13" t="n"/>
      <c r="H355" s="12">
        <f>IF(OR(B355="",O355=""),"",IF(O355&gt;0,IF(P355="Làm việc",WORKDAY(IFERROR(IF(INDEX(SK_D,MATCH(M355,SK_A,0))="",B355,INDEX(SK_D,MATCH(M355,SK_A,0))),B355),O355,HOLI),IFERROR(IF(INDEX(SK_D,MATCH(M355,SK_A,0))="",B355,INDEX(SK_D,MATCH(M355,SK_A,0))),B355)+O355),B355+O355))</f>
        <v/>
      </c>
      <c r="I355" s="13" t="n"/>
      <c r="J355" s="12" t="n"/>
      <c r="K355" s="11" t="n"/>
      <c r="L355" s="27">
        <f>IF(E355="","",IF(I355="Bỏ qua","—",IF(I355="Xong",IF(AND(ISNUMBER(J355),ISNUMBER(H355),J355&gt;H355),"Xong trễ","Xong"),IF(F355="","CHƯA GIAO","")&amp;IF(NOT(ISNUMBER(H355)),"",IF(TODAY()&gt;H355,IF(F355=""," · ","")&amp;"QUÁ HẠN "&amp;(TODAY()-H355)&amp;" ngày",IF(H355-TODAY()&lt;=3,IF(F355=""," · ","")&amp;"Đến hạn "&amp;IF(H355=TODAY(),"hôm nay","trong "&amp;(H355-TODAY())&amp;" ngày"),""))))))</f>
        <v/>
      </c>
      <c r="Q355">
        <f>IF(AND(E355&lt;&gt;"",R355="Có",I355&lt;&gt;"Xong",I355&lt;&gt;"Bỏ qua",ISNUMBER(H355)),H355+ROW()/100000,"")</f>
        <v/>
      </c>
      <c r="R355">
        <f>IF(M355="","",IFERROR(INDEX(SK_L,MATCH(M355,SK_A,0)),""))</f>
        <v/>
      </c>
    </row>
    <row r="356">
      <c r="A356" s="11">
        <f>IF(M356="","",IFERROR(INDEX(SK_B,MATCH(M356,SK_A,0))&amp;"",""))</f>
        <v/>
      </c>
      <c r="B356" s="24">
        <f>IF(M356="","",IFERROR(INDEX(SK_C,MATCH(M356,SK_A,0)),""))</f>
        <v/>
      </c>
      <c r="C356" s="25">
        <f>IF(O356="","",IF(O356=0,"D",IF(O356&lt;0,"D"&amp;O356,"D+"&amp;O356)))</f>
        <v/>
      </c>
      <c r="D356" s="13" t="n"/>
      <c r="E356" s="11" t="n"/>
      <c r="F356" s="26" t="n"/>
      <c r="G356" s="13" t="n"/>
      <c r="H356" s="12">
        <f>IF(OR(B356="",O356=""),"",IF(O356&gt;0,IF(P356="Làm việc",WORKDAY(IFERROR(IF(INDEX(SK_D,MATCH(M356,SK_A,0))="",B356,INDEX(SK_D,MATCH(M356,SK_A,0))),B356),O356,HOLI),IFERROR(IF(INDEX(SK_D,MATCH(M356,SK_A,0))="",B356,INDEX(SK_D,MATCH(M356,SK_A,0))),B356)+O356),B356+O356))</f>
        <v/>
      </c>
      <c r="I356" s="13" t="n"/>
      <c r="J356" s="12" t="n"/>
      <c r="K356" s="11" t="n"/>
      <c r="L356" s="27">
        <f>IF(E356="","",IF(I356="Bỏ qua","—",IF(I356="Xong",IF(AND(ISNUMBER(J356),ISNUMBER(H356),J356&gt;H356),"Xong trễ","Xong"),IF(F356="","CHƯA GIAO","")&amp;IF(NOT(ISNUMBER(H356)),"",IF(TODAY()&gt;H356,IF(F356=""," · ","")&amp;"QUÁ HẠN "&amp;(TODAY()-H356)&amp;" ngày",IF(H356-TODAY()&lt;=3,IF(F356=""," · ","")&amp;"Đến hạn "&amp;IF(H356=TODAY(),"hôm nay","trong "&amp;(H356-TODAY())&amp;" ngày"),""))))))</f>
        <v/>
      </c>
      <c r="Q356">
        <f>IF(AND(E356&lt;&gt;"",R356="Có",I356&lt;&gt;"Xong",I356&lt;&gt;"Bỏ qua",ISNUMBER(H356)),H356+ROW()/100000,"")</f>
        <v/>
      </c>
      <c r="R356">
        <f>IF(M356="","",IFERROR(INDEX(SK_L,MATCH(M356,SK_A,0)),""))</f>
        <v/>
      </c>
    </row>
    <row r="357">
      <c r="A357" s="11">
        <f>IF(M357="","",IFERROR(INDEX(SK_B,MATCH(M357,SK_A,0))&amp;"",""))</f>
        <v/>
      </c>
      <c r="B357" s="24">
        <f>IF(M357="","",IFERROR(INDEX(SK_C,MATCH(M357,SK_A,0)),""))</f>
        <v/>
      </c>
      <c r="C357" s="25">
        <f>IF(O357="","",IF(O357=0,"D",IF(O357&lt;0,"D"&amp;O357,"D+"&amp;O357)))</f>
        <v/>
      </c>
      <c r="D357" s="13" t="n"/>
      <c r="E357" s="11" t="n"/>
      <c r="F357" s="26" t="n"/>
      <c r="G357" s="13" t="n"/>
      <c r="H357" s="12">
        <f>IF(OR(B357="",O357=""),"",IF(O357&gt;0,IF(P357="Làm việc",WORKDAY(IFERROR(IF(INDEX(SK_D,MATCH(M357,SK_A,0))="",B357,INDEX(SK_D,MATCH(M357,SK_A,0))),B357),O357,HOLI),IFERROR(IF(INDEX(SK_D,MATCH(M357,SK_A,0))="",B357,INDEX(SK_D,MATCH(M357,SK_A,0))),B357)+O357),B357+O357))</f>
        <v/>
      </c>
      <c r="I357" s="13" t="n"/>
      <c r="J357" s="12" t="n"/>
      <c r="K357" s="11" t="n"/>
      <c r="L357" s="27">
        <f>IF(E357="","",IF(I357="Bỏ qua","—",IF(I357="Xong",IF(AND(ISNUMBER(J357),ISNUMBER(H357),J357&gt;H357),"Xong trễ","Xong"),IF(F357="","CHƯA GIAO","")&amp;IF(NOT(ISNUMBER(H357)),"",IF(TODAY()&gt;H357,IF(F357=""," · ","")&amp;"QUÁ HẠN "&amp;(TODAY()-H357)&amp;" ngày",IF(H357-TODAY()&lt;=3,IF(F357=""," · ","")&amp;"Đến hạn "&amp;IF(H357=TODAY(),"hôm nay","trong "&amp;(H357-TODAY())&amp;" ngày"),""))))))</f>
        <v/>
      </c>
      <c r="Q357">
        <f>IF(AND(E357&lt;&gt;"",R357="Có",I357&lt;&gt;"Xong",I357&lt;&gt;"Bỏ qua",ISNUMBER(H357)),H357+ROW()/100000,"")</f>
        <v/>
      </c>
      <c r="R357">
        <f>IF(M357="","",IFERROR(INDEX(SK_L,MATCH(M357,SK_A,0)),""))</f>
        <v/>
      </c>
    </row>
    <row r="358">
      <c r="A358" s="11">
        <f>IF(M358="","",IFERROR(INDEX(SK_B,MATCH(M358,SK_A,0))&amp;"",""))</f>
        <v/>
      </c>
      <c r="B358" s="24">
        <f>IF(M358="","",IFERROR(INDEX(SK_C,MATCH(M358,SK_A,0)),""))</f>
        <v/>
      </c>
      <c r="C358" s="25">
        <f>IF(O358="","",IF(O358=0,"D",IF(O358&lt;0,"D"&amp;O358,"D+"&amp;O358)))</f>
        <v/>
      </c>
      <c r="D358" s="13" t="n"/>
      <c r="E358" s="11" t="n"/>
      <c r="F358" s="26" t="n"/>
      <c r="G358" s="13" t="n"/>
      <c r="H358" s="12">
        <f>IF(OR(B358="",O358=""),"",IF(O358&gt;0,IF(P358="Làm việc",WORKDAY(IFERROR(IF(INDEX(SK_D,MATCH(M358,SK_A,0))="",B358,INDEX(SK_D,MATCH(M358,SK_A,0))),B358),O358,HOLI),IFERROR(IF(INDEX(SK_D,MATCH(M358,SK_A,0))="",B358,INDEX(SK_D,MATCH(M358,SK_A,0))),B358)+O358),B358+O358))</f>
        <v/>
      </c>
      <c r="I358" s="13" t="n"/>
      <c r="J358" s="12" t="n"/>
      <c r="K358" s="11" t="n"/>
      <c r="L358" s="27">
        <f>IF(E358="","",IF(I358="Bỏ qua","—",IF(I358="Xong",IF(AND(ISNUMBER(J358),ISNUMBER(H358),J358&gt;H358),"Xong trễ","Xong"),IF(F358="","CHƯA GIAO","")&amp;IF(NOT(ISNUMBER(H358)),"",IF(TODAY()&gt;H358,IF(F358=""," · ","")&amp;"QUÁ HẠN "&amp;(TODAY()-H358)&amp;" ngày",IF(H358-TODAY()&lt;=3,IF(F358=""," · ","")&amp;"Đến hạn "&amp;IF(H358=TODAY(),"hôm nay","trong "&amp;(H358-TODAY())&amp;" ngày"),""))))))</f>
        <v/>
      </c>
      <c r="Q358">
        <f>IF(AND(E358&lt;&gt;"",R358="Có",I358&lt;&gt;"Xong",I358&lt;&gt;"Bỏ qua",ISNUMBER(H358)),H358+ROW()/100000,"")</f>
        <v/>
      </c>
      <c r="R358">
        <f>IF(M358="","",IFERROR(INDEX(SK_L,MATCH(M358,SK_A,0)),""))</f>
        <v/>
      </c>
    </row>
    <row r="359">
      <c r="A359" s="11">
        <f>IF(M359="","",IFERROR(INDEX(SK_B,MATCH(M359,SK_A,0))&amp;"",""))</f>
        <v/>
      </c>
      <c r="B359" s="24">
        <f>IF(M359="","",IFERROR(INDEX(SK_C,MATCH(M359,SK_A,0)),""))</f>
        <v/>
      </c>
      <c r="C359" s="25">
        <f>IF(O359="","",IF(O359=0,"D",IF(O359&lt;0,"D"&amp;O359,"D+"&amp;O359)))</f>
        <v/>
      </c>
      <c r="D359" s="13" t="n"/>
      <c r="E359" s="11" t="n"/>
      <c r="F359" s="26" t="n"/>
      <c r="G359" s="13" t="n"/>
      <c r="H359" s="12">
        <f>IF(OR(B359="",O359=""),"",IF(O359&gt;0,IF(P359="Làm việc",WORKDAY(IFERROR(IF(INDEX(SK_D,MATCH(M359,SK_A,0))="",B359,INDEX(SK_D,MATCH(M359,SK_A,0))),B359),O359,HOLI),IFERROR(IF(INDEX(SK_D,MATCH(M359,SK_A,0))="",B359,INDEX(SK_D,MATCH(M359,SK_A,0))),B359)+O359),B359+O359))</f>
        <v/>
      </c>
      <c r="I359" s="13" t="n"/>
      <c r="J359" s="12" t="n"/>
      <c r="K359" s="11" t="n"/>
      <c r="L359" s="27">
        <f>IF(E359="","",IF(I359="Bỏ qua","—",IF(I359="Xong",IF(AND(ISNUMBER(J359),ISNUMBER(H359),J359&gt;H359),"Xong trễ","Xong"),IF(F359="","CHƯA GIAO","")&amp;IF(NOT(ISNUMBER(H359)),"",IF(TODAY()&gt;H359,IF(F359=""," · ","")&amp;"QUÁ HẠN "&amp;(TODAY()-H359)&amp;" ngày",IF(H359-TODAY()&lt;=3,IF(F359=""," · ","")&amp;"Đến hạn "&amp;IF(H359=TODAY(),"hôm nay","trong "&amp;(H359-TODAY())&amp;" ngày"),""))))))</f>
        <v/>
      </c>
      <c r="Q359">
        <f>IF(AND(E359&lt;&gt;"",R359="Có",I359&lt;&gt;"Xong",I359&lt;&gt;"Bỏ qua",ISNUMBER(H359)),H359+ROW()/100000,"")</f>
        <v/>
      </c>
      <c r="R359">
        <f>IF(M359="","",IFERROR(INDEX(SK_L,MATCH(M359,SK_A,0)),""))</f>
        <v/>
      </c>
    </row>
    <row r="360">
      <c r="A360" s="11">
        <f>IF(M360="","",IFERROR(INDEX(SK_B,MATCH(M360,SK_A,0))&amp;"",""))</f>
        <v/>
      </c>
      <c r="B360" s="24">
        <f>IF(M360="","",IFERROR(INDEX(SK_C,MATCH(M360,SK_A,0)),""))</f>
        <v/>
      </c>
      <c r="C360" s="25">
        <f>IF(O360="","",IF(O360=0,"D",IF(O360&lt;0,"D"&amp;O360,"D+"&amp;O360)))</f>
        <v/>
      </c>
      <c r="D360" s="13" t="n"/>
      <c r="E360" s="11" t="n"/>
      <c r="F360" s="26" t="n"/>
      <c r="G360" s="13" t="n"/>
      <c r="H360" s="12">
        <f>IF(OR(B360="",O360=""),"",IF(O360&gt;0,IF(P360="Làm việc",WORKDAY(IFERROR(IF(INDEX(SK_D,MATCH(M360,SK_A,0))="",B360,INDEX(SK_D,MATCH(M360,SK_A,0))),B360),O360,HOLI),IFERROR(IF(INDEX(SK_D,MATCH(M360,SK_A,0))="",B360,INDEX(SK_D,MATCH(M360,SK_A,0))),B360)+O360),B360+O360))</f>
        <v/>
      </c>
      <c r="I360" s="13" t="n"/>
      <c r="J360" s="12" t="n"/>
      <c r="K360" s="11" t="n"/>
      <c r="L360" s="27">
        <f>IF(E360="","",IF(I360="Bỏ qua","—",IF(I360="Xong",IF(AND(ISNUMBER(J360),ISNUMBER(H360),J360&gt;H360),"Xong trễ","Xong"),IF(F360="","CHƯA GIAO","")&amp;IF(NOT(ISNUMBER(H360)),"",IF(TODAY()&gt;H360,IF(F360=""," · ","")&amp;"QUÁ HẠN "&amp;(TODAY()-H360)&amp;" ngày",IF(H360-TODAY()&lt;=3,IF(F360=""," · ","")&amp;"Đến hạn "&amp;IF(H360=TODAY(),"hôm nay","trong "&amp;(H360-TODAY())&amp;" ngày"),""))))))</f>
        <v/>
      </c>
      <c r="Q360">
        <f>IF(AND(E360&lt;&gt;"",R360="Có",I360&lt;&gt;"Xong",I360&lt;&gt;"Bỏ qua",ISNUMBER(H360)),H360+ROW()/100000,"")</f>
        <v/>
      </c>
      <c r="R360">
        <f>IF(M360="","",IFERROR(INDEX(SK_L,MATCH(M360,SK_A,0)),""))</f>
        <v/>
      </c>
    </row>
    <row r="361">
      <c r="A361" s="11">
        <f>IF(M361="","",IFERROR(INDEX(SK_B,MATCH(M361,SK_A,0))&amp;"",""))</f>
        <v/>
      </c>
      <c r="B361" s="24">
        <f>IF(M361="","",IFERROR(INDEX(SK_C,MATCH(M361,SK_A,0)),""))</f>
        <v/>
      </c>
      <c r="C361" s="25">
        <f>IF(O361="","",IF(O361=0,"D",IF(O361&lt;0,"D"&amp;O361,"D+"&amp;O361)))</f>
        <v/>
      </c>
      <c r="D361" s="13" t="n"/>
      <c r="E361" s="11" t="n"/>
      <c r="F361" s="26" t="n"/>
      <c r="G361" s="13" t="n"/>
      <c r="H361" s="12">
        <f>IF(OR(B361="",O361=""),"",IF(O361&gt;0,IF(P361="Làm việc",WORKDAY(IFERROR(IF(INDEX(SK_D,MATCH(M361,SK_A,0))="",B361,INDEX(SK_D,MATCH(M361,SK_A,0))),B361),O361,HOLI),IFERROR(IF(INDEX(SK_D,MATCH(M361,SK_A,0))="",B361,INDEX(SK_D,MATCH(M361,SK_A,0))),B361)+O361),B361+O361))</f>
        <v/>
      </c>
      <c r="I361" s="13" t="n"/>
      <c r="J361" s="12" t="n"/>
      <c r="K361" s="11" t="n"/>
      <c r="L361" s="27">
        <f>IF(E361="","",IF(I361="Bỏ qua","—",IF(I361="Xong",IF(AND(ISNUMBER(J361),ISNUMBER(H361),J361&gt;H361),"Xong trễ","Xong"),IF(F361="","CHƯA GIAO","")&amp;IF(NOT(ISNUMBER(H361)),"",IF(TODAY()&gt;H361,IF(F361=""," · ","")&amp;"QUÁ HẠN "&amp;(TODAY()-H361)&amp;" ngày",IF(H361-TODAY()&lt;=3,IF(F361=""," · ","")&amp;"Đến hạn "&amp;IF(H361=TODAY(),"hôm nay","trong "&amp;(H361-TODAY())&amp;" ngày"),""))))))</f>
        <v/>
      </c>
      <c r="Q361">
        <f>IF(AND(E361&lt;&gt;"",R361="Có",I361&lt;&gt;"Xong",I361&lt;&gt;"Bỏ qua",ISNUMBER(H361)),H361+ROW()/100000,"")</f>
        <v/>
      </c>
      <c r="R361">
        <f>IF(M361="","",IFERROR(INDEX(SK_L,MATCH(M361,SK_A,0)),""))</f>
        <v/>
      </c>
    </row>
    <row r="362">
      <c r="A362" s="11">
        <f>IF(M362="","",IFERROR(INDEX(SK_B,MATCH(M362,SK_A,0))&amp;"",""))</f>
        <v/>
      </c>
      <c r="B362" s="24">
        <f>IF(M362="","",IFERROR(INDEX(SK_C,MATCH(M362,SK_A,0)),""))</f>
        <v/>
      </c>
      <c r="C362" s="25">
        <f>IF(O362="","",IF(O362=0,"D",IF(O362&lt;0,"D"&amp;O362,"D+"&amp;O362)))</f>
        <v/>
      </c>
      <c r="D362" s="13" t="n"/>
      <c r="E362" s="11" t="n"/>
      <c r="F362" s="26" t="n"/>
      <c r="G362" s="13" t="n"/>
      <c r="H362" s="12">
        <f>IF(OR(B362="",O362=""),"",IF(O362&gt;0,IF(P362="Làm việc",WORKDAY(IFERROR(IF(INDEX(SK_D,MATCH(M362,SK_A,0))="",B362,INDEX(SK_D,MATCH(M362,SK_A,0))),B362),O362,HOLI),IFERROR(IF(INDEX(SK_D,MATCH(M362,SK_A,0))="",B362,INDEX(SK_D,MATCH(M362,SK_A,0))),B362)+O362),B362+O362))</f>
        <v/>
      </c>
      <c r="I362" s="13" t="n"/>
      <c r="J362" s="12" t="n"/>
      <c r="K362" s="11" t="n"/>
      <c r="L362" s="27">
        <f>IF(E362="","",IF(I362="Bỏ qua","—",IF(I362="Xong",IF(AND(ISNUMBER(J362),ISNUMBER(H362),J362&gt;H362),"Xong trễ","Xong"),IF(F362="","CHƯA GIAO","")&amp;IF(NOT(ISNUMBER(H362)),"",IF(TODAY()&gt;H362,IF(F362=""," · ","")&amp;"QUÁ HẠN "&amp;(TODAY()-H362)&amp;" ngày",IF(H362-TODAY()&lt;=3,IF(F362=""," · ","")&amp;"Đến hạn "&amp;IF(H362=TODAY(),"hôm nay","trong "&amp;(H362-TODAY())&amp;" ngày"),""))))))</f>
        <v/>
      </c>
      <c r="Q362">
        <f>IF(AND(E362&lt;&gt;"",R362="Có",I362&lt;&gt;"Xong",I362&lt;&gt;"Bỏ qua",ISNUMBER(H362)),H362+ROW()/100000,"")</f>
        <v/>
      </c>
      <c r="R362">
        <f>IF(M362="","",IFERROR(INDEX(SK_L,MATCH(M362,SK_A,0)),""))</f>
        <v/>
      </c>
    </row>
    <row r="363">
      <c r="A363" s="11">
        <f>IF(M363="","",IFERROR(INDEX(SK_B,MATCH(M363,SK_A,0))&amp;"",""))</f>
        <v/>
      </c>
      <c r="B363" s="24">
        <f>IF(M363="","",IFERROR(INDEX(SK_C,MATCH(M363,SK_A,0)),""))</f>
        <v/>
      </c>
      <c r="C363" s="25">
        <f>IF(O363="","",IF(O363=0,"D",IF(O363&lt;0,"D"&amp;O363,"D+"&amp;O363)))</f>
        <v/>
      </c>
      <c r="D363" s="13" t="n"/>
      <c r="E363" s="11" t="n"/>
      <c r="F363" s="26" t="n"/>
      <c r="G363" s="13" t="n"/>
      <c r="H363" s="12">
        <f>IF(OR(B363="",O363=""),"",IF(O363&gt;0,IF(P363="Làm việc",WORKDAY(IFERROR(IF(INDEX(SK_D,MATCH(M363,SK_A,0))="",B363,INDEX(SK_D,MATCH(M363,SK_A,0))),B363),O363,HOLI),IFERROR(IF(INDEX(SK_D,MATCH(M363,SK_A,0))="",B363,INDEX(SK_D,MATCH(M363,SK_A,0))),B363)+O363),B363+O363))</f>
        <v/>
      </c>
      <c r="I363" s="13" t="n"/>
      <c r="J363" s="12" t="n"/>
      <c r="K363" s="11" t="n"/>
      <c r="L363" s="27">
        <f>IF(E363="","",IF(I363="Bỏ qua","—",IF(I363="Xong",IF(AND(ISNUMBER(J363),ISNUMBER(H363),J363&gt;H363),"Xong trễ","Xong"),IF(F363="","CHƯA GIAO","")&amp;IF(NOT(ISNUMBER(H363)),"",IF(TODAY()&gt;H363,IF(F363=""," · ","")&amp;"QUÁ HẠN "&amp;(TODAY()-H363)&amp;" ngày",IF(H363-TODAY()&lt;=3,IF(F363=""," · ","")&amp;"Đến hạn "&amp;IF(H363=TODAY(),"hôm nay","trong "&amp;(H363-TODAY())&amp;" ngày"),""))))))</f>
        <v/>
      </c>
      <c r="Q363">
        <f>IF(AND(E363&lt;&gt;"",R363="Có",I363&lt;&gt;"Xong",I363&lt;&gt;"Bỏ qua",ISNUMBER(H363)),H363+ROW()/100000,"")</f>
        <v/>
      </c>
      <c r="R363">
        <f>IF(M363="","",IFERROR(INDEX(SK_L,MATCH(M363,SK_A,0)),""))</f>
        <v/>
      </c>
    </row>
    <row r="364">
      <c r="A364" s="11">
        <f>IF(M364="","",IFERROR(INDEX(SK_B,MATCH(M364,SK_A,0))&amp;"",""))</f>
        <v/>
      </c>
      <c r="B364" s="24">
        <f>IF(M364="","",IFERROR(INDEX(SK_C,MATCH(M364,SK_A,0)),""))</f>
        <v/>
      </c>
      <c r="C364" s="25">
        <f>IF(O364="","",IF(O364=0,"D",IF(O364&lt;0,"D"&amp;O364,"D+"&amp;O364)))</f>
        <v/>
      </c>
      <c r="D364" s="13" t="n"/>
      <c r="E364" s="11" t="n"/>
      <c r="F364" s="26" t="n"/>
      <c r="G364" s="13" t="n"/>
      <c r="H364" s="12">
        <f>IF(OR(B364="",O364=""),"",IF(O364&gt;0,IF(P364="Làm việc",WORKDAY(IFERROR(IF(INDEX(SK_D,MATCH(M364,SK_A,0))="",B364,INDEX(SK_D,MATCH(M364,SK_A,0))),B364),O364,HOLI),IFERROR(IF(INDEX(SK_D,MATCH(M364,SK_A,0))="",B364,INDEX(SK_D,MATCH(M364,SK_A,0))),B364)+O364),B364+O364))</f>
        <v/>
      </c>
      <c r="I364" s="13" t="n"/>
      <c r="J364" s="12" t="n"/>
      <c r="K364" s="11" t="n"/>
      <c r="L364" s="27">
        <f>IF(E364="","",IF(I364="Bỏ qua","—",IF(I364="Xong",IF(AND(ISNUMBER(J364),ISNUMBER(H364),J364&gt;H364),"Xong trễ","Xong"),IF(F364="","CHƯA GIAO","")&amp;IF(NOT(ISNUMBER(H364)),"",IF(TODAY()&gt;H364,IF(F364=""," · ","")&amp;"QUÁ HẠN "&amp;(TODAY()-H364)&amp;" ngày",IF(H364-TODAY()&lt;=3,IF(F364=""," · ","")&amp;"Đến hạn "&amp;IF(H364=TODAY(),"hôm nay","trong "&amp;(H364-TODAY())&amp;" ngày"),""))))))</f>
        <v/>
      </c>
      <c r="Q364">
        <f>IF(AND(E364&lt;&gt;"",R364="Có",I364&lt;&gt;"Xong",I364&lt;&gt;"Bỏ qua",ISNUMBER(H364)),H364+ROW()/100000,"")</f>
        <v/>
      </c>
      <c r="R364">
        <f>IF(M364="","",IFERROR(INDEX(SK_L,MATCH(M364,SK_A,0)),""))</f>
        <v/>
      </c>
    </row>
    <row r="365">
      <c r="A365" s="11">
        <f>IF(M365="","",IFERROR(INDEX(SK_B,MATCH(M365,SK_A,0))&amp;"",""))</f>
        <v/>
      </c>
      <c r="B365" s="24">
        <f>IF(M365="","",IFERROR(INDEX(SK_C,MATCH(M365,SK_A,0)),""))</f>
        <v/>
      </c>
      <c r="C365" s="25">
        <f>IF(O365="","",IF(O365=0,"D",IF(O365&lt;0,"D"&amp;O365,"D+"&amp;O365)))</f>
        <v/>
      </c>
      <c r="D365" s="13" t="n"/>
      <c r="E365" s="11" t="n"/>
      <c r="F365" s="26" t="n"/>
      <c r="G365" s="13" t="n"/>
      <c r="H365" s="12">
        <f>IF(OR(B365="",O365=""),"",IF(O365&gt;0,IF(P365="Làm việc",WORKDAY(IFERROR(IF(INDEX(SK_D,MATCH(M365,SK_A,0))="",B365,INDEX(SK_D,MATCH(M365,SK_A,0))),B365),O365,HOLI),IFERROR(IF(INDEX(SK_D,MATCH(M365,SK_A,0))="",B365,INDEX(SK_D,MATCH(M365,SK_A,0))),B365)+O365),B365+O365))</f>
        <v/>
      </c>
      <c r="I365" s="13" t="n"/>
      <c r="J365" s="12" t="n"/>
      <c r="K365" s="11" t="n"/>
      <c r="L365" s="27">
        <f>IF(E365="","",IF(I365="Bỏ qua","—",IF(I365="Xong",IF(AND(ISNUMBER(J365),ISNUMBER(H365),J365&gt;H365),"Xong trễ","Xong"),IF(F365="","CHƯA GIAO","")&amp;IF(NOT(ISNUMBER(H365)),"",IF(TODAY()&gt;H365,IF(F365=""," · ","")&amp;"QUÁ HẠN "&amp;(TODAY()-H365)&amp;" ngày",IF(H365-TODAY()&lt;=3,IF(F365=""," · ","")&amp;"Đến hạn "&amp;IF(H365=TODAY(),"hôm nay","trong "&amp;(H365-TODAY())&amp;" ngày"),""))))))</f>
        <v/>
      </c>
      <c r="Q365">
        <f>IF(AND(E365&lt;&gt;"",R365="Có",I365&lt;&gt;"Xong",I365&lt;&gt;"Bỏ qua",ISNUMBER(H365)),H365+ROW()/100000,"")</f>
        <v/>
      </c>
      <c r="R365">
        <f>IF(M365="","",IFERROR(INDEX(SK_L,MATCH(M365,SK_A,0)),""))</f>
        <v/>
      </c>
    </row>
    <row r="366">
      <c r="A366" s="11">
        <f>IF(M366="","",IFERROR(INDEX(SK_B,MATCH(M366,SK_A,0))&amp;"",""))</f>
        <v/>
      </c>
      <c r="B366" s="24">
        <f>IF(M366="","",IFERROR(INDEX(SK_C,MATCH(M366,SK_A,0)),""))</f>
        <v/>
      </c>
      <c r="C366" s="25">
        <f>IF(O366="","",IF(O366=0,"D",IF(O366&lt;0,"D"&amp;O366,"D+"&amp;O366)))</f>
        <v/>
      </c>
      <c r="D366" s="13" t="n"/>
      <c r="E366" s="11" t="n"/>
      <c r="F366" s="26" t="n"/>
      <c r="G366" s="13" t="n"/>
      <c r="H366" s="12">
        <f>IF(OR(B366="",O366=""),"",IF(O366&gt;0,IF(P366="Làm việc",WORKDAY(IFERROR(IF(INDEX(SK_D,MATCH(M366,SK_A,0))="",B366,INDEX(SK_D,MATCH(M366,SK_A,0))),B366),O366,HOLI),IFERROR(IF(INDEX(SK_D,MATCH(M366,SK_A,0))="",B366,INDEX(SK_D,MATCH(M366,SK_A,0))),B366)+O366),B366+O366))</f>
        <v/>
      </c>
      <c r="I366" s="13" t="n"/>
      <c r="J366" s="12" t="n"/>
      <c r="K366" s="11" t="n"/>
      <c r="L366" s="27">
        <f>IF(E366="","",IF(I366="Bỏ qua","—",IF(I366="Xong",IF(AND(ISNUMBER(J366),ISNUMBER(H366),J366&gt;H366),"Xong trễ","Xong"),IF(F366="","CHƯA GIAO","")&amp;IF(NOT(ISNUMBER(H366)),"",IF(TODAY()&gt;H366,IF(F366=""," · ","")&amp;"QUÁ HẠN "&amp;(TODAY()-H366)&amp;" ngày",IF(H366-TODAY()&lt;=3,IF(F366=""," · ","")&amp;"Đến hạn "&amp;IF(H366=TODAY(),"hôm nay","trong "&amp;(H366-TODAY())&amp;" ngày"),""))))))</f>
        <v/>
      </c>
      <c r="Q366">
        <f>IF(AND(E366&lt;&gt;"",R366="Có",I366&lt;&gt;"Xong",I366&lt;&gt;"Bỏ qua",ISNUMBER(H366)),H366+ROW()/100000,"")</f>
        <v/>
      </c>
      <c r="R366">
        <f>IF(M366="","",IFERROR(INDEX(SK_L,MATCH(M366,SK_A,0)),""))</f>
        <v/>
      </c>
    </row>
    <row r="367">
      <c r="A367" s="11">
        <f>IF(M367="","",IFERROR(INDEX(SK_B,MATCH(M367,SK_A,0))&amp;"",""))</f>
        <v/>
      </c>
      <c r="B367" s="24">
        <f>IF(M367="","",IFERROR(INDEX(SK_C,MATCH(M367,SK_A,0)),""))</f>
        <v/>
      </c>
      <c r="C367" s="25">
        <f>IF(O367="","",IF(O367=0,"D",IF(O367&lt;0,"D"&amp;O367,"D+"&amp;O367)))</f>
        <v/>
      </c>
      <c r="D367" s="13" t="n"/>
      <c r="E367" s="11" t="n"/>
      <c r="F367" s="26" t="n"/>
      <c r="G367" s="13" t="n"/>
      <c r="H367" s="12">
        <f>IF(OR(B367="",O367=""),"",IF(O367&gt;0,IF(P367="Làm việc",WORKDAY(IFERROR(IF(INDEX(SK_D,MATCH(M367,SK_A,0))="",B367,INDEX(SK_D,MATCH(M367,SK_A,0))),B367),O367,HOLI),IFERROR(IF(INDEX(SK_D,MATCH(M367,SK_A,0))="",B367,INDEX(SK_D,MATCH(M367,SK_A,0))),B367)+O367),B367+O367))</f>
        <v/>
      </c>
      <c r="I367" s="13" t="n"/>
      <c r="J367" s="12" t="n"/>
      <c r="K367" s="11" t="n"/>
      <c r="L367" s="27">
        <f>IF(E367="","",IF(I367="Bỏ qua","—",IF(I367="Xong",IF(AND(ISNUMBER(J367),ISNUMBER(H367),J367&gt;H367),"Xong trễ","Xong"),IF(F367="","CHƯA GIAO","")&amp;IF(NOT(ISNUMBER(H367)),"",IF(TODAY()&gt;H367,IF(F367=""," · ","")&amp;"QUÁ HẠN "&amp;(TODAY()-H367)&amp;" ngày",IF(H367-TODAY()&lt;=3,IF(F367=""," · ","")&amp;"Đến hạn "&amp;IF(H367=TODAY(),"hôm nay","trong "&amp;(H367-TODAY())&amp;" ngày"),""))))))</f>
        <v/>
      </c>
      <c r="Q367">
        <f>IF(AND(E367&lt;&gt;"",R367="Có",I367&lt;&gt;"Xong",I367&lt;&gt;"Bỏ qua",ISNUMBER(H367)),H367+ROW()/100000,"")</f>
        <v/>
      </c>
      <c r="R367">
        <f>IF(M367="","",IFERROR(INDEX(SK_L,MATCH(M367,SK_A,0)),""))</f>
        <v/>
      </c>
    </row>
    <row r="368">
      <c r="A368" s="11">
        <f>IF(M368="","",IFERROR(INDEX(SK_B,MATCH(M368,SK_A,0))&amp;"",""))</f>
        <v/>
      </c>
      <c r="B368" s="24">
        <f>IF(M368="","",IFERROR(INDEX(SK_C,MATCH(M368,SK_A,0)),""))</f>
        <v/>
      </c>
      <c r="C368" s="25">
        <f>IF(O368="","",IF(O368=0,"D",IF(O368&lt;0,"D"&amp;O368,"D+"&amp;O368)))</f>
        <v/>
      </c>
      <c r="D368" s="13" t="n"/>
      <c r="E368" s="11" t="n"/>
      <c r="F368" s="26" t="n"/>
      <c r="G368" s="13" t="n"/>
      <c r="H368" s="12">
        <f>IF(OR(B368="",O368=""),"",IF(O368&gt;0,IF(P368="Làm việc",WORKDAY(IFERROR(IF(INDEX(SK_D,MATCH(M368,SK_A,0))="",B368,INDEX(SK_D,MATCH(M368,SK_A,0))),B368),O368,HOLI),IFERROR(IF(INDEX(SK_D,MATCH(M368,SK_A,0))="",B368,INDEX(SK_D,MATCH(M368,SK_A,0))),B368)+O368),B368+O368))</f>
        <v/>
      </c>
      <c r="I368" s="13" t="n"/>
      <c r="J368" s="12" t="n"/>
      <c r="K368" s="11" t="n"/>
      <c r="L368" s="27">
        <f>IF(E368="","",IF(I368="Bỏ qua","—",IF(I368="Xong",IF(AND(ISNUMBER(J368),ISNUMBER(H368),J368&gt;H368),"Xong trễ","Xong"),IF(F368="","CHƯA GIAO","")&amp;IF(NOT(ISNUMBER(H368)),"",IF(TODAY()&gt;H368,IF(F368=""," · ","")&amp;"QUÁ HẠN "&amp;(TODAY()-H368)&amp;" ngày",IF(H368-TODAY()&lt;=3,IF(F368=""," · ","")&amp;"Đến hạn "&amp;IF(H368=TODAY(),"hôm nay","trong "&amp;(H368-TODAY())&amp;" ngày"),""))))))</f>
        <v/>
      </c>
      <c r="Q368">
        <f>IF(AND(E368&lt;&gt;"",R368="Có",I368&lt;&gt;"Xong",I368&lt;&gt;"Bỏ qua",ISNUMBER(H368)),H368+ROW()/100000,"")</f>
        <v/>
      </c>
      <c r="R368">
        <f>IF(M368="","",IFERROR(INDEX(SK_L,MATCH(M368,SK_A,0)),""))</f>
        <v/>
      </c>
    </row>
    <row r="369">
      <c r="A369" s="11">
        <f>IF(M369="","",IFERROR(INDEX(SK_B,MATCH(M369,SK_A,0))&amp;"",""))</f>
        <v/>
      </c>
      <c r="B369" s="24">
        <f>IF(M369="","",IFERROR(INDEX(SK_C,MATCH(M369,SK_A,0)),""))</f>
        <v/>
      </c>
      <c r="C369" s="25">
        <f>IF(O369="","",IF(O369=0,"D",IF(O369&lt;0,"D"&amp;O369,"D+"&amp;O369)))</f>
        <v/>
      </c>
      <c r="D369" s="13" t="n"/>
      <c r="E369" s="11" t="n"/>
      <c r="F369" s="26" t="n"/>
      <c r="G369" s="13" t="n"/>
      <c r="H369" s="12">
        <f>IF(OR(B369="",O369=""),"",IF(O369&gt;0,IF(P369="Làm việc",WORKDAY(IFERROR(IF(INDEX(SK_D,MATCH(M369,SK_A,0))="",B369,INDEX(SK_D,MATCH(M369,SK_A,0))),B369),O369,HOLI),IFERROR(IF(INDEX(SK_D,MATCH(M369,SK_A,0))="",B369,INDEX(SK_D,MATCH(M369,SK_A,0))),B369)+O369),B369+O369))</f>
        <v/>
      </c>
      <c r="I369" s="13" t="n"/>
      <c r="J369" s="12" t="n"/>
      <c r="K369" s="11" t="n"/>
      <c r="L369" s="27">
        <f>IF(E369="","",IF(I369="Bỏ qua","—",IF(I369="Xong",IF(AND(ISNUMBER(J369),ISNUMBER(H369),J369&gt;H369),"Xong trễ","Xong"),IF(F369="","CHƯA GIAO","")&amp;IF(NOT(ISNUMBER(H369)),"",IF(TODAY()&gt;H369,IF(F369=""," · ","")&amp;"QUÁ HẠN "&amp;(TODAY()-H369)&amp;" ngày",IF(H369-TODAY()&lt;=3,IF(F369=""," · ","")&amp;"Đến hạn "&amp;IF(H369=TODAY(),"hôm nay","trong "&amp;(H369-TODAY())&amp;" ngày"),""))))))</f>
        <v/>
      </c>
      <c r="Q369">
        <f>IF(AND(E369&lt;&gt;"",R369="Có",I369&lt;&gt;"Xong",I369&lt;&gt;"Bỏ qua",ISNUMBER(H369)),H369+ROW()/100000,"")</f>
        <v/>
      </c>
      <c r="R369">
        <f>IF(M369="","",IFERROR(INDEX(SK_L,MATCH(M369,SK_A,0)),""))</f>
        <v/>
      </c>
    </row>
    <row r="370">
      <c r="A370" s="11">
        <f>IF(M370="","",IFERROR(INDEX(SK_B,MATCH(M370,SK_A,0))&amp;"",""))</f>
        <v/>
      </c>
      <c r="B370" s="24">
        <f>IF(M370="","",IFERROR(INDEX(SK_C,MATCH(M370,SK_A,0)),""))</f>
        <v/>
      </c>
      <c r="C370" s="25">
        <f>IF(O370="","",IF(O370=0,"D",IF(O370&lt;0,"D"&amp;O370,"D+"&amp;O370)))</f>
        <v/>
      </c>
      <c r="D370" s="13" t="n"/>
      <c r="E370" s="11" t="n"/>
      <c r="F370" s="26" t="n"/>
      <c r="G370" s="13" t="n"/>
      <c r="H370" s="12">
        <f>IF(OR(B370="",O370=""),"",IF(O370&gt;0,IF(P370="Làm việc",WORKDAY(IFERROR(IF(INDEX(SK_D,MATCH(M370,SK_A,0))="",B370,INDEX(SK_D,MATCH(M370,SK_A,0))),B370),O370,HOLI),IFERROR(IF(INDEX(SK_D,MATCH(M370,SK_A,0))="",B370,INDEX(SK_D,MATCH(M370,SK_A,0))),B370)+O370),B370+O370))</f>
        <v/>
      </c>
      <c r="I370" s="13" t="n"/>
      <c r="J370" s="12" t="n"/>
      <c r="K370" s="11" t="n"/>
      <c r="L370" s="27">
        <f>IF(E370="","",IF(I370="Bỏ qua","—",IF(I370="Xong",IF(AND(ISNUMBER(J370),ISNUMBER(H370),J370&gt;H370),"Xong trễ","Xong"),IF(F370="","CHƯA GIAO","")&amp;IF(NOT(ISNUMBER(H370)),"",IF(TODAY()&gt;H370,IF(F370=""," · ","")&amp;"QUÁ HẠN "&amp;(TODAY()-H370)&amp;" ngày",IF(H370-TODAY()&lt;=3,IF(F370=""," · ","")&amp;"Đến hạn "&amp;IF(H370=TODAY(),"hôm nay","trong "&amp;(H370-TODAY())&amp;" ngày"),""))))))</f>
        <v/>
      </c>
      <c r="Q370">
        <f>IF(AND(E370&lt;&gt;"",R370="Có",I370&lt;&gt;"Xong",I370&lt;&gt;"Bỏ qua",ISNUMBER(H370)),H370+ROW()/100000,"")</f>
        <v/>
      </c>
      <c r="R370">
        <f>IF(M370="","",IFERROR(INDEX(SK_L,MATCH(M370,SK_A,0)),""))</f>
        <v/>
      </c>
    </row>
    <row r="371">
      <c r="A371" s="11">
        <f>IF(M371="","",IFERROR(INDEX(SK_B,MATCH(M371,SK_A,0))&amp;"",""))</f>
        <v/>
      </c>
      <c r="B371" s="24">
        <f>IF(M371="","",IFERROR(INDEX(SK_C,MATCH(M371,SK_A,0)),""))</f>
        <v/>
      </c>
      <c r="C371" s="25">
        <f>IF(O371="","",IF(O371=0,"D",IF(O371&lt;0,"D"&amp;O371,"D+"&amp;O371)))</f>
        <v/>
      </c>
      <c r="D371" s="13" t="n"/>
      <c r="E371" s="11" t="n"/>
      <c r="F371" s="26" t="n"/>
      <c r="G371" s="13" t="n"/>
      <c r="H371" s="12">
        <f>IF(OR(B371="",O371=""),"",IF(O371&gt;0,IF(P371="Làm việc",WORKDAY(IFERROR(IF(INDEX(SK_D,MATCH(M371,SK_A,0))="",B371,INDEX(SK_D,MATCH(M371,SK_A,0))),B371),O371,HOLI),IFERROR(IF(INDEX(SK_D,MATCH(M371,SK_A,0))="",B371,INDEX(SK_D,MATCH(M371,SK_A,0))),B371)+O371),B371+O371))</f>
        <v/>
      </c>
      <c r="I371" s="13" t="n"/>
      <c r="J371" s="12" t="n"/>
      <c r="K371" s="11" t="n"/>
      <c r="L371" s="27">
        <f>IF(E371="","",IF(I371="Bỏ qua","—",IF(I371="Xong",IF(AND(ISNUMBER(J371),ISNUMBER(H371),J371&gt;H371),"Xong trễ","Xong"),IF(F371="","CHƯA GIAO","")&amp;IF(NOT(ISNUMBER(H371)),"",IF(TODAY()&gt;H371,IF(F371=""," · ","")&amp;"QUÁ HẠN "&amp;(TODAY()-H371)&amp;" ngày",IF(H371-TODAY()&lt;=3,IF(F371=""," · ","")&amp;"Đến hạn "&amp;IF(H371=TODAY(),"hôm nay","trong "&amp;(H371-TODAY())&amp;" ngày"),""))))))</f>
        <v/>
      </c>
      <c r="Q371">
        <f>IF(AND(E371&lt;&gt;"",R371="Có",I371&lt;&gt;"Xong",I371&lt;&gt;"Bỏ qua",ISNUMBER(H371)),H371+ROW()/100000,"")</f>
        <v/>
      </c>
      <c r="R371">
        <f>IF(M371="","",IFERROR(INDEX(SK_L,MATCH(M371,SK_A,0)),""))</f>
        <v/>
      </c>
    </row>
    <row r="372">
      <c r="A372" s="11">
        <f>IF(M372="","",IFERROR(INDEX(SK_B,MATCH(M372,SK_A,0))&amp;"",""))</f>
        <v/>
      </c>
      <c r="B372" s="24">
        <f>IF(M372="","",IFERROR(INDEX(SK_C,MATCH(M372,SK_A,0)),""))</f>
        <v/>
      </c>
      <c r="C372" s="25">
        <f>IF(O372="","",IF(O372=0,"D",IF(O372&lt;0,"D"&amp;O372,"D+"&amp;O372)))</f>
        <v/>
      </c>
      <c r="D372" s="13" t="n"/>
      <c r="E372" s="11" t="n"/>
      <c r="F372" s="26" t="n"/>
      <c r="G372" s="13" t="n"/>
      <c r="H372" s="12">
        <f>IF(OR(B372="",O372=""),"",IF(O372&gt;0,IF(P372="Làm việc",WORKDAY(IFERROR(IF(INDEX(SK_D,MATCH(M372,SK_A,0))="",B372,INDEX(SK_D,MATCH(M372,SK_A,0))),B372),O372,HOLI),IFERROR(IF(INDEX(SK_D,MATCH(M372,SK_A,0))="",B372,INDEX(SK_D,MATCH(M372,SK_A,0))),B372)+O372),B372+O372))</f>
        <v/>
      </c>
      <c r="I372" s="13" t="n"/>
      <c r="J372" s="12" t="n"/>
      <c r="K372" s="11" t="n"/>
      <c r="L372" s="27">
        <f>IF(E372="","",IF(I372="Bỏ qua","—",IF(I372="Xong",IF(AND(ISNUMBER(J372),ISNUMBER(H372),J372&gt;H372),"Xong trễ","Xong"),IF(F372="","CHƯA GIAO","")&amp;IF(NOT(ISNUMBER(H372)),"",IF(TODAY()&gt;H372,IF(F372=""," · ","")&amp;"QUÁ HẠN "&amp;(TODAY()-H372)&amp;" ngày",IF(H372-TODAY()&lt;=3,IF(F372=""," · ","")&amp;"Đến hạn "&amp;IF(H372=TODAY(),"hôm nay","trong "&amp;(H372-TODAY())&amp;" ngày"),""))))))</f>
        <v/>
      </c>
      <c r="Q372">
        <f>IF(AND(E372&lt;&gt;"",R372="Có",I372&lt;&gt;"Xong",I372&lt;&gt;"Bỏ qua",ISNUMBER(H372)),H372+ROW()/100000,"")</f>
        <v/>
      </c>
      <c r="R372">
        <f>IF(M372="","",IFERROR(INDEX(SK_L,MATCH(M372,SK_A,0)),""))</f>
        <v/>
      </c>
    </row>
    <row r="373">
      <c r="A373" s="11">
        <f>IF(M373="","",IFERROR(INDEX(SK_B,MATCH(M373,SK_A,0))&amp;"",""))</f>
        <v/>
      </c>
      <c r="B373" s="24">
        <f>IF(M373="","",IFERROR(INDEX(SK_C,MATCH(M373,SK_A,0)),""))</f>
        <v/>
      </c>
      <c r="C373" s="25">
        <f>IF(O373="","",IF(O373=0,"D",IF(O373&lt;0,"D"&amp;O373,"D+"&amp;O373)))</f>
        <v/>
      </c>
      <c r="D373" s="13" t="n"/>
      <c r="E373" s="11" t="n"/>
      <c r="F373" s="26" t="n"/>
      <c r="G373" s="13" t="n"/>
      <c r="H373" s="12">
        <f>IF(OR(B373="",O373=""),"",IF(O373&gt;0,IF(P373="Làm việc",WORKDAY(IFERROR(IF(INDEX(SK_D,MATCH(M373,SK_A,0))="",B373,INDEX(SK_D,MATCH(M373,SK_A,0))),B373),O373,HOLI),IFERROR(IF(INDEX(SK_D,MATCH(M373,SK_A,0))="",B373,INDEX(SK_D,MATCH(M373,SK_A,0))),B373)+O373),B373+O373))</f>
        <v/>
      </c>
      <c r="I373" s="13" t="n"/>
      <c r="J373" s="12" t="n"/>
      <c r="K373" s="11" t="n"/>
      <c r="L373" s="27">
        <f>IF(E373="","",IF(I373="Bỏ qua","—",IF(I373="Xong",IF(AND(ISNUMBER(J373),ISNUMBER(H373),J373&gt;H373),"Xong trễ","Xong"),IF(F373="","CHƯA GIAO","")&amp;IF(NOT(ISNUMBER(H373)),"",IF(TODAY()&gt;H373,IF(F373=""," · ","")&amp;"QUÁ HẠN "&amp;(TODAY()-H373)&amp;" ngày",IF(H373-TODAY()&lt;=3,IF(F373=""," · ","")&amp;"Đến hạn "&amp;IF(H373=TODAY(),"hôm nay","trong "&amp;(H373-TODAY())&amp;" ngày"),""))))))</f>
        <v/>
      </c>
      <c r="Q373">
        <f>IF(AND(E373&lt;&gt;"",R373="Có",I373&lt;&gt;"Xong",I373&lt;&gt;"Bỏ qua",ISNUMBER(H373)),H373+ROW()/100000,"")</f>
        <v/>
      </c>
      <c r="R373">
        <f>IF(M373="","",IFERROR(INDEX(SK_L,MATCH(M373,SK_A,0)),""))</f>
        <v/>
      </c>
    </row>
    <row r="374">
      <c r="A374" s="11">
        <f>IF(M374="","",IFERROR(INDEX(SK_B,MATCH(M374,SK_A,0))&amp;"",""))</f>
        <v/>
      </c>
      <c r="B374" s="24">
        <f>IF(M374="","",IFERROR(INDEX(SK_C,MATCH(M374,SK_A,0)),""))</f>
        <v/>
      </c>
      <c r="C374" s="25">
        <f>IF(O374="","",IF(O374=0,"D",IF(O374&lt;0,"D"&amp;O374,"D+"&amp;O374)))</f>
        <v/>
      </c>
      <c r="D374" s="13" t="n"/>
      <c r="E374" s="11" t="n"/>
      <c r="F374" s="26" t="n"/>
      <c r="G374" s="13" t="n"/>
      <c r="H374" s="12">
        <f>IF(OR(B374="",O374=""),"",IF(O374&gt;0,IF(P374="Làm việc",WORKDAY(IFERROR(IF(INDEX(SK_D,MATCH(M374,SK_A,0))="",B374,INDEX(SK_D,MATCH(M374,SK_A,0))),B374),O374,HOLI),IFERROR(IF(INDEX(SK_D,MATCH(M374,SK_A,0))="",B374,INDEX(SK_D,MATCH(M374,SK_A,0))),B374)+O374),B374+O374))</f>
        <v/>
      </c>
      <c r="I374" s="13" t="n"/>
      <c r="J374" s="12" t="n"/>
      <c r="K374" s="11" t="n"/>
      <c r="L374" s="27">
        <f>IF(E374="","",IF(I374="Bỏ qua","—",IF(I374="Xong",IF(AND(ISNUMBER(J374),ISNUMBER(H374),J374&gt;H374),"Xong trễ","Xong"),IF(F374="","CHƯA GIAO","")&amp;IF(NOT(ISNUMBER(H374)),"",IF(TODAY()&gt;H374,IF(F374=""," · ","")&amp;"QUÁ HẠN "&amp;(TODAY()-H374)&amp;" ngày",IF(H374-TODAY()&lt;=3,IF(F374=""," · ","")&amp;"Đến hạn "&amp;IF(H374=TODAY(),"hôm nay","trong "&amp;(H374-TODAY())&amp;" ngày"),""))))))</f>
        <v/>
      </c>
      <c r="Q374">
        <f>IF(AND(E374&lt;&gt;"",R374="Có",I374&lt;&gt;"Xong",I374&lt;&gt;"Bỏ qua",ISNUMBER(H374)),H374+ROW()/100000,"")</f>
        <v/>
      </c>
      <c r="R374">
        <f>IF(M374="","",IFERROR(INDEX(SK_L,MATCH(M374,SK_A,0)),""))</f>
        <v/>
      </c>
    </row>
    <row r="375">
      <c r="A375" s="11">
        <f>IF(M375="","",IFERROR(INDEX(SK_B,MATCH(M375,SK_A,0))&amp;"",""))</f>
        <v/>
      </c>
      <c r="B375" s="24">
        <f>IF(M375="","",IFERROR(INDEX(SK_C,MATCH(M375,SK_A,0)),""))</f>
        <v/>
      </c>
      <c r="C375" s="25">
        <f>IF(O375="","",IF(O375=0,"D",IF(O375&lt;0,"D"&amp;O375,"D+"&amp;O375)))</f>
        <v/>
      </c>
      <c r="D375" s="13" t="n"/>
      <c r="E375" s="11" t="n"/>
      <c r="F375" s="26" t="n"/>
      <c r="G375" s="13" t="n"/>
      <c r="H375" s="12">
        <f>IF(OR(B375="",O375=""),"",IF(O375&gt;0,IF(P375="Làm việc",WORKDAY(IFERROR(IF(INDEX(SK_D,MATCH(M375,SK_A,0))="",B375,INDEX(SK_D,MATCH(M375,SK_A,0))),B375),O375,HOLI),IFERROR(IF(INDEX(SK_D,MATCH(M375,SK_A,0))="",B375,INDEX(SK_D,MATCH(M375,SK_A,0))),B375)+O375),B375+O375))</f>
        <v/>
      </c>
      <c r="I375" s="13" t="n"/>
      <c r="J375" s="12" t="n"/>
      <c r="K375" s="11" t="n"/>
      <c r="L375" s="27">
        <f>IF(E375="","",IF(I375="Bỏ qua","—",IF(I375="Xong",IF(AND(ISNUMBER(J375),ISNUMBER(H375),J375&gt;H375),"Xong trễ","Xong"),IF(F375="","CHƯA GIAO","")&amp;IF(NOT(ISNUMBER(H375)),"",IF(TODAY()&gt;H375,IF(F375=""," · ","")&amp;"QUÁ HẠN "&amp;(TODAY()-H375)&amp;" ngày",IF(H375-TODAY()&lt;=3,IF(F375=""," · ","")&amp;"Đến hạn "&amp;IF(H375=TODAY(),"hôm nay","trong "&amp;(H375-TODAY())&amp;" ngày"),""))))))</f>
        <v/>
      </c>
      <c r="Q375">
        <f>IF(AND(E375&lt;&gt;"",R375="Có",I375&lt;&gt;"Xong",I375&lt;&gt;"Bỏ qua",ISNUMBER(H375)),H375+ROW()/100000,"")</f>
        <v/>
      </c>
      <c r="R375">
        <f>IF(M375="","",IFERROR(INDEX(SK_L,MATCH(M375,SK_A,0)),""))</f>
        <v/>
      </c>
    </row>
    <row r="376">
      <c r="A376" s="11">
        <f>IF(M376="","",IFERROR(INDEX(SK_B,MATCH(M376,SK_A,0))&amp;"",""))</f>
        <v/>
      </c>
      <c r="B376" s="24">
        <f>IF(M376="","",IFERROR(INDEX(SK_C,MATCH(M376,SK_A,0)),""))</f>
        <v/>
      </c>
      <c r="C376" s="25">
        <f>IF(O376="","",IF(O376=0,"D",IF(O376&lt;0,"D"&amp;O376,"D+"&amp;O376)))</f>
        <v/>
      </c>
      <c r="D376" s="13" t="n"/>
      <c r="E376" s="11" t="n"/>
      <c r="F376" s="26" t="n"/>
      <c r="G376" s="13" t="n"/>
      <c r="H376" s="12">
        <f>IF(OR(B376="",O376=""),"",IF(O376&gt;0,IF(P376="Làm việc",WORKDAY(IFERROR(IF(INDEX(SK_D,MATCH(M376,SK_A,0))="",B376,INDEX(SK_D,MATCH(M376,SK_A,0))),B376),O376,HOLI),IFERROR(IF(INDEX(SK_D,MATCH(M376,SK_A,0))="",B376,INDEX(SK_D,MATCH(M376,SK_A,0))),B376)+O376),B376+O376))</f>
        <v/>
      </c>
      <c r="I376" s="13" t="n"/>
      <c r="J376" s="12" t="n"/>
      <c r="K376" s="11" t="n"/>
      <c r="L376" s="27">
        <f>IF(E376="","",IF(I376="Bỏ qua","—",IF(I376="Xong",IF(AND(ISNUMBER(J376),ISNUMBER(H376),J376&gt;H376),"Xong trễ","Xong"),IF(F376="","CHƯA GIAO","")&amp;IF(NOT(ISNUMBER(H376)),"",IF(TODAY()&gt;H376,IF(F376=""," · ","")&amp;"QUÁ HẠN "&amp;(TODAY()-H376)&amp;" ngày",IF(H376-TODAY()&lt;=3,IF(F376=""," · ","")&amp;"Đến hạn "&amp;IF(H376=TODAY(),"hôm nay","trong "&amp;(H376-TODAY())&amp;" ngày"),""))))))</f>
        <v/>
      </c>
      <c r="Q376">
        <f>IF(AND(E376&lt;&gt;"",R376="Có",I376&lt;&gt;"Xong",I376&lt;&gt;"Bỏ qua",ISNUMBER(H376)),H376+ROW()/100000,"")</f>
        <v/>
      </c>
      <c r="R376">
        <f>IF(M376="","",IFERROR(INDEX(SK_L,MATCH(M376,SK_A,0)),""))</f>
        <v/>
      </c>
    </row>
    <row r="377">
      <c r="A377" s="11">
        <f>IF(M377="","",IFERROR(INDEX(SK_B,MATCH(M377,SK_A,0))&amp;"",""))</f>
        <v/>
      </c>
      <c r="B377" s="24">
        <f>IF(M377="","",IFERROR(INDEX(SK_C,MATCH(M377,SK_A,0)),""))</f>
        <v/>
      </c>
      <c r="C377" s="25">
        <f>IF(O377="","",IF(O377=0,"D",IF(O377&lt;0,"D"&amp;O377,"D+"&amp;O377)))</f>
        <v/>
      </c>
      <c r="D377" s="13" t="n"/>
      <c r="E377" s="11" t="n"/>
      <c r="F377" s="26" t="n"/>
      <c r="G377" s="13" t="n"/>
      <c r="H377" s="12">
        <f>IF(OR(B377="",O377=""),"",IF(O377&gt;0,IF(P377="Làm việc",WORKDAY(IFERROR(IF(INDEX(SK_D,MATCH(M377,SK_A,0))="",B377,INDEX(SK_D,MATCH(M377,SK_A,0))),B377),O377,HOLI),IFERROR(IF(INDEX(SK_D,MATCH(M377,SK_A,0))="",B377,INDEX(SK_D,MATCH(M377,SK_A,0))),B377)+O377),B377+O377))</f>
        <v/>
      </c>
      <c r="I377" s="13" t="n"/>
      <c r="J377" s="12" t="n"/>
      <c r="K377" s="11" t="n"/>
      <c r="L377" s="27">
        <f>IF(E377="","",IF(I377="Bỏ qua","—",IF(I377="Xong",IF(AND(ISNUMBER(J377),ISNUMBER(H377),J377&gt;H377),"Xong trễ","Xong"),IF(F377="","CHƯA GIAO","")&amp;IF(NOT(ISNUMBER(H377)),"",IF(TODAY()&gt;H377,IF(F377=""," · ","")&amp;"QUÁ HẠN "&amp;(TODAY()-H377)&amp;" ngày",IF(H377-TODAY()&lt;=3,IF(F377=""," · ","")&amp;"Đến hạn "&amp;IF(H377=TODAY(),"hôm nay","trong "&amp;(H377-TODAY())&amp;" ngày"),""))))))</f>
        <v/>
      </c>
      <c r="Q377">
        <f>IF(AND(E377&lt;&gt;"",R377="Có",I377&lt;&gt;"Xong",I377&lt;&gt;"Bỏ qua",ISNUMBER(H377)),H377+ROW()/100000,"")</f>
        <v/>
      </c>
      <c r="R377">
        <f>IF(M377="","",IFERROR(INDEX(SK_L,MATCH(M377,SK_A,0)),""))</f>
        <v/>
      </c>
    </row>
    <row r="378">
      <c r="A378" s="11">
        <f>IF(M378="","",IFERROR(INDEX(SK_B,MATCH(M378,SK_A,0))&amp;"",""))</f>
        <v/>
      </c>
      <c r="B378" s="24">
        <f>IF(M378="","",IFERROR(INDEX(SK_C,MATCH(M378,SK_A,0)),""))</f>
        <v/>
      </c>
      <c r="C378" s="25">
        <f>IF(O378="","",IF(O378=0,"D",IF(O378&lt;0,"D"&amp;O378,"D+"&amp;O378)))</f>
        <v/>
      </c>
      <c r="D378" s="13" t="n"/>
      <c r="E378" s="11" t="n"/>
      <c r="F378" s="26" t="n"/>
      <c r="G378" s="13" t="n"/>
      <c r="H378" s="12">
        <f>IF(OR(B378="",O378=""),"",IF(O378&gt;0,IF(P378="Làm việc",WORKDAY(IFERROR(IF(INDEX(SK_D,MATCH(M378,SK_A,0))="",B378,INDEX(SK_D,MATCH(M378,SK_A,0))),B378),O378,HOLI),IFERROR(IF(INDEX(SK_D,MATCH(M378,SK_A,0))="",B378,INDEX(SK_D,MATCH(M378,SK_A,0))),B378)+O378),B378+O378))</f>
        <v/>
      </c>
      <c r="I378" s="13" t="n"/>
      <c r="J378" s="12" t="n"/>
      <c r="K378" s="11" t="n"/>
      <c r="L378" s="27">
        <f>IF(E378="","",IF(I378="Bỏ qua","—",IF(I378="Xong",IF(AND(ISNUMBER(J378),ISNUMBER(H378),J378&gt;H378),"Xong trễ","Xong"),IF(F378="","CHƯA GIAO","")&amp;IF(NOT(ISNUMBER(H378)),"",IF(TODAY()&gt;H378,IF(F378=""," · ","")&amp;"QUÁ HẠN "&amp;(TODAY()-H378)&amp;" ngày",IF(H378-TODAY()&lt;=3,IF(F378=""," · ","")&amp;"Đến hạn "&amp;IF(H378=TODAY(),"hôm nay","trong "&amp;(H378-TODAY())&amp;" ngày"),""))))))</f>
        <v/>
      </c>
      <c r="Q378">
        <f>IF(AND(E378&lt;&gt;"",R378="Có",I378&lt;&gt;"Xong",I378&lt;&gt;"Bỏ qua",ISNUMBER(H378)),H378+ROW()/100000,"")</f>
        <v/>
      </c>
      <c r="R378">
        <f>IF(M378="","",IFERROR(INDEX(SK_L,MATCH(M378,SK_A,0)),""))</f>
        <v/>
      </c>
    </row>
    <row r="379">
      <c r="A379" s="11">
        <f>IF(M379="","",IFERROR(INDEX(SK_B,MATCH(M379,SK_A,0))&amp;"",""))</f>
        <v/>
      </c>
      <c r="B379" s="24">
        <f>IF(M379="","",IFERROR(INDEX(SK_C,MATCH(M379,SK_A,0)),""))</f>
        <v/>
      </c>
      <c r="C379" s="25">
        <f>IF(O379="","",IF(O379=0,"D",IF(O379&lt;0,"D"&amp;O379,"D+"&amp;O379)))</f>
        <v/>
      </c>
      <c r="D379" s="13" t="n"/>
      <c r="E379" s="11" t="n"/>
      <c r="F379" s="26" t="n"/>
      <c r="G379" s="13" t="n"/>
      <c r="H379" s="12">
        <f>IF(OR(B379="",O379=""),"",IF(O379&gt;0,IF(P379="Làm việc",WORKDAY(IFERROR(IF(INDEX(SK_D,MATCH(M379,SK_A,0))="",B379,INDEX(SK_D,MATCH(M379,SK_A,0))),B379),O379,HOLI),IFERROR(IF(INDEX(SK_D,MATCH(M379,SK_A,0))="",B379,INDEX(SK_D,MATCH(M379,SK_A,0))),B379)+O379),B379+O379))</f>
        <v/>
      </c>
      <c r="I379" s="13" t="n"/>
      <c r="J379" s="12" t="n"/>
      <c r="K379" s="11" t="n"/>
      <c r="L379" s="27">
        <f>IF(E379="","",IF(I379="Bỏ qua","—",IF(I379="Xong",IF(AND(ISNUMBER(J379),ISNUMBER(H379),J379&gt;H379),"Xong trễ","Xong"),IF(F379="","CHƯA GIAO","")&amp;IF(NOT(ISNUMBER(H379)),"",IF(TODAY()&gt;H379,IF(F379=""," · ","")&amp;"QUÁ HẠN "&amp;(TODAY()-H379)&amp;" ngày",IF(H379-TODAY()&lt;=3,IF(F379=""," · ","")&amp;"Đến hạn "&amp;IF(H379=TODAY(),"hôm nay","trong "&amp;(H379-TODAY())&amp;" ngày"),""))))))</f>
        <v/>
      </c>
      <c r="Q379">
        <f>IF(AND(E379&lt;&gt;"",R379="Có",I379&lt;&gt;"Xong",I379&lt;&gt;"Bỏ qua",ISNUMBER(H379)),H379+ROW()/100000,"")</f>
        <v/>
      </c>
      <c r="R379">
        <f>IF(M379="","",IFERROR(INDEX(SK_L,MATCH(M379,SK_A,0)),""))</f>
        <v/>
      </c>
    </row>
    <row r="380">
      <c r="A380" s="11">
        <f>IF(M380="","",IFERROR(INDEX(SK_B,MATCH(M380,SK_A,0))&amp;"",""))</f>
        <v/>
      </c>
      <c r="B380" s="24">
        <f>IF(M380="","",IFERROR(INDEX(SK_C,MATCH(M380,SK_A,0)),""))</f>
        <v/>
      </c>
      <c r="C380" s="25">
        <f>IF(O380="","",IF(O380=0,"D",IF(O380&lt;0,"D"&amp;O380,"D+"&amp;O380)))</f>
        <v/>
      </c>
      <c r="D380" s="13" t="n"/>
      <c r="E380" s="11" t="n"/>
      <c r="F380" s="26" t="n"/>
      <c r="G380" s="13" t="n"/>
      <c r="H380" s="12">
        <f>IF(OR(B380="",O380=""),"",IF(O380&gt;0,IF(P380="Làm việc",WORKDAY(IFERROR(IF(INDEX(SK_D,MATCH(M380,SK_A,0))="",B380,INDEX(SK_D,MATCH(M380,SK_A,0))),B380),O380,HOLI),IFERROR(IF(INDEX(SK_D,MATCH(M380,SK_A,0))="",B380,INDEX(SK_D,MATCH(M380,SK_A,0))),B380)+O380),B380+O380))</f>
        <v/>
      </c>
      <c r="I380" s="13" t="n"/>
      <c r="J380" s="12" t="n"/>
      <c r="K380" s="11" t="n"/>
      <c r="L380" s="27">
        <f>IF(E380="","",IF(I380="Bỏ qua","—",IF(I380="Xong",IF(AND(ISNUMBER(J380),ISNUMBER(H380),J380&gt;H380),"Xong trễ","Xong"),IF(F380="","CHƯA GIAO","")&amp;IF(NOT(ISNUMBER(H380)),"",IF(TODAY()&gt;H380,IF(F380=""," · ","")&amp;"QUÁ HẠN "&amp;(TODAY()-H380)&amp;" ngày",IF(H380-TODAY()&lt;=3,IF(F380=""," · ","")&amp;"Đến hạn "&amp;IF(H380=TODAY(),"hôm nay","trong "&amp;(H380-TODAY())&amp;" ngày"),""))))))</f>
        <v/>
      </c>
      <c r="Q380">
        <f>IF(AND(E380&lt;&gt;"",R380="Có",I380&lt;&gt;"Xong",I380&lt;&gt;"Bỏ qua",ISNUMBER(H380)),H380+ROW()/100000,"")</f>
        <v/>
      </c>
      <c r="R380">
        <f>IF(M380="","",IFERROR(INDEX(SK_L,MATCH(M380,SK_A,0)),""))</f>
        <v/>
      </c>
    </row>
    <row r="381">
      <c r="A381" s="11">
        <f>IF(M381="","",IFERROR(INDEX(SK_B,MATCH(M381,SK_A,0))&amp;"",""))</f>
        <v/>
      </c>
      <c r="B381" s="24">
        <f>IF(M381="","",IFERROR(INDEX(SK_C,MATCH(M381,SK_A,0)),""))</f>
        <v/>
      </c>
      <c r="C381" s="25">
        <f>IF(O381="","",IF(O381=0,"D",IF(O381&lt;0,"D"&amp;O381,"D+"&amp;O381)))</f>
        <v/>
      </c>
      <c r="D381" s="13" t="n"/>
      <c r="E381" s="11" t="n"/>
      <c r="F381" s="26" t="n"/>
      <c r="G381" s="13" t="n"/>
      <c r="H381" s="12">
        <f>IF(OR(B381="",O381=""),"",IF(O381&gt;0,IF(P381="Làm việc",WORKDAY(IFERROR(IF(INDEX(SK_D,MATCH(M381,SK_A,0))="",B381,INDEX(SK_D,MATCH(M381,SK_A,0))),B381),O381,HOLI),IFERROR(IF(INDEX(SK_D,MATCH(M381,SK_A,0))="",B381,INDEX(SK_D,MATCH(M381,SK_A,0))),B381)+O381),B381+O381))</f>
        <v/>
      </c>
      <c r="I381" s="13" t="n"/>
      <c r="J381" s="12" t="n"/>
      <c r="K381" s="11" t="n"/>
      <c r="L381" s="27">
        <f>IF(E381="","",IF(I381="Bỏ qua","—",IF(I381="Xong",IF(AND(ISNUMBER(J381),ISNUMBER(H381),J381&gt;H381),"Xong trễ","Xong"),IF(F381="","CHƯA GIAO","")&amp;IF(NOT(ISNUMBER(H381)),"",IF(TODAY()&gt;H381,IF(F381=""," · ","")&amp;"QUÁ HẠN "&amp;(TODAY()-H381)&amp;" ngày",IF(H381-TODAY()&lt;=3,IF(F381=""," · ","")&amp;"Đến hạn "&amp;IF(H381=TODAY(),"hôm nay","trong "&amp;(H381-TODAY())&amp;" ngày"),""))))))</f>
        <v/>
      </c>
      <c r="Q381">
        <f>IF(AND(E381&lt;&gt;"",R381="Có",I381&lt;&gt;"Xong",I381&lt;&gt;"Bỏ qua",ISNUMBER(H381)),H381+ROW()/100000,"")</f>
        <v/>
      </c>
      <c r="R381">
        <f>IF(M381="","",IFERROR(INDEX(SK_L,MATCH(M381,SK_A,0)),""))</f>
        <v/>
      </c>
    </row>
    <row r="382">
      <c r="A382" s="11">
        <f>IF(M382="","",IFERROR(INDEX(SK_B,MATCH(M382,SK_A,0))&amp;"",""))</f>
        <v/>
      </c>
      <c r="B382" s="24">
        <f>IF(M382="","",IFERROR(INDEX(SK_C,MATCH(M382,SK_A,0)),""))</f>
        <v/>
      </c>
      <c r="C382" s="25">
        <f>IF(O382="","",IF(O382=0,"D",IF(O382&lt;0,"D"&amp;O382,"D+"&amp;O382)))</f>
        <v/>
      </c>
      <c r="D382" s="13" t="n"/>
      <c r="E382" s="11" t="n"/>
      <c r="F382" s="26" t="n"/>
      <c r="G382" s="13" t="n"/>
      <c r="H382" s="12">
        <f>IF(OR(B382="",O382=""),"",IF(O382&gt;0,IF(P382="Làm việc",WORKDAY(IFERROR(IF(INDEX(SK_D,MATCH(M382,SK_A,0))="",B382,INDEX(SK_D,MATCH(M382,SK_A,0))),B382),O382,HOLI),IFERROR(IF(INDEX(SK_D,MATCH(M382,SK_A,0))="",B382,INDEX(SK_D,MATCH(M382,SK_A,0))),B382)+O382),B382+O382))</f>
        <v/>
      </c>
      <c r="I382" s="13" t="n"/>
      <c r="J382" s="12" t="n"/>
      <c r="K382" s="11" t="n"/>
      <c r="L382" s="27">
        <f>IF(E382="","",IF(I382="Bỏ qua","—",IF(I382="Xong",IF(AND(ISNUMBER(J382),ISNUMBER(H382),J382&gt;H382),"Xong trễ","Xong"),IF(F382="","CHƯA GIAO","")&amp;IF(NOT(ISNUMBER(H382)),"",IF(TODAY()&gt;H382,IF(F382=""," · ","")&amp;"QUÁ HẠN "&amp;(TODAY()-H382)&amp;" ngày",IF(H382-TODAY()&lt;=3,IF(F382=""," · ","")&amp;"Đến hạn "&amp;IF(H382=TODAY(),"hôm nay","trong "&amp;(H382-TODAY())&amp;" ngày"),""))))))</f>
        <v/>
      </c>
      <c r="Q382">
        <f>IF(AND(E382&lt;&gt;"",R382="Có",I382&lt;&gt;"Xong",I382&lt;&gt;"Bỏ qua",ISNUMBER(H382)),H382+ROW()/100000,"")</f>
        <v/>
      </c>
      <c r="R382">
        <f>IF(M382="","",IFERROR(INDEX(SK_L,MATCH(M382,SK_A,0)),""))</f>
        <v/>
      </c>
    </row>
    <row r="383">
      <c r="A383" s="11">
        <f>IF(M383="","",IFERROR(INDEX(SK_B,MATCH(M383,SK_A,0))&amp;"",""))</f>
        <v/>
      </c>
      <c r="B383" s="24">
        <f>IF(M383="","",IFERROR(INDEX(SK_C,MATCH(M383,SK_A,0)),""))</f>
        <v/>
      </c>
      <c r="C383" s="25">
        <f>IF(O383="","",IF(O383=0,"D",IF(O383&lt;0,"D"&amp;O383,"D+"&amp;O383)))</f>
        <v/>
      </c>
      <c r="D383" s="13" t="n"/>
      <c r="E383" s="11" t="n"/>
      <c r="F383" s="26" t="n"/>
      <c r="G383" s="13" t="n"/>
      <c r="H383" s="12">
        <f>IF(OR(B383="",O383=""),"",IF(O383&gt;0,IF(P383="Làm việc",WORKDAY(IFERROR(IF(INDEX(SK_D,MATCH(M383,SK_A,0))="",B383,INDEX(SK_D,MATCH(M383,SK_A,0))),B383),O383,HOLI),IFERROR(IF(INDEX(SK_D,MATCH(M383,SK_A,0))="",B383,INDEX(SK_D,MATCH(M383,SK_A,0))),B383)+O383),B383+O383))</f>
        <v/>
      </c>
      <c r="I383" s="13" t="n"/>
      <c r="J383" s="12" t="n"/>
      <c r="K383" s="11" t="n"/>
      <c r="L383" s="27">
        <f>IF(E383="","",IF(I383="Bỏ qua","—",IF(I383="Xong",IF(AND(ISNUMBER(J383),ISNUMBER(H383),J383&gt;H383),"Xong trễ","Xong"),IF(F383="","CHƯA GIAO","")&amp;IF(NOT(ISNUMBER(H383)),"",IF(TODAY()&gt;H383,IF(F383=""," · ","")&amp;"QUÁ HẠN "&amp;(TODAY()-H383)&amp;" ngày",IF(H383-TODAY()&lt;=3,IF(F383=""," · ","")&amp;"Đến hạn "&amp;IF(H383=TODAY(),"hôm nay","trong "&amp;(H383-TODAY())&amp;" ngày"),""))))))</f>
        <v/>
      </c>
      <c r="Q383">
        <f>IF(AND(E383&lt;&gt;"",R383="Có",I383&lt;&gt;"Xong",I383&lt;&gt;"Bỏ qua",ISNUMBER(H383)),H383+ROW()/100000,"")</f>
        <v/>
      </c>
      <c r="R383">
        <f>IF(M383="","",IFERROR(INDEX(SK_L,MATCH(M383,SK_A,0)),""))</f>
        <v/>
      </c>
    </row>
    <row r="384">
      <c r="A384" s="11">
        <f>IF(M384="","",IFERROR(INDEX(SK_B,MATCH(M384,SK_A,0))&amp;"",""))</f>
        <v/>
      </c>
      <c r="B384" s="24">
        <f>IF(M384="","",IFERROR(INDEX(SK_C,MATCH(M384,SK_A,0)),""))</f>
        <v/>
      </c>
      <c r="C384" s="25">
        <f>IF(O384="","",IF(O384=0,"D",IF(O384&lt;0,"D"&amp;O384,"D+"&amp;O384)))</f>
        <v/>
      </c>
      <c r="D384" s="13" t="n"/>
      <c r="E384" s="11" t="n"/>
      <c r="F384" s="26" t="n"/>
      <c r="G384" s="13" t="n"/>
      <c r="H384" s="12">
        <f>IF(OR(B384="",O384=""),"",IF(O384&gt;0,IF(P384="Làm việc",WORKDAY(IFERROR(IF(INDEX(SK_D,MATCH(M384,SK_A,0))="",B384,INDEX(SK_D,MATCH(M384,SK_A,0))),B384),O384,HOLI),IFERROR(IF(INDEX(SK_D,MATCH(M384,SK_A,0))="",B384,INDEX(SK_D,MATCH(M384,SK_A,0))),B384)+O384),B384+O384))</f>
        <v/>
      </c>
      <c r="I384" s="13" t="n"/>
      <c r="J384" s="12" t="n"/>
      <c r="K384" s="11" t="n"/>
      <c r="L384" s="27">
        <f>IF(E384="","",IF(I384="Bỏ qua","—",IF(I384="Xong",IF(AND(ISNUMBER(J384),ISNUMBER(H384),J384&gt;H384),"Xong trễ","Xong"),IF(F384="","CHƯA GIAO","")&amp;IF(NOT(ISNUMBER(H384)),"",IF(TODAY()&gt;H384,IF(F384=""," · ","")&amp;"QUÁ HẠN "&amp;(TODAY()-H384)&amp;" ngày",IF(H384-TODAY()&lt;=3,IF(F384=""," · ","")&amp;"Đến hạn "&amp;IF(H384=TODAY(),"hôm nay","trong "&amp;(H384-TODAY())&amp;" ngày"),""))))))</f>
        <v/>
      </c>
      <c r="Q384">
        <f>IF(AND(E384&lt;&gt;"",R384="Có",I384&lt;&gt;"Xong",I384&lt;&gt;"Bỏ qua",ISNUMBER(H384)),H384+ROW()/100000,"")</f>
        <v/>
      </c>
      <c r="R384">
        <f>IF(M384="","",IFERROR(INDEX(SK_L,MATCH(M384,SK_A,0)),""))</f>
        <v/>
      </c>
    </row>
    <row r="385">
      <c r="A385" s="11">
        <f>IF(M385="","",IFERROR(INDEX(SK_B,MATCH(M385,SK_A,0))&amp;"",""))</f>
        <v/>
      </c>
      <c r="B385" s="24">
        <f>IF(M385="","",IFERROR(INDEX(SK_C,MATCH(M385,SK_A,0)),""))</f>
        <v/>
      </c>
      <c r="C385" s="25">
        <f>IF(O385="","",IF(O385=0,"D",IF(O385&lt;0,"D"&amp;O385,"D+"&amp;O385)))</f>
        <v/>
      </c>
      <c r="D385" s="13" t="n"/>
      <c r="E385" s="11" t="n"/>
      <c r="F385" s="26" t="n"/>
      <c r="G385" s="13" t="n"/>
      <c r="H385" s="12">
        <f>IF(OR(B385="",O385=""),"",IF(O385&gt;0,IF(P385="Làm việc",WORKDAY(IFERROR(IF(INDEX(SK_D,MATCH(M385,SK_A,0))="",B385,INDEX(SK_D,MATCH(M385,SK_A,0))),B385),O385,HOLI),IFERROR(IF(INDEX(SK_D,MATCH(M385,SK_A,0))="",B385,INDEX(SK_D,MATCH(M385,SK_A,0))),B385)+O385),B385+O385))</f>
        <v/>
      </c>
      <c r="I385" s="13" t="n"/>
      <c r="J385" s="12" t="n"/>
      <c r="K385" s="11" t="n"/>
      <c r="L385" s="27">
        <f>IF(E385="","",IF(I385="Bỏ qua","—",IF(I385="Xong",IF(AND(ISNUMBER(J385),ISNUMBER(H385),J385&gt;H385),"Xong trễ","Xong"),IF(F385="","CHƯA GIAO","")&amp;IF(NOT(ISNUMBER(H385)),"",IF(TODAY()&gt;H385,IF(F385=""," · ","")&amp;"QUÁ HẠN "&amp;(TODAY()-H385)&amp;" ngày",IF(H385-TODAY()&lt;=3,IF(F385=""," · ","")&amp;"Đến hạn "&amp;IF(H385=TODAY(),"hôm nay","trong "&amp;(H385-TODAY())&amp;" ngày"),""))))))</f>
        <v/>
      </c>
      <c r="Q385">
        <f>IF(AND(E385&lt;&gt;"",R385="Có",I385&lt;&gt;"Xong",I385&lt;&gt;"Bỏ qua",ISNUMBER(H385)),H385+ROW()/100000,"")</f>
        <v/>
      </c>
      <c r="R385">
        <f>IF(M385="","",IFERROR(INDEX(SK_L,MATCH(M385,SK_A,0)),""))</f>
        <v/>
      </c>
    </row>
    <row r="386">
      <c r="A386" s="11">
        <f>IF(M386="","",IFERROR(INDEX(SK_B,MATCH(M386,SK_A,0))&amp;"",""))</f>
        <v/>
      </c>
      <c r="B386" s="24">
        <f>IF(M386="","",IFERROR(INDEX(SK_C,MATCH(M386,SK_A,0)),""))</f>
        <v/>
      </c>
      <c r="C386" s="25">
        <f>IF(O386="","",IF(O386=0,"D",IF(O386&lt;0,"D"&amp;O386,"D+"&amp;O386)))</f>
        <v/>
      </c>
      <c r="D386" s="13" t="n"/>
      <c r="E386" s="11" t="n"/>
      <c r="F386" s="26" t="n"/>
      <c r="G386" s="13" t="n"/>
      <c r="H386" s="12">
        <f>IF(OR(B386="",O386=""),"",IF(O386&gt;0,IF(P386="Làm việc",WORKDAY(IFERROR(IF(INDEX(SK_D,MATCH(M386,SK_A,0))="",B386,INDEX(SK_D,MATCH(M386,SK_A,0))),B386),O386,HOLI),IFERROR(IF(INDEX(SK_D,MATCH(M386,SK_A,0))="",B386,INDEX(SK_D,MATCH(M386,SK_A,0))),B386)+O386),B386+O386))</f>
        <v/>
      </c>
      <c r="I386" s="13" t="n"/>
      <c r="J386" s="12" t="n"/>
      <c r="K386" s="11" t="n"/>
      <c r="L386" s="27">
        <f>IF(E386="","",IF(I386="Bỏ qua","—",IF(I386="Xong",IF(AND(ISNUMBER(J386),ISNUMBER(H386),J386&gt;H386),"Xong trễ","Xong"),IF(F386="","CHƯA GIAO","")&amp;IF(NOT(ISNUMBER(H386)),"",IF(TODAY()&gt;H386,IF(F386=""," · ","")&amp;"QUÁ HẠN "&amp;(TODAY()-H386)&amp;" ngày",IF(H386-TODAY()&lt;=3,IF(F386=""," · ","")&amp;"Đến hạn "&amp;IF(H386=TODAY(),"hôm nay","trong "&amp;(H386-TODAY())&amp;" ngày"),""))))))</f>
        <v/>
      </c>
      <c r="Q386">
        <f>IF(AND(E386&lt;&gt;"",R386="Có",I386&lt;&gt;"Xong",I386&lt;&gt;"Bỏ qua",ISNUMBER(H386)),H386+ROW()/100000,"")</f>
        <v/>
      </c>
      <c r="R386">
        <f>IF(M386="","",IFERROR(INDEX(SK_L,MATCH(M386,SK_A,0)),""))</f>
        <v/>
      </c>
    </row>
    <row r="387">
      <c r="A387" s="11">
        <f>IF(M387="","",IFERROR(INDEX(SK_B,MATCH(M387,SK_A,0))&amp;"",""))</f>
        <v/>
      </c>
      <c r="B387" s="24">
        <f>IF(M387="","",IFERROR(INDEX(SK_C,MATCH(M387,SK_A,0)),""))</f>
        <v/>
      </c>
      <c r="C387" s="25">
        <f>IF(O387="","",IF(O387=0,"D",IF(O387&lt;0,"D"&amp;O387,"D+"&amp;O387)))</f>
        <v/>
      </c>
      <c r="D387" s="13" t="n"/>
      <c r="E387" s="11" t="n"/>
      <c r="F387" s="26" t="n"/>
      <c r="G387" s="13" t="n"/>
      <c r="H387" s="12">
        <f>IF(OR(B387="",O387=""),"",IF(O387&gt;0,IF(P387="Làm việc",WORKDAY(IFERROR(IF(INDEX(SK_D,MATCH(M387,SK_A,0))="",B387,INDEX(SK_D,MATCH(M387,SK_A,0))),B387),O387,HOLI),IFERROR(IF(INDEX(SK_D,MATCH(M387,SK_A,0))="",B387,INDEX(SK_D,MATCH(M387,SK_A,0))),B387)+O387),B387+O387))</f>
        <v/>
      </c>
      <c r="I387" s="13" t="n"/>
      <c r="J387" s="12" t="n"/>
      <c r="K387" s="11" t="n"/>
      <c r="L387" s="27">
        <f>IF(E387="","",IF(I387="Bỏ qua","—",IF(I387="Xong",IF(AND(ISNUMBER(J387),ISNUMBER(H387),J387&gt;H387),"Xong trễ","Xong"),IF(F387="","CHƯA GIAO","")&amp;IF(NOT(ISNUMBER(H387)),"",IF(TODAY()&gt;H387,IF(F387=""," · ","")&amp;"QUÁ HẠN "&amp;(TODAY()-H387)&amp;" ngày",IF(H387-TODAY()&lt;=3,IF(F387=""," · ","")&amp;"Đến hạn "&amp;IF(H387=TODAY(),"hôm nay","trong "&amp;(H387-TODAY())&amp;" ngày"),""))))))</f>
        <v/>
      </c>
      <c r="Q387">
        <f>IF(AND(E387&lt;&gt;"",R387="Có",I387&lt;&gt;"Xong",I387&lt;&gt;"Bỏ qua",ISNUMBER(H387)),H387+ROW()/100000,"")</f>
        <v/>
      </c>
      <c r="R387">
        <f>IF(M387="","",IFERROR(INDEX(SK_L,MATCH(M387,SK_A,0)),""))</f>
        <v/>
      </c>
    </row>
    <row r="388">
      <c r="A388" s="11">
        <f>IF(M388="","",IFERROR(INDEX(SK_B,MATCH(M388,SK_A,0))&amp;"",""))</f>
        <v/>
      </c>
      <c r="B388" s="24">
        <f>IF(M388="","",IFERROR(INDEX(SK_C,MATCH(M388,SK_A,0)),""))</f>
        <v/>
      </c>
      <c r="C388" s="25">
        <f>IF(O388="","",IF(O388=0,"D",IF(O388&lt;0,"D"&amp;O388,"D+"&amp;O388)))</f>
        <v/>
      </c>
      <c r="D388" s="13" t="n"/>
      <c r="E388" s="11" t="n"/>
      <c r="F388" s="26" t="n"/>
      <c r="G388" s="13" t="n"/>
      <c r="H388" s="12">
        <f>IF(OR(B388="",O388=""),"",IF(O388&gt;0,IF(P388="Làm việc",WORKDAY(IFERROR(IF(INDEX(SK_D,MATCH(M388,SK_A,0))="",B388,INDEX(SK_D,MATCH(M388,SK_A,0))),B388),O388,HOLI),IFERROR(IF(INDEX(SK_D,MATCH(M388,SK_A,0))="",B388,INDEX(SK_D,MATCH(M388,SK_A,0))),B388)+O388),B388+O388))</f>
        <v/>
      </c>
      <c r="I388" s="13" t="n"/>
      <c r="J388" s="12" t="n"/>
      <c r="K388" s="11" t="n"/>
      <c r="L388" s="27">
        <f>IF(E388="","",IF(I388="Bỏ qua","—",IF(I388="Xong",IF(AND(ISNUMBER(J388),ISNUMBER(H388),J388&gt;H388),"Xong trễ","Xong"),IF(F388="","CHƯA GIAO","")&amp;IF(NOT(ISNUMBER(H388)),"",IF(TODAY()&gt;H388,IF(F388=""," · ","")&amp;"QUÁ HẠN "&amp;(TODAY()-H388)&amp;" ngày",IF(H388-TODAY()&lt;=3,IF(F388=""," · ","")&amp;"Đến hạn "&amp;IF(H388=TODAY(),"hôm nay","trong "&amp;(H388-TODAY())&amp;" ngày"),""))))))</f>
        <v/>
      </c>
      <c r="Q388">
        <f>IF(AND(E388&lt;&gt;"",R388="Có",I388&lt;&gt;"Xong",I388&lt;&gt;"Bỏ qua",ISNUMBER(H388)),H388+ROW()/100000,"")</f>
        <v/>
      </c>
      <c r="R388">
        <f>IF(M388="","",IFERROR(INDEX(SK_L,MATCH(M388,SK_A,0)),""))</f>
        <v/>
      </c>
    </row>
    <row r="389">
      <c r="A389" s="11">
        <f>IF(M389="","",IFERROR(INDEX(SK_B,MATCH(M389,SK_A,0))&amp;"",""))</f>
        <v/>
      </c>
      <c r="B389" s="24">
        <f>IF(M389="","",IFERROR(INDEX(SK_C,MATCH(M389,SK_A,0)),""))</f>
        <v/>
      </c>
      <c r="C389" s="25">
        <f>IF(O389="","",IF(O389=0,"D",IF(O389&lt;0,"D"&amp;O389,"D+"&amp;O389)))</f>
        <v/>
      </c>
      <c r="D389" s="13" t="n"/>
      <c r="E389" s="11" t="n"/>
      <c r="F389" s="26" t="n"/>
      <c r="G389" s="13" t="n"/>
      <c r="H389" s="12">
        <f>IF(OR(B389="",O389=""),"",IF(O389&gt;0,IF(P389="Làm việc",WORKDAY(IFERROR(IF(INDEX(SK_D,MATCH(M389,SK_A,0))="",B389,INDEX(SK_D,MATCH(M389,SK_A,0))),B389),O389,HOLI),IFERROR(IF(INDEX(SK_D,MATCH(M389,SK_A,0))="",B389,INDEX(SK_D,MATCH(M389,SK_A,0))),B389)+O389),B389+O389))</f>
        <v/>
      </c>
      <c r="I389" s="13" t="n"/>
      <c r="J389" s="12" t="n"/>
      <c r="K389" s="11" t="n"/>
      <c r="L389" s="27">
        <f>IF(E389="","",IF(I389="Bỏ qua","—",IF(I389="Xong",IF(AND(ISNUMBER(J389),ISNUMBER(H389),J389&gt;H389),"Xong trễ","Xong"),IF(F389="","CHƯA GIAO","")&amp;IF(NOT(ISNUMBER(H389)),"",IF(TODAY()&gt;H389,IF(F389=""," · ","")&amp;"QUÁ HẠN "&amp;(TODAY()-H389)&amp;" ngày",IF(H389-TODAY()&lt;=3,IF(F389=""," · ","")&amp;"Đến hạn "&amp;IF(H389=TODAY(),"hôm nay","trong "&amp;(H389-TODAY())&amp;" ngày"),""))))))</f>
        <v/>
      </c>
      <c r="Q389">
        <f>IF(AND(E389&lt;&gt;"",R389="Có",I389&lt;&gt;"Xong",I389&lt;&gt;"Bỏ qua",ISNUMBER(H389)),H389+ROW()/100000,"")</f>
        <v/>
      </c>
      <c r="R389">
        <f>IF(M389="","",IFERROR(INDEX(SK_L,MATCH(M389,SK_A,0)),""))</f>
        <v/>
      </c>
    </row>
    <row r="390">
      <c r="A390" s="11">
        <f>IF(M390="","",IFERROR(INDEX(SK_B,MATCH(M390,SK_A,0))&amp;"",""))</f>
        <v/>
      </c>
      <c r="B390" s="24">
        <f>IF(M390="","",IFERROR(INDEX(SK_C,MATCH(M390,SK_A,0)),""))</f>
        <v/>
      </c>
      <c r="C390" s="25">
        <f>IF(O390="","",IF(O390=0,"D",IF(O390&lt;0,"D"&amp;O390,"D+"&amp;O390)))</f>
        <v/>
      </c>
      <c r="D390" s="13" t="n"/>
      <c r="E390" s="11" t="n"/>
      <c r="F390" s="26" t="n"/>
      <c r="G390" s="13" t="n"/>
      <c r="H390" s="12">
        <f>IF(OR(B390="",O390=""),"",IF(O390&gt;0,IF(P390="Làm việc",WORKDAY(IFERROR(IF(INDEX(SK_D,MATCH(M390,SK_A,0))="",B390,INDEX(SK_D,MATCH(M390,SK_A,0))),B390),O390,HOLI),IFERROR(IF(INDEX(SK_D,MATCH(M390,SK_A,0))="",B390,INDEX(SK_D,MATCH(M390,SK_A,0))),B390)+O390),B390+O390))</f>
        <v/>
      </c>
      <c r="I390" s="13" t="n"/>
      <c r="J390" s="12" t="n"/>
      <c r="K390" s="11" t="n"/>
      <c r="L390" s="27">
        <f>IF(E390="","",IF(I390="Bỏ qua","—",IF(I390="Xong",IF(AND(ISNUMBER(J390),ISNUMBER(H390),J390&gt;H390),"Xong trễ","Xong"),IF(F390="","CHƯA GIAO","")&amp;IF(NOT(ISNUMBER(H390)),"",IF(TODAY()&gt;H390,IF(F390=""," · ","")&amp;"QUÁ HẠN "&amp;(TODAY()-H390)&amp;" ngày",IF(H390-TODAY()&lt;=3,IF(F390=""," · ","")&amp;"Đến hạn "&amp;IF(H390=TODAY(),"hôm nay","trong "&amp;(H390-TODAY())&amp;" ngày"),""))))))</f>
        <v/>
      </c>
      <c r="Q390">
        <f>IF(AND(E390&lt;&gt;"",R390="Có",I390&lt;&gt;"Xong",I390&lt;&gt;"Bỏ qua",ISNUMBER(H390)),H390+ROW()/100000,"")</f>
        <v/>
      </c>
      <c r="R390">
        <f>IF(M390="","",IFERROR(INDEX(SK_L,MATCH(M390,SK_A,0)),""))</f>
        <v/>
      </c>
    </row>
    <row r="391">
      <c r="A391" s="11">
        <f>IF(M391="","",IFERROR(INDEX(SK_B,MATCH(M391,SK_A,0))&amp;"",""))</f>
        <v/>
      </c>
      <c r="B391" s="24">
        <f>IF(M391="","",IFERROR(INDEX(SK_C,MATCH(M391,SK_A,0)),""))</f>
        <v/>
      </c>
      <c r="C391" s="25">
        <f>IF(O391="","",IF(O391=0,"D",IF(O391&lt;0,"D"&amp;O391,"D+"&amp;O391)))</f>
        <v/>
      </c>
      <c r="D391" s="13" t="n"/>
      <c r="E391" s="11" t="n"/>
      <c r="F391" s="26" t="n"/>
      <c r="G391" s="13" t="n"/>
      <c r="H391" s="12">
        <f>IF(OR(B391="",O391=""),"",IF(O391&gt;0,IF(P391="Làm việc",WORKDAY(IFERROR(IF(INDEX(SK_D,MATCH(M391,SK_A,0))="",B391,INDEX(SK_D,MATCH(M391,SK_A,0))),B391),O391,HOLI),IFERROR(IF(INDEX(SK_D,MATCH(M391,SK_A,0))="",B391,INDEX(SK_D,MATCH(M391,SK_A,0))),B391)+O391),B391+O391))</f>
        <v/>
      </c>
      <c r="I391" s="13" t="n"/>
      <c r="J391" s="12" t="n"/>
      <c r="K391" s="11" t="n"/>
      <c r="L391" s="27">
        <f>IF(E391="","",IF(I391="Bỏ qua","—",IF(I391="Xong",IF(AND(ISNUMBER(J391),ISNUMBER(H391),J391&gt;H391),"Xong trễ","Xong"),IF(F391="","CHƯA GIAO","")&amp;IF(NOT(ISNUMBER(H391)),"",IF(TODAY()&gt;H391,IF(F391=""," · ","")&amp;"QUÁ HẠN "&amp;(TODAY()-H391)&amp;" ngày",IF(H391-TODAY()&lt;=3,IF(F391=""," · ","")&amp;"Đến hạn "&amp;IF(H391=TODAY(),"hôm nay","trong "&amp;(H391-TODAY())&amp;" ngày"),""))))))</f>
        <v/>
      </c>
      <c r="Q391">
        <f>IF(AND(E391&lt;&gt;"",R391="Có",I391&lt;&gt;"Xong",I391&lt;&gt;"Bỏ qua",ISNUMBER(H391)),H391+ROW()/100000,"")</f>
        <v/>
      </c>
      <c r="R391">
        <f>IF(M391="","",IFERROR(INDEX(SK_L,MATCH(M391,SK_A,0)),""))</f>
        <v/>
      </c>
    </row>
    <row r="392">
      <c r="A392" s="11">
        <f>IF(M392="","",IFERROR(INDEX(SK_B,MATCH(M392,SK_A,0))&amp;"",""))</f>
        <v/>
      </c>
      <c r="B392" s="24">
        <f>IF(M392="","",IFERROR(INDEX(SK_C,MATCH(M392,SK_A,0)),""))</f>
        <v/>
      </c>
      <c r="C392" s="25">
        <f>IF(O392="","",IF(O392=0,"D",IF(O392&lt;0,"D"&amp;O392,"D+"&amp;O392)))</f>
        <v/>
      </c>
      <c r="D392" s="13" t="n"/>
      <c r="E392" s="11" t="n"/>
      <c r="F392" s="26" t="n"/>
      <c r="G392" s="13" t="n"/>
      <c r="H392" s="12">
        <f>IF(OR(B392="",O392=""),"",IF(O392&gt;0,IF(P392="Làm việc",WORKDAY(IFERROR(IF(INDEX(SK_D,MATCH(M392,SK_A,0))="",B392,INDEX(SK_D,MATCH(M392,SK_A,0))),B392),O392,HOLI),IFERROR(IF(INDEX(SK_D,MATCH(M392,SK_A,0))="",B392,INDEX(SK_D,MATCH(M392,SK_A,0))),B392)+O392),B392+O392))</f>
        <v/>
      </c>
      <c r="I392" s="13" t="n"/>
      <c r="J392" s="12" t="n"/>
      <c r="K392" s="11" t="n"/>
      <c r="L392" s="27">
        <f>IF(E392="","",IF(I392="Bỏ qua","—",IF(I392="Xong",IF(AND(ISNUMBER(J392),ISNUMBER(H392),J392&gt;H392),"Xong trễ","Xong"),IF(F392="","CHƯA GIAO","")&amp;IF(NOT(ISNUMBER(H392)),"",IF(TODAY()&gt;H392,IF(F392=""," · ","")&amp;"QUÁ HẠN "&amp;(TODAY()-H392)&amp;" ngày",IF(H392-TODAY()&lt;=3,IF(F392=""," · ","")&amp;"Đến hạn "&amp;IF(H392=TODAY(),"hôm nay","trong "&amp;(H392-TODAY())&amp;" ngày"),""))))))</f>
        <v/>
      </c>
      <c r="Q392">
        <f>IF(AND(E392&lt;&gt;"",R392="Có",I392&lt;&gt;"Xong",I392&lt;&gt;"Bỏ qua",ISNUMBER(H392)),H392+ROW()/100000,"")</f>
        <v/>
      </c>
      <c r="R392">
        <f>IF(M392="","",IFERROR(INDEX(SK_L,MATCH(M392,SK_A,0)),""))</f>
        <v/>
      </c>
    </row>
    <row r="393">
      <c r="A393" s="11">
        <f>IF(M393="","",IFERROR(INDEX(SK_B,MATCH(M393,SK_A,0))&amp;"",""))</f>
        <v/>
      </c>
      <c r="B393" s="24">
        <f>IF(M393="","",IFERROR(INDEX(SK_C,MATCH(M393,SK_A,0)),""))</f>
        <v/>
      </c>
      <c r="C393" s="25">
        <f>IF(O393="","",IF(O393=0,"D",IF(O393&lt;0,"D"&amp;O393,"D+"&amp;O393)))</f>
        <v/>
      </c>
      <c r="D393" s="13" t="n"/>
      <c r="E393" s="11" t="n"/>
      <c r="F393" s="26" t="n"/>
      <c r="G393" s="13" t="n"/>
      <c r="H393" s="12">
        <f>IF(OR(B393="",O393=""),"",IF(O393&gt;0,IF(P393="Làm việc",WORKDAY(IFERROR(IF(INDEX(SK_D,MATCH(M393,SK_A,0))="",B393,INDEX(SK_D,MATCH(M393,SK_A,0))),B393),O393,HOLI),IFERROR(IF(INDEX(SK_D,MATCH(M393,SK_A,0))="",B393,INDEX(SK_D,MATCH(M393,SK_A,0))),B393)+O393),B393+O393))</f>
        <v/>
      </c>
      <c r="I393" s="13" t="n"/>
      <c r="J393" s="12" t="n"/>
      <c r="K393" s="11" t="n"/>
      <c r="L393" s="27">
        <f>IF(E393="","",IF(I393="Bỏ qua","—",IF(I393="Xong",IF(AND(ISNUMBER(J393),ISNUMBER(H393),J393&gt;H393),"Xong trễ","Xong"),IF(F393="","CHƯA GIAO","")&amp;IF(NOT(ISNUMBER(H393)),"",IF(TODAY()&gt;H393,IF(F393=""," · ","")&amp;"QUÁ HẠN "&amp;(TODAY()-H393)&amp;" ngày",IF(H393-TODAY()&lt;=3,IF(F393=""," · ","")&amp;"Đến hạn "&amp;IF(H393=TODAY(),"hôm nay","trong "&amp;(H393-TODAY())&amp;" ngày"),""))))))</f>
        <v/>
      </c>
      <c r="Q393">
        <f>IF(AND(E393&lt;&gt;"",R393="Có",I393&lt;&gt;"Xong",I393&lt;&gt;"Bỏ qua",ISNUMBER(H393)),H393+ROW()/100000,"")</f>
        <v/>
      </c>
      <c r="R393">
        <f>IF(M393="","",IFERROR(INDEX(SK_L,MATCH(M393,SK_A,0)),""))</f>
        <v/>
      </c>
    </row>
    <row r="394">
      <c r="A394" s="11">
        <f>IF(M394="","",IFERROR(INDEX(SK_B,MATCH(M394,SK_A,0))&amp;"",""))</f>
        <v/>
      </c>
      <c r="B394" s="24">
        <f>IF(M394="","",IFERROR(INDEX(SK_C,MATCH(M394,SK_A,0)),""))</f>
        <v/>
      </c>
      <c r="C394" s="25">
        <f>IF(O394="","",IF(O394=0,"D",IF(O394&lt;0,"D"&amp;O394,"D+"&amp;O394)))</f>
        <v/>
      </c>
      <c r="D394" s="13" t="n"/>
      <c r="E394" s="11" t="n"/>
      <c r="F394" s="26" t="n"/>
      <c r="G394" s="13" t="n"/>
      <c r="H394" s="12">
        <f>IF(OR(B394="",O394=""),"",IF(O394&gt;0,IF(P394="Làm việc",WORKDAY(IFERROR(IF(INDEX(SK_D,MATCH(M394,SK_A,0))="",B394,INDEX(SK_D,MATCH(M394,SK_A,0))),B394),O394,HOLI),IFERROR(IF(INDEX(SK_D,MATCH(M394,SK_A,0))="",B394,INDEX(SK_D,MATCH(M394,SK_A,0))),B394)+O394),B394+O394))</f>
        <v/>
      </c>
      <c r="I394" s="13" t="n"/>
      <c r="J394" s="12" t="n"/>
      <c r="K394" s="11" t="n"/>
      <c r="L394" s="27">
        <f>IF(E394="","",IF(I394="Bỏ qua","—",IF(I394="Xong",IF(AND(ISNUMBER(J394),ISNUMBER(H394),J394&gt;H394),"Xong trễ","Xong"),IF(F394="","CHƯA GIAO","")&amp;IF(NOT(ISNUMBER(H394)),"",IF(TODAY()&gt;H394,IF(F394=""," · ","")&amp;"QUÁ HẠN "&amp;(TODAY()-H394)&amp;" ngày",IF(H394-TODAY()&lt;=3,IF(F394=""," · ","")&amp;"Đến hạn "&amp;IF(H394=TODAY(),"hôm nay","trong "&amp;(H394-TODAY())&amp;" ngày"),""))))))</f>
        <v/>
      </c>
      <c r="Q394">
        <f>IF(AND(E394&lt;&gt;"",R394="Có",I394&lt;&gt;"Xong",I394&lt;&gt;"Bỏ qua",ISNUMBER(H394)),H394+ROW()/100000,"")</f>
        <v/>
      </c>
      <c r="R394">
        <f>IF(M394="","",IFERROR(INDEX(SK_L,MATCH(M394,SK_A,0)),""))</f>
        <v/>
      </c>
    </row>
    <row r="395">
      <c r="A395" s="11">
        <f>IF(M395="","",IFERROR(INDEX(SK_B,MATCH(M395,SK_A,0))&amp;"",""))</f>
        <v/>
      </c>
      <c r="B395" s="24">
        <f>IF(M395="","",IFERROR(INDEX(SK_C,MATCH(M395,SK_A,0)),""))</f>
        <v/>
      </c>
      <c r="C395" s="25">
        <f>IF(O395="","",IF(O395=0,"D",IF(O395&lt;0,"D"&amp;O395,"D+"&amp;O395)))</f>
        <v/>
      </c>
      <c r="D395" s="13" t="n"/>
      <c r="E395" s="11" t="n"/>
      <c r="F395" s="26" t="n"/>
      <c r="G395" s="13" t="n"/>
      <c r="H395" s="12">
        <f>IF(OR(B395="",O395=""),"",IF(O395&gt;0,IF(P395="Làm việc",WORKDAY(IFERROR(IF(INDEX(SK_D,MATCH(M395,SK_A,0))="",B395,INDEX(SK_D,MATCH(M395,SK_A,0))),B395),O395,HOLI),IFERROR(IF(INDEX(SK_D,MATCH(M395,SK_A,0))="",B395,INDEX(SK_D,MATCH(M395,SK_A,0))),B395)+O395),B395+O395))</f>
        <v/>
      </c>
      <c r="I395" s="13" t="n"/>
      <c r="J395" s="12" t="n"/>
      <c r="K395" s="11" t="n"/>
      <c r="L395" s="27">
        <f>IF(E395="","",IF(I395="Bỏ qua","—",IF(I395="Xong",IF(AND(ISNUMBER(J395),ISNUMBER(H395),J395&gt;H395),"Xong trễ","Xong"),IF(F395="","CHƯA GIAO","")&amp;IF(NOT(ISNUMBER(H395)),"",IF(TODAY()&gt;H395,IF(F395=""," · ","")&amp;"QUÁ HẠN "&amp;(TODAY()-H395)&amp;" ngày",IF(H395-TODAY()&lt;=3,IF(F395=""," · ","")&amp;"Đến hạn "&amp;IF(H395=TODAY(),"hôm nay","trong "&amp;(H395-TODAY())&amp;" ngày"),""))))))</f>
        <v/>
      </c>
      <c r="Q395">
        <f>IF(AND(E395&lt;&gt;"",R395="Có",I395&lt;&gt;"Xong",I395&lt;&gt;"Bỏ qua",ISNUMBER(H395)),H395+ROW()/100000,"")</f>
        <v/>
      </c>
      <c r="R395">
        <f>IF(M395="","",IFERROR(INDEX(SK_L,MATCH(M395,SK_A,0)),""))</f>
        <v/>
      </c>
    </row>
    <row r="396">
      <c r="A396" s="11">
        <f>IF(M396="","",IFERROR(INDEX(SK_B,MATCH(M396,SK_A,0))&amp;"",""))</f>
        <v/>
      </c>
      <c r="B396" s="24">
        <f>IF(M396="","",IFERROR(INDEX(SK_C,MATCH(M396,SK_A,0)),""))</f>
        <v/>
      </c>
      <c r="C396" s="25">
        <f>IF(O396="","",IF(O396=0,"D",IF(O396&lt;0,"D"&amp;O396,"D+"&amp;O396)))</f>
        <v/>
      </c>
      <c r="D396" s="13" t="n"/>
      <c r="E396" s="11" t="n"/>
      <c r="F396" s="26" t="n"/>
      <c r="G396" s="13" t="n"/>
      <c r="H396" s="12">
        <f>IF(OR(B396="",O396=""),"",IF(O396&gt;0,IF(P396="Làm việc",WORKDAY(IFERROR(IF(INDEX(SK_D,MATCH(M396,SK_A,0))="",B396,INDEX(SK_D,MATCH(M396,SK_A,0))),B396),O396,HOLI),IFERROR(IF(INDEX(SK_D,MATCH(M396,SK_A,0))="",B396,INDEX(SK_D,MATCH(M396,SK_A,0))),B396)+O396),B396+O396))</f>
        <v/>
      </c>
      <c r="I396" s="13" t="n"/>
      <c r="J396" s="12" t="n"/>
      <c r="K396" s="11" t="n"/>
      <c r="L396" s="27">
        <f>IF(E396="","",IF(I396="Bỏ qua","—",IF(I396="Xong",IF(AND(ISNUMBER(J396),ISNUMBER(H396),J396&gt;H396),"Xong trễ","Xong"),IF(F396="","CHƯA GIAO","")&amp;IF(NOT(ISNUMBER(H396)),"",IF(TODAY()&gt;H396,IF(F396=""," · ","")&amp;"QUÁ HẠN "&amp;(TODAY()-H396)&amp;" ngày",IF(H396-TODAY()&lt;=3,IF(F396=""," · ","")&amp;"Đến hạn "&amp;IF(H396=TODAY(),"hôm nay","trong "&amp;(H396-TODAY())&amp;" ngày"),""))))))</f>
        <v/>
      </c>
      <c r="Q396">
        <f>IF(AND(E396&lt;&gt;"",R396="Có",I396&lt;&gt;"Xong",I396&lt;&gt;"Bỏ qua",ISNUMBER(H396)),H396+ROW()/100000,"")</f>
        <v/>
      </c>
      <c r="R396">
        <f>IF(M396="","",IFERROR(INDEX(SK_L,MATCH(M396,SK_A,0)),""))</f>
        <v/>
      </c>
    </row>
    <row r="397">
      <c r="A397" s="11">
        <f>IF(M397="","",IFERROR(INDEX(SK_B,MATCH(M397,SK_A,0))&amp;"",""))</f>
        <v/>
      </c>
      <c r="B397" s="24">
        <f>IF(M397="","",IFERROR(INDEX(SK_C,MATCH(M397,SK_A,0)),""))</f>
        <v/>
      </c>
      <c r="C397" s="25">
        <f>IF(O397="","",IF(O397=0,"D",IF(O397&lt;0,"D"&amp;O397,"D+"&amp;O397)))</f>
        <v/>
      </c>
      <c r="D397" s="13" t="n"/>
      <c r="E397" s="11" t="n"/>
      <c r="F397" s="26" t="n"/>
      <c r="G397" s="13" t="n"/>
      <c r="H397" s="12">
        <f>IF(OR(B397="",O397=""),"",IF(O397&gt;0,IF(P397="Làm việc",WORKDAY(IFERROR(IF(INDEX(SK_D,MATCH(M397,SK_A,0))="",B397,INDEX(SK_D,MATCH(M397,SK_A,0))),B397),O397,HOLI),IFERROR(IF(INDEX(SK_D,MATCH(M397,SK_A,0))="",B397,INDEX(SK_D,MATCH(M397,SK_A,0))),B397)+O397),B397+O397))</f>
        <v/>
      </c>
      <c r="I397" s="13" t="n"/>
      <c r="J397" s="12" t="n"/>
      <c r="K397" s="11" t="n"/>
      <c r="L397" s="27">
        <f>IF(E397="","",IF(I397="Bỏ qua","—",IF(I397="Xong",IF(AND(ISNUMBER(J397),ISNUMBER(H397),J397&gt;H397),"Xong trễ","Xong"),IF(F397="","CHƯA GIAO","")&amp;IF(NOT(ISNUMBER(H397)),"",IF(TODAY()&gt;H397,IF(F397=""," · ","")&amp;"QUÁ HẠN "&amp;(TODAY()-H397)&amp;" ngày",IF(H397-TODAY()&lt;=3,IF(F397=""," · ","")&amp;"Đến hạn "&amp;IF(H397=TODAY(),"hôm nay","trong "&amp;(H397-TODAY())&amp;" ngày"),""))))))</f>
        <v/>
      </c>
      <c r="Q397">
        <f>IF(AND(E397&lt;&gt;"",R397="Có",I397&lt;&gt;"Xong",I397&lt;&gt;"Bỏ qua",ISNUMBER(H397)),H397+ROW()/100000,"")</f>
        <v/>
      </c>
      <c r="R397">
        <f>IF(M397="","",IFERROR(INDEX(SK_L,MATCH(M397,SK_A,0)),""))</f>
        <v/>
      </c>
    </row>
    <row r="398">
      <c r="A398" s="11">
        <f>IF(M398="","",IFERROR(INDEX(SK_B,MATCH(M398,SK_A,0))&amp;"",""))</f>
        <v/>
      </c>
      <c r="B398" s="24">
        <f>IF(M398="","",IFERROR(INDEX(SK_C,MATCH(M398,SK_A,0)),""))</f>
        <v/>
      </c>
      <c r="C398" s="25">
        <f>IF(O398="","",IF(O398=0,"D",IF(O398&lt;0,"D"&amp;O398,"D+"&amp;O398)))</f>
        <v/>
      </c>
      <c r="D398" s="13" t="n"/>
      <c r="E398" s="11" t="n"/>
      <c r="F398" s="26" t="n"/>
      <c r="G398" s="13" t="n"/>
      <c r="H398" s="12">
        <f>IF(OR(B398="",O398=""),"",IF(O398&gt;0,IF(P398="Làm việc",WORKDAY(IFERROR(IF(INDEX(SK_D,MATCH(M398,SK_A,0))="",B398,INDEX(SK_D,MATCH(M398,SK_A,0))),B398),O398,HOLI),IFERROR(IF(INDEX(SK_D,MATCH(M398,SK_A,0))="",B398,INDEX(SK_D,MATCH(M398,SK_A,0))),B398)+O398),B398+O398))</f>
        <v/>
      </c>
      <c r="I398" s="13" t="n"/>
      <c r="J398" s="12" t="n"/>
      <c r="K398" s="11" t="n"/>
      <c r="L398" s="27">
        <f>IF(E398="","",IF(I398="Bỏ qua","—",IF(I398="Xong",IF(AND(ISNUMBER(J398),ISNUMBER(H398),J398&gt;H398),"Xong trễ","Xong"),IF(F398="","CHƯA GIAO","")&amp;IF(NOT(ISNUMBER(H398)),"",IF(TODAY()&gt;H398,IF(F398=""," · ","")&amp;"QUÁ HẠN "&amp;(TODAY()-H398)&amp;" ngày",IF(H398-TODAY()&lt;=3,IF(F398=""," · ","")&amp;"Đến hạn "&amp;IF(H398=TODAY(),"hôm nay","trong "&amp;(H398-TODAY())&amp;" ngày"),""))))))</f>
        <v/>
      </c>
      <c r="Q398">
        <f>IF(AND(E398&lt;&gt;"",R398="Có",I398&lt;&gt;"Xong",I398&lt;&gt;"Bỏ qua",ISNUMBER(H398)),H398+ROW()/100000,"")</f>
        <v/>
      </c>
      <c r="R398">
        <f>IF(M398="","",IFERROR(INDEX(SK_L,MATCH(M398,SK_A,0)),""))</f>
        <v/>
      </c>
    </row>
    <row r="399">
      <c r="A399" s="11">
        <f>IF(M399="","",IFERROR(INDEX(SK_B,MATCH(M399,SK_A,0))&amp;"",""))</f>
        <v/>
      </c>
      <c r="B399" s="24">
        <f>IF(M399="","",IFERROR(INDEX(SK_C,MATCH(M399,SK_A,0)),""))</f>
        <v/>
      </c>
      <c r="C399" s="25">
        <f>IF(O399="","",IF(O399=0,"D",IF(O399&lt;0,"D"&amp;O399,"D+"&amp;O399)))</f>
        <v/>
      </c>
      <c r="D399" s="13" t="n"/>
      <c r="E399" s="11" t="n"/>
      <c r="F399" s="26" t="n"/>
      <c r="G399" s="13" t="n"/>
      <c r="H399" s="12">
        <f>IF(OR(B399="",O399=""),"",IF(O399&gt;0,IF(P399="Làm việc",WORKDAY(IFERROR(IF(INDEX(SK_D,MATCH(M399,SK_A,0))="",B399,INDEX(SK_D,MATCH(M399,SK_A,0))),B399),O399,HOLI),IFERROR(IF(INDEX(SK_D,MATCH(M399,SK_A,0))="",B399,INDEX(SK_D,MATCH(M399,SK_A,0))),B399)+O399),B399+O399))</f>
        <v/>
      </c>
      <c r="I399" s="13" t="n"/>
      <c r="J399" s="12" t="n"/>
      <c r="K399" s="11" t="n"/>
      <c r="L399" s="27">
        <f>IF(E399="","",IF(I399="Bỏ qua","—",IF(I399="Xong",IF(AND(ISNUMBER(J399),ISNUMBER(H399),J399&gt;H399),"Xong trễ","Xong"),IF(F399="","CHƯA GIAO","")&amp;IF(NOT(ISNUMBER(H399)),"",IF(TODAY()&gt;H399,IF(F399=""," · ","")&amp;"QUÁ HẠN "&amp;(TODAY()-H399)&amp;" ngày",IF(H399-TODAY()&lt;=3,IF(F399=""," · ","")&amp;"Đến hạn "&amp;IF(H399=TODAY(),"hôm nay","trong "&amp;(H399-TODAY())&amp;" ngày"),""))))))</f>
        <v/>
      </c>
      <c r="Q399">
        <f>IF(AND(E399&lt;&gt;"",R399="Có",I399&lt;&gt;"Xong",I399&lt;&gt;"Bỏ qua",ISNUMBER(H399)),H399+ROW()/100000,"")</f>
        <v/>
      </c>
      <c r="R399">
        <f>IF(M399="","",IFERROR(INDEX(SK_L,MATCH(M399,SK_A,0)),""))</f>
        <v/>
      </c>
    </row>
    <row r="400">
      <c r="A400" s="11">
        <f>IF(M400="","",IFERROR(INDEX(SK_B,MATCH(M400,SK_A,0))&amp;"",""))</f>
        <v/>
      </c>
      <c r="B400" s="24">
        <f>IF(M400="","",IFERROR(INDEX(SK_C,MATCH(M400,SK_A,0)),""))</f>
        <v/>
      </c>
      <c r="C400" s="25">
        <f>IF(O400="","",IF(O400=0,"D",IF(O400&lt;0,"D"&amp;O400,"D+"&amp;O400)))</f>
        <v/>
      </c>
      <c r="D400" s="13" t="n"/>
      <c r="E400" s="11" t="n"/>
      <c r="F400" s="26" t="n"/>
      <c r="G400" s="13" t="n"/>
      <c r="H400" s="12">
        <f>IF(OR(B400="",O400=""),"",IF(O400&gt;0,IF(P400="Làm việc",WORKDAY(IFERROR(IF(INDEX(SK_D,MATCH(M400,SK_A,0))="",B400,INDEX(SK_D,MATCH(M400,SK_A,0))),B400),O400,HOLI),IFERROR(IF(INDEX(SK_D,MATCH(M400,SK_A,0))="",B400,INDEX(SK_D,MATCH(M400,SK_A,0))),B400)+O400),B400+O400))</f>
        <v/>
      </c>
      <c r="I400" s="13" t="n"/>
      <c r="J400" s="12" t="n"/>
      <c r="K400" s="11" t="n"/>
      <c r="L400" s="27">
        <f>IF(E400="","",IF(I400="Bỏ qua","—",IF(I400="Xong",IF(AND(ISNUMBER(J400),ISNUMBER(H400),J400&gt;H400),"Xong trễ","Xong"),IF(F400="","CHƯA GIAO","")&amp;IF(NOT(ISNUMBER(H400)),"",IF(TODAY()&gt;H400,IF(F400=""," · ","")&amp;"QUÁ HẠN "&amp;(TODAY()-H400)&amp;" ngày",IF(H400-TODAY()&lt;=3,IF(F400=""," · ","")&amp;"Đến hạn "&amp;IF(H400=TODAY(),"hôm nay","trong "&amp;(H400-TODAY())&amp;" ngày"),""))))))</f>
        <v/>
      </c>
      <c r="Q400">
        <f>IF(AND(E400&lt;&gt;"",R400="Có",I400&lt;&gt;"Xong",I400&lt;&gt;"Bỏ qua",ISNUMBER(H400)),H400+ROW()/100000,"")</f>
        <v/>
      </c>
      <c r="R400">
        <f>IF(M400="","",IFERROR(INDEX(SK_L,MATCH(M400,SK_A,0)),""))</f>
        <v/>
      </c>
    </row>
    <row r="401">
      <c r="A401" s="11">
        <f>IF(M401="","",IFERROR(INDEX(SK_B,MATCH(M401,SK_A,0))&amp;"",""))</f>
        <v/>
      </c>
      <c r="B401" s="24">
        <f>IF(M401="","",IFERROR(INDEX(SK_C,MATCH(M401,SK_A,0)),""))</f>
        <v/>
      </c>
      <c r="C401" s="25">
        <f>IF(O401="","",IF(O401=0,"D",IF(O401&lt;0,"D"&amp;O401,"D+"&amp;O401)))</f>
        <v/>
      </c>
      <c r="D401" s="13" t="n"/>
      <c r="E401" s="11" t="n"/>
      <c r="F401" s="26" t="n"/>
      <c r="G401" s="13" t="n"/>
      <c r="H401" s="12">
        <f>IF(OR(B401="",O401=""),"",IF(O401&gt;0,IF(P401="Làm việc",WORKDAY(IFERROR(IF(INDEX(SK_D,MATCH(M401,SK_A,0))="",B401,INDEX(SK_D,MATCH(M401,SK_A,0))),B401),O401,HOLI),IFERROR(IF(INDEX(SK_D,MATCH(M401,SK_A,0))="",B401,INDEX(SK_D,MATCH(M401,SK_A,0))),B401)+O401),B401+O401))</f>
        <v/>
      </c>
      <c r="I401" s="13" t="n"/>
      <c r="J401" s="12" t="n"/>
      <c r="K401" s="11" t="n"/>
      <c r="L401" s="27">
        <f>IF(E401="","",IF(I401="Bỏ qua","—",IF(I401="Xong",IF(AND(ISNUMBER(J401),ISNUMBER(H401),J401&gt;H401),"Xong trễ","Xong"),IF(F401="","CHƯA GIAO","")&amp;IF(NOT(ISNUMBER(H401)),"",IF(TODAY()&gt;H401,IF(F401=""," · ","")&amp;"QUÁ HẠN "&amp;(TODAY()-H401)&amp;" ngày",IF(H401-TODAY()&lt;=3,IF(F401=""," · ","")&amp;"Đến hạn "&amp;IF(H401=TODAY(),"hôm nay","trong "&amp;(H401-TODAY())&amp;" ngày"),""))))))</f>
        <v/>
      </c>
      <c r="Q401">
        <f>IF(AND(E401&lt;&gt;"",R401="Có",I401&lt;&gt;"Xong",I401&lt;&gt;"Bỏ qua",ISNUMBER(H401)),H401+ROW()/100000,"")</f>
        <v/>
      </c>
      <c r="R401">
        <f>IF(M401="","",IFERROR(INDEX(SK_L,MATCH(M401,SK_A,0)),""))</f>
        <v/>
      </c>
    </row>
    <row r="402">
      <c r="A402" s="11">
        <f>IF(M402="","",IFERROR(INDEX(SK_B,MATCH(M402,SK_A,0))&amp;"",""))</f>
        <v/>
      </c>
      <c r="B402" s="24">
        <f>IF(M402="","",IFERROR(INDEX(SK_C,MATCH(M402,SK_A,0)),""))</f>
        <v/>
      </c>
      <c r="C402" s="25">
        <f>IF(O402="","",IF(O402=0,"D",IF(O402&lt;0,"D"&amp;O402,"D+"&amp;O402)))</f>
        <v/>
      </c>
      <c r="D402" s="13" t="n"/>
      <c r="E402" s="11" t="n"/>
      <c r="F402" s="26" t="n"/>
      <c r="G402" s="13" t="n"/>
      <c r="H402" s="12">
        <f>IF(OR(B402="",O402=""),"",IF(O402&gt;0,IF(P402="Làm việc",WORKDAY(IFERROR(IF(INDEX(SK_D,MATCH(M402,SK_A,0))="",B402,INDEX(SK_D,MATCH(M402,SK_A,0))),B402),O402,HOLI),IFERROR(IF(INDEX(SK_D,MATCH(M402,SK_A,0))="",B402,INDEX(SK_D,MATCH(M402,SK_A,0))),B402)+O402),B402+O402))</f>
        <v/>
      </c>
      <c r="I402" s="13" t="n"/>
      <c r="J402" s="12" t="n"/>
      <c r="K402" s="11" t="n"/>
      <c r="L402" s="27">
        <f>IF(E402="","",IF(I402="Bỏ qua","—",IF(I402="Xong",IF(AND(ISNUMBER(J402),ISNUMBER(H402),J402&gt;H402),"Xong trễ","Xong"),IF(F402="","CHƯA GIAO","")&amp;IF(NOT(ISNUMBER(H402)),"",IF(TODAY()&gt;H402,IF(F402=""," · ","")&amp;"QUÁ HẠN "&amp;(TODAY()-H402)&amp;" ngày",IF(H402-TODAY()&lt;=3,IF(F402=""," · ","")&amp;"Đến hạn "&amp;IF(H402=TODAY(),"hôm nay","trong "&amp;(H402-TODAY())&amp;" ngày"),""))))))</f>
        <v/>
      </c>
      <c r="Q402">
        <f>IF(AND(E402&lt;&gt;"",R402="Có",I402&lt;&gt;"Xong",I402&lt;&gt;"Bỏ qua",ISNUMBER(H402)),H402+ROW()/100000,"")</f>
        <v/>
      </c>
      <c r="R402">
        <f>IF(M402="","",IFERROR(INDEX(SK_L,MATCH(M402,SK_A,0)),""))</f>
        <v/>
      </c>
    </row>
    <row r="403">
      <c r="A403" s="11">
        <f>IF(M403="","",IFERROR(INDEX(SK_B,MATCH(M403,SK_A,0))&amp;"",""))</f>
        <v/>
      </c>
      <c r="B403" s="24">
        <f>IF(M403="","",IFERROR(INDEX(SK_C,MATCH(M403,SK_A,0)),""))</f>
        <v/>
      </c>
      <c r="C403" s="25">
        <f>IF(O403="","",IF(O403=0,"D",IF(O403&lt;0,"D"&amp;O403,"D+"&amp;O403)))</f>
        <v/>
      </c>
      <c r="D403" s="13" t="n"/>
      <c r="E403" s="11" t="n"/>
      <c r="F403" s="26" t="n"/>
      <c r="G403" s="13" t="n"/>
      <c r="H403" s="12">
        <f>IF(OR(B403="",O403=""),"",IF(O403&gt;0,IF(P403="Làm việc",WORKDAY(IFERROR(IF(INDEX(SK_D,MATCH(M403,SK_A,0))="",B403,INDEX(SK_D,MATCH(M403,SK_A,0))),B403),O403,HOLI),IFERROR(IF(INDEX(SK_D,MATCH(M403,SK_A,0))="",B403,INDEX(SK_D,MATCH(M403,SK_A,0))),B403)+O403),B403+O403))</f>
        <v/>
      </c>
      <c r="I403" s="13" t="n"/>
      <c r="J403" s="12" t="n"/>
      <c r="K403" s="11" t="n"/>
      <c r="L403" s="27">
        <f>IF(E403="","",IF(I403="Bỏ qua","—",IF(I403="Xong",IF(AND(ISNUMBER(J403),ISNUMBER(H403),J403&gt;H403),"Xong trễ","Xong"),IF(F403="","CHƯA GIAO","")&amp;IF(NOT(ISNUMBER(H403)),"",IF(TODAY()&gt;H403,IF(F403=""," · ","")&amp;"QUÁ HẠN "&amp;(TODAY()-H403)&amp;" ngày",IF(H403-TODAY()&lt;=3,IF(F403=""," · ","")&amp;"Đến hạn "&amp;IF(H403=TODAY(),"hôm nay","trong "&amp;(H403-TODAY())&amp;" ngày"),""))))))</f>
        <v/>
      </c>
      <c r="Q403">
        <f>IF(AND(E403&lt;&gt;"",R403="Có",I403&lt;&gt;"Xong",I403&lt;&gt;"Bỏ qua",ISNUMBER(H403)),H403+ROW()/100000,"")</f>
        <v/>
      </c>
      <c r="R403">
        <f>IF(M403="","",IFERROR(INDEX(SK_L,MATCH(M403,SK_A,0)),""))</f>
        <v/>
      </c>
    </row>
    <row r="404">
      <c r="A404" s="11">
        <f>IF(M404="","",IFERROR(INDEX(SK_B,MATCH(M404,SK_A,0))&amp;"",""))</f>
        <v/>
      </c>
      <c r="B404" s="24">
        <f>IF(M404="","",IFERROR(INDEX(SK_C,MATCH(M404,SK_A,0)),""))</f>
        <v/>
      </c>
      <c r="C404" s="25">
        <f>IF(O404="","",IF(O404=0,"D",IF(O404&lt;0,"D"&amp;O404,"D+"&amp;O404)))</f>
        <v/>
      </c>
      <c r="D404" s="13" t="n"/>
      <c r="E404" s="11" t="n"/>
      <c r="F404" s="26" t="n"/>
      <c r="G404" s="13" t="n"/>
      <c r="H404" s="12">
        <f>IF(OR(B404="",O404=""),"",IF(O404&gt;0,IF(P404="Làm việc",WORKDAY(IFERROR(IF(INDEX(SK_D,MATCH(M404,SK_A,0))="",B404,INDEX(SK_D,MATCH(M404,SK_A,0))),B404),O404,HOLI),IFERROR(IF(INDEX(SK_D,MATCH(M404,SK_A,0))="",B404,INDEX(SK_D,MATCH(M404,SK_A,0))),B404)+O404),B404+O404))</f>
        <v/>
      </c>
      <c r="I404" s="13" t="n"/>
      <c r="J404" s="12" t="n"/>
      <c r="K404" s="11" t="n"/>
      <c r="L404" s="27">
        <f>IF(E404="","",IF(I404="Bỏ qua","—",IF(I404="Xong",IF(AND(ISNUMBER(J404),ISNUMBER(H404),J404&gt;H404),"Xong trễ","Xong"),IF(F404="","CHƯA GIAO","")&amp;IF(NOT(ISNUMBER(H404)),"",IF(TODAY()&gt;H404,IF(F404=""," · ","")&amp;"QUÁ HẠN "&amp;(TODAY()-H404)&amp;" ngày",IF(H404-TODAY()&lt;=3,IF(F404=""," · ","")&amp;"Đến hạn "&amp;IF(H404=TODAY(),"hôm nay","trong "&amp;(H404-TODAY())&amp;" ngày"),""))))))</f>
        <v/>
      </c>
      <c r="Q404">
        <f>IF(AND(E404&lt;&gt;"",R404="Có",I404&lt;&gt;"Xong",I404&lt;&gt;"Bỏ qua",ISNUMBER(H404)),H404+ROW()/100000,"")</f>
        <v/>
      </c>
      <c r="R404">
        <f>IF(M404="","",IFERROR(INDEX(SK_L,MATCH(M404,SK_A,0)),""))</f>
        <v/>
      </c>
    </row>
    <row r="405">
      <c r="A405" s="11">
        <f>IF(M405="","",IFERROR(INDEX(SK_B,MATCH(M405,SK_A,0))&amp;"",""))</f>
        <v/>
      </c>
      <c r="B405" s="24">
        <f>IF(M405="","",IFERROR(INDEX(SK_C,MATCH(M405,SK_A,0)),""))</f>
        <v/>
      </c>
      <c r="C405" s="25">
        <f>IF(O405="","",IF(O405=0,"D",IF(O405&lt;0,"D"&amp;O405,"D+"&amp;O405)))</f>
        <v/>
      </c>
      <c r="D405" s="13" t="n"/>
      <c r="E405" s="11" t="n"/>
      <c r="F405" s="26" t="n"/>
      <c r="G405" s="13" t="n"/>
      <c r="H405" s="12">
        <f>IF(OR(B405="",O405=""),"",IF(O405&gt;0,IF(P405="Làm việc",WORKDAY(IFERROR(IF(INDEX(SK_D,MATCH(M405,SK_A,0))="",B405,INDEX(SK_D,MATCH(M405,SK_A,0))),B405),O405,HOLI),IFERROR(IF(INDEX(SK_D,MATCH(M405,SK_A,0))="",B405,INDEX(SK_D,MATCH(M405,SK_A,0))),B405)+O405),B405+O405))</f>
        <v/>
      </c>
      <c r="I405" s="13" t="n"/>
      <c r="J405" s="12" t="n"/>
      <c r="K405" s="11" t="n"/>
      <c r="L405" s="27">
        <f>IF(E405="","",IF(I405="Bỏ qua","—",IF(I405="Xong",IF(AND(ISNUMBER(J405),ISNUMBER(H405),J405&gt;H405),"Xong trễ","Xong"),IF(F405="","CHƯA GIAO","")&amp;IF(NOT(ISNUMBER(H405)),"",IF(TODAY()&gt;H405,IF(F405=""," · ","")&amp;"QUÁ HẠN "&amp;(TODAY()-H405)&amp;" ngày",IF(H405-TODAY()&lt;=3,IF(F405=""," · ","")&amp;"Đến hạn "&amp;IF(H405=TODAY(),"hôm nay","trong "&amp;(H405-TODAY())&amp;" ngày"),""))))))</f>
        <v/>
      </c>
      <c r="Q405">
        <f>IF(AND(E405&lt;&gt;"",R405="Có",I405&lt;&gt;"Xong",I405&lt;&gt;"Bỏ qua",ISNUMBER(H405)),H405+ROW()/100000,"")</f>
        <v/>
      </c>
      <c r="R405">
        <f>IF(M405="","",IFERROR(INDEX(SK_L,MATCH(M405,SK_A,0)),""))</f>
        <v/>
      </c>
    </row>
    <row r="406">
      <c r="A406" s="11">
        <f>IF(M406="","",IFERROR(INDEX(SK_B,MATCH(M406,SK_A,0))&amp;"",""))</f>
        <v/>
      </c>
      <c r="B406" s="24">
        <f>IF(M406="","",IFERROR(INDEX(SK_C,MATCH(M406,SK_A,0)),""))</f>
        <v/>
      </c>
      <c r="C406" s="25">
        <f>IF(O406="","",IF(O406=0,"D",IF(O406&lt;0,"D"&amp;O406,"D+"&amp;O406)))</f>
        <v/>
      </c>
      <c r="D406" s="13" t="n"/>
      <c r="E406" s="11" t="n"/>
      <c r="F406" s="26" t="n"/>
      <c r="G406" s="13" t="n"/>
      <c r="H406" s="12">
        <f>IF(OR(B406="",O406=""),"",IF(O406&gt;0,IF(P406="Làm việc",WORKDAY(IFERROR(IF(INDEX(SK_D,MATCH(M406,SK_A,0))="",B406,INDEX(SK_D,MATCH(M406,SK_A,0))),B406),O406,HOLI),IFERROR(IF(INDEX(SK_D,MATCH(M406,SK_A,0))="",B406,INDEX(SK_D,MATCH(M406,SK_A,0))),B406)+O406),B406+O406))</f>
        <v/>
      </c>
      <c r="I406" s="13" t="n"/>
      <c r="J406" s="12" t="n"/>
      <c r="K406" s="11" t="n"/>
      <c r="L406" s="27">
        <f>IF(E406="","",IF(I406="Bỏ qua","—",IF(I406="Xong",IF(AND(ISNUMBER(J406),ISNUMBER(H406),J406&gt;H406),"Xong trễ","Xong"),IF(F406="","CHƯA GIAO","")&amp;IF(NOT(ISNUMBER(H406)),"",IF(TODAY()&gt;H406,IF(F406=""," · ","")&amp;"QUÁ HẠN "&amp;(TODAY()-H406)&amp;" ngày",IF(H406-TODAY()&lt;=3,IF(F406=""," · ","")&amp;"Đến hạn "&amp;IF(H406=TODAY(),"hôm nay","trong "&amp;(H406-TODAY())&amp;" ngày"),""))))))</f>
        <v/>
      </c>
      <c r="Q406">
        <f>IF(AND(E406&lt;&gt;"",R406="Có",I406&lt;&gt;"Xong",I406&lt;&gt;"Bỏ qua",ISNUMBER(H406)),H406+ROW()/100000,"")</f>
        <v/>
      </c>
      <c r="R406">
        <f>IF(M406="","",IFERROR(INDEX(SK_L,MATCH(M406,SK_A,0)),""))</f>
        <v/>
      </c>
    </row>
    <row r="407">
      <c r="A407" s="11">
        <f>IF(M407="","",IFERROR(INDEX(SK_B,MATCH(M407,SK_A,0))&amp;"",""))</f>
        <v/>
      </c>
      <c r="B407" s="24">
        <f>IF(M407="","",IFERROR(INDEX(SK_C,MATCH(M407,SK_A,0)),""))</f>
        <v/>
      </c>
      <c r="C407" s="25">
        <f>IF(O407="","",IF(O407=0,"D",IF(O407&lt;0,"D"&amp;O407,"D+"&amp;O407)))</f>
        <v/>
      </c>
      <c r="D407" s="13" t="n"/>
      <c r="E407" s="11" t="n"/>
      <c r="F407" s="26" t="n"/>
      <c r="G407" s="13" t="n"/>
      <c r="H407" s="12">
        <f>IF(OR(B407="",O407=""),"",IF(O407&gt;0,IF(P407="Làm việc",WORKDAY(IFERROR(IF(INDEX(SK_D,MATCH(M407,SK_A,0))="",B407,INDEX(SK_D,MATCH(M407,SK_A,0))),B407),O407,HOLI),IFERROR(IF(INDEX(SK_D,MATCH(M407,SK_A,0))="",B407,INDEX(SK_D,MATCH(M407,SK_A,0))),B407)+O407),B407+O407))</f>
        <v/>
      </c>
      <c r="I407" s="13" t="n"/>
      <c r="J407" s="12" t="n"/>
      <c r="K407" s="11" t="n"/>
      <c r="L407" s="27">
        <f>IF(E407="","",IF(I407="Bỏ qua","—",IF(I407="Xong",IF(AND(ISNUMBER(J407),ISNUMBER(H407),J407&gt;H407),"Xong trễ","Xong"),IF(F407="","CHƯA GIAO","")&amp;IF(NOT(ISNUMBER(H407)),"",IF(TODAY()&gt;H407,IF(F407=""," · ","")&amp;"QUÁ HẠN "&amp;(TODAY()-H407)&amp;" ngày",IF(H407-TODAY()&lt;=3,IF(F407=""," · ","")&amp;"Đến hạn "&amp;IF(H407=TODAY(),"hôm nay","trong "&amp;(H407-TODAY())&amp;" ngày"),""))))))</f>
        <v/>
      </c>
      <c r="Q407">
        <f>IF(AND(E407&lt;&gt;"",R407="Có",I407&lt;&gt;"Xong",I407&lt;&gt;"Bỏ qua",ISNUMBER(H407)),H407+ROW()/100000,"")</f>
        <v/>
      </c>
      <c r="R407">
        <f>IF(M407="","",IFERROR(INDEX(SK_L,MATCH(M407,SK_A,0)),""))</f>
        <v/>
      </c>
    </row>
    <row r="408">
      <c r="A408" s="11">
        <f>IF(M408="","",IFERROR(INDEX(SK_B,MATCH(M408,SK_A,0))&amp;"",""))</f>
        <v/>
      </c>
      <c r="B408" s="24">
        <f>IF(M408="","",IFERROR(INDEX(SK_C,MATCH(M408,SK_A,0)),""))</f>
        <v/>
      </c>
      <c r="C408" s="25">
        <f>IF(O408="","",IF(O408=0,"D",IF(O408&lt;0,"D"&amp;O408,"D+"&amp;O408)))</f>
        <v/>
      </c>
      <c r="D408" s="13" t="n"/>
      <c r="E408" s="11" t="n"/>
      <c r="F408" s="26" t="n"/>
      <c r="G408" s="13" t="n"/>
      <c r="H408" s="12">
        <f>IF(OR(B408="",O408=""),"",IF(O408&gt;0,IF(P408="Làm việc",WORKDAY(IFERROR(IF(INDEX(SK_D,MATCH(M408,SK_A,0))="",B408,INDEX(SK_D,MATCH(M408,SK_A,0))),B408),O408,HOLI),IFERROR(IF(INDEX(SK_D,MATCH(M408,SK_A,0))="",B408,INDEX(SK_D,MATCH(M408,SK_A,0))),B408)+O408),B408+O408))</f>
        <v/>
      </c>
      <c r="I408" s="13" t="n"/>
      <c r="J408" s="12" t="n"/>
      <c r="K408" s="11" t="n"/>
      <c r="L408" s="27">
        <f>IF(E408="","",IF(I408="Bỏ qua","—",IF(I408="Xong",IF(AND(ISNUMBER(J408),ISNUMBER(H408),J408&gt;H408),"Xong trễ","Xong"),IF(F408="","CHƯA GIAO","")&amp;IF(NOT(ISNUMBER(H408)),"",IF(TODAY()&gt;H408,IF(F408=""," · ","")&amp;"QUÁ HẠN "&amp;(TODAY()-H408)&amp;" ngày",IF(H408-TODAY()&lt;=3,IF(F408=""," · ","")&amp;"Đến hạn "&amp;IF(H408=TODAY(),"hôm nay","trong "&amp;(H408-TODAY())&amp;" ngày"),""))))))</f>
        <v/>
      </c>
      <c r="Q408">
        <f>IF(AND(E408&lt;&gt;"",R408="Có",I408&lt;&gt;"Xong",I408&lt;&gt;"Bỏ qua",ISNUMBER(H408)),H408+ROW()/100000,"")</f>
        <v/>
      </c>
      <c r="R408">
        <f>IF(M408="","",IFERROR(INDEX(SK_L,MATCH(M408,SK_A,0)),""))</f>
        <v/>
      </c>
    </row>
    <row r="409">
      <c r="A409" s="11">
        <f>IF(M409="","",IFERROR(INDEX(SK_B,MATCH(M409,SK_A,0))&amp;"",""))</f>
        <v/>
      </c>
      <c r="B409" s="24">
        <f>IF(M409="","",IFERROR(INDEX(SK_C,MATCH(M409,SK_A,0)),""))</f>
        <v/>
      </c>
      <c r="C409" s="25">
        <f>IF(O409="","",IF(O409=0,"D",IF(O409&lt;0,"D"&amp;O409,"D+"&amp;O409)))</f>
        <v/>
      </c>
      <c r="D409" s="13" t="n"/>
      <c r="E409" s="11" t="n"/>
      <c r="F409" s="26" t="n"/>
      <c r="G409" s="13" t="n"/>
      <c r="H409" s="12">
        <f>IF(OR(B409="",O409=""),"",IF(O409&gt;0,IF(P409="Làm việc",WORKDAY(IFERROR(IF(INDEX(SK_D,MATCH(M409,SK_A,0))="",B409,INDEX(SK_D,MATCH(M409,SK_A,0))),B409),O409,HOLI),IFERROR(IF(INDEX(SK_D,MATCH(M409,SK_A,0))="",B409,INDEX(SK_D,MATCH(M409,SK_A,0))),B409)+O409),B409+O409))</f>
        <v/>
      </c>
      <c r="I409" s="13" t="n"/>
      <c r="J409" s="12" t="n"/>
      <c r="K409" s="11" t="n"/>
      <c r="L409" s="27">
        <f>IF(E409="","",IF(I409="Bỏ qua","—",IF(I409="Xong",IF(AND(ISNUMBER(J409),ISNUMBER(H409),J409&gt;H409),"Xong trễ","Xong"),IF(F409="","CHƯA GIAO","")&amp;IF(NOT(ISNUMBER(H409)),"",IF(TODAY()&gt;H409,IF(F409=""," · ","")&amp;"QUÁ HẠN "&amp;(TODAY()-H409)&amp;" ngày",IF(H409-TODAY()&lt;=3,IF(F409=""," · ","")&amp;"Đến hạn "&amp;IF(H409=TODAY(),"hôm nay","trong "&amp;(H409-TODAY())&amp;" ngày"),""))))))</f>
        <v/>
      </c>
      <c r="Q409">
        <f>IF(AND(E409&lt;&gt;"",R409="Có",I409&lt;&gt;"Xong",I409&lt;&gt;"Bỏ qua",ISNUMBER(H409)),H409+ROW()/100000,"")</f>
        <v/>
      </c>
      <c r="R409">
        <f>IF(M409="","",IFERROR(INDEX(SK_L,MATCH(M409,SK_A,0)),""))</f>
        <v/>
      </c>
    </row>
    <row r="410">
      <c r="A410" s="11">
        <f>IF(M410="","",IFERROR(INDEX(SK_B,MATCH(M410,SK_A,0))&amp;"",""))</f>
        <v/>
      </c>
      <c r="B410" s="24">
        <f>IF(M410="","",IFERROR(INDEX(SK_C,MATCH(M410,SK_A,0)),""))</f>
        <v/>
      </c>
      <c r="C410" s="25">
        <f>IF(O410="","",IF(O410=0,"D",IF(O410&lt;0,"D"&amp;O410,"D+"&amp;O410)))</f>
        <v/>
      </c>
      <c r="D410" s="13" t="n"/>
      <c r="E410" s="11" t="n"/>
      <c r="F410" s="26" t="n"/>
      <c r="G410" s="13" t="n"/>
      <c r="H410" s="12">
        <f>IF(OR(B410="",O410=""),"",IF(O410&gt;0,IF(P410="Làm việc",WORKDAY(IFERROR(IF(INDEX(SK_D,MATCH(M410,SK_A,0))="",B410,INDEX(SK_D,MATCH(M410,SK_A,0))),B410),O410,HOLI),IFERROR(IF(INDEX(SK_D,MATCH(M410,SK_A,0))="",B410,INDEX(SK_D,MATCH(M410,SK_A,0))),B410)+O410),B410+O410))</f>
        <v/>
      </c>
      <c r="I410" s="13" t="n"/>
      <c r="J410" s="12" t="n"/>
      <c r="K410" s="11" t="n"/>
      <c r="L410" s="27">
        <f>IF(E410="","",IF(I410="Bỏ qua","—",IF(I410="Xong",IF(AND(ISNUMBER(J410),ISNUMBER(H410),J410&gt;H410),"Xong trễ","Xong"),IF(F410="","CHƯA GIAO","")&amp;IF(NOT(ISNUMBER(H410)),"",IF(TODAY()&gt;H410,IF(F410=""," · ","")&amp;"QUÁ HẠN "&amp;(TODAY()-H410)&amp;" ngày",IF(H410-TODAY()&lt;=3,IF(F410=""," · ","")&amp;"Đến hạn "&amp;IF(H410=TODAY(),"hôm nay","trong "&amp;(H410-TODAY())&amp;" ngày"),""))))))</f>
        <v/>
      </c>
      <c r="Q410">
        <f>IF(AND(E410&lt;&gt;"",R410="Có",I410&lt;&gt;"Xong",I410&lt;&gt;"Bỏ qua",ISNUMBER(H410)),H410+ROW()/100000,"")</f>
        <v/>
      </c>
      <c r="R410">
        <f>IF(M410="","",IFERROR(INDEX(SK_L,MATCH(M410,SK_A,0)),""))</f>
        <v/>
      </c>
    </row>
    <row r="411">
      <c r="A411" s="11">
        <f>IF(M411="","",IFERROR(INDEX(SK_B,MATCH(M411,SK_A,0))&amp;"",""))</f>
        <v/>
      </c>
      <c r="B411" s="24">
        <f>IF(M411="","",IFERROR(INDEX(SK_C,MATCH(M411,SK_A,0)),""))</f>
        <v/>
      </c>
      <c r="C411" s="25">
        <f>IF(O411="","",IF(O411=0,"D",IF(O411&lt;0,"D"&amp;O411,"D+"&amp;O411)))</f>
        <v/>
      </c>
      <c r="D411" s="13" t="n"/>
      <c r="E411" s="11" t="n"/>
      <c r="F411" s="26" t="n"/>
      <c r="G411" s="13" t="n"/>
      <c r="H411" s="12">
        <f>IF(OR(B411="",O411=""),"",IF(O411&gt;0,IF(P411="Làm việc",WORKDAY(IFERROR(IF(INDEX(SK_D,MATCH(M411,SK_A,0))="",B411,INDEX(SK_D,MATCH(M411,SK_A,0))),B411),O411,HOLI),IFERROR(IF(INDEX(SK_D,MATCH(M411,SK_A,0))="",B411,INDEX(SK_D,MATCH(M411,SK_A,0))),B411)+O411),B411+O411))</f>
        <v/>
      </c>
      <c r="I411" s="13" t="n"/>
      <c r="J411" s="12" t="n"/>
      <c r="K411" s="11" t="n"/>
      <c r="L411" s="27">
        <f>IF(E411="","",IF(I411="Bỏ qua","—",IF(I411="Xong",IF(AND(ISNUMBER(J411),ISNUMBER(H411),J411&gt;H411),"Xong trễ","Xong"),IF(F411="","CHƯA GIAO","")&amp;IF(NOT(ISNUMBER(H411)),"",IF(TODAY()&gt;H411,IF(F411=""," · ","")&amp;"QUÁ HẠN "&amp;(TODAY()-H411)&amp;" ngày",IF(H411-TODAY()&lt;=3,IF(F411=""," · ","")&amp;"Đến hạn "&amp;IF(H411=TODAY(),"hôm nay","trong "&amp;(H411-TODAY())&amp;" ngày"),""))))))</f>
        <v/>
      </c>
      <c r="Q411">
        <f>IF(AND(E411&lt;&gt;"",R411="Có",I411&lt;&gt;"Xong",I411&lt;&gt;"Bỏ qua",ISNUMBER(H411)),H411+ROW()/100000,"")</f>
        <v/>
      </c>
      <c r="R411">
        <f>IF(M411="","",IFERROR(INDEX(SK_L,MATCH(M411,SK_A,0)),""))</f>
        <v/>
      </c>
    </row>
    <row r="412">
      <c r="A412" s="11">
        <f>IF(M412="","",IFERROR(INDEX(SK_B,MATCH(M412,SK_A,0))&amp;"",""))</f>
        <v/>
      </c>
      <c r="B412" s="24">
        <f>IF(M412="","",IFERROR(INDEX(SK_C,MATCH(M412,SK_A,0)),""))</f>
        <v/>
      </c>
      <c r="C412" s="25">
        <f>IF(O412="","",IF(O412=0,"D",IF(O412&lt;0,"D"&amp;O412,"D+"&amp;O412)))</f>
        <v/>
      </c>
      <c r="D412" s="13" t="n"/>
      <c r="E412" s="11" t="n"/>
      <c r="F412" s="26" t="n"/>
      <c r="G412" s="13" t="n"/>
      <c r="H412" s="12">
        <f>IF(OR(B412="",O412=""),"",IF(O412&gt;0,IF(P412="Làm việc",WORKDAY(IFERROR(IF(INDEX(SK_D,MATCH(M412,SK_A,0))="",B412,INDEX(SK_D,MATCH(M412,SK_A,0))),B412),O412,HOLI),IFERROR(IF(INDEX(SK_D,MATCH(M412,SK_A,0))="",B412,INDEX(SK_D,MATCH(M412,SK_A,0))),B412)+O412),B412+O412))</f>
        <v/>
      </c>
      <c r="I412" s="13" t="n"/>
      <c r="J412" s="12" t="n"/>
      <c r="K412" s="11" t="n"/>
      <c r="L412" s="27">
        <f>IF(E412="","",IF(I412="Bỏ qua","—",IF(I412="Xong",IF(AND(ISNUMBER(J412),ISNUMBER(H412),J412&gt;H412),"Xong trễ","Xong"),IF(F412="","CHƯA GIAO","")&amp;IF(NOT(ISNUMBER(H412)),"",IF(TODAY()&gt;H412,IF(F412=""," · ","")&amp;"QUÁ HẠN "&amp;(TODAY()-H412)&amp;" ngày",IF(H412-TODAY()&lt;=3,IF(F412=""," · ","")&amp;"Đến hạn "&amp;IF(H412=TODAY(),"hôm nay","trong "&amp;(H412-TODAY())&amp;" ngày"),""))))))</f>
        <v/>
      </c>
      <c r="Q412">
        <f>IF(AND(E412&lt;&gt;"",R412="Có",I412&lt;&gt;"Xong",I412&lt;&gt;"Bỏ qua",ISNUMBER(H412)),H412+ROW()/100000,"")</f>
        <v/>
      </c>
      <c r="R412">
        <f>IF(M412="","",IFERROR(INDEX(SK_L,MATCH(M412,SK_A,0)),""))</f>
        <v/>
      </c>
    </row>
    <row r="413">
      <c r="A413" s="11">
        <f>IF(M413="","",IFERROR(INDEX(SK_B,MATCH(M413,SK_A,0))&amp;"",""))</f>
        <v/>
      </c>
      <c r="B413" s="24">
        <f>IF(M413="","",IFERROR(INDEX(SK_C,MATCH(M413,SK_A,0)),""))</f>
        <v/>
      </c>
      <c r="C413" s="25">
        <f>IF(O413="","",IF(O413=0,"D",IF(O413&lt;0,"D"&amp;O413,"D+"&amp;O413)))</f>
        <v/>
      </c>
      <c r="D413" s="13" t="n"/>
      <c r="E413" s="11" t="n"/>
      <c r="F413" s="26" t="n"/>
      <c r="G413" s="13" t="n"/>
      <c r="H413" s="12">
        <f>IF(OR(B413="",O413=""),"",IF(O413&gt;0,IF(P413="Làm việc",WORKDAY(IFERROR(IF(INDEX(SK_D,MATCH(M413,SK_A,0))="",B413,INDEX(SK_D,MATCH(M413,SK_A,0))),B413),O413,HOLI),IFERROR(IF(INDEX(SK_D,MATCH(M413,SK_A,0))="",B413,INDEX(SK_D,MATCH(M413,SK_A,0))),B413)+O413),B413+O413))</f>
        <v/>
      </c>
      <c r="I413" s="13" t="n"/>
      <c r="J413" s="12" t="n"/>
      <c r="K413" s="11" t="n"/>
      <c r="L413" s="27">
        <f>IF(E413="","",IF(I413="Bỏ qua","—",IF(I413="Xong",IF(AND(ISNUMBER(J413),ISNUMBER(H413),J413&gt;H413),"Xong trễ","Xong"),IF(F413="","CHƯA GIAO","")&amp;IF(NOT(ISNUMBER(H413)),"",IF(TODAY()&gt;H413,IF(F413=""," · ","")&amp;"QUÁ HẠN "&amp;(TODAY()-H413)&amp;" ngày",IF(H413-TODAY()&lt;=3,IF(F413=""," · ","")&amp;"Đến hạn "&amp;IF(H413=TODAY(),"hôm nay","trong "&amp;(H413-TODAY())&amp;" ngày"),""))))))</f>
        <v/>
      </c>
      <c r="Q413">
        <f>IF(AND(E413&lt;&gt;"",R413="Có",I413&lt;&gt;"Xong",I413&lt;&gt;"Bỏ qua",ISNUMBER(H413)),H413+ROW()/100000,"")</f>
        <v/>
      </c>
      <c r="R413">
        <f>IF(M413="","",IFERROR(INDEX(SK_L,MATCH(M413,SK_A,0)),""))</f>
        <v/>
      </c>
    </row>
    <row r="414">
      <c r="A414" s="11">
        <f>IF(M414="","",IFERROR(INDEX(SK_B,MATCH(M414,SK_A,0))&amp;"",""))</f>
        <v/>
      </c>
      <c r="B414" s="24">
        <f>IF(M414="","",IFERROR(INDEX(SK_C,MATCH(M414,SK_A,0)),""))</f>
        <v/>
      </c>
      <c r="C414" s="25">
        <f>IF(O414="","",IF(O414=0,"D",IF(O414&lt;0,"D"&amp;O414,"D+"&amp;O414)))</f>
        <v/>
      </c>
      <c r="D414" s="13" t="n"/>
      <c r="E414" s="11" t="n"/>
      <c r="F414" s="26" t="n"/>
      <c r="G414" s="13" t="n"/>
      <c r="H414" s="12">
        <f>IF(OR(B414="",O414=""),"",IF(O414&gt;0,IF(P414="Làm việc",WORKDAY(IFERROR(IF(INDEX(SK_D,MATCH(M414,SK_A,0))="",B414,INDEX(SK_D,MATCH(M414,SK_A,0))),B414),O414,HOLI),IFERROR(IF(INDEX(SK_D,MATCH(M414,SK_A,0))="",B414,INDEX(SK_D,MATCH(M414,SK_A,0))),B414)+O414),B414+O414))</f>
        <v/>
      </c>
      <c r="I414" s="13" t="n"/>
      <c r="J414" s="12" t="n"/>
      <c r="K414" s="11" t="n"/>
      <c r="L414" s="27">
        <f>IF(E414="","",IF(I414="Bỏ qua","—",IF(I414="Xong",IF(AND(ISNUMBER(J414),ISNUMBER(H414),J414&gt;H414),"Xong trễ","Xong"),IF(F414="","CHƯA GIAO","")&amp;IF(NOT(ISNUMBER(H414)),"",IF(TODAY()&gt;H414,IF(F414=""," · ","")&amp;"QUÁ HẠN "&amp;(TODAY()-H414)&amp;" ngày",IF(H414-TODAY()&lt;=3,IF(F414=""," · ","")&amp;"Đến hạn "&amp;IF(H414=TODAY(),"hôm nay","trong "&amp;(H414-TODAY())&amp;" ngày"),""))))))</f>
        <v/>
      </c>
      <c r="Q414">
        <f>IF(AND(E414&lt;&gt;"",R414="Có",I414&lt;&gt;"Xong",I414&lt;&gt;"Bỏ qua",ISNUMBER(H414)),H414+ROW()/100000,"")</f>
        <v/>
      </c>
      <c r="R414">
        <f>IF(M414="","",IFERROR(INDEX(SK_L,MATCH(M414,SK_A,0)),""))</f>
        <v/>
      </c>
    </row>
    <row r="415">
      <c r="A415" s="11">
        <f>IF(M415="","",IFERROR(INDEX(SK_B,MATCH(M415,SK_A,0))&amp;"",""))</f>
        <v/>
      </c>
      <c r="B415" s="24">
        <f>IF(M415="","",IFERROR(INDEX(SK_C,MATCH(M415,SK_A,0)),""))</f>
        <v/>
      </c>
      <c r="C415" s="25">
        <f>IF(O415="","",IF(O415=0,"D",IF(O415&lt;0,"D"&amp;O415,"D+"&amp;O415)))</f>
        <v/>
      </c>
      <c r="D415" s="13" t="n"/>
      <c r="E415" s="11" t="n"/>
      <c r="F415" s="26" t="n"/>
      <c r="G415" s="13" t="n"/>
      <c r="H415" s="12">
        <f>IF(OR(B415="",O415=""),"",IF(O415&gt;0,IF(P415="Làm việc",WORKDAY(IFERROR(IF(INDEX(SK_D,MATCH(M415,SK_A,0))="",B415,INDEX(SK_D,MATCH(M415,SK_A,0))),B415),O415,HOLI),IFERROR(IF(INDEX(SK_D,MATCH(M415,SK_A,0))="",B415,INDEX(SK_D,MATCH(M415,SK_A,0))),B415)+O415),B415+O415))</f>
        <v/>
      </c>
      <c r="I415" s="13" t="n"/>
      <c r="J415" s="12" t="n"/>
      <c r="K415" s="11" t="n"/>
      <c r="L415" s="27">
        <f>IF(E415="","",IF(I415="Bỏ qua","—",IF(I415="Xong",IF(AND(ISNUMBER(J415),ISNUMBER(H415),J415&gt;H415),"Xong trễ","Xong"),IF(F415="","CHƯA GIAO","")&amp;IF(NOT(ISNUMBER(H415)),"",IF(TODAY()&gt;H415,IF(F415=""," · ","")&amp;"QUÁ HẠN "&amp;(TODAY()-H415)&amp;" ngày",IF(H415-TODAY()&lt;=3,IF(F415=""," · ","")&amp;"Đến hạn "&amp;IF(H415=TODAY(),"hôm nay","trong "&amp;(H415-TODAY())&amp;" ngày"),""))))))</f>
        <v/>
      </c>
      <c r="Q415">
        <f>IF(AND(E415&lt;&gt;"",R415="Có",I415&lt;&gt;"Xong",I415&lt;&gt;"Bỏ qua",ISNUMBER(H415)),H415+ROW()/100000,"")</f>
        <v/>
      </c>
      <c r="R415">
        <f>IF(M415="","",IFERROR(INDEX(SK_L,MATCH(M415,SK_A,0)),""))</f>
        <v/>
      </c>
    </row>
    <row r="416">
      <c r="A416" s="11">
        <f>IF(M416="","",IFERROR(INDEX(SK_B,MATCH(M416,SK_A,0))&amp;"",""))</f>
        <v/>
      </c>
      <c r="B416" s="24">
        <f>IF(M416="","",IFERROR(INDEX(SK_C,MATCH(M416,SK_A,0)),""))</f>
        <v/>
      </c>
      <c r="C416" s="25">
        <f>IF(O416="","",IF(O416=0,"D",IF(O416&lt;0,"D"&amp;O416,"D+"&amp;O416)))</f>
        <v/>
      </c>
      <c r="D416" s="13" t="n"/>
      <c r="E416" s="11" t="n"/>
      <c r="F416" s="26" t="n"/>
      <c r="G416" s="13" t="n"/>
      <c r="H416" s="12">
        <f>IF(OR(B416="",O416=""),"",IF(O416&gt;0,IF(P416="Làm việc",WORKDAY(IFERROR(IF(INDEX(SK_D,MATCH(M416,SK_A,0))="",B416,INDEX(SK_D,MATCH(M416,SK_A,0))),B416),O416,HOLI),IFERROR(IF(INDEX(SK_D,MATCH(M416,SK_A,0))="",B416,INDEX(SK_D,MATCH(M416,SK_A,0))),B416)+O416),B416+O416))</f>
        <v/>
      </c>
      <c r="I416" s="13" t="n"/>
      <c r="J416" s="12" t="n"/>
      <c r="K416" s="11" t="n"/>
      <c r="L416" s="27">
        <f>IF(E416="","",IF(I416="Bỏ qua","—",IF(I416="Xong",IF(AND(ISNUMBER(J416),ISNUMBER(H416),J416&gt;H416),"Xong trễ","Xong"),IF(F416="","CHƯA GIAO","")&amp;IF(NOT(ISNUMBER(H416)),"",IF(TODAY()&gt;H416,IF(F416=""," · ","")&amp;"QUÁ HẠN "&amp;(TODAY()-H416)&amp;" ngày",IF(H416-TODAY()&lt;=3,IF(F416=""," · ","")&amp;"Đến hạn "&amp;IF(H416=TODAY(),"hôm nay","trong "&amp;(H416-TODAY())&amp;" ngày"),""))))))</f>
        <v/>
      </c>
      <c r="Q416">
        <f>IF(AND(E416&lt;&gt;"",R416="Có",I416&lt;&gt;"Xong",I416&lt;&gt;"Bỏ qua",ISNUMBER(H416)),H416+ROW()/100000,"")</f>
        <v/>
      </c>
      <c r="R416">
        <f>IF(M416="","",IFERROR(INDEX(SK_L,MATCH(M416,SK_A,0)),""))</f>
        <v/>
      </c>
    </row>
    <row r="417">
      <c r="A417" s="11">
        <f>IF(M417="","",IFERROR(INDEX(SK_B,MATCH(M417,SK_A,0))&amp;"",""))</f>
        <v/>
      </c>
      <c r="B417" s="24">
        <f>IF(M417="","",IFERROR(INDEX(SK_C,MATCH(M417,SK_A,0)),""))</f>
        <v/>
      </c>
      <c r="C417" s="25">
        <f>IF(O417="","",IF(O417=0,"D",IF(O417&lt;0,"D"&amp;O417,"D+"&amp;O417)))</f>
        <v/>
      </c>
      <c r="D417" s="13" t="n"/>
      <c r="E417" s="11" t="n"/>
      <c r="F417" s="26" t="n"/>
      <c r="G417" s="13" t="n"/>
      <c r="H417" s="12">
        <f>IF(OR(B417="",O417=""),"",IF(O417&gt;0,IF(P417="Làm việc",WORKDAY(IFERROR(IF(INDEX(SK_D,MATCH(M417,SK_A,0))="",B417,INDEX(SK_D,MATCH(M417,SK_A,0))),B417),O417,HOLI),IFERROR(IF(INDEX(SK_D,MATCH(M417,SK_A,0))="",B417,INDEX(SK_D,MATCH(M417,SK_A,0))),B417)+O417),B417+O417))</f>
        <v/>
      </c>
      <c r="I417" s="13" t="n"/>
      <c r="J417" s="12" t="n"/>
      <c r="K417" s="11" t="n"/>
      <c r="L417" s="27">
        <f>IF(E417="","",IF(I417="Bỏ qua","—",IF(I417="Xong",IF(AND(ISNUMBER(J417),ISNUMBER(H417),J417&gt;H417),"Xong trễ","Xong"),IF(F417="","CHƯA GIAO","")&amp;IF(NOT(ISNUMBER(H417)),"",IF(TODAY()&gt;H417,IF(F417=""," · ","")&amp;"QUÁ HẠN "&amp;(TODAY()-H417)&amp;" ngày",IF(H417-TODAY()&lt;=3,IF(F417=""," · ","")&amp;"Đến hạn "&amp;IF(H417=TODAY(),"hôm nay","trong "&amp;(H417-TODAY())&amp;" ngày"),""))))))</f>
        <v/>
      </c>
      <c r="Q417">
        <f>IF(AND(E417&lt;&gt;"",R417="Có",I417&lt;&gt;"Xong",I417&lt;&gt;"Bỏ qua",ISNUMBER(H417)),H417+ROW()/100000,"")</f>
        <v/>
      </c>
      <c r="R417">
        <f>IF(M417="","",IFERROR(INDEX(SK_L,MATCH(M417,SK_A,0)),""))</f>
        <v/>
      </c>
    </row>
    <row r="418">
      <c r="A418" s="11">
        <f>IF(M418="","",IFERROR(INDEX(SK_B,MATCH(M418,SK_A,0))&amp;"",""))</f>
        <v/>
      </c>
      <c r="B418" s="24">
        <f>IF(M418="","",IFERROR(INDEX(SK_C,MATCH(M418,SK_A,0)),""))</f>
        <v/>
      </c>
      <c r="C418" s="25">
        <f>IF(O418="","",IF(O418=0,"D",IF(O418&lt;0,"D"&amp;O418,"D+"&amp;O418)))</f>
        <v/>
      </c>
      <c r="D418" s="13" t="n"/>
      <c r="E418" s="11" t="n"/>
      <c r="F418" s="26" t="n"/>
      <c r="G418" s="13" t="n"/>
      <c r="H418" s="12">
        <f>IF(OR(B418="",O418=""),"",IF(O418&gt;0,IF(P418="Làm việc",WORKDAY(IFERROR(IF(INDEX(SK_D,MATCH(M418,SK_A,0))="",B418,INDEX(SK_D,MATCH(M418,SK_A,0))),B418),O418,HOLI),IFERROR(IF(INDEX(SK_D,MATCH(M418,SK_A,0))="",B418,INDEX(SK_D,MATCH(M418,SK_A,0))),B418)+O418),B418+O418))</f>
        <v/>
      </c>
      <c r="I418" s="13" t="n"/>
      <c r="J418" s="12" t="n"/>
      <c r="K418" s="11" t="n"/>
      <c r="L418" s="27">
        <f>IF(E418="","",IF(I418="Bỏ qua","—",IF(I418="Xong",IF(AND(ISNUMBER(J418),ISNUMBER(H418),J418&gt;H418),"Xong trễ","Xong"),IF(F418="","CHƯA GIAO","")&amp;IF(NOT(ISNUMBER(H418)),"",IF(TODAY()&gt;H418,IF(F418=""," · ","")&amp;"QUÁ HẠN "&amp;(TODAY()-H418)&amp;" ngày",IF(H418-TODAY()&lt;=3,IF(F418=""," · ","")&amp;"Đến hạn "&amp;IF(H418=TODAY(),"hôm nay","trong "&amp;(H418-TODAY())&amp;" ngày"),""))))))</f>
        <v/>
      </c>
      <c r="Q418">
        <f>IF(AND(E418&lt;&gt;"",R418="Có",I418&lt;&gt;"Xong",I418&lt;&gt;"Bỏ qua",ISNUMBER(H418)),H418+ROW()/100000,"")</f>
        <v/>
      </c>
      <c r="R418">
        <f>IF(M418="","",IFERROR(INDEX(SK_L,MATCH(M418,SK_A,0)),""))</f>
        <v/>
      </c>
    </row>
    <row r="419">
      <c r="A419" s="11">
        <f>IF(M419="","",IFERROR(INDEX(SK_B,MATCH(M419,SK_A,0))&amp;"",""))</f>
        <v/>
      </c>
      <c r="B419" s="24">
        <f>IF(M419="","",IFERROR(INDEX(SK_C,MATCH(M419,SK_A,0)),""))</f>
        <v/>
      </c>
      <c r="C419" s="25">
        <f>IF(O419="","",IF(O419=0,"D",IF(O419&lt;0,"D"&amp;O419,"D+"&amp;O419)))</f>
        <v/>
      </c>
      <c r="D419" s="13" t="n"/>
      <c r="E419" s="11" t="n"/>
      <c r="F419" s="26" t="n"/>
      <c r="G419" s="13" t="n"/>
      <c r="H419" s="12">
        <f>IF(OR(B419="",O419=""),"",IF(O419&gt;0,IF(P419="Làm việc",WORKDAY(IFERROR(IF(INDEX(SK_D,MATCH(M419,SK_A,0))="",B419,INDEX(SK_D,MATCH(M419,SK_A,0))),B419),O419,HOLI),IFERROR(IF(INDEX(SK_D,MATCH(M419,SK_A,0))="",B419,INDEX(SK_D,MATCH(M419,SK_A,0))),B419)+O419),B419+O419))</f>
        <v/>
      </c>
      <c r="I419" s="13" t="n"/>
      <c r="J419" s="12" t="n"/>
      <c r="K419" s="11" t="n"/>
      <c r="L419" s="27">
        <f>IF(E419="","",IF(I419="Bỏ qua","—",IF(I419="Xong",IF(AND(ISNUMBER(J419),ISNUMBER(H419),J419&gt;H419),"Xong trễ","Xong"),IF(F419="","CHƯA GIAO","")&amp;IF(NOT(ISNUMBER(H419)),"",IF(TODAY()&gt;H419,IF(F419=""," · ","")&amp;"QUÁ HẠN "&amp;(TODAY()-H419)&amp;" ngày",IF(H419-TODAY()&lt;=3,IF(F419=""," · ","")&amp;"Đến hạn "&amp;IF(H419=TODAY(),"hôm nay","trong "&amp;(H419-TODAY())&amp;" ngày"),""))))))</f>
        <v/>
      </c>
      <c r="Q419">
        <f>IF(AND(E419&lt;&gt;"",R419="Có",I419&lt;&gt;"Xong",I419&lt;&gt;"Bỏ qua",ISNUMBER(H419)),H419+ROW()/100000,"")</f>
        <v/>
      </c>
      <c r="R419">
        <f>IF(M419="","",IFERROR(INDEX(SK_L,MATCH(M419,SK_A,0)),""))</f>
        <v/>
      </c>
    </row>
    <row r="420">
      <c r="A420" s="11">
        <f>IF(M420="","",IFERROR(INDEX(SK_B,MATCH(M420,SK_A,0))&amp;"",""))</f>
        <v/>
      </c>
      <c r="B420" s="24">
        <f>IF(M420="","",IFERROR(INDEX(SK_C,MATCH(M420,SK_A,0)),""))</f>
        <v/>
      </c>
      <c r="C420" s="25">
        <f>IF(O420="","",IF(O420=0,"D",IF(O420&lt;0,"D"&amp;O420,"D+"&amp;O420)))</f>
        <v/>
      </c>
      <c r="D420" s="13" t="n"/>
      <c r="E420" s="11" t="n"/>
      <c r="F420" s="26" t="n"/>
      <c r="G420" s="13" t="n"/>
      <c r="H420" s="12">
        <f>IF(OR(B420="",O420=""),"",IF(O420&gt;0,IF(P420="Làm việc",WORKDAY(IFERROR(IF(INDEX(SK_D,MATCH(M420,SK_A,0))="",B420,INDEX(SK_D,MATCH(M420,SK_A,0))),B420),O420,HOLI),IFERROR(IF(INDEX(SK_D,MATCH(M420,SK_A,0))="",B420,INDEX(SK_D,MATCH(M420,SK_A,0))),B420)+O420),B420+O420))</f>
        <v/>
      </c>
      <c r="I420" s="13" t="n"/>
      <c r="J420" s="12" t="n"/>
      <c r="K420" s="11" t="n"/>
      <c r="L420" s="27">
        <f>IF(E420="","",IF(I420="Bỏ qua","—",IF(I420="Xong",IF(AND(ISNUMBER(J420),ISNUMBER(H420),J420&gt;H420),"Xong trễ","Xong"),IF(F420="","CHƯA GIAO","")&amp;IF(NOT(ISNUMBER(H420)),"",IF(TODAY()&gt;H420,IF(F420=""," · ","")&amp;"QUÁ HẠN "&amp;(TODAY()-H420)&amp;" ngày",IF(H420-TODAY()&lt;=3,IF(F420=""," · ","")&amp;"Đến hạn "&amp;IF(H420=TODAY(),"hôm nay","trong "&amp;(H420-TODAY())&amp;" ngày"),""))))))</f>
        <v/>
      </c>
      <c r="Q420">
        <f>IF(AND(E420&lt;&gt;"",R420="Có",I420&lt;&gt;"Xong",I420&lt;&gt;"Bỏ qua",ISNUMBER(H420)),H420+ROW()/100000,"")</f>
        <v/>
      </c>
      <c r="R420">
        <f>IF(M420="","",IFERROR(INDEX(SK_L,MATCH(M420,SK_A,0)),""))</f>
        <v/>
      </c>
    </row>
    <row r="421">
      <c r="A421" s="11">
        <f>IF(M421="","",IFERROR(INDEX(SK_B,MATCH(M421,SK_A,0))&amp;"",""))</f>
        <v/>
      </c>
      <c r="B421" s="24">
        <f>IF(M421="","",IFERROR(INDEX(SK_C,MATCH(M421,SK_A,0)),""))</f>
        <v/>
      </c>
      <c r="C421" s="25">
        <f>IF(O421="","",IF(O421=0,"D",IF(O421&lt;0,"D"&amp;O421,"D+"&amp;O421)))</f>
        <v/>
      </c>
      <c r="D421" s="13" t="n"/>
      <c r="E421" s="11" t="n"/>
      <c r="F421" s="26" t="n"/>
      <c r="G421" s="13" t="n"/>
      <c r="H421" s="12">
        <f>IF(OR(B421="",O421=""),"",IF(O421&gt;0,IF(P421="Làm việc",WORKDAY(IFERROR(IF(INDEX(SK_D,MATCH(M421,SK_A,0))="",B421,INDEX(SK_D,MATCH(M421,SK_A,0))),B421),O421,HOLI),IFERROR(IF(INDEX(SK_D,MATCH(M421,SK_A,0))="",B421,INDEX(SK_D,MATCH(M421,SK_A,0))),B421)+O421),B421+O421))</f>
        <v/>
      </c>
      <c r="I421" s="13" t="n"/>
      <c r="J421" s="12" t="n"/>
      <c r="K421" s="11" t="n"/>
      <c r="L421" s="27">
        <f>IF(E421="","",IF(I421="Bỏ qua","—",IF(I421="Xong",IF(AND(ISNUMBER(J421),ISNUMBER(H421),J421&gt;H421),"Xong trễ","Xong"),IF(F421="","CHƯA GIAO","")&amp;IF(NOT(ISNUMBER(H421)),"",IF(TODAY()&gt;H421,IF(F421=""," · ","")&amp;"QUÁ HẠN "&amp;(TODAY()-H421)&amp;" ngày",IF(H421-TODAY()&lt;=3,IF(F421=""," · ","")&amp;"Đến hạn "&amp;IF(H421=TODAY(),"hôm nay","trong "&amp;(H421-TODAY())&amp;" ngày"),""))))))</f>
        <v/>
      </c>
      <c r="Q421">
        <f>IF(AND(E421&lt;&gt;"",R421="Có",I421&lt;&gt;"Xong",I421&lt;&gt;"Bỏ qua",ISNUMBER(H421)),H421+ROW()/100000,"")</f>
        <v/>
      </c>
      <c r="R421">
        <f>IF(M421="","",IFERROR(INDEX(SK_L,MATCH(M421,SK_A,0)),""))</f>
        <v/>
      </c>
    </row>
    <row r="422">
      <c r="A422" s="11">
        <f>IF(M422="","",IFERROR(INDEX(SK_B,MATCH(M422,SK_A,0))&amp;"",""))</f>
        <v/>
      </c>
      <c r="B422" s="24">
        <f>IF(M422="","",IFERROR(INDEX(SK_C,MATCH(M422,SK_A,0)),""))</f>
        <v/>
      </c>
      <c r="C422" s="25">
        <f>IF(O422="","",IF(O422=0,"D",IF(O422&lt;0,"D"&amp;O422,"D+"&amp;O422)))</f>
        <v/>
      </c>
      <c r="D422" s="13" t="n"/>
      <c r="E422" s="11" t="n"/>
      <c r="F422" s="26" t="n"/>
      <c r="G422" s="13" t="n"/>
      <c r="H422" s="12">
        <f>IF(OR(B422="",O422=""),"",IF(O422&gt;0,IF(P422="Làm việc",WORKDAY(IFERROR(IF(INDEX(SK_D,MATCH(M422,SK_A,0))="",B422,INDEX(SK_D,MATCH(M422,SK_A,0))),B422),O422,HOLI),IFERROR(IF(INDEX(SK_D,MATCH(M422,SK_A,0))="",B422,INDEX(SK_D,MATCH(M422,SK_A,0))),B422)+O422),B422+O422))</f>
        <v/>
      </c>
      <c r="I422" s="13" t="n"/>
      <c r="J422" s="12" t="n"/>
      <c r="K422" s="11" t="n"/>
      <c r="L422" s="27">
        <f>IF(E422="","",IF(I422="Bỏ qua","—",IF(I422="Xong",IF(AND(ISNUMBER(J422),ISNUMBER(H422),J422&gt;H422),"Xong trễ","Xong"),IF(F422="","CHƯA GIAO","")&amp;IF(NOT(ISNUMBER(H422)),"",IF(TODAY()&gt;H422,IF(F422=""," · ","")&amp;"QUÁ HẠN "&amp;(TODAY()-H422)&amp;" ngày",IF(H422-TODAY()&lt;=3,IF(F422=""," · ","")&amp;"Đến hạn "&amp;IF(H422=TODAY(),"hôm nay","trong "&amp;(H422-TODAY())&amp;" ngày"),""))))))</f>
        <v/>
      </c>
      <c r="Q422">
        <f>IF(AND(E422&lt;&gt;"",R422="Có",I422&lt;&gt;"Xong",I422&lt;&gt;"Bỏ qua",ISNUMBER(H422)),H422+ROW()/100000,"")</f>
        <v/>
      </c>
      <c r="R422">
        <f>IF(M422="","",IFERROR(INDEX(SK_L,MATCH(M422,SK_A,0)),""))</f>
        <v/>
      </c>
    </row>
    <row r="423">
      <c r="A423" s="11">
        <f>IF(M423="","",IFERROR(INDEX(SK_B,MATCH(M423,SK_A,0))&amp;"",""))</f>
        <v/>
      </c>
      <c r="B423" s="24">
        <f>IF(M423="","",IFERROR(INDEX(SK_C,MATCH(M423,SK_A,0)),""))</f>
        <v/>
      </c>
      <c r="C423" s="25">
        <f>IF(O423="","",IF(O423=0,"D",IF(O423&lt;0,"D"&amp;O423,"D+"&amp;O423)))</f>
        <v/>
      </c>
      <c r="D423" s="13" t="n"/>
      <c r="E423" s="11" t="n"/>
      <c r="F423" s="26" t="n"/>
      <c r="G423" s="13" t="n"/>
      <c r="H423" s="12">
        <f>IF(OR(B423="",O423=""),"",IF(O423&gt;0,IF(P423="Làm việc",WORKDAY(IFERROR(IF(INDEX(SK_D,MATCH(M423,SK_A,0))="",B423,INDEX(SK_D,MATCH(M423,SK_A,0))),B423),O423,HOLI),IFERROR(IF(INDEX(SK_D,MATCH(M423,SK_A,0))="",B423,INDEX(SK_D,MATCH(M423,SK_A,0))),B423)+O423),B423+O423))</f>
        <v/>
      </c>
      <c r="I423" s="13" t="n"/>
      <c r="J423" s="12" t="n"/>
      <c r="K423" s="11" t="n"/>
      <c r="L423" s="27">
        <f>IF(E423="","",IF(I423="Bỏ qua","—",IF(I423="Xong",IF(AND(ISNUMBER(J423),ISNUMBER(H423),J423&gt;H423),"Xong trễ","Xong"),IF(F423="","CHƯA GIAO","")&amp;IF(NOT(ISNUMBER(H423)),"",IF(TODAY()&gt;H423,IF(F423=""," · ","")&amp;"QUÁ HẠN "&amp;(TODAY()-H423)&amp;" ngày",IF(H423-TODAY()&lt;=3,IF(F423=""," · ","")&amp;"Đến hạn "&amp;IF(H423=TODAY(),"hôm nay","trong "&amp;(H423-TODAY())&amp;" ngày"),""))))))</f>
        <v/>
      </c>
      <c r="Q423">
        <f>IF(AND(E423&lt;&gt;"",R423="Có",I423&lt;&gt;"Xong",I423&lt;&gt;"Bỏ qua",ISNUMBER(H423)),H423+ROW()/100000,"")</f>
        <v/>
      </c>
      <c r="R423">
        <f>IF(M423="","",IFERROR(INDEX(SK_L,MATCH(M423,SK_A,0)),""))</f>
        <v/>
      </c>
    </row>
    <row r="424">
      <c r="A424" s="11">
        <f>IF(M424="","",IFERROR(INDEX(SK_B,MATCH(M424,SK_A,0))&amp;"",""))</f>
        <v/>
      </c>
      <c r="B424" s="24">
        <f>IF(M424="","",IFERROR(INDEX(SK_C,MATCH(M424,SK_A,0)),""))</f>
        <v/>
      </c>
      <c r="C424" s="25">
        <f>IF(O424="","",IF(O424=0,"D",IF(O424&lt;0,"D"&amp;O424,"D+"&amp;O424)))</f>
        <v/>
      </c>
      <c r="D424" s="13" t="n"/>
      <c r="E424" s="11" t="n"/>
      <c r="F424" s="26" t="n"/>
      <c r="G424" s="13" t="n"/>
      <c r="H424" s="12">
        <f>IF(OR(B424="",O424=""),"",IF(O424&gt;0,IF(P424="Làm việc",WORKDAY(IFERROR(IF(INDEX(SK_D,MATCH(M424,SK_A,0))="",B424,INDEX(SK_D,MATCH(M424,SK_A,0))),B424),O424,HOLI),IFERROR(IF(INDEX(SK_D,MATCH(M424,SK_A,0))="",B424,INDEX(SK_D,MATCH(M424,SK_A,0))),B424)+O424),B424+O424))</f>
        <v/>
      </c>
      <c r="I424" s="13" t="n"/>
      <c r="J424" s="12" t="n"/>
      <c r="K424" s="11" t="n"/>
      <c r="L424" s="27">
        <f>IF(E424="","",IF(I424="Bỏ qua","—",IF(I424="Xong",IF(AND(ISNUMBER(J424),ISNUMBER(H424),J424&gt;H424),"Xong trễ","Xong"),IF(F424="","CHƯA GIAO","")&amp;IF(NOT(ISNUMBER(H424)),"",IF(TODAY()&gt;H424,IF(F424=""," · ","")&amp;"QUÁ HẠN "&amp;(TODAY()-H424)&amp;" ngày",IF(H424-TODAY()&lt;=3,IF(F424=""," · ","")&amp;"Đến hạn "&amp;IF(H424=TODAY(),"hôm nay","trong "&amp;(H424-TODAY())&amp;" ngày"),""))))))</f>
        <v/>
      </c>
      <c r="Q424">
        <f>IF(AND(E424&lt;&gt;"",R424="Có",I424&lt;&gt;"Xong",I424&lt;&gt;"Bỏ qua",ISNUMBER(H424)),H424+ROW()/100000,"")</f>
        <v/>
      </c>
      <c r="R424">
        <f>IF(M424="","",IFERROR(INDEX(SK_L,MATCH(M424,SK_A,0)),""))</f>
        <v/>
      </c>
    </row>
    <row r="425">
      <c r="A425" s="11">
        <f>IF(M425="","",IFERROR(INDEX(SK_B,MATCH(M425,SK_A,0))&amp;"",""))</f>
        <v/>
      </c>
      <c r="B425" s="24">
        <f>IF(M425="","",IFERROR(INDEX(SK_C,MATCH(M425,SK_A,0)),""))</f>
        <v/>
      </c>
      <c r="C425" s="25">
        <f>IF(O425="","",IF(O425=0,"D",IF(O425&lt;0,"D"&amp;O425,"D+"&amp;O425)))</f>
        <v/>
      </c>
      <c r="D425" s="13" t="n"/>
      <c r="E425" s="11" t="n"/>
      <c r="F425" s="26" t="n"/>
      <c r="G425" s="13" t="n"/>
      <c r="H425" s="12">
        <f>IF(OR(B425="",O425=""),"",IF(O425&gt;0,IF(P425="Làm việc",WORKDAY(IFERROR(IF(INDEX(SK_D,MATCH(M425,SK_A,0))="",B425,INDEX(SK_D,MATCH(M425,SK_A,0))),B425),O425,HOLI),IFERROR(IF(INDEX(SK_D,MATCH(M425,SK_A,0))="",B425,INDEX(SK_D,MATCH(M425,SK_A,0))),B425)+O425),B425+O425))</f>
        <v/>
      </c>
      <c r="I425" s="13" t="n"/>
      <c r="J425" s="12" t="n"/>
      <c r="K425" s="11" t="n"/>
      <c r="L425" s="27">
        <f>IF(E425="","",IF(I425="Bỏ qua","—",IF(I425="Xong",IF(AND(ISNUMBER(J425),ISNUMBER(H425),J425&gt;H425),"Xong trễ","Xong"),IF(F425="","CHƯA GIAO","")&amp;IF(NOT(ISNUMBER(H425)),"",IF(TODAY()&gt;H425,IF(F425=""," · ","")&amp;"QUÁ HẠN "&amp;(TODAY()-H425)&amp;" ngày",IF(H425-TODAY()&lt;=3,IF(F425=""," · ","")&amp;"Đến hạn "&amp;IF(H425=TODAY(),"hôm nay","trong "&amp;(H425-TODAY())&amp;" ngày"),""))))))</f>
        <v/>
      </c>
      <c r="Q425">
        <f>IF(AND(E425&lt;&gt;"",R425="Có",I425&lt;&gt;"Xong",I425&lt;&gt;"Bỏ qua",ISNUMBER(H425)),H425+ROW()/100000,"")</f>
        <v/>
      </c>
      <c r="R425">
        <f>IF(M425="","",IFERROR(INDEX(SK_L,MATCH(M425,SK_A,0)),""))</f>
        <v/>
      </c>
    </row>
    <row r="426">
      <c r="A426" s="11">
        <f>IF(M426="","",IFERROR(INDEX(SK_B,MATCH(M426,SK_A,0))&amp;"",""))</f>
        <v/>
      </c>
      <c r="B426" s="24">
        <f>IF(M426="","",IFERROR(INDEX(SK_C,MATCH(M426,SK_A,0)),""))</f>
        <v/>
      </c>
      <c r="C426" s="25">
        <f>IF(O426="","",IF(O426=0,"D",IF(O426&lt;0,"D"&amp;O426,"D+"&amp;O426)))</f>
        <v/>
      </c>
      <c r="D426" s="13" t="n"/>
      <c r="E426" s="11" t="n"/>
      <c r="F426" s="26" t="n"/>
      <c r="G426" s="13" t="n"/>
      <c r="H426" s="12">
        <f>IF(OR(B426="",O426=""),"",IF(O426&gt;0,IF(P426="Làm việc",WORKDAY(IFERROR(IF(INDEX(SK_D,MATCH(M426,SK_A,0))="",B426,INDEX(SK_D,MATCH(M426,SK_A,0))),B426),O426,HOLI),IFERROR(IF(INDEX(SK_D,MATCH(M426,SK_A,0))="",B426,INDEX(SK_D,MATCH(M426,SK_A,0))),B426)+O426),B426+O426))</f>
        <v/>
      </c>
      <c r="I426" s="13" t="n"/>
      <c r="J426" s="12" t="n"/>
      <c r="K426" s="11" t="n"/>
      <c r="L426" s="27">
        <f>IF(E426="","",IF(I426="Bỏ qua","—",IF(I426="Xong",IF(AND(ISNUMBER(J426),ISNUMBER(H426),J426&gt;H426),"Xong trễ","Xong"),IF(F426="","CHƯA GIAO","")&amp;IF(NOT(ISNUMBER(H426)),"",IF(TODAY()&gt;H426,IF(F426=""," · ","")&amp;"QUÁ HẠN "&amp;(TODAY()-H426)&amp;" ngày",IF(H426-TODAY()&lt;=3,IF(F426=""," · ","")&amp;"Đến hạn "&amp;IF(H426=TODAY(),"hôm nay","trong "&amp;(H426-TODAY())&amp;" ngày"),""))))))</f>
        <v/>
      </c>
      <c r="Q426">
        <f>IF(AND(E426&lt;&gt;"",R426="Có",I426&lt;&gt;"Xong",I426&lt;&gt;"Bỏ qua",ISNUMBER(H426)),H426+ROW()/100000,"")</f>
        <v/>
      </c>
      <c r="R426">
        <f>IF(M426="","",IFERROR(INDEX(SK_L,MATCH(M426,SK_A,0)),""))</f>
        <v/>
      </c>
    </row>
    <row r="427">
      <c r="A427" s="11">
        <f>IF(M427="","",IFERROR(INDEX(SK_B,MATCH(M427,SK_A,0))&amp;"",""))</f>
        <v/>
      </c>
      <c r="B427" s="24">
        <f>IF(M427="","",IFERROR(INDEX(SK_C,MATCH(M427,SK_A,0)),""))</f>
        <v/>
      </c>
      <c r="C427" s="25">
        <f>IF(O427="","",IF(O427=0,"D",IF(O427&lt;0,"D"&amp;O427,"D+"&amp;O427)))</f>
        <v/>
      </c>
      <c r="D427" s="13" t="n"/>
      <c r="E427" s="11" t="n"/>
      <c r="F427" s="26" t="n"/>
      <c r="G427" s="13" t="n"/>
      <c r="H427" s="12">
        <f>IF(OR(B427="",O427=""),"",IF(O427&gt;0,IF(P427="Làm việc",WORKDAY(IFERROR(IF(INDEX(SK_D,MATCH(M427,SK_A,0))="",B427,INDEX(SK_D,MATCH(M427,SK_A,0))),B427),O427,HOLI),IFERROR(IF(INDEX(SK_D,MATCH(M427,SK_A,0))="",B427,INDEX(SK_D,MATCH(M427,SK_A,0))),B427)+O427),B427+O427))</f>
        <v/>
      </c>
      <c r="I427" s="13" t="n"/>
      <c r="J427" s="12" t="n"/>
      <c r="K427" s="11" t="n"/>
      <c r="L427" s="27">
        <f>IF(E427="","",IF(I427="Bỏ qua","—",IF(I427="Xong",IF(AND(ISNUMBER(J427),ISNUMBER(H427),J427&gt;H427),"Xong trễ","Xong"),IF(F427="","CHƯA GIAO","")&amp;IF(NOT(ISNUMBER(H427)),"",IF(TODAY()&gt;H427,IF(F427=""," · ","")&amp;"QUÁ HẠN "&amp;(TODAY()-H427)&amp;" ngày",IF(H427-TODAY()&lt;=3,IF(F427=""," · ","")&amp;"Đến hạn "&amp;IF(H427=TODAY(),"hôm nay","trong "&amp;(H427-TODAY())&amp;" ngày"),""))))))</f>
        <v/>
      </c>
      <c r="Q427">
        <f>IF(AND(E427&lt;&gt;"",R427="Có",I427&lt;&gt;"Xong",I427&lt;&gt;"Bỏ qua",ISNUMBER(H427)),H427+ROW()/100000,"")</f>
        <v/>
      </c>
      <c r="R427">
        <f>IF(M427="","",IFERROR(INDEX(SK_L,MATCH(M427,SK_A,0)),""))</f>
        <v/>
      </c>
    </row>
    <row r="428">
      <c r="A428" s="11">
        <f>IF(M428="","",IFERROR(INDEX(SK_B,MATCH(M428,SK_A,0))&amp;"",""))</f>
        <v/>
      </c>
      <c r="B428" s="24">
        <f>IF(M428="","",IFERROR(INDEX(SK_C,MATCH(M428,SK_A,0)),""))</f>
        <v/>
      </c>
      <c r="C428" s="25">
        <f>IF(O428="","",IF(O428=0,"D",IF(O428&lt;0,"D"&amp;O428,"D+"&amp;O428)))</f>
        <v/>
      </c>
      <c r="D428" s="13" t="n"/>
      <c r="E428" s="11" t="n"/>
      <c r="F428" s="26" t="n"/>
      <c r="G428" s="13" t="n"/>
      <c r="H428" s="12">
        <f>IF(OR(B428="",O428=""),"",IF(O428&gt;0,IF(P428="Làm việc",WORKDAY(IFERROR(IF(INDEX(SK_D,MATCH(M428,SK_A,0))="",B428,INDEX(SK_D,MATCH(M428,SK_A,0))),B428),O428,HOLI),IFERROR(IF(INDEX(SK_D,MATCH(M428,SK_A,0))="",B428,INDEX(SK_D,MATCH(M428,SK_A,0))),B428)+O428),B428+O428))</f>
        <v/>
      </c>
      <c r="I428" s="13" t="n"/>
      <c r="J428" s="12" t="n"/>
      <c r="K428" s="11" t="n"/>
      <c r="L428" s="27">
        <f>IF(E428="","",IF(I428="Bỏ qua","—",IF(I428="Xong",IF(AND(ISNUMBER(J428),ISNUMBER(H428),J428&gt;H428),"Xong trễ","Xong"),IF(F428="","CHƯA GIAO","")&amp;IF(NOT(ISNUMBER(H428)),"",IF(TODAY()&gt;H428,IF(F428=""," · ","")&amp;"QUÁ HẠN "&amp;(TODAY()-H428)&amp;" ngày",IF(H428-TODAY()&lt;=3,IF(F428=""," · ","")&amp;"Đến hạn "&amp;IF(H428=TODAY(),"hôm nay","trong "&amp;(H428-TODAY())&amp;" ngày"),""))))))</f>
        <v/>
      </c>
      <c r="Q428">
        <f>IF(AND(E428&lt;&gt;"",R428="Có",I428&lt;&gt;"Xong",I428&lt;&gt;"Bỏ qua",ISNUMBER(H428)),H428+ROW()/100000,"")</f>
        <v/>
      </c>
      <c r="R428">
        <f>IF(M428="","",IFERROR(INDEX(SK_L,MATCH(M428,SK_A,0)),""))</f>
        <v/>
      </c>
    </row>
    <row r="429">
      <c r="A429" s="11">
        <f>IF(M429="","",IFERROR(INDEX(SK_B,MATCH(M429,SK_A,0))&amp;"",""))</f>
        <v/>
      </c>
      <c r="B429" s="24">
        <f>IF(M429="","",IFERROR(INDEX(SK_C,MATCH(M429,SK_A,0)),""))</f>
        <v/>
      </c>
      <c r="C429" s="25">
        <f>IF(O429="","",IF(O429=0,"D",IF(O429&lt;0,"D"&amp;O429,"D+"&amp;O429)))</f>
        <v/>
      </c>
      <c r="D429" s="13" t="n"/>
      <c r="E429" s="11" t="n"/>
      <c r="F429" s="26" t="n"/>
      <c r="G429" s="13" t="n"/>
      <c r="H429" s="12">
        <f>IF(OR(B429="",O429=""),"",IF(O429&gt;0,IF(P429="Làm việc",WORKDAY(IFERROR(IF(INDEX(SK_D,MATCH(M429,SK_A,0))="",B429,INDEX(SK_D,MATCH(M429,SK_A,0))),B429),O429,HOLI),IFERROR(IF(INDEX(SK_D,MATCH(M429,SK_A,0))="",B429,INDEX(SK_D,MATCH(M429,SK_A,0))),B429)+O429),B429+O429))</f>
        <v/>
      </c>
      <c r="I429" s="13" t="n"/>
      <c r="J429" s="12" t="n"/>
      <c r="K429" s="11" t="n"/>
      <c r="L429" s="27">
        <f>IF(E429="","",IF(I429="Bỏ qua","—",IF(I429="Xong",IF(AND(ISNUMBER(J429),ISNUMBER(H429),J429&gt;H429),"Xong trễ","Xong"),IF(F429="","CHƯA GIAO","")&amp;IF(NOT(ISNUMBER(H429)),"",IF(TODAY()&gt;H429,IF(F429=""," · ","")&amp;"QUÁ HẠN "&amp;(TODAY()-H429)&amp;" ngày",IF(H429-TODAY()&lt;=3,IF(F429=""," · ","")&amp;"Đến hạn "&amp;IF(H429=TODAY(),"hôm nay","trong "&amp;(H429-TODAY())&amp;" ngày"),""))))))</f>
        <v/>
      </c>
      <c r="Q429">
        <f>IF(AND(E429&lt;&gt;"",R429="Có",I429&lt;&gt;"Xong",I429&lt;&gt;"Bỏ qua",ISNUMBER(H429)),H429+ROW()/100000,"")</f>
        <v/>
      </c>
      <c r="R429">
        <f>IF(M429="","",IFERROR(INDEX(SK_L,MATCH(M429,SK_A,0)),""))</f>
        <v/>
      </c>
    </row>
    <row r="430">
      <c r="A430" s="11">
        <f>IF(M430="","",IFERROR(INDEX(SK_B,MATCH(M430,SK_A,0))&amp;"",""))</f>
        <v/>
      </c>
      <c r="B430" s="24">
        <f>IF(M430="","",IFERROR(INDEX(SK_C,MATCH(M430,SK_A,0)),""))</f>
        <v/>
      </c>
      <c r="C430" s="25">
        <f>IF(O430="","",IF(O430=0,"D",IF(O430&lt;0,"D"&amp;O430,"D+"&amp;O430)))</f>
        <v/>
      </c>
      <c r="D430" s="13" t="n"/>
      <c r="E430" s="11" t="n"/>
      <c r="F430" s="26" t="n"/>
      <c r="G430" s="13" t="n"/>
      <c r="H430" s="12">
        <f>IF(OR(B430="",O430=""),"",IF(O430&gt;0,IF(P430="Làm việc",WORKDAY(IFERROR(IF(INDEX(SK_D,MATCH(M430,SK_A,0))="",B430,INDEX(SK_D,MATCH(M430,SK_A,0))),B430),O430,HOLI),IFERROR(IF(INDEX(SK_D,MATCH(M430,SK_A,0))="",B430,INDEX(SK_D,MATCH(M430,SK_A,0))),B430)+O430),B430+O430))</f>
        <v/>
      </c>
      <c r="I430" s="13" t="n"/>
      <c r="J430" s="12" t="n"/>
      <c r="K430" s="11" t="n"/>
      <c r="L430" s="27">
        <f>IF(E430="","",IF(I430="Bỏ qua","—",IF(I430="Xong",IF(AND(ISNUMBER(J430),ISNUMBER(H430),J430&gt;H430),"Xong trễ","Xong"),IF(F430="","CHƯA GIAO","")&amp;IF(NOT(ISNUMBER(H430)),"",IF(TODAY()&gt;H430,IF(F430=""," · ","")&amp;"QUÁ HẠN "&amp;(TODAY()-H430)&amp;" ngày",IF(H430-TODAY()&lt;=3,IF(F430=""," · ","")&amp;"Đến hạn "&amp;IF(H430=TODAY(),"hôm nay","trong "&amp;(H430-TODAY())&amp;" ngày"),""))))))</f>
        <v/>
      </c>
      <c r="Q430">
        <f>IF(AND(E430&lt;&gt;"",R430="Có",I430&lt;&gt;"Xong",I430&lt;&gt;"Bỏ qua",ISNUMBER(H430)),H430+ROW()/100000,"")</f>
        <v/>
      </c>
      <c r="R430">
        <f>IF(M430="","",IFERROR(INDEX(SK_L,MATCH(M430,SK_A,0)),""))</f>
        <v/>
      </c>
    </row>
    <row r="431">
      <c r="A431" s="11">
        <f>IF(M431="","",IFERROR(INDEX(SK_B,MATCH(M431,SK_A,0))&amp;"",""))</f>
        <v/>
      </c>
      <c r="B431" s="24">
        <f>IF(M431="","",IFERROR(INDEX(SK_C,MATCH(M431,SK_A,0)),""))</f>
        <v/>
      </c>
      <c r="C431" s="25">
        <f>IF(O431="","",IF(O431=0,"D",IF(O431&lt;0,"D"&amp;O431,"D+"&amp;O431)))</f>
        <v/>
      </c>
      <c r="D431" s="13" t="n"/>
      <c r="E431" s="11" t="n"/>
      <c r="F431" s="26" t="n"/>
      <c r="G431" s="13" t="n"/>
      <c r="H431" s="12">
        <f>IF(OR(B431="",O431=""),"",IF(O431&gt;0,IF(P431="Làm việc",WORKDAY(IFERROR(IF(INDEX(SK_D,MATCH(M431,SK_A,0))="",B431,INDEX(SK_D,MATCH(M431,SK_A,0))),B431),O431,HOLI),IFERROR(IF(INDEX(SK_D,MATCH(M431,SK_A,0))="",B431,INDEX(SK_D,MATCH(M431,SK_A,0))),B431)+O431),B431+O431))</f>
        <v/>
      </c>
      <c r="I431" s="13" t="n"/>
      <c r="J431" s="12" t="n"/>
      <c r="K431" s="11" t="n"/>
      <c r="L431" s="27">
        <f>IF(E431="","",IF(I431="Bỏ qua","—",IF(I431="Xong",IF(AND(ISNUMBER(J431),ISNUMBER(H431),J431&gt;H431),"Xong trễ","Xong"),IF(F431="","CHƯA GIAO","")&amp;IF(NOT(ISNUMBER(H431)),"",IF(TODAY()&gt;H431,IF(F431=""," · ","")&amp;"QUÁ HẠN "&amp;(TODAY()-H431)&amp;" ngày",IF(H431-TODAY()&lt;=3,IF(F431=""," · ","")&amp;"Đến hạn "&amp;IF(H431=TODAY(),"hôm nay","trong "&amp;(H431-TODAY())&amp;" ngày"),""))))))</f>
        <v/>
      </c>
      <c r="Q431">
        <f>IF(AND(E431&lt;&gt;"",R431="Có",I431&lt;&gt;"Xong",I431&lt;&gt;"Bỏ qua",ISNUMBER(H431)),H431+ROW()/100000,"")</f>
        <v/>
      </c>
      <c r="R431">
        <f>IF(M431="","",IFERROR(INDEX(SK_L,MATCH(M431,SK_A,0)),""))</f>
        <v/>
      </c>
    </row>
    <row r="432">
      <c r="A432" s="11">
        <f>IF(M432="","",IFERROR(INDEX(SK_B,MATCH(M432,SK_A,0))&amp;"",""))</f>
        <v/>
      </c>
      <c r="B432" s="24">
        <f>IF(M432="","",IFERROR(INDEX(SK_C,MATCH(M432,SK_A,0)),""))</f>
        <v/>
      </c>
      <c r="C432" s="25">
        <f>IF(O432="","",IF(O432=0,"D",IF(O432&lt;0,"D"&amp;O432,"D+"&amp;O432)))</f>
        <v/>
      </c>
      <c r="D432" s="13" t="n"/>
      <c r="E432" s="11" t="n"/>
      <c r="F432" s="26" t="n"/>
      <c r="G432" s="13" t="n"/>
      <c r="H432" s="12">
        <f>IF(OR(B432="",O432=""),"",IF(O432&gt;0,IF(P432="Làm việc",WORKDAY(IFERROR(IF(INDEX(SK_D,MATCH(M432,SK_A,0))="",B432,INDEX(SK_D,MATCH(M432,SK_A,0))),B432),O432,HOLI),IFERROR(IF(INDEX(SK_D,MATCH(M432,SK_A,0))="",B432,INDEX(SK_D,MATCH(M432,SK_A,0))),B432)+O432),B432+O432))</f>
        <v/>
      </c>
      <c r="I432" s="13" t="n"/>
      <c r="J432" s="12" t="n"/>
      <c r="K432" s="11" t="n"/>
      <c r="L432" s="27">
        <f>IF(E432="","",IF(I432="Bỏ qua","—",IF(I432="Xong",IF(AND(ISNUMBER(J432),ISNUMBER(H432),J432&gt;H432),"Xong trễ","Xong"),IF(F432="","CHƯA GIAO","")&amp;IF(NOT(ISNUMBER(H432)),"",IF(TODAY()&gt;H432,IF(F432=""," · ","")&amp;"QUÁ HẠN "&amp;(TODAY()-H432)&amp;" ngày",IF(H432-TODAY()&lt;=3,IF(F432=""," · ","")&amp;"Đến hạn "&amp;IF(H432=TODAY(),"hôm nay","trong "&amp;(H432-TODAY())&amp;" ngày"),""))))))</f>
        <v/>
      </c>
      <c r="Q432">
        <f>IF(AND(E432&lt;&gt;"",R432="Có",I432&lt;&gt;"Xong",I432&lt;&gt;"Bỏ qua",ISNUMBER(H432)),H432+ROW()/100000,"")</f>
        <v/>
      </c>
      <c r="R432">
        <f>IF(M432="","",IFERROR(INDEX(SK_L,MATCH(M432,SK_A,0)),""))</f>
        <v/>
      </c>
    </row>
    <row r="433">
      <c r="A433" s="11">
        <f>IF(M433="","",IFERROR(INDEX(SK_B,MATCH(M433,SK_A,0))&amp;"",""))</f>
        <v/>
      </c>
      <c r="B433" s="24">
        <f>IF(M433="","",IFERROR(INDEX(SK_C,MATCH(M433,SK_A,0)),""))</f>
        <v/>
      </c>
      <c r="C433" s="25">
        <f>IF(O433="","",IF(O433=0,"D",IF(O433&lt;0,"D"&amp;O433,"D+"&amp;O433)))</f>
        <v/>
      </c>
      <c r="D433" s="13" t="n"/>
      <c r="E433" s="11" t="n"/>
      <c r="F433" s="26" t="n"/>
      <c r="G433" s="13" t="n"/>
      <c r="H433" s="12">
        <f>IF(OR(B433="",O433=""),"",IF(O433&gt;0,IF(P433="Làm việc",WORKDAY(IFERROR(IF(INDEX(SK_D,MATCH(M433,SK_A,0))="",B433,INDEX(SK_D,MATCH(M433,SK_A,0))),B433),O433,HOLI),IFERROR(IF(INDEX(SK_D,MATCH(M433,SK_A,0))="",B433,INDEX(SK_D,MATCH(M433,SK_A,0))),B433)+O433),B433+O433))</f>
        <v/>
      </c>
      <c r="I433" s="13" t="n"/>
      <c r="J433" s="12" t="n"/>
      <c r="K433" s="11" t="n"/>
      <c r="L433" s="27">
        <f>IF(E433="","",IF(I433="Bỏ qua","—",IF(I433="Xong",IF(AND(ISNUMBER(J433),ISNUMBER(H433),J433&gt;H433),"Xong trễ","Xong"),IF(F433="","CHƯA GIAO","")&amp;IF(NOT(ISNUMBER(H433)),"",IF(TODAY()&gt;H433,IF(F433=""," · ","")&amp;"QUÁ HẠN "&amp;(TODAY()-H433)&amp;" ngày",IF(H433-TODAY()&lt;=3,IF(F433=""," · ","")&amp;"Đến hạn "&amp;IF(H433=TODAY(),"hôm nay","trong "&amp;(H433-TODAY())&amp;" ngày"),""))))))</f>
        <v/>
      </c>
      <c r="Q433">
        <f>IF(AND(E433&lt;&gt;"",R433="Có",I433&lt;&gt;"Xong",I433&lt;&gt;"Bỏ qua",ISNUMBER(H433)),H433+ROW()/100000,"")</f>
        <v/>
      </c>
      <c r="R433">
        <f>IF(M433="","",IFERROR(INDEX(SK_L,MATCH(M433,SK_A,0)),""))</f>
        <v/>
      </c>
    </row>
    <row r="434">
      <c r="A434" s="11">
        <f>IF(M434="","",IFERROR(INDEX(SK_B,MATCH(M434,SK_A,0))&amp;"",""))</f>
        <v/>
      </c>
      <c r="B434" s="24">
        <f>IF(M434="","",IFERROR(INDEX(SK_C,MATCH(M434,SK_A,0)),""))</f>
        <v/>
      </c>
      <c r="C434" s="25">
        <f>IF(O434="","",IF(O434=0,"D",IF(O434&lt;0,"D"&amp;O434,"D+"&amp;O434)))</f>
        <v/>
      </c>
      <c r="D434" s="13" t="n"/>
      <c r="E434" s="11" t="n"/>
      <c r="F434" s="26" t="n"/>
      <c r="G434" s="13" t="n"/>
      <c r="H434" s="12">
        <f>IF(OR(B434="",O434=""),"",IF(O434&gt;0,IF(P434="Làm việc",WORKDAY(IFERROR(IF(INDEX(SK_D,MATCH(M434,SK_A,0))="",B434,INDEX(SK_D,MATCH(M434,SK_A,0))),B434),O434,HOLI),IFERROR(IF(INDEX(SK_D,MATCH(M434,SK_A,0))="",B434,INDEX(SK_D,MATCH(M434,SK_A,0))),B434)+O434),B434+O434))</f>
        <v/>
      </c>
      <c r="I434" s="13" t="n"/>
      <c r="J434" s="12" t="n"/>
      <c r="K434" s="11" t="n"/>
      <c r="L434" s="27">
        <f>IF(E434="","",IF(I434="Bỏ qua","—",IF(I434="Xong",IF(AND(ISNUMBER(J434),ISNUMBER(H434),J434&gt;H434),"Xong trễ","Xong"),IF(F434="","CHƯA GIAO","")&amp;IF(NOT(ISNUMBER(H434)),"",IF(TODAY()&gt;H434,IF(F434=""," · ","")&amp;"QUÁ HẠN "&amp;(TODAY()-H434)&amp;" ngày",IF(H434-TODAY()&lt;=3,IF(F434=""," · ","")&amp;"Đến hạn "&amp;IF(H434=TODAY(),"hôm nay","trong "&amp;(H434-TODAY())&amp;" ngày"),""))))))</f>
        <v/>
      </c>
      <c r="Q434">
        <f>IF(AND(E434&lt;&gt;"",R434="Có",I434&lt;&gt;"Xong",I434&lt;&gt;"Bỏ qua",ISNUMBER(H434)),H434+ROW()/100000,"")</f>
        <v/>
      </c>
      <c r="R434">
        <f>IF(M434="","",IFERROR(INDEX(SK_L,MATCH(M434,SK_A,0)),""))</f>
        <v/>
      </c>
    </row>
    <row r="435">
      <c r="A435" s="11">
        <f>IF(M435="","",IFERROR(INDEX(SK_B,MATCH(M435,SK_A,0))&amp;"",""))</f>
        <v/>
      </c>
      <c r="B435" s="24">
        <f>IF(M435="","",IFERROR(INDEX(SK_C,MATCH(M435,SK_A,0)),""))</f>
        <v/>
      </c>
      <c r="C435" s="25">
        <f>IF(O435="","",IF(O435=0,"D",IF(O435&lt;0,"D"&amp;O435,"D+"&amp;O435)))</f>
        <v/>
      </c>
      <c r="D435" s="13" t="n"/>
      <c r="E435" s="11" t="n"/>
      <c r="F435" s="26" t="n"/>
      <c r="G435" s="13" t="n"/>
      <c r="H435" s="12">
        <f>IF(OR(B435="",O435=""),"",IF(O435&gt;0,IF(P435="Làm việc",WORKDAY(IFERROR(IF(INDEX(SK_D,MATCH(M435,SK_A,0))="",B435,INDEX(SK_D,MATCH(M435,SK_A,0))),B435),O435,HOLI),IFERROR(IF(INDEX(SK_D,MATCH(M435,SK_A,0))="",B435,INDEX(SK_D,MATCH(M435,SK_A,0))),B435)+O435),B435+O435))</f>
        <v/>
      </c>
      <c r="I435" s="13" t="n"/>
      <c r="J435" s="12" t="n"/>
      <c r="K435" s="11" t="n"/>
      <c r="L435" s="27">
        <f>IF(E435="","",IF(I435="Bỏ qua","—",IF(I435="Xong",IF(AND(ISNUMBER(J435),ISNUMBER(H435),J435&gt;H435),"Xong trễ","Xong"),IF(F435="","CHƯA GIAO","")&amp;IF(NOT(ISNUMBER(H435)),"",IF(TODAY()&gt;H435,IF(F435=""," · ","")&amp;"QUÁ HẠN "&amp;(TODAY()-H435)&amp;" ngày",IF(H435-TODAY()&lt;=3,IF(F435=""," · ","")&amp;"Đến hạn "&amp;IF(H435=TODAY(),"hôm nay","trong "&amp;(H435-TODAY())&amp;" ngày"),""))))))</f>
        <v/>
      </c>
      <c r="Q435">
        <f>IF(AND(E435&lt;&gt;"",R435="Có",I435&lt;&gt;"Xong",I435&lt;&gt;"Bỏ qua",ISNUMBER(H435)),H435+ROW()/100000,"")</f>
        <v/>
      </c>
      <c r="R435">
        <f>IF(M435="","",IFERROR(INDEX(SK_L,MATCH(M435,SK_A,0)),""))</f>
        <v/>
      </c>
    </row>
    <row r="436">
      <c r="A436" s="11">
        <f>IF(M436="","",IFERROR(INDEX(SK_B,MATCH(M436,SK_A,0))&amp;"",""))</f>
        <v/>
      </c>
      <c r="B436" s="24">
        <f>IF(M436="","",IFERROR(INDEX(SK_C,MATCH(M436,SK_A,0)),""))</f>
        <v/>
      </c>
      <c r="C436" s="25">
        <f>IF(O436="","",IF(O436=0,"D",IF(O436&lt;0,"D"&amp;O436,"D+"&amp;O436)))</f>
        <v/>
      </c>
      <c r="D436" s="13" t="n"/>
      <c r="E436" s="11" t="n"/>
      <c r="F436" s="26" t="n"/>
      <c r="G436" s="13" t="n"/>
      <c r="H436" s="12">
        <f>IF(OR(B436="",O436=""),"",IF(O436&gt;0,IF(P436="Làm việc",WORKDAY(IFERROR(IF(INDEX(SK_D,MATCH(M436,SK_A,0))="",B436,INDEX(SK_D,MATCH(M436,SK_A,0))),B436),O436,HOLI),IFERROR(IF(INDEX(SK_D,MATCH(M436,SK_A,0))="",B436,INDEX(SK_D,MATCH(M436,SK_A,0))),B436)+O436),B436+O436))</f>
        <v/>
      </c>
      <c r="I436" s="13" t="n"/>
      <c r="J436" s="12" t="n"/>
      <c r="K436" s="11" t="n"/>
      <c r="L436" s="27">
        <f>IF(E436="","",IF(I436="Bỏ qua","—",IF(I436="Xong",IF(AND(ISNUMBER(J436),ISNUMBER(H436),J436&gt;H436),"Xong trễ","Xong"),IF(F436="","CHƯA GIAO","")&amp;IF(NOT(ISNUMBER(H436)),"",IF(TODAY()&gt;H436,IF(F436=""," · ","")&amp;"QUÁ HẠN "&amp;(TODAY()-H436)&amp;" ngày",IF(H436-TODAY()&lt;=3,IF(F436=""," · ","")&amp;"Đến hạn "&amp;IF(H436=TODAY(),"hôm nay","trong "&amp;(H436-TODAY())&amp;" ngày"),""))))))</f>
        <v/>
      </c>
      <c r="Q436">
        <f>IF(AND(E436&lt;&gt;"",R436="Có",I436&lt;&gt;"Xong",I436&lt;&gt;"Bỏ qua",ISNUMBER(H436)),H436+ROW()/100000,"")</f>
        <v/>
      </c>
      <c r="R436">
        <f>IF(M436="","",IFERROR(INDEX(SK_L,MATCH(M436,SK_A,0)),""))</f>
        <v/>
      </c>
    </row>
    <row r="437">
      <c r="A437" s="11">
        <f>IF(M437="","",IFERROR(INDEX(SK_B,MATCH(M437,SK_A,0))&amp;"",""))</f>
        <v/>
      </c>
      <c r="B437" s="24">
        <f>IF(M437="","",IFERROR(INDEX(SK_C,MATCH(M437,SK_A,0)),""))</f>
        <v/>
      </c>
      <c r="C437" s="25">
        <f>IF(O437="","",IF(O437=0,"D",IF(O437&lt;0,"D"&amp;O437,"D+"&amp;O437)))</f>
        <v/>
      </c>
      <c r="D437" s="13" t="n"/>
      <c r="E437" s="11" t="n"/>
      <c r="F437" s="26" t="n"/>
      <c r="G437" s="13" t="n"/>
      <c r="H437" s="12">
        <f>IF(OR(B437="",O437=""),"",IF(O437&gt;0,IF(P437="Làm việc",WORKDAY(IFERROR(IF(INDEX(SK_D,MATCH(M437,SK_A,0))="",B437,INDEX(SK_D,MATCH(M437,SK_A,0))),B437),O437,HOLI),IFERROR(IF(INDEX(SK_D,MATCH(M437,SK_A,0))="",B437,INDEX(SK_D,MATCH(M437,SK_A,0))),B437)+O437),B437+O437))</f>
        <v/>
      </c>
      <c r="I437" s="13" t="n"/>
      <c r="J437" s="12" t="n"/>
      <c r="K437" s="11" t="n"/>
      <c r="L437" s="27">
        <f>IF(E437="","",IF(I437="Bỏ qua","—",IF(I437="Xong",IF(AND(ISNUMBER(J437),ISNUMBER(H437),J437&gt;H437),"Xong trễ","Xong"),IF(F437="","CHƯA GIAO","")&amp;IF(NOT(ISNUMBER(H437)),"",IF(TODAY()&gt;H437,IF(F437=""," · ","")&amp;"QUÁ HẠN "&amp;(TODAY()-H437)&amp;" ngày",IF(H437-TODAY()&lt;=3,IF(F437=""," · ","")&amp;"Đến hạn "&amp;IF(H437=TODAY(),"hôm nay","trong "&amp;(H437-TODAY())&amp;" ngày"),""))))))</f>
        <v/>
      </c>
      <c r="Q437">
        <f>IF(AND(E437&lt;&gt;"",R437="Có",I437&lt;&gt;"Xong",I437&lt;&gt;"Bỏ qua",ISNUMBER(H437)),H437+ROW()/100000,"")</f>
        <v/>
      </c>
      <c r="R437">
        <f>IF(M437="","",IFERROR(INDEX(SK_L,MATCH(M437,SK_A,0)),""))</f>
        <v/>
      </c>
    </row>
    <row r="438">
      <c r="A438" s="11">
        <f>IF(M438="","",IFERROR(INDEX(SK_B,MATCH(M438,SK_A,0))&amp;"",""))</f>
        <v/>
      </c>
      <c r="B438" s="24">
        <f>IF(M438="","",IFERROR(INDEX(SK_C,MATCH(M438,SK_A,0)),""))</f>
        <v/>
      </c>
      <c r="C438" s="25">
        <f>IF(O438="","",IF(O438=0,"D",IF(O438&lt;0,"D"&amp;O438,"D+"&amp;O438)))</f>
        <v/>
      </c>
      <c r="D438" s="13" t="n"/>
      <c r="E438" s="11" t="n"/>
      <c r="F438" s="26" t="n"/>
      <c r="G438" s="13" t="n"/>
      <c r="H438" s="12">
        <f>IF(OR(B438="",O438=""),"",IF(O438&gt;0,IF(P438="Làm việc",WORKDAY(IFERROR(IF(INDEX(SK_D,MATCH(M438,SK_A,0))="",B438,INDEX(SK_D,MATCH(M438,SK_A,0))),B438),O438,HOLI),IFERROR(IF(INDEX(SK_D,MATCH(M438,SK_A,0))="",B438,INDEX(SK_D,MATCH(M438,SK_A,0))),B438)+O438),B438+O438))</f>
        <v/>
      </c>
      <c r="I438" s="13" t="n"/>
      <c r="J438" s="12" t="n"/>
      <c r="K438" s="11" t="n"/>
      <c r="L438" s="27">
        <f>IF(E438="","",IF(I438="Bỏ qua","—",IF(I438="Xong",IF(AND(ISNUMBER(J438),ISNUMBER(H438),J438&gt;H438),"Xong trễ","Xong"),IF(F438="","CHƯA GIAO","")&amp;IF(NOT(ISNUMBER(H438)),"",IF(TODAY()&gt;H438,IF(F438=""," · ","")&amp;"QUÁ HẠN "&amp;(TODAY()-H438)&amp;" ngày",IF(H438-TODAY()&lt;=3,IF(F438=""," · ","")&amp;"Đến hạn "&amp;IF(H438=TODAY(),"hôm nay","trong "&amp;(H438-TODAY())&amp;" ngày"),""))))))</f>
        <v/>
      </c>
      <c r="Q438">
        <f>IF(AND(E438&lt;&gt;"",R438="Có",I438&lt;&gt;"Xong",I438&lt;&gt;"Bỏ qua",ISNUMBER(H438)),H438+ROW()/100000,"")</f>
        <v/>
      </c>
      <c r="R438">
        <f>IF(M438="","",IFERROR(INDEX(SK_L,MATCH(M438,SK_A,0)),""))</f>
        <v/>
      </c>
    </row>
    <row r="439">
      <c r="A439" s="11">
        <f>IF(M439="","",IFERROR(INDEX(SK_B,MATCH(M439,SK_A,0))&amp;"",""))</f>
        <v/>
      </c>
      <c r="B439" s="24">
        <f>IF(M439="","",IFERROR(INDEX(SK_C,MATCH(M439,SK_A,0)),""))</f>
        <v/>
      </c>
      <c r="C439" s="25">
        <f>IF(O439="","",IF(O439=0,"D",IF(O439&lt;0,"D"&amp;O439,"D+"&amp;O439)))</f>
        <v/>
      </c>
      <c r="D439" s="13" t="n"/>
      <c r="E439" s="11" t="n"/>
      <c r="F439" s="26" t="n"/>
      <c r="G439" s="13" t="n"/>
      <c r="H439" s="12">
        <f>IF(OR(B439="",O439=""),"",IF(O439&gt;0,IF(P439="Làm việc",WORKDAY(IFERROR(IF(INDEX(SK_D,MATCH(M439,SK_A,0))="",B439,INDEX(SK_D,MATCH(M439,SK_A,0))),B439),O439,HOLI),IFERROR(IF(INDEX(SK_D,MATCH(M439,SK_A,0))="",B439,INDEX(SK_D,MATCH(M439,SK_A,0))),B439)+O439),B439+O439))</f>
        <v/>
      </c>
      <c r="I439" s="13" t="n"/>
      <c r="J439" s="12" t="n"/>
      <c r="K439" s="11" t="n"/>
      <c r="L439" s="27">
        <f>IF(E439="","",IF(I439="Bỏ qua","—",IF(I439="Xong",IF(AND(ISNUMBER(J439),ISNUMBER(H439),J439&gt;H439),"Xong trễ","Xong"),IF(F439="","CHƯA GIAO","")&amp;IF(NOT(ISNUMBER(H439)),"",IF(TODAY()&gt;H439,IF(F439=""," · ","")&amp;"QUÁ HẠN "&amp;(TODAY()-H439)&amp;" ngày",IF(H439-TODAY()&lt;=3,IF(F439=""," · ","")&amp;"Đến hạn "&amp;IF(H439=TODAY(),"hôm nay","trong "&amp;(H439-TODAY())&amp;" ngày"),""))))))</f>
        <v/>
      </c>
      <c r="Q439">
        <f>IF(AND(E439&lt;&gt;"",R439="Có",I439&lt;&gt;"Xong",I439&lt;&gt;"Bỏ qua",ISNUMBER(H439)),H439+ROW()/100000,"")</f>
        <v/>
      </c>
      <c r="R439">
        <f>IF(M439="","",IFERROR(INDEX(SK_L,MATCH(M439,SK_A,0)),""))</f>
        <v/>
      </c>
    </row>
    <row r="440">
      <c r="A440" s="11">
        <f>IF(M440="","",IFERROR(INDEX(SK_B,MATCH(M440,SK_A,0))&amp;"",""))</f>
        <v/>
      </c>
      <c r="B440" s="24">
        <f>IF(M440="","",IFERROR(INDEX(SK_C,MATCH(M440,SK_A,0)),""))</f>
        <v/>
      </c>
      <c r="C440" s="25">
        <f>IF(O440="","",IF(O440=0,"D",IF(O440&lt;0,"D"&amp;O440,"D+"&amp;O440)))</f>
        <v/>
      </c>
      <c r="D440" s="13" t="n"/>
      <c r="E440" s="11" t="n"/>
      <c r="F440" s="26" t="n"/>
      <c r="G440" s="13" t="n"/>
      <c r="H440" s="12">
        <f>IF(OR(B440="",O440=""),"",IF(O440&gt;0,IF(P440="Làm việc",WORKDAY(IFERROR(IF(INDEX(SK_D,MATCH(M440,SK_A,0))="",B440,INDEX(SK_D,MATCH(M440,SK_A,0))),B440),O440,HOLI),IFERROR(IF(INDEX(SK_D,MATCH(M440,SK_A,0))="",B440,INDEX(SK_D,MATCH(M440,SK_A,0))),B440)+O440),B440+O440))</f>
        <v/>
      </c>
      <c r="I440" s="13" t="n"/>
      <c r="J440" s="12" t="n"/>
      <c r="K440" s="11" t="n"/>
      <c r="L440" s="27">
        <f>IF(E440="","",IF(I440="Bỏ qua","—",IF(I440="Xong",IF(AND(ISNUMBER(J440),ISNUMBER(H440),J440&gt;H440),"Xong trễ","Xong"),IF(F440="","CHƯA GIAO","")&amp;IF(NOT(ISNUMBER(H440)),"",IF(TODAY()&gt;H440,IF(F440=""," · ","")&amp;"QUÁ HẠN "&amp;(TODAY()-H440)&amp;" ngày",IF(H440-TODAY()&lt;=3,IF(F440=""," · ","")&amp;"Đến hạn "&amp;IF(H440=TODAY(),"hôm nay","trong "&amp;(H440-TODAY())&amp;" ngày"),""))))))</f>
        <v/>
      </c>
      <c r="Q440">
        <f>IF(AND(E440&lt;&gt;"",R440="Có",I440&lt;&gt;"Xong",I440&lt;&gt;"Bỏ qua",ISNUMBER(H440)),H440+ROW()/100000,"")</f>
        <v/>
      </c>
      <c r="R440">
        <f>IF(M440="","",IFERROR(INDEX(SK_L,MATCH(M440,SK_A,0)),""))</f>
        <v/>
      </c>
    </row>
    <row r="441">
      <c r="A441" s="11">
        <f>IF(M441="","",IFERROR(INDEX(SK_B,MATCH(M441,SK_A,0))&amp;"",""))</f>
        <v/>
      </c>
      <c r="B441" s="24">
        <f>IF(M441="","",IFERROR(INDEX(SK_C,MATCH(M441,SK_A,0)),""))</f>
        <v/>
      </c>
      <c r="C441" s="25">
        <f>IF(O441="","",IF(O441=0,"D",IF(O441&lt;0,"D"&amp;O441,"D+"&amp;O441)))</f>
        <v/>
      </c>
      <c r="D441" s="13" t="n"/>
      <c r="E441" s="11" t="n"/>
      <c r="F441" s="26" t="n"/>
      <c r="G441" s="13" t="n"/>
      <c r="H441" s="12">
        <f>IF(OR(B441="",O441=""),"",IF(O441&gt;0,IF(P441="Làm việc",WORKDAY(IFERROR(IF(INDEX(SK_D,MATCH(M441,SK_A,0))="",B441,INDEX(SK_D,MATCH(M441,SK_A,0))),B441),O441,HOLI),IFERROR(IF(INDEX(SK_D,MATCH(M441,SK_A,0))="",B441,INDEX(SK_D,MATCH(M441,SK_A,0))),B441)+O441),B441+O441))</f>
        <v/>
      </c>
      <c r="I441" s="13" t="n"/>
      <c r="J441" s="12" t="n"/>
      <c r="K441" s="11" t="n"/>
      <c r="L441" s="27">
        <f>IF(E441="","",IF(I441="Bỏ qua","—",IF(I441="Xong",IF(AND(ISNUMBER(J441),ISNUMBER(H441),J441&gt;H441),"Xong trễ","Xong"),IF(F441="","CHƯA GIAO","")&amp;IF(NOT(ISNUMBER(H441)),"",IF(TODAY()&gt;H441,IF(F441=""," · ","")&amp;"QUÁ HẠN "&amp;(TODAY()-H441)&amp;" ngày",IF(H441-TODAY()&lt;=3,IF(F441=""," · ","")&amp;"Đến hạn "&amp;IF(H441=TODAY(),"hôm nay","trong "&amp;(H441-TODAY())&amp;" ngày"),""))))))</f>
        <v/>
      </c>
      <c r="Q441">
        <f>IF(AND(E441&lt;&gt;"",R441="Có",I441&lt;&gt;"Xong",I441&lt;&gt;"Bỏ qua",ISNUMBER(H441)),H441+ROW()/100000,"")</f>
        <v/>
      </c>
      <c r="R441">
        <f>IF(M441="","",IFERROR(INDEX(SK_L,MATCH(M441,SK_A,0)),""))</f>
        <v/>
      </c>
    </row>
    <row r="442">
      <c r="A442" s="11">
        <f>IF(M442="","",IFERROR(INDEX(SK_B,MATCH(M442,SK_A,0))&amp;"",""))</f>
        <v/>
      </c>
      <c r="B442" s="24">
        <f>IF(M442="","",IFERROR(INDEX(SK_C,MATCH(M442,SK_A,0)),""))</f>
        <v/>
      </c>
      <c r="C442" s="25">
        <f>IF(O442="","",IF(O442=0,"D",IF(O442&lt;0,"D"&amp;O442,"D+"&amp;O442)))</f>
        <v/>
      </c>
      <c r="D442" s="13" t="n"/>
      <c r="E442" s="11" t="n"/>
      <c r="F442" s="26" t="n"/>
      <c r="G442" s="13" t="n"/>
      <c r="H442" s="12">
        <f>IF(OR(B442="",O442=""),"",IF(O442&gt;0,IF(P442="Làm việc",WORKDAY(IFERROR(IF(INDEX(SK_D,MATCH(M442,SK_A,0))="",B442,INDEX(SK_D,MATCH(M442,SK_A,0))),B442),O442,HOLI),IFERROR(IF(INDEX(SK_D,MATCH(M442,SK_A,0))="",B442,INDEX(SK_D,MATCH(M442,SK_A,0))),B442)+O442),B442+O442))</f>
        <v/>
      </c>
      <c r="I442" s="13" t="n"/>
      <c r="J442" s="12" t="n"/>
      <c r="K442" s="11" t="n"/>
      <c r="L442" s="27">
        <f>IF(E442="","",IF(I442="Bỏ qua","—",IF(I442="Xong",IF(AND(ISNUMBER(J442),ISNUMBER(H442),J442&gt;H442),"Xong trễ","Xong"),IF(F442="","CHƯA GIAO","")&amp;IF(NOT(ISNUMBER(H442)),"",IF(TODAY()&gt;H442,IF(F442=""," · ","")&amp;"QUÁ HẠN "&amp;(TODAY()-H442)&amp;" ngày",IF(H442-TODAY()&lt;=3,IF(F442=""," · ","")&amp;"Đến hạn "&amp;IF(H442=TODAY(),"hôm nay","trong "&amp;(H442-TODAY())&amp;" ngày"),""))))))</f>
        <v/>
      </c>
      <c r="Q442">
        <f>IF(AND(E442&lt;&gt;"",R442="Có",I442&lt;&gt;"Xong",I442&lt;&gt;"Bỏ qua",ISNUMBER(H442)),H442+ROW()/100000,"")</f>
        <v/>
      </c>
      <c r="R442">
        <f>IF(M442="","",IFERROR(INDEX(SK_L,MATCH(M442,SK_A,0)),""))</f>
        <v/>
      </c>
    </row>
    <row r="443">
      <c r="A443" s="11">
        <f>IF(M443="","",IFERROR(INDEX(SK_B,MATCH(M443,SK_A,0))&amp;"",""))</f>
        <v/>
      </c>
      <c r="B443" s="24">
        <f>IF(M443="","",IFERROR(INDEX(SK_C,MATCH(M443,SK_A,0)),""))</f>
        <v/>
      </c>
      <c r="C443" s="25">
        <f>IF(O443="","",IF(O443=0,"D",IF(O443&lt;0,"D"&amp;O443,"D+"&amp;O443)))</f>
        <v/>
      </c>
      <c r="D443" s="13" t="n"/>
      <c r="E443" s="11" t="n"/>
      <c r="F443" s="26" t="n"/>
      <c r="G443" s="13" t="n"/>
      <c r="H443" s="12">
        <f>IF(OR(B443="",O443=""),"",IF(O443&gt;0,IF(P443="Làm việc",WORKDAY(IFERROR(IF(INDEX(SK_D,MATCH(M443,SK_A,0))="",B443,INDEX(SK_D,MATCH(M443,SK_A,0))),B443),O443,HOLI),IFERROR(IF(INDEX(SK_D,MATCH(M443,SK_A,0))="",B443,INDEX(SK_D,MATCH(M443,SK_A,0))),B443)+O443),B443+O443))</f>
        <v/>
      </c>
      <c r="I443" s="13" t="n"/>
      <c r="J443" s="12" t="n"/>
      <c r="K443" s="11" t="n"/>
      <c r="L443" s="27">
        <f>IF(E443="","",IF(I443="Bỏ qua","—",IF(I443="Xong",IF(AND(ISNUMBER(J443),ISNUMBER(H443),J443&gt;H443),"Xong trễ","Xong"),IF(F443="","CHƯA GIAO","")&amp;IF(NOT(ISNUMBER(H443)),"",IF(TODAY()&gt;H443,IF(F443=""," · ","")&amp;"QUÁ HẠN "&amp;(TODAY()-H443)&amp;" ngày",IF(H443-TODAY()&lt;=3,IF(F443=""," · ","")&amp;"Đến hạn "&amp;IF(H443=TODAY(),"hôm nay","trong "&amp;(H443-TODAY())&amp;" ngày"),""))))))</f>
        <v/>
      </c>
      <c r="Q443">
        <f>IF(AND(E443&lt;&gt;"",R443="Có",I443&lt;&gt;"Xong",I443&lt;&gt;"Bỏ qua",ISNUMBER(H443)),H443+ROW()/100000,"")</f>
        <v/>
      </c>
      <c r="R443">
        <f>IF(M443="","",IFERROR(INDEX(SK_L,MATCH(M443,SK_A,0)),""))</f>
        <v/>
      </c>
    </row>
    <row r="444">
      <c r="A444" s="11">
        <f>IF(M444="","",IFERROR(INDEX(SK_B,MATCH(M444,SK_A,0))&amp;"",""))</f>
        <v/>
      </c>
      <c r="B444" s="24">
        <f>IF(M444="","",IFERROR(INDEX(SK_C,MATCH(M444,SK_A,0)),""))</f>
        <v/>
      </c>
      <c r="C444" s="25">
        <f>IF(O444="","",IF(O444=0,"D",IF(O444&lt;0,"D"&amp;O444,"D+"&amp;O444)))</f>
        <v/>
      </c>
      <c r="D444" s="13" t="n"/>
      <c r="E444" s="11" t="n"/>
      <c r="F444" s="26" t="n"/>
      <c r="G444" s="13" t="n"/>
      <c r="H444" s="12">
        <f>IF(OR(B444="",O444=""),"",IF(O444&gt;0,IF(P444="Làm việc",WORKDAY(IFERROR(IF(INDEX(SK_D,MATCH(M444,SK_A,0))="",B444,INDEX(SK_D,MATCH(M444,SK_A,0))),B444),O444,HOLI),IFERROR(IF(INDEX(SK_D,MATCH(M444,SK_A,0))="",B444,INDEX(SK_D,MATCH(M444,SK_A,0))),B444)+O444),B444+O444))</f>
        <v/>
      </c>
      <c r="I444" s="13" t="n"/>
      <c r="J444" s="12" t="n"/>
      <c r="K444" s="11" t="n"/>
      <c r="L444" s="27">
        <f>IF(E444="","",IF(I444="Bỏ qua","—",IF(I444="Xong",IF(AND(ISNUMBER(J444),ISNUMBER(H444),J444&gt;H444),"Xong trễ","Xong"),IF(F444="","CHƯA GIAO","")&amp;IF(NOT(ISNUMBER(H444)),"",IF(TODAY()&gt;H444,IF(F444=""," · ","")&amp;"QUÁ HẠN "&amp;(TODAY()-H444)&amp;" ngày",IF(H444-TODAY()&lt;=3,IF(F444=""," · ","")&amp;"Đến hạn "&amp;IF(H444=TODAY(),"hôm nay","trong "&amp;(H444-TODAY())&amp;" ngày"),""))))))</f>
        <v/>
      </c>
      <c r="Q444">
        <f>IF(AND(E444&lt;&gt;"",R444="Có",I444&lt;&gt;"Xong",I444&lt;&gt;"Bỏ qua",ISNUMBER(H444)),H444+ROW()/100000,"")</f>
        <v/>
      </c>
      <c r="R444">
        <f>IF(M444="","",IFERROR(INDEX(SK_L,MATCH(M444,SK_A,0)),""))</f>
        <v/>
      </c>
    </row>
    <row r="445">
      <c r="A445" s="11">
        <f>IF(M445="","",IFERROR(INDEX(SK_B,MATCH(M445,SK_A,0))&amp;"",""))</f>
        <v/>
      </c>
      <c r="B445" s="24">
        <f>IF(M445="","",IFERROR(INDEX(SK_C,MATCH(M445,SK_A,0)),""))</f>
        <v/>
      </c>
      <c r="C445" s="25">
        <f>IF(O445="","",IF(O445=0,"D",IF(O445&lt;0,"D"&amp;O445,"D+"&amp;O445)))</f>
        <v/>
      </c>
      <c r="D445" s="13" t="n"/>
      <c r="E445" s="11" t="n"/>
      <c r="F445" s="26" t="n"/>
      <c r="G445" s="13" t="n"/>
      <c r="H445" s="12">
        <f>IF(OR(B445="",O445=""),"",IF(O445&gt;0,IF(P445="Làm việc",WORKDAY(IFERROR(IF(INDEX(SK_D,MATCH(M445,SK_A,0))="",B445,INDEX(SK_D,MATCH(M445,SK_A,0))),B445),O445,HOLI),IFERROR(IF(INDEX(SK_D,MATCH(M445,SK_A,0))="",B445,INDEX(SK_D,MATCH(M445,SK_A,0))),B445)+O445),B445+O445))</f>
        <v/>
      </c>
      <c r="I445" s="13" t="n"/>
      <c r="J445" s="12" t="n"/>
      <c r="K445" s="11" t="n"/>
      <c r="L445" s="27">
        <f>IF(E445="","",IF(I445="Bỏ qua","—",IF(I445="Xong",IF(AND(ISNUMBER(J445),ISNUMBER(H445),J445&gt;H445),"Xong trễ","Xong"),IF(F445="","CHƯA GIAO","")&amp;IF(NOT(ISNUMBER(H445)),"",IF(TODAY()&gt;H445,IF(F445=""," · ","")&amp;"QUÁ HẠN "&amp;(TODAY()-H445)&amp;" ngày",IF(H445-TODAY()&lt;=3,IF(F445=""," · ","")&amp;"Đến hạn "&amp;IF(H445=TODAY(),"hôm nay","trong "&amp;(H445-TODAY())&amp;" ngày"),""))))))</f>
        <v/>
      </c>
      <c r="Q445">
        <f>IF(AND(E445&lt;&gt;"",R445="Có",I445&lt;&gt;"Xong",I445&lt;&gt;"Bỏ qua",ISNUMBER(H445)),H445+ROW()/100000,"")</f>
        <v/>
      </c>
      <c r="R445">
        <f>IF(M445="","",IFERROR(INDEX(SK_L,MATCH(M445,SK_A,0)),""))</f>
        <v/>
      </c>
    </row>
    <row r="446">
      <c r="A446" s="11">
        <f>IF(M446="","",IFERROR(INDEX(SK_B,MATCH(M446,SK_A,0))&amp;"",""))</f>
        <v/>
      </c>
      <c r="B446" s="24">
        <f>IF(M446="","",IFERROR(INDEX(SK_C,MATCH(M446,SK_A,0)),""))</f>
        <v/>
      </c>
      <c r="C446" s="25">
        <f>IF(O446="","",IF(O446=0,"D",IF(O446&lt;0,"D"&amp;O446,"D+"&amp;O446)))</f>
        <v/>
      </c>
      <c r="D446" s="13" t="n"/>
      <c r="E446" s="11" t="n"/>
      <c r="F446" s="26" t="n"/>
      <c r="G446" s="13" t="n"/>
      <c r="H446" s="12">
        <f>IF(OR(B446="",O446=""),"",IF(O446&gt;0,IF(P446="Làm việc",WORKDAY(IFERROR(IF(INDEX(SK_D,MATCH(M446,SK_A,0))="",B446,INDEX(SK_D,MATCH(M446,SK_A,0))),B446),O446,HOLI),IFERROR(IF(INDEX(SK_D,MATCH(M446,SK_A,0))="",B446,INDEX(SK_D,MATCH(M446,SK_A,0))),B446)+O446),B446+O446))</f>
        <v/>
      </c>
      <c r="I446" s="13" t="n"/>
      <c r="J446" s="12" t="n"/>
      <c r="K446" s="11" t="n"/>
      <c r="L446" s="27">
        <f>IF(E446="","",IF(I446="Bỏ qua","—",IF(I446="Xong",IF(AND(ISNUMBER(J446),ISNUMBER(H446),J446&gt;H446),"Xong trễ","Xong"),IF(F446="","CHƯA GIAO","")&amp;IF(NOT(ISNUMBER(H446)),"",IF(TODAY()&gt;H446,IF(F446=""," · ","")&amp;"QUÁ HẠN "&amp;(TODAY()-H446)&amp;" ngày",IF(H446-TODAY()&lt;=3,IF(F446=""," · ","")&amp;"Đến hạn "&amp;IF(H446=TODAY(),"hôm nay","trong "&amp;(H446-TODAY())&amp;" ngày"),""))))))</f>
        <v/>
      </c>
      <c r="Q446">
        <f>IF(AND(E446&lt;&gt;"",R446="Có",I446&lt;&gt;"Xong",I446&lt;&gt;"Bỏ qua",ISNUMBER(H446)),H446+ROW()/100000,"")</f>
        <v/>
      </c>
      <c r="R446">
        <f>IF(M446="","",IFERROR(INDEX(SK_L,MATCH(M446,SK_A,0)),""))</f>
        <v/>
      </c>
    </row>
    <row r="447">
      <c r="A447" s="11">
        <f>IF(M447="","",IFERROR(INDEX(SK_B,MATCH(M447,SK_A,0))&amp;"",""))</f>
        <v/>
      </c>
      <c r="B447" s="24">
        <f>IF(M447="","",IFERROR(INDEX(SK_C,MATCH(M447,SK_A,0)),""))</f>
        <v/>
      </c>
      <c r="C447" s="25">
        <f>IF(O447="","",IF(O447=0,"D",IF(O447&lt;0,"D"&amp;O447,"D+"&amp;O447)))</f>
        <v/>
      </c>
      <c r="D447" s="13" t="n"/>
      <c r="E447" s="11" t="n"/>
      <c r="F447" s="26" t="n"/>
      <c r="G447" s="13" t="n"/>
      <c r="H447" s="12">
        <f>IF(OR(B447="",O447=""),"",IF(O447&gt;0,IF(P447="Làm việc",WORKDAY(IFERROR(IF(INDEX(SK_D,MATCH(M447,SK_A,0))="",B447,INDEX(SK_D,MATCH(M447,SK_A,0))),B447),O447,HOLI),IFERROR(IF(INDEX(SK_D,MATCH(M447,SK_A,0))="",B447,INDEX(SK_D,MATCH(M447,SK_A,0))),B447)+O447),B447+O447))</f>
        <v/>
      </c>
      <c r="I447" s="13" t="n"/>
      <c r="J447" s="12" t="n"/>
      <c r="K447" s="11" t="n"/>
      <c r="L447" s="27">
        <f>IF(E447="","",IF(I447="Bỏ qua","—",IF(I447="Xong",IF(AND(ISNUMBER(J447),ISNUMBER(H447),J447&gt;H447),"Xong trễ","Xong"),IF(F447="","CHƯA GIAO","")&amp;IF(NOT(ISNUMBER(H447)),"",IF(TODAY()&gt;H447,IF(F447=""," · ","")&amp;"QUÁ HẠN "&amp;(TODAY()-H447)&amp;" ngày",IF(H447-TODAY()&lt;=3,IF(F447=""," · ","")&amp;"Đến hạn "&amp;IF(H447=TODAY(),"hôm nay","trong "&amp;(H447-TODAY())&amp;" ngày"),""))))))</f>
        <v/>
      </c>
      <c r="Q447">
        <f>IF(AND(E447&lt;&gt;"",R447="Có",I447&lt;&gt;"Xong",I447&lt;&gt;"Bỏ qua",ISNUMBER(H447)),H447+ROW()/100000,"")</f>
        <v/>
      </c>
      <c r="R447">
        <f>IF(M447="","",IFERROR(INDEX(SK_L,MATCH(M447,SK_A,0)),""))</f>
        <v/>
      </c>
    </row>
    <row r="448">
      <c r="A448" s="11">
        <f>IF(M448="","",IFERROR(INDEX(SK_B,MATCH(M448,SK_A,0))&amp;"",""))</f>
        <v/>
      </c>
      <c r="B448" s="24">
        <f>IF(M448="","",IFERROR(INDEX(SK_C,MATCH(M448,SK_A,0)),""))</f>
        <v/>
      </c>
      <c r="C448" s="25">
        <f>IF(O448="","",IF(O448=0,"D",IF(O448&lt;0,"D"&amp;O448,"D+"&amp;O448)))</f>
        <v/>
      </c>
      <c r="D448" s="13" t="n"/>
      <c r="E448" s="11" t="n"/>
      <c r="F448" s="26" t="n"/>
      <c r="G448" s="13" t="n"/>
      <c r="H448" s="12">
        <f>IF(OR(B448="",O448=""),"",IF(O448&gt;0,IF(P448="Làm việc",WORKDAY(IFERROR(IF(INDEX(SK_D,MATCH(M448,SK_A,0))="",B448,INDEX(SK_D,MATCH(M448,SK_A,0))),B448),O448,HOLI),IFERROR(IF(INDEX(SK_D,MATCH(M448,SK_A,0))="",B448,INDEX(SK_D,MATCH(M448,SK_A,0))),B448)+O448),B448+O448))</f>
        <v/>
      </c>
      <c r="I448" s="13" t="n"/>
      <c r="J448" s="12" t="n"/>
      <c r="K448" s="11" t="n"/>
      <c r="L448" s="27">
        <f>IF(E448="","",IF(I448="Bỏ qua","—",IF(I448="Xong",IF(AND(ISNUMBER(J448),ISNUMBER(H448),J448&gt;H448),"Xong trễ","Xong"),IF(F448="","CHƯA GIAO","")&amp;IF(NOT(ISNUMBER(H448)),"",IF(TODAY()&gt;H448,IF(F448=""," · ","")&amp;"QUÁ HẠN "&amp;(TODAY()-H448)&amp;" ngày",IF(H448-TODAY()&lt;=3,IF(F448=""," · ","")&amp;"Đến hạn "&amp;IF(H448=TODAY(),"hôm nay","trong "&amp;(H448-TODAY())&amp;" ngày"),""))))))</f>
        <v/>
      </c>
      <c r="Q448">
        <f>IF(AND(E448&lt;&gt;"",R448="Có",I448&lt;&gt;"Xong",I448&lt;&gt;"Bỏ qua",ISNUMBER(H448)),H448+ROW()/100000,"")</f>
        <v/>
      </c>
      <c r="R448">
        <f>IF(M448="","",IFERROR(INDEX(SK_L,MATCH(M448,SK_A,0)),""))</f>
        <v/>
      </c>
    </row>
    <row r="449">
      <c r="A449" s="11">
        <f>IF(M449="","",IFERROR(INDEX(SK_B,MATCH(M449,SK_A,0))&amp;"",""))</f>
        <v/>
      </c>
      <c r="B449" s="24">
        <f>IF(M449="","",IFERROR(INDEX(SK_C,MATCH(M449,SK_A,0)),""))</f>
        <v/>
      </c>
      <c r="C449" s="25">
        <f>IF(O449="","",IF(O449=0,"D",IF(O449&lt;0,"D"&amp;O449,"D+"&amp;O449)))</f>
        <v/>
      </c>
      <c r="D449" s="13" t="n"/>
      <c r="E449" s="11" t="n"/>
      <c r="F449" s="26" t="n"/>
      <c r="G449" s="13" t="n"/>
      <c r="H449" s="12">
        <f>IF(OR(B449="",O449=""),"",IF(O449&gt;0,IF(P449="Làm việc",WORKDAY(IFERROR(IF(INDEX(SK_D,MATCH(M449,SK_A,0))="",B449,INDEX(SK_D,MATCH(M449,SK_A,0))),B449),O449,HOLI),IFERROR(IF(INDEX(SK_D,MATCH(M449,SK_A,0))="",B449,INDEX(SK_D,MATCH(M449,SK_A,0))),B449)+O449),B449+O449))</f>
        <v/>
      </c>
      <c r="I449" s="13" t="n"/>
      <c r="J449" s="12" t="n"/>
      <c r="K449" s="11" t="n"/>
      <c r="L449" s="27">
        <f>IF(E449="","",IF(I449="Bỏ qua","—",IF(I449="Xong",IF(AND(ISNUMBER(J449),ISNUMBER(H449),J449&gt;H449),"Xong trễ","Xong"),IF(F449="","CHƯA GIAO","")&amp;IF(NOT(ISNUMBER(H449)),"",IF(TODAY()&gt;H449,IF(F449=""," · ","")&amp;"QUÁ HẠN "&amp;(TODAY()-H449)&amp;" ngày",IF(H449-TODAY()&lt;=3,IF(F449=""," · ","")&amp;"Đến hạn "&amp;IF(H449=TODAY(),"hôm nay","trong "&amp;(H449-TODAY())&amp;" ngày"),""))))))</f>
        <v/>
      </c>
      <c r="Q449">
        <f>IF(AND(E449&lt;&gt;"",R449="Có",I449&lt;&gt;"Xong",I449&lt;&gt;"Bỏ qua",ISNUMBER(H449)),H449+ROW()/100000,"")</f>
        <v/>
      </c>
      <c r="R449">
        <f>IF(M449="","",IFERROR(INDEX(SK_L,MATCH(M449,SK_A,0)),""))</f>
        <v/>
      </c>
    </row>
    <row r="450">
      <c r="A450" s="11">
        <f>IF(M450="","",IFERROR(INDEX(SK_B,MATCH(M450,SK_A,0))&amp;"",""))</f>
        <v/>
      </c>
      <c r="B450" s="24">
        <f>IF(M450="","",IFERROR(INDEX(SK_C,MATCH(M450,SK_A,0)),""))</f>
        <v/>
      </c>
      <c r="C450" s="25">
        <f>IF(O450="","",IF(O450=0,"D",IF(O450&lt;0,"D"&amp;O450,"D+"&amp;O450)))</f>
        <v/>
      </c>
      <c r="D450" s="13" t="n"/>
      <c r="E450" s="11" t="n"/>
      <c r="F450" s="26" t="n"/>
      <c r="G450" s="13" t="n"/>
      <c r="H450" s="12">
        <f>IF(OR(B450="",O450=""),"",IF(O450&gt;0,IF(P450="Làm việc",WORKDAY(IFERROR(IF(INDEX(SK_D,MATCH(M450,SK_A,0))="",B450,INDEX(SK_D,MATCH(M450,SK_A,0))),B450),O450,HOLI),IFERROR(IF(INDEX(SK_D,MATCH(M450,SK_A,0))="",B450,INDEX(SK_D,MATCH(M450,SK_A,0))),B450)+O450),B450+O450))</f>
        <v/>
      </c>
      <c r="I450" s="13" t="n"/>
      <c r="J450" s="12" t="n"/>
      <c r="K450" s="11" t="n"/>
      <c r="L450" s="27">
        <f>IF(E450="","",IF(I450="Bỏ qua","—",IF(I450="Xong",IF(AND(ISNUMBER(J450),ISNUMBER(H450),J450&gt;H450),"Xong trễ","Xong"),IF(F450="","CHƯA GIAO","")&amp;IF(NOT(ISNUMBER(H450)),"",IF(TODAY()&gt;H450,IF(F450=""," · ","")&amp;"QUÁ HẠN "&amp;(TODAY()-H450)&amp;" ngày",IF(H450-TODAY()&lt;=3,IF(F450=""," · ","")&amp;"Đến hạn "&amp;IF(H450=TODAY(),"hôm nay","trong "&amp;(H450-TODAY())&amp;" ngày"),""))))))</f>
        <v/>
      </c>
      <c r="Q450">
        <f>IF(AND(E450&lt;&gt;"",R450="Có",I450&lt;&gt;"Xong",I450&lt;&gt;"Bỏ qua",ISNUMBER(H450)),H450+ROW()/100000,"")</f>
        <v/>
      </c>
      <c r="R450">
        <f>IF(M450="","",IFERROR(INDEX(SK_L,MATCH(M450,SK_A,0)),""))</f>
        <v/>
      </c>
    </row>
    <row r="451">
      <c r="A451" s="11">
        <f>IF(M451="","",IFERROR(INDEX(SK_B,MATCH(M451,SK_A,0))&amp;"",""))</f>
        <v/>
      </c>
      <c r="B451" s="24">
        <f>IF(M451="","",IFERROR(INDEX(SK_C,MATCH(M451,SK_A,0)),""))</f>
        <v/>
      </c>
      <c r="C451" s="25">
        <f>IF(O451="","",IF(O451=0,"D",IF(O451&lt;0,"D"&amp;O451,"D+"&amp;O451)))</f>
        <v/>
      </c>
      <c r="D451" s="13" t="n"/>
      <c r="E451" s="11" t="n"/>
      <c r="F451" s="26" t="n"/>
      <c r="G451" s="13" t="n"/>
      <c r="H451" s="12">
        <f>IF(OR(B451="",O451=""),"",IF(O451&gt;0,IF(P451="Làm việc",WORKDAY(IFERROR(IF(INDEX(SK_D,MATCH(M451,SK_A,0))="",B451,INDEX(SK_D,MATCH(M451,SK_A,0))),B451),O451,HOLI),IFERROR(IF(INDEX(SK_D,MATCH(M451,SK_A,0))="",B451,INDEX(SK_D,MATCH(M451,SK_A,0))),B451)+O451),B451+O451))</f>
        <v/>
      </c>
      <c r="I451" s="13" t="n"/>
      <c r="J451" s="12" t="n"/>
      <c r="K451" s="11" t="n"/>
      <c r="L451" s="27">
        <f>IF(E451="","",IF(I451="Bỏ qua","—",IF(I451="Xong",IF(AND(ISNUMBER(J451),ISNUMBER(H451),J451&gt;H451),"Xong trễ","Xong"),IF(F451="","CHƯA GIAO","")&amp;IF(NOT(ISNUMBER(H451)),"",IF(TODAY()&gt;H451,IF(F451=""," · ","")&amp;"QUÁ HẠN "&amp;(TODAY()-H451)&amp;" ngày",IF(H451-TODAY()&lt;=3,IF(F451=""," · ","")&amp;"Đến hạn "&amp;IF(H451=TODAY(),"hôm nay","trong "&amp;(H451-TODAY())&amp;" ngày"),""))))))</f>
        <v/>
      </c>
      <c r="Q451">
        <f>IF(AND(E451&lt;&gt;"",R451="Có",I451&lt;&gt;"Xong",I451&lt;&gt;"Bỏ qua",ISNUMBER(H451)),H451+ROW()/100000,"")</f>
        <v/>
      </c>
      <c r="R451">
        <f>IF(M451="","",IFERROR(INDEX(SK_L,MATCH(M451,SK_A,0)),""))</f>
        <v/>
      </c>
    </row>
    <row r="452">
      <c r="A452" s="11">
        <f>IF(M452="","",IFERROR(INDEX(SK_B,MATCH(M452,SK_A,0))&amp;"",""))</f>
        <v/>
      </c>
      <c r="B452" s="24">
        <f>IF(M452="","",IFERROR(INDEX(SK_C,MATCH(M452,SK_A,0)),""))</f>
        <v/>
      </c>
      <c r="C452" s="25">
        <f>IF(O452="","",IF(O452=0,"D",IF(O452&lt;0,"D"&amp;O452,"D+"&amp;O452)))</f>
        <v/>
      </c>
      <c r="D452" s="13" t="n"/>
      <c r="E452" s="11" t="n"/>
      <c r="F452" s="26" t="n"/>
      <c r="G452" s="13" t="n"/>
      <c r="H452" s="12">
        <f>IF(OR(B452="",O452=""),"",IF(O452&gt;0,IF(P452="Làm việc",WORKDAY(IFERROR(IF(INDEX(SK_D,MATCH(M452,SK_A,0))="",B452,INDEX(SK_D,MATCH(M452,SK_A,0))),B452),O452,HOLI),IFERROR(IF(INDEX(SK_D,MATCH(M452,SK_A,0))="",B452,INDEX(SK_D,MATCH(M452,SK_A,0))),B452)+O452),B452+O452))</f>
        <v/>
      </c>
      <c r="I452" s="13" t="n"/>
      <c r="J452" s="12" t="n"/>
      <c r="K452" s="11" t="n"/>
      <c r="L452" s="27">
        <f>IF(E452="","",IF(I452="Bỏ qua","—",IF(I452="Xong",IF(AND(ISNUMBER(J452),ISNUMBER(H452),J452&gt;H452),"Xong trễ","Xong"),IF(F452="","CHƯA GIAO","")&amp;IF(NOT(ISNUMBER(H452)),"",IF(TODAY()&gt;H452,IF(F452=""," · ","")&amp;"QUÁ HẠN "&amp;(TODAY()-H452)&amp;" ngày",IF(H452-TODAY()&lt;=3,IF(F452=""," · ","")&amp;"Đến hạn "&amp;IF(H452=TODAY(),"hôm nay","trong "&amp;(H452-TODAY())&amp;" ngày"),""))))))</f>
        <v/>
      </c>
      <c r="Q452">
        <f>IF(AND(E452&lt;&gt;"",R452="Có",I452&lt;&gt;"Xong",I452&lt;&gt;"Bỏ qua",ISNUMBER(H452)),H452+ROW()/100000,"")</f>
        <v/>
      </c>
      <c r="R452">
        <f>IF(M452="","",IFERROR(INDEX(SK_L,MATCH(M452,SK_A,0)),""))</f>
        <v/>
      </c>
    </row>
    <row r="453">
      <c r="A453" s="11">
        <f>IF(M453="","",IFERROR(INDEX(SK_B,MATCH(M453,SK_A,0))&amp;"",""))</f>
        <v/>
      </c>
      <c r="B453" s="24">
        <f>IF(M453="","",IFERROR(INDEX(SK_C,MATCH(M453,SK_A,0)),""))</f>
        <v/>
      </c>
      <c r="C453" s="25">
        <f>IF(O453="","",IF(O453=0,"D",IF(O453&lt;0,"D"&amp;O453,"D+"&amp;O453)))</f>
        <v/>
      </c>
      <c r="D453" s="13" t="n"/>
      <c r="E453" s="11" t="n"/>
      <c r="F453" s="26" t="n"/>
      <c r="G453" s="13" t="n"/>
      <c r="H453" s="12">
        <f>IF(OR(B453="",O453=""),"",IF(O453&gt;0,IF(P453="Làm việc",WORKDAY(IFERROR(IF(INDEX(SK_D,MATCH(M453,SK_A,0))="",B453,INDEX(SK_D,MATCH(M453,SK_A,0))),B453),O453,HOLI),IFERROR(IF(INDEX(SK_D,MATCH(M453,SK_A,0))="",B453,INDEX(SK_D,MATCH(M453,SK_A,0))),B453)+O453),B453+O453))</f>
        <v/>
      </c>
      <c r="I453" s="13" t="n"/>
      <c r="J453" s="12" t="n"/>
      <c r="K453" s="11" t="n"/>
      <c r="L453" s="27">
        <f>IF(E453="","",IF(I453="Bỏ qua","—",IF(I453="Xong",IF(AND(ISNUMBER(J453),ISNUMBER(H453),J453&gt;H453),"Xong trễ","Xong"),IF(F453="","CHƯA GIAO","")&amp;IF(NOT(ISNUMBER(H453)),"",IF(TODAY()&gt;H453,IF(F453=""," · ","")&amp;"QUÁ HẠN "&amp;(TODAY()-H453)&amp;" ngày",IF(H453-TODAY()&lt;=3,IF(F453=""," · ","")&amp;"Đến hạn "&amp;IF(H453=TODAY(),"hôm nay","trong "&amp;(H453-TODAY())&amp;" ngày"),""))))))</f>
        <v/>
      </c>
      <c r="Q453">
        <f>IF(AND(E453&lt;&gt;"",R453="Có",I453&lt;&gt;"Xong",I453&lt;&gt;"Bỏ qua",ISNUMBER(H453)),H453+ROW()/100000,"")</f>
        <v/>
      </c>
      <c r="R453">
        <f>IF(M453="","",IFERROR(INDEX(SK_L,MATCH(M453,SK_A,0)),""))</f>
        <v/>
      </c>
    </row>
    <row r="454">
      <c r="A454" s="11">
        <f>IF(M454="","",IFERROR(INDEX(SK_B,MATCH(M454,SK_A,0))&amp;"",""))</f>
        <v/>
      </c>
      <c r="B454" s="24">
        <f>IF(M454="","",IFERROR(INDEX(SK_C,MATCH(M454,SK_A,0)),""))</f>
        <v/>
      </c>
      <c r="C454" s="25">
        <f>IF(O454="","",IF(O454=0,"D",IF(O454&lt;0,"D"&amp;O454,"D+"&amp;O454)))</f>
        <v/>
      </c>
      <c r="D454" s="13" t="n"/>
      <c r="E454" s="11" t="n"/>
      <c r="F454" s="26" t="n"/>
      <c r="G454" s="13" t="n"/>
      <c r="H454" s="12">
        <f>IF(OR(B454="",O454=""),"",IF(O454&gt;0,IF(P454="Làm việc",WORKDAY(IFERROR(IF(INDEX(SK_D,MATCH(M454,SK_A,0))="",B454,INDEX(SK_D,MATCH(M454,SK_A,0))),B454),O454,HOLI),IFERROR(IF(INDEX(SK_D,MATCH(M454,SK_A,0))="",B454,INDEX(SK_D,MATCH(M454,SK_A,0))),B454)+O454),B454+O454))</f>
        <v/>
      </c>
      <c r="I454" s="13" t="n"/>
      <c r="J454" s="12" t="n"/>
      <c r="K454" s="11" t="n"/>
      <c r="L454" s="27">
        <f>IF(E454="","",IF(I454="Bỏ qua","—",IF(I454="Xong",IF(AND(ISNUMBER(J454),ISNUMBER(H454),J454&gt;H454),"Xong trễ","Xong"),IF(F454="","CHƯA GIAO","")&amp;IF(NOT(ISNUMBER(H454)),"",IF(TODAY()&gt;H454,IF(F454=""," · ","")&amp;"QUÁ HẠN "&amp;(TODAY()-H454)&amp;" ngày",IF(H454-TODAY()&lt;=3,IF(F454=""," · ","")&amp;"Đến hạn "&amp;IF(H454=TODAY(),"hôm nay","trong "&amp;(H454-TODAY())&amp;" ngày"),""))))))</f>
        <v/>
      </c>
      <c r="Q454">
        <f>IF(AND(E454&lt;&gt;"",R454="Có",I454&lt;&gt;"Xong",I454&lt;&gt;"Bỏ qua",ISNUMBER(H454)),H454+ROW()/100000,"")</f>
        <v/>
      </c>
      <c r="R454">
        <f>IF(M454="","",IFERROR(INDEX(SK_L,MATCH(M454,SK_A,0)),""))</f>
        <v/>
      </c>
    </row>
    <row r="455">
      <c r="A455" s="11">
        <f>IF(M455="","",IFERROR(INDEX(SK_B,MATCH(M455,SK_A,0))&amp;"",""))</f>
        <v/>
      </c>
      <c r="B455" s="24">
        <f>IF(M455="","",IFERROR(INDEX(SK_C,MATCH(M455,SK_A,0)),""))</f>
        <v/>
      </c>
      <c r="C455" s="25">
        <f>IF(O455="","",IF(O455=0,"D",IF(O455&lt;0,"D"&amp;O455,"D+"&amp;O455)))</f>
        <v/>
      </c>
      <c r="D455" s="13" t="n"/>
      <c r="E455" s="11" t="n"/>
      <c r="F455" s="26" t="n"/>
      <c r="G455" s="13" t="n"/>
      <c r="H455" s="12">
        <f>IF(OR(B455="",O455=""),"",IF(O455&gt;0,IF(P455="Làm việc",WORKDAY(IFERROR(IF(INDEX(SK_D,MATCH(M455,SK_A,0))="",B455,INDEX(SK_D,MATCH(M455,SK_A,0))),B455),O455,HOLI),IFERROR(IF(INDEX(SK_D,MATCH(M455,SK_A,0))="",B455,INDEX(SK_D,MATCH(M455,SK_A,0))),B455)+O455),B455+O455))</f>
        <v/>
      </c>
      <c r="I455" s="13" t="n"/>
      <c r="J455" s="12" t="n"/>
      <c r="K455" s="11" t="n"/>
      <c r="L455" s="27">
        <f>IF(E455="","",IF(I455="Bỏ qua","—",IF(I455="Xong",IF(AND(ISNUMBER(J455),ISNUMBER(H455),J455&gt;H455),"Xong trễ","Xong"),IF(F455="","CHƯA GIAO","")&amp;IF(NOT(ISNUMBER(H455)),"",IF(TODAY()&gt;H455,IF(F455=""," · ","")&amp;"QUÁ HẠN "&amp;(TODAY()-H455)&amp;" ngày",IF(H455-TODAY()&lt;=3,IF(F455=""," · ","")&amp;"Đến hạn "&amp;IF(H455=TODAY(),"hôm nay","trong "&amp;(H455-TODAY())&amp;" ngày"),""))))))</f>
        <v/>
      </c>
      <c r="Q455">
        <f>IF(AND(E455&lt;&gt;"",R455="Có",I455&lt;&gt;"Xong",I455&lt;&gt;"Bỏ qua",ISNUMBER(H455)),H455+ROW()/100000,"")</f>
        <v/>
      </c>
      <c r="R455">
        <f>IF(M455="","",IFERROR(INDEX(SK_L,MATCH(M455,SK_A,0)),""))</f>
        <v/>
      </c>
    </row>
    <row r="456">
      <c r="A456" s="11">
        <f>IF(M456="","",IFERROR(INDEX(SK_B,MATCH(M456,SK_A,0))&amp;"",""))</f>
        <v/>
      </c>
      <c r="B456" s="24">
        <f>IF(M456="","",IFERROR(INDEX(SK_C,MATCH(M456,SK_A,0)),""))</f>
        <v/>
      </c>
      <c r="C456" s="25">
        <f>IF(O456="","",IF(O456=0,"D",IF(O456&lt;0,"D"&amp;O456,"D+"&amp;O456)))</f>
        <v/>
      </c>
      <c r="D456" s="13" t="n"/>
      <c r="E456" s="11" t="n"/>
      <c r="F456" s="26" t="n"/>
      <c r="G456" s="13" t="n"/>
      <c r="H456" s="12">
        <f>IF(OR(B456="",O456=""),"",IF(O456&gt;0,IF(P456="Làm việc",WORKDAY(IFERROR(IF(INDEX(SK_D,MATCH(M456,SK_A,0))="",B456,INDEX(SK_D,MATCH(M456,SK_A,0))),B456),O456,HOLI),IFERROR(IF(INDEX(SK_D,MATCH(M456,SK_A,0))="",B456,INDEX(SK_D,MATCH(M456,SK_A,0))),B456)+O456),B456+O456))</f>
        <v/>
      </c>
      <c r="I456" s="13" t="n"/>
      <c r="J456" s="12" t="n"/>
      <c r="K456" s="11" t="n"/>
      <c r="L456" s="27">
        <f>IF(E456="","",IF(I456="Bỏ qua","—",IF(I456="Xong",IF(AND(ISNUMBER(J456),ISNUMBER(H456),J456&gt;H456),"Xong trễ","Xong"),IF(F456="","CHƯA GIAO","")&amp;IF(NOT(ISNUMBER(H456)),"",IF(TODAY()&gt;H456,IF(F456=""," · ","")&amp;"QUÁ HẠN "&amp;(TODAY()-H456)&amp;" ngày",IF(H456-TODAY()&lt;=3,IF(F456=""," · ","")&amp;"Đến hạn "&amp;IF(H456=TODAY(),"hôm nay","trong "&amp;(H456-TODAY())&amp;" ngày"),""))))))</f>
        <v/>
      </c>
      <c r="Q456">
        <f>IF(AND(E456&lt;&gt;"",R456="Có",I456&lt;&gt;"Xong",I456&lt;&gt;"Bỏ qua",ISNUMBER(H456)),H456+ROW()/100000,"")</f>
        <v/>
      </c>
      <c r="R456">
        <f>IF(M456="","",IFERROR(INDEX(SK_L,MATCH(M456,SK_A,0)),""))</f>
        <v/>
      </c>
    </row>
    <row r="457">
      <c r="A457" s="11">
        <f>IF(M457="","",IFERROR(INDEX(SK_B,MATCH(M457,SK_A,0))&amp;"",""))</f>
        <v/>
      </c>
      <c r="B457" s="24">
        <f>IF(M457="","",IFERROR(INDEX(SK_C,MATCH(M457,SK_A,0)),""))</f>
        <v/>
      </c>
      <c r="C457" s="25">
        <f>IF(O457="","",IF(O457=0,"D",IF(O457&lt;0,"D"&amp;O457,"D+"&amp;O457)))</f>
        <v/>
      </c>
      <c r="D457" s="13" t="n"/>
      <c r="E457" s="11" t="n"/>
      <c r="F457" s="26" t="n"/>
      <c r="G457" s="13" t="n"/>
      <c r="H457" s="12">
        <f>IF(OR(B457="",O457=""),"",IF(O457&gt;0,IF(P457="Làm việc",WORKDAY(IFERROR(IF(INDEX(SK_D,MATCH(M457,SK_A,0))="",B457,INDEX(SK_D,MATCH(M457,SK_A,0))),B457),O457,HOLI),IFERROR(IF(INDEX(SK_D,MATCH(M457,SK_A,0))="",B457,INDEX(SK_D,MATCH(M457,SK_A,0))),B457)+O457),B457+O457))</f>
        <v/>
      </c>
      <c r="I457" s="13" t="n"/>
      <c r="J457" s="12" t="n"/>
      <c r="K457" s="11" t="n"/>
      <c r="L457" s="27">
        <f>IF(E457="","",IF(I457="Bỏ qua","—",IF(I457="Xong",IF(AND(ISNUMBER(J457),ISNUMBER(H457),J457&gt;H457),"Xong trễ","Xong"),IF(F457="","CHƯA GIAO","")&amp;IF(NOT(ISNUMBER(H457)),"",IF(TODAY()&gt;H457,IF(F457=""," · ","")&amp;"QUÁ HẠN "&amp;(TODAY()-H457)&amp;" ngày",IF(H457-TODAY()&lt;=3,IF(F457=""," · ","")&amp;"Đến hạn "&amp;IF(H457=TODAY(),"hôm nay","trong "&amp;(H457-TODAY())&amp;" ngày"),""))))))</f>
        <v/>
      </c>
      <c r="Q457">
        <f>IF(AND(E457&lt;&gt;"",R457="Có",I457&lt;&gt;"Xong",I457&lt;&gt;"Bỏ qua",ISNUMBER(H457)),H457+ROW()/100000,"")</f>
        <v/>
      </c>
      <c r="R457">
        <f>IF(M457="","",IFERROR(INDEX(SK_L,MATCH(M457,SK_A,0)),""))</f>
        <v/>
      </c>
    </row>
    <row r="458">
      <c r="A458" s="11">
        <f>IF(M458="","",IFERROR(INDEX(SK_B,MATCH(M458,SK_A,0))&amp;"",""))</f>
        <v/>
      </c>
      <c r="B458" s="24">
        <f>IF(M458="","",IFERROR(INDEX(SK_C,MATCH(M458,SK_A,0)),""))</f>
        <v/>
      </c>
      <c r="C458" s="25">
        <f>IF(O458="","",IF(O458=0,"D",IF(O458&lt;0,"D"&amp;O458,"D+"&amp;O458)))</f>
        <v/>
      </c>
      <c r="D458" s="13" t="n"/>
      <c r="E458" s="11" t="n"/>
      <c r="F458" s="26" t="n"/>
      <c r="G458" s="13" t="n"/>
      <c r="H458" s="12">
        <f>IF(OR(B458="",O458=""),"",IF(O458&gt;0,IF(P458="Làm việc",WORKDAY(IFERROR(IF(INDEX(SK_D,MATCH(M458,SK_A,0))="",B458,INDEX(SK_D,MATCH(M458,SK_A,0))),B458),O458,HOLI),IFERROR(IF(INDEX(SK_D,MATCH(M458,SK_A,0))="",B458,INDEX(SK_D,MATCH(M458,SK_A,0))),B458)+O458),B458+O458))</f>
        <v/>
      </c>
      <c r="I458" s="13" t="n"/>
      <c r="J458" s="12" t="n"/>
      <c r="K458" s="11" t="n"/>
      <c r="L458" s="27">
        <f>IF(E458="","",IF(I458="Bỏ qua","—",IF(I458="Xong",IF(AND(ISNUMBER(J458),ISNUMBER(H458),J458&gt;H458),"Xong trễ","Xong"),IF(F458="","CHƯA GIAO","")&amp;IF(NOT(ISNUMBER(H458)),"",IF(TODAY()&gt;H458,IF(F458=""," · ","")&amp;"QUÁ HẠN "&amp;(TODAY()-H458)&amp;" ngày",IF(H458-TODAY()&lt;=3,IF(F458=""," · ","")&amp;"Đến hạn "&amp;IF(H458=TODAY(),"hôm nay","trong "&amp;(H458-TODAY())&amp;" ngày"),""))))))</f>
        <v/>
      </c>
      <c r="Q458">
        <f>IF(AND(E458&lt;&gt;"",R458="Có",I458&lt;&gt;"Xong",I458&lt;&gt;"Bỏ qua",ISNUMBER(H458)),H458+ROW()/100000,"")</f>
        <v/>
      </c>
      <c r="R458">
        <f>IF(M458="","",IFERROR(INDEX(SK_L,MATCH(M458,SK_A,0)),""))</f>
        <v/>
      </c>
    </row>
    <row r="459">
      <c r="A459" s="11">
        <f>IF(M459="","",IFERROR(INDEX(SK_B,MATCH(M459,SK_A,0))&amp;"",""))</f>
        <v/>
      </c>
      <c r="B459" s="24">
        <f>IF(M459="","",IFERROR(INDEX(SK_C,MATCH(M459,SK_A,0)),""))</f>
        <v/>
      </c>
      <c r="C459" s="25">
        <f>IF(O459="","",IF(O459=0,"D",IF(O459&lt;0,"D"&amp;O459,"D+"&amp;O459)))</f>
        <v/>
      </c>
      <c r="D459" s="13" t="n"/>
      <c r="E459" s="11" t="n"/>
      <c r="F459" s="26" t="n"/>
      <c r="G459" s="13" t="n"/>
      <c r="H459" s="12">
        <f>IF(OR(B459="",O459=""),"",IF(O459&gt;0,IF(P459="Làm việc",WORKDAY(IFERROR(IF(INDEX(SK_D,MATCH(M459,SK_A,0))="",B459,INDEX(SK_D,MATCH(M459,SK_A,0))),B459),O459,HOLI),IFERROR(IF(INDEX(SK_D,MATCH(M459,SK_A,0))="",B459,INDEX(SK_D,MATCH(M459,SK_A,0))),B459)+O459),B459+O459))</f>
        <v/>
      </c>
      <c r="I459" s="13" t="n"/>
      <c r="J459" s="12" t="n"/>
      <c r="K459" s="11" t="n"/>
      <c r="L459" s="27">
        <f>IF(E459="","",IF(I459="Bỏ qua","—",IF(I459="Xong",IF(AND(ISNUMBER(J459),ISNUMBER(H459),J459&gt;H459),"Xong trễ","Xong"),IF(F459="","CHƯA GIAO","")&amp;IF(NOT(ISNUMBER(H459)),"",IF(TODAY()&gt;H459,IF(F459=""," · ","")&amp;"QUÁ HẠN "&amp;(TODAY()-H459)&amp;" ngày",IF(H459-TODAY()&lt;=3,IF(F459=""," · ","")&amp;"Đến hạn "&amp;IF(H459=TODAY(),"hôm nay","trong "&amp;(H459-TODAY())&amp;" ngày"),""))))))</f>
        <v/>
      </c>
      <c r="Q459">
        <f>IF(AND(E459&lt;&gt;"",R459="Có",I459&lt;&gt;"Xong",I459&lt;&gt;"Bỏ qua",ISNUMBER(H459)),H459+ROW()/100000,"")</f>
        <v/>
      </c>
      <c r="R459">
        <f>IF(M459="","",IFERROR(INDEX(SK_L,MATCH(M459,SK_A,0)),""))</f>
        <v/>
      </c>
    </row>
    <row r="460">
      <c r="A460" s="11">
        <f>IF(M460="","",IFERROR(INDEX(SK_B,MATCH(M460,SK_A,0))&amp;"",""))</f>
        <v/>
      </c>
      <c r="B460" s="24">
        <f>IF(M460="","",IFERROR(INDEX(SK_C,MATCH(M460,SK_A,0)),""))</f>
        <v/>
      </c>
      <c r="C460" s="25">
        <f>IF(O460="","",IF(O460=0,"D",IF(O460&lt;0,"D"&amp;O460,"D+"&amp;O460)))</f>
        <v/>
      </c>
      <c r="D460" s="13" t="n"/>
      <c r="E460" s="11" t="n"/>
      <c r="F460" s="26" t="n"/>
      <c r="G460" s="13" t="n"/>
      <c r="H460" s="12">
        <f>IF(OR(B460="",O460=""),"",IF(O460&gt;0,IF(P460="Làm việc",WORKDAY(IFERROR(IF(INDEX(SK_D,MATCH(M460,SK_A,0))="",B460,INDEX(SK_D,MATCH(M460,SK_A,0))),B460),O460,HOLI),IFERROR(IF(INDEX(SK_D,MATCH(M460,SK_A,0))="",B460,INDEX(SK_D,MATCH(M460,SK_A,0))),B460)+O460),B460+O460))</f>
        <v/>
      </c>
      <c r="I460" s="13" t="n"/>
      <c r="J460" s="12" t="n"/>
      <c r="K460" s="11" t="n"/>
      <c r="L460" s="27">
        <f>IF(E460="","",IF(I460="Bỏ qua","—",IF(I460="Xong",IF(AND(ISNUMBER(J460),ISNUMBER(H460),J460&gt;H460),"Xong trễ","Xong"),IF(F460="","CHƯA GIAO","")&amp;IF(NOT(ISNUMBER(H460)),"",IF(TODAY()&gt;H460,IF(F460=""," · ","")&amp;"QUÁ HẠN "&amp;(TODAY()-H460)&amp;" ngày",IF(H460-TODAY()&lt;=3,IF(F460=""," · ","")&amp;"Đến hạn "&amp;IF(H460=TODAY(),"hôm nay","trong "&amp;(H460-TODAY())&amp;" ngày"),""))))))</f>
        <v/>
      </c>
      <c r="Q460">
        <f>IF(AND(E460&lt;&gt;"",R460="Có",I460&lt;&gt;"Xong",I460&lt;&gt;"Bỏ qua",ISNUMBER(H460)),H460+ROW()/100000,"")</f>
        <v/>
      </c>
      <c r="R460">
        <f>IF(M460="","",IFERROR(INDEX(SK_L,MATCH(M460,SK_A,0)),""))</f>
        <v/>
      </c>
    </row>
    <row r="461">
      <c r="A461" s="11">
        <f>IF(M461="","",IFERROR(INDEX(SK_B,MATCH(M461,SK_A,0))&amp;"",""))</f>
        <v/>
      </c>
      <c r="B461" s="24">
        <f>IF(M461="","",IFERROR(INDEX(SK_C,MATCH(M461,SK_A,0)),""))</f>
        <v/>
      </c>
      <c r="C461" s="25">
        <f>IF(O461="","",IF(O461=0,"D",IF(O461&lt;0,"D"&amp;O461,"D+"&amp;O461)))</f>
        <v/>
      </c>
      <c r="D461" s="13" t="n"/>
      <c r="E461" s="11" t="n"/>
      <c r="F461" s="26" t="n"/>
      <c r="G461" s="13" t="n"/>
      <c r="H461" s="12">
        <f>IF(OR(B461="",O461=""),"",IF(O461&gt;0,IF(P461="Làm việc",WORKDAY(IFERROR(IF(INDEX(SK_D,MATCH(M461,SK_A,0))="",B461,INDEX(SK_D,MATCH(M461,SK_A,0))),B461),O461,HOLI),IFERROR(IF(INDEX(SK_D,MATCH(M461,SK_A,0))="",B461,INDEX(SK_D,MATCH(M461,SK_A,0))),B461)+O461),B461+O461))</f>
        <v/>
      </c>
      <c r="I461" s="13" t="n"/>
      <c r="J461" s="12" t="n"/>
      <c r="K461" s="11" t="n"/>
      <c r="L461" s="27">
        <f>IF(E461="","",IF(I461="Bỏ qua","—",IF(I461="Xong",IF(AND(ISNUMBER(J461),ISNUMBER(H461),J461&gt;H461),"Xong trễ","Xong"),IF(F461="","CHƯA GIAO","")&amp;IF(NOT(ISNUMBER(H461)),"",IF(TODAY()&gt;H461,IF(F461=""," · ","")&amp;"QUÁ HẠN "&amp;(TODAY()-H461)&amp;" ngày",IF(H461-TODAY()&lt;=3,IF(F461=""," · ","")&amp;"Đến hạn "&amp;IF(H461=TODAY(),"hôm nay","trong "&amp;(H461-TODAY())&amp;" ngày"),""))))))</f>
        <v/>
      </c>
      <c r="Q461">
        <f>IF(AND(E461&lt;&gt;"",R461="Có",I461&lt;&gt;"Xong",I461&lt;&gt;"Bỏ qua",ISNUMBER(H461)),H461+ROW()/100000,"")</f>
        <v/>
      </c>
      <c r="R461">
        <f>IF(M461="","",IFERROR(INDEX(SK_L,MATCH(M461,SK_A,0)),""))</f>
        <v/>
      </c>
    </row>
    <row r="462">
      <c r="A462" s="11">
        <f>IF(M462="","",IFERROR(INDEX(SK_B,MATCH(M462,SK_A,0))&amp;"",""))</f>
        <v/>
      </c>
      <c r="B462" s="24">
        <f>IF(M462="","",IFERROR(INDEX(SK_C,MATCH(M462,SK_A,0)),""))</f>
        <v/>
      </c>
      <c r="C462" s="25">
        <f>IF(O462="","",IF(O462=0,"D",IF(O462&lt;0,"D"&amp;O462,"D+"&amp;O462)))</f>
        <v/>
      </c>
      <c r="D462" s="13" t="n"/>
      <c r="E462" s="11" t="n"/>
      <c r="F462" s="26" t="n"/>
      <c r="G462" s="13" t="n"/>
      <c r="H462" s="12">
        <f>IF(OR(B462="",O462=""),"",IF(O462&gt;0,IF(P462="Làm việc",WORKDAY(IFERROR(IF(INDEX(SK_D,MATCH(M462,SK_A,0))="",B462,INDEX(SK_D,MATCH(M462,SK_A,0))),B462),O462,HOLI),IFERROR(IF(INDEX(SK_D,MATCH(M462,SK_A,0))="",B462,INDEX(SK_D,MATCH(M462,SK_A,0))),B462)+O462),B462+O462))</f>
        <v/>
      </c>
      <c r="I462" s="13" t="n"/>
      <c r="J462" s="12" t="n"/>
      <c r="K462" s="11" t="n"/>
      <c r="L462" s="27">
        <f>IF(E462="","",IF(I462="Bỏ qua","—",IF(I462="Xong",IF(AND(ISNUMBER(J462),ISNUMBER(H462),J462&gt;H462),"Xong trễ","Xong"),IF(F462="","CHƯA GIAO","")&amp;IF(NOT(ISNUMBER(H462)),"",IF(TODAY()&gt;H462,IF(F462=""," · ","")&amp;"QUÁ HẠN "&amp;(TODAY()-H462)&amp;" ngày",IF(H462-TODAY()&lt;=3,IF(F462=""," · ","")&amp;"Đến hạn "&amp;IF(H462=TODAY(),"hôm nay","trong "&amp;(H462-TODAY())&amp;" ngày"),""))))))</f>
        <v/>
      </c>
      <c r="Q462">
        <f>IF(AND(E462&lt;&gt;"",R462="Có",I462&lt;&gt;"Xong",I462&lt;&gt;"Bỏ qua",ISNUMBER(H462)),H462+ROW()/100000,"")</f>
        <v/>
      </c>
      <c r="R462">
        <f>IF(M462="","",IFERROR(INDEX(SK_L,MATCH(M462,SK_A,0)),""))</f>
        <v/>
      </c>
    </row>
    <row r="463">
      <c r="A463" s="11">
        <f>IF(M463="","",IFERROR(INDEX(SK_B,MATCH(M463,SK_A,0))&amp;"",""))</f>
        <v/>
      </c>
      <c r="B463" s="24">
        <f>IF(M463="","",IFERROR(INDEX(SK_C,MATCH(M463,SK_A,0)),""))</f>
        <v/>
      </c>
      <c r="C463" s="25">
        <f>IF(O463="","",IF(O463=0,"D",IF(O463&lt;0,"D"&amp;O463,"D+"&amp;O463)))</f>
        <v/>
      </c>
      <c r="D463" s="13" t="n"/>
      <c r="E463" s="11" t="n"/>
      <c r="F463" s="26" t="n"/>
      <c r="G463" s="13" t="n"/>
      <c r="H463" s="12">
        <f>IF(OR(B463="",O463=""),"",IF(O463&gt;0,IF(P463="Làm việc",WORKDAY(IFERROR(IF(INDEX(SK_D,MATCH(M463,SK_A,0))="",B463,INDEX(SK_D,MATCH(M463,SK_A,0))),B463),O463,HOLI),IFERROR(IF(INDEX(SK_D,MATCH(M463,SK_A,0))="",B463,INDEX(SK_D,MATCH(M463,SK_A,0))),B463)+O463),B463+O463))</f>
        <v/>
      </c>
      <c r="I463" s="13" t="n"/>
      <c r="J463" s="12" t="n"/>
      <c r="K463" s="11" t="n"/>
      <c r="L463" s="27">
        <f>IF(E463="","",IF(I463="Bỏ qua","—",IF(I463="Xong",IF(AND(ISNUMBER(J463),ISNUMBER(H463),J463&gt;H463),"Xong trễ","Xong"),IF(F463="","CHƯA GIAO","")&amp;IF(NOT(ISNUMBER(H463)),"",IF(TODAY()&gt;H463,IF(F463=""," · ","")&amp;"QUÁ HẠN "&amp;(TODAY()-H463)&amp;" ngày",IF(H463-TODAY()&lt;=3,IF(F463=""," · ","")&amp;"Đến hạn "&amp;IF(H463=TODAY(),"hôm nay","trong "&amp;(H463-TODAY())&amp;" ngày"),""))))))</f>
        <v/>
      </c>
      <c r="Q463">
        <f>IF(AND(E463&lt;&gt;"",R463="Có",I463&lt;&gt;"Xong",I463&lt;&gt;"Bỏ qua",ISNUMBER(H463)),H463+ROW()/100000,"")</f>
        <v/>
      </c>
      <c r="R463">
        <f>IF(M463="","",IFERROR(INDEX(SK_L,MATCH(M463,SK_A,0)),""))</f>
        <v/>
      </c>
    </row>
    <row r="464">
      <c r="A464" s="11">
        <f>IF(M464="","",IFERROR(INDEX(SK_B,MATCH(M464,SK_A,0))&amp;"",""))</f>
        <v/>
      </c>
      <c r="B464" s="24">
        <f>IF(M464="","",IFERROR(INDEX(SK_C,MATCH(M464,SK_A,0)),""))</f>
        <v/>
      </c>
      <c r="C464" s="25">
        <f>IF(O464="","",IF(O464=0,"D",IF(O464&lt;0,"D"&amp;O464,"D+"&amp;O464)))</f>
        <v/>
      </c>
      <c r="D464" s="13" t="n"/>
      <c r="E464" s="11" t="n"/>
      <c r="F464" s="26" t="n"/>
      <c r="G464" s="13" t="n"/>
      <c r="H464" s="12">
        <f>IF(OR(B464="",O464=""),"",IF(O464&gt;0,IF(P464="Làm việc",WORKDAY(IFERROR(IF(INDEX(SK_D,MATCH(M464,SK_A,0))="",B464,INDEX(SK_D,MATCH(M464,SK_A,0))),B464),O464,HOLI),IFERROR(IF(INDEX(SK_D,MATCH(M464,SK_A,0))="",B464,INDEX(SK_D,MATCH(M464,SK_A,0))),B464)+O464),B464+O464))</f>
        <v/>
      </c>
      <c r="I464" s="13" t="n"/>
      <c r="J464" s="12" t="n"/>
      <c r="K464" s="11" t="n"/>
      <c r="L464" s="27">
        <f>IF(E464="","",IF(I464="Bỏ qua","—",IF(I464="Xong",IF(AND(ISNUMBER(J464),ISNUMBER(H464),J464&gt;H464),"Xong trễ","Xong"),IF(F464="","CHƯA GIAO","")&amp;IF(NOT(ISNUMBER(H464)),"",IF(TODAY()&gt;H464,IF(F464=""," · ","")&amp;"QUÁ HẠN "&amp;(TODAY()-H464)&amp;" ngày",IF(H464-TODAY()&lt;=3,IF(F464=""," · ","")&amp;"Đến hạn "&amp;IF(H464=TODAY(),"hôm nay","trong "&amp;(H464-TODAY())&amp;" ngày"),""))))))</f>
        <v/>
      </c>
      <c r="Q464">
        <f>IF(AND(E464&lt;&gt;"",R464="Có",I464&lt;&gt;"Xong",I464&lt;&gt;"Bỏ qua",ISNUMBER(H464)),H464+ROW()/100000,"")</f>
        <v/>
      </c>
      <c r="R464">
        <f>IF(M464="","",IFERROR(INDEX(SK_L,MATCH(M464,SK_A,0)),""))</f>
        <v/>
      </c>
    </row>
    <row r="465">
      <c r="A465" s="11">
        <f>IF(M465="","",IFERROR(INDEX(SK_B,MATCH(M465,SK_A,0))&amp;"",""))</f>
        <v/>
      </c>
      <c r="B465" s="24">
        <f>IF(M465="","",IFERROR(INDEX(SK_C,MATCH(M465,SK_A,0)),""))</f>
        <v/>
      </c>
      <c r="C465" s="25">
        <f>IF(O465="","",IF(O465=0,"D",IF(O465&lt;0,"D"&amp;O465,"D+"&amp;O465)))</f>
        <v/>
      </c>
      <c r="D465" s="13" t="n"/>
      <c r="E465" s="11" t="n"/>
      <c r="F465" s="26" t="n"/>
      <c r="G465" s="13" t="n"/>
      <c r="H465" s="12">
        <f>IF(OR(B465="",O465=""),"",IF(O465&gt;0,IF(P465="Làm việc",WORKDAY(IFERROR(IF(INDEX(SK_D,MATCH(M465,SK_A,0))="",B465,INDEX(SK_D,MATCH(M465,SK_A,0))),B465),O465,HOLI),IFERROR(IF(INDEX(SK_D,MATCH(M465,SK_A,0))="",B465,INDEX(SK_D,MATCH(M465,SK_A,0))),B465)+O465),B465+O465))</f>
        <v/>
      </c>
      <c r="I465" s="13" t="n"/>
      <c r="J465" s="12" t="n"/>
      <c r="K465" s="11" t="n"/>
      <c r="L465" s="27">
        <f>IF(E465="","",IF(I465="Bỏ qua","—",IF(I465="Xong",IF(AND(ISNUMBER(J465),ISNUMBER(H465),J465&gt;H465),"Xong trễ","Xong"),IF(F465="","CHƯA GIAO","")&amp;IF(NOT(ISNUMBER(H465)),"",IF(TODAY()&gt;H465,IF(F465=""," · ","")&amp;"QUÁ HẠN "&amp;(TODAY()-H465)&amp;" ngày",IF(H465-TODAY()&lt;=3,IF(F465=""," · ","")&amp;"Đến hạn "&amp;IF(H465=TODAY(),"hôm nay","trong "&amp;(H465-TODAY())&amp;" ngày"),""))))))</f>
        <v/>
      </c>
      <c r="Q465">
        <f>IF(AND(E465&lt;&gt;"",R465="Có",I465&lt;&gt;"Xong",I465&lt;&gt;"Bỏ qua",ISNUMBER(H465)),H465+ROW()/100000,"")</f>
        <v/>
      </c>
      <c r="R465">
        <f>IF(M465="","",IFERROR(INDEX(SK_L,MATCH(M465,SK_A,0)),""))</f>
        <v/>
      </c>
    </row>
    <row r="466">
      <c r="A466" s="11">
        <f>IF(M466="","",IFERROR(INDEX(SK_B,MATCH(M466,SK_A,0))&amp;"",""))</f>
        <v/>
      </c>
      <c r="B466" s="24">
        <f>IF(M466="","",IFERROR(INDEX(SK_C,MATCH(M466,SK_A,0)),""))</f>
        <v/>
      </c>
      <c r="C466" s="25">
        <f>IF(O466="","",IF(O466=0,"D",IF(O466&lt;0,"D"&amp;O466,"D+"&amp;O466)))</f>
        <v/>
      </c>
      <c r="D466" s="13" t="n"/>
      <c r="E466" s="11" t="n"/>
      <c r="F466" s="26" t="n"/>
      <c r="G466" s="13" t="n"/>
      <c r="H466" s="12">
        <f>IF(OR(B466="",O466=""),"",IF(O466&gt;0,IF(P466="Làm việc",WORKDAY(IFERROR(IF(INDEX(SK_D,MATCH(M466,SK_A,0))="",B466,INDEX(SK_D,MATCH(M466,SK_A,0))),B466),O466,HOLI),IFERROR(IF(INDEX(SK_D,MATCH(M466,SK_A,0))="",B466,INDEX(SK_D,MATCH(M466,SK_A,0))),B466)+O466),B466+O466))</f>
        <v/>
      </c>
      <c r="I466" s="13" t="n"/>
      <c r="J466" s="12" t="n"/>
      <c r="K466" s="11" t="n"/>
      <c r="L466" s="27">
        <f>IF(E466="","",IF(I466="Bỏ qua","—",IF(I466="Xong",IF(AND(ISNUMBER(J466),ISNUMBER(H466),J466&gt;H466),"Xong trễ","Xong"),IF(F466="","CHƯA GIAO","")&amp;IF(NOT(ISNUMBER(H466)),"",IF(TODAY()&gt;H466,IF(F466=""," · ","")&amp;"QUÁ HẠN "&amp;(TODAY()-H466)&amp;" ngày",IF(H466-TODAY()&lt;=3,IF(F466=""," · ","")&amp;"Đến hạn "&amp;IF(H466=TODAY(),"hôm nay","trong "&amp;(H466-TODAY())&amp;" ngày"),""))))))</f>
        <v/>
      </c>
      <c r="Q466">
        <f>IF(AND(E466&lt;&gt;"",R466="Có",I466&lt;&gt;"Xong",I466&lt;&gt;"Bỏ qua",ISNUMBER(H466)),H466+ROW()/100000,"")</f>
        <v/>
      </c>
      <c r="R466">
        <f>IF(M466="","",IFERROR(INDEX(SK_L,MATCH(M466,SK_A,0)),""))</f>
        <v/>
      </c>
    </row>
    <row r="467">
      <c r="A467" s="11">
        <f>IF(M467="","",IFERROR(INDEX(SK_B,MATCH(M467,SK_A,0))&amp;"",""))</f>
        <v/>
      </c>
      <c r="B467" s="24">
        <f>IF(M467="","",IFERROR(INDEX(SK_C,MATCH(M467,SK_A,0)),""))</f>
        <v/>
      </c>
      <c r="C467" s="25">
        <f>IF(O467="","",IF(O467=0,"D",IF(O467&lt;0,"D"&amp;O467,"D+"&amp;O467)))</f>
        <v/>
      </c>
      <c r="D467" s="13" t="n"/>
      <c r="E467" s="11" t="n"/>
      <c r="F467" s="26" t="n"/>
      <c r="G467" s="13" t="n"/>
      <c r="H467" s="12">
        <f>IF(OR(B467="",O467=""),"",IF(O467&gt;0,IF(P467="Làm việc",WORKDAY(IFERROR(IF(INDEX(SK_D,MATCH(M467,SK_A,0))="",B467,INDEX(SK_D,MATCH(M467,SK_A,0))),B467),O467,HOLI),IFERROR(IF(INDEX(SK_D,MATCH(M467,SK_A,0))="",B467,INDEX(SK_D,MATCH(M467,SK_A,0))),B467)+O467),B467+O467))</f>
        <v/>
      </c>
      <c r="I467" s="13" t="n"/>
      <c r="J467" s="12" t="n"/>
      <c r="K467" s="11" t="n"/>
      <c r="L467" s="27">
        <f>IF(E467="","",IF(I467="Bỏ qua","—",IF(I467="Xong",IF(AND(ISNUMBER(J467),ISNUMBER(H467),J467&gt;H467),"Xong trễ","Xong"),IF(F467="","CHƯA GIAO","")&amp;IF(NOT(ISNUMBER(H467)),"",IF(TODAY()&gt;H467,IF(F467=""," · ","")&amp;"QUÁ HẠN "&amp;(TODAY()-H467)&amp;" ngày",IF(H467-TODAY()&lt;=3,IF(F467=""," · ","")&amp;"Đến hạn "&amp;IF(H467=TODAY(),"hôm nay","trong "&amp;(H467-TODAY())&amp;" ngày"),""))))))</f>
        <v/>
      </c>
      <c r="Q467">
        <f>IF(AND(E467&lt;&gt;"",R467="Có",I467&lt;&gt;"Xong",I467&lt;&gt;"Bỏ qua",ISNUMBER(H467)),H467+ROW()/100000,"")</f>
        <v/>
      </c>
      <c r="R467">
        <f>IF(M467="","",IFERROR(INDEX(SK_L,MATCH(M467,SK_A,0)),""))</f>
        <v/>
      </c>
    </row>
    <row r="468">
      <c r="A468" s="11">
        <f>IF(M468="","",IFERROR(INDEX(SK_B,MATCH(M468,SK_A,0))&amp;"",""))</f>
        <v/>
      </c>
      <c r="B468" s="24">
        <f>IF(M468="","",IFERROR(INDEX(SK_C,MATCH(M468,SK_A,0)),""))</f>
        <v/>
      </c>
      <c r="C468" s="25">
        <f>IF(O468="","",IF(O468=0,"D",IF(O468&lt;0,"D"&amp;O468,"D+"&amp;O468)))</f>
        <v/>
      </c>
      <c r="D468" s="13" t="n"/>
      <c r="E468" s="11" t="n"/>
      <c r="F468" s="26" t="n"/>
      <c r="G468" s="13" t="n"/>
      <c r="H468" s="12">
        <f>IF(OR(B468="",O468=""),"",IF(O468&gt;0,IF(P468="Làm việc",WORKDAY(IFERROR(IF(INDEX(SK_D,MATCH(M468,SK_A,0))="",B468,INDEX(SK_D,MATCH(M468,SK_A,0))),B468),O468,HOLI),IFERROR(IF(INDEX(SK_D,MATCH(M468,SK_A,0))="",B468,INDEX(SK_D,MATCH(M468,SK_A,0))),B468)+O468),B468+O468))</f>
        <v/>
      </c>
      <c r="I468" s="13" t="n"/>
      <c r="J468" s="12" t="n"/>
      <c r="K468" s="11" t="n"/>
      <c r="L468" s="27">
        <f>IF(E468="","",IF(I468="Bỏ qua","—",IF(I468="Xong",IF(AND(ISNUMBER(J468),ISNUMBER(H468),J468&gt;H468),"Xong trễ","Xong"),IF(F468="","CHƯA GIAO","")&amp;IF(NOT(ISNUMBER(H468)),"",IF(TODAY()&gt;H468,IF(F468=""," · ","")&amp;"QUÁ HẠN "&amp;(TODAY()-H468)&amp;" ngày",IF(H468-TODAY()&lt;=3,IF(F468=""," · ","")&amp;"Đến hạn "&amp;IF(H468=TODAY(),"hôm nay","trong "&amp;(H468-TODAY())&amp;" ngày"),""))))))</f>
        <v/>
      </c>
      <c r="Q468">
        <f>IF(AND(E468&lt;&gt;"",R468="Có",I468&lt;&gt;"Xong",I468&lt;&gt;"Bỏ qua",ISNUMBER(H468)),H468+ROW()/100000,"")</f>
        <v/>
      </c>
      <c r="R468">
        <f>IF(M468="","",IFERROR(INDEX(SK_L,MATCH(M468,SK_A,0)),""))</f>
        <v/>
      </c>
    </row>
    <row r="469">
      <c r="A469" s="11">
        <f>IF(M469="","",IFERROR(INDEX(SK_B,MATCH(M469,SK_A,0))&amp;"",""))</f>
        <v/>
      </c>
      <c r="B469" s="24">
        <f>IF(M469="","",IFERROR(INDEX(SK_C,MATCH(M469,SK_A,0)),""))</f>
        <v/>
      </c>
      <c r="C469" s="25">
        <f>IF(O469="","",IF(O469=0,"D",IF(O469&lt;0,"D"&amp;O469,"D+"&amp;O469)))</f>
        <v/>
      </c>
      <c r="D469" s="13" t="n"/>
      <c r="E469" s="11" t="n"/>
      <c r="F469" s="26" t="n"/>
      <c r="G469" s="13" t="n"/>
      <c r="H469" s="12">
        <f>IF(OR(B469="",O469=""),"",IF(O469&gt;0,IF(P469="Làm việc",WORKDAY(IFERROR(IF(INDEX(SK_D,MATCH(M469,SK_A,0))="",B469,INDEX(SK_D,MATCH(M469,SK_A,0))),B469),O469,HOLI),IFERROR(IF(INDEX(SK_D,MATCH(M469,SK_A,0))="",B469,INDEX(SK_D,MATCH(M469,SK_A,0))),B469)+O469),B469+O469))</f>
        <v/>
      </c>
      <c r="I469" s="13" t="n"/>
      <c r="J469" s="12" t="n"/>
      <c r="K469" s="11" t="n"/>
      <c r="L469" s="27">
        <f>IF(E469="","",IF(I469="Bỏ qua","—",IF(I469="Xong",IF(AND(ISNUMBER(J469),ISNUMBER(H469),J469&gt;H469),"Xong trễ","Xong"),IF(F469="","CHƯA GIAO","")&amp;IF(NOT(ISNUMBER(H469)),"",IF(TODAY()&gt;H469,IF(F469=""," · ","")&amp;"QUÁ HẠN "&amp;(TODAY()-H469)&amp;" ngày",IF(H469-TODAY()&lt;=3,IF(F469=""," · ","")&amp;"Đến hạn "&amp;IF(H469=TODAY(),"hôm nay","trong "&amp;(H469-TODAY())&amp;" ngày"),""))))))</f>
        <v/>
      </c>
      <c r="Q469">
        <f>IF(AND(E469&lt;&gt;"",R469="Có",I469&lt;&gt;"Xong",I469&lt;&gt;"Bỏ qua",ISNUMBER(H469)),H469+ROW()/100000,"")</f>
        <v/>
      </c>
      <c r="R469">
        <f>IF(M469="","",IFERROR(INDEX(SK_L,MATCH(M469,SK_A,0)),""))</f>
        <v/>
      </c>
    </row>
    <row r="470">
      <c r="A470" s="11">
        <f>IF(M470="","",IFERROR(INDEX(SK_B,MATCH(M470,SK_A,0))&amp;"",""))</f>
        <v/>
      </c>
      <c r="B470" s="24">
        <f>IF(M470="","",IFERROR(INDEX(SK_C,MATCH(M470,SK_A,0)),""))</f>
        <v/>
      </c>
      <c r="C470" s="25">
        <f>IF(O470="","",IF(O470=0,"D",IF(O470&lt;0,"D"&amp;O470,"D+"&amp;O470)))</f>
        <v/>
      </c>
      <c r="D470" s="13" t="n"/>
      <c r="E470" s="11" t="n"/>
      <c r="F470" s="26" t="n"/>
      <c r="G470" s="13" t="n"/>
      <c r="H470" s="12">
        <f>IF(OR(B470="",O470=""),"",IF(O470&gt;0,IF(P470="Làm việc",WORKDAY(IFERROR(IF(INDEX(SK_D,MATCH(M470,SK_A,0))="",B470,INDEX(SK_D,MATCH(M470,SK_A,0))),B470),O470,HOLI),IFERROR(IF(INDEX(SK_D,MATCH(M470,SK_A,0))="",B470,INDEX(SK_D,MATCH(M470,SK_A,0))),B470)+O470),B470+O470))</f>
        <v/>
      </c>
      <c r="I470" s="13" t="n"/>
      <c r="J470" s="12" t="n"/>
      <c r="K470" s="11" t="n"/>
      <c r="L470" s="27">
        <f>IF(E470="","",IF(I470="Bỏ qua","—",IF(I470="Xong",IF(AND(ISNUMBER(J470),ISNUMBER(H470),J470&gt;H470),"Xong trễ","Xong"),IF(F470="","CHƯA GIAO","")&amp;IF(NOT(ISNUMBER(H470)),"",IF(TODAY()&gt;H470,IF(F470=""," · ","")&amp;"QUÁ HẠN "&amp;(TODAY()-H470)&amp;" ngày",IF(H470-TODAY()&lt;=3,IF(F470=""," · ","")&amp;"Đến hạn "&amp;IF(H470=TODAY(),"hôm nay","trong "&amp;(H470-TODAY())&amp;" ngày"),""))))))</f>
        <v/>
      </c>
      <c r="Q470">
        <f>IF(AND(E470&lt;&gt;"",R470="Có",I470&lt;&gt;"Xong",I470&lt;&gt;"Bỏ qua",ISNUMBER(H470)),H470+ROW()/100000,"")</f>
        <v/>
      </c>
      <c r="R470">
        <f>IF(M470="","",IFERROR(INDEX(SK_L,MATCH(M470,SK_A,0)),""))</f>
        <v/>
      </c>
    </row>
    <row r="471">
      <c r="A471" s="11">
        <f>IF(M471="","",IFERROR(INDEX(SK_B,MATCH(M471,SK_A,0))&amp;"",""))</f>
        <v/>
      </c>
      <c r="B471" s="24">
        <f>IF(M471="","",IFERROR(INDEX(SK_C,MATCH(M471,SK_A,0)),""))</f>
        <v/>
      </c>
      <c r="C471" s="25">
        <f>IF(O471="","",IF(O471=0,"D",IF(O471&lt;0,"D"&amp;O471,"D+"&amp;O471)))</f>
        <v/>
      </c>
      <c r="D471" s="13" t="n"/>
      <c r="E471" s="11" t="n"/>
      <c r="F471" s="26" t="n"/>
      <c r="G471" s="13" t="n"/>
      <c r="H471" s="12">
        <f>IF(OR(B471="",O471=""),"",IF(O471&gt;0,IF(P471="Làm việc",WORKDAY(IFERROR(IF(INDEX(SK_D,MATCH(M471,SK_A,0))="",B471,INDEX(SK_D,MATCH(M471,SK_A,0))),B471),O471,HOLI),IFERROR(IF(INDEX(SK_D,MATCH(M471,SK_A,0))="",B471,INDEX(SK_D,MATCH(M471,SK_A,0))),B471)+O471),B471+O471))</f>
        <v/>
      </c>
      <c r="I471" s="13" t="n"/>
      <c r="J471" s="12" t="n"/>
      <c r="K471" s="11" t="n"/>
      <c r="L471" s="27">
        <f>IF(E471="","",IF(I471="Bỏ qua","—",IF(I471="Xong",IF(AND(ISNUMBER(J471),ISNUMBER(H471),J471&gt;H471),"Xong trễ","Xong"),IF(F471="","CHƯA GIAO","")&amp;IF(NOT(ISNUMBER(H471)),"",IF(TODAY()&gt;H471,IF(F471=""," · ","")&amp;"QUÁ HẠN "&amp;(TODAY()-H471)&amp;" ngày",IF(H471-TODAY()&lt;=3,IF(F471=""," · ","")&amp;"Đến hạn "&amp;IF(H471=TODAY(),"hôm nay","trong "&amp;(H471-TODAY())&amp;" ngày"),""))))))</f>
        <v/>
      </c>
      <c r="Q471">
        <f>IF(AND(E471&lt;&gt;"",R471="Có",I471&lt;&gt;"Xong",I471&lt;&gt;"Bỏ qua",ISNUMBER(H471)),H471+ROW()/100000,"")</f>
        <v/>
      </c>
      <c r="R471">
        <f>IF(M471="","",IFERROR(INDEX(SK_L,MATCH(M471,SK_A,0)),""))</f>
        <v/>
      </c>
    </row>
    <row r="472">
      <c r="A472" s="11">
        <f>IF(M472="","",IFERROR(INDEX(SK_B,MATCH(M472,SK_A,0))&amp;"",""))</f>
        <v/>
      </c>
      <c r="B472" s="24">
        <f>IF(M472="","",IFERROR(INDEX(SK_C,MATCH(M472,SK_A,0)),""))</f>
        <v/>
      </c>
      <c r="C472" s="25">
        <f>IF(O472="","",IF(O472=0,"D",IF(O472&lt;0,"D"&amp;O472,"D+"&amp;O472)))</f>
        <v/>
      </c>
      <c r="D472" s="13" t="n"/>
      <c r="E472" s="11" t="n"/>
      <c r="F472" s="26" t="n"/>
      <c r="G472" s="13" t="n"/>
      <c r="H472" s="12">
        <f>IF(OR(B472="",O472=""),"",IF(O472&gt;0,IF(P472="Làm việc",WORKDAY(IFERROR(IF(INDEX(SK_D,MATCH(M472,SK_A,0))="",B472,INDEX(SK_D,MATCH(M472,SK_A,0))),B472),O472,HOLI),IFERROR(IF(INDEX(SK_D,MATCH(M472,SK_A,0))="",B472,INDEX(SK_D,MATCH(M472,SK_A,0))),B472)+O472),B472+O472))</f>
        <v/>
      </c>
      <c r="I472" s="13" t="n"/>
      <c r="J472" s="12" t="n"/>
      <c r="K472" s="11" t="n"/>
      <c r="L472" s="27">
        <f>IF(E472="","",IF(I472="Bỏ qua","—",IF(I472="Xong",IF(AND(ISNUMBER(J472),ISNUMBER(H472),J472&gt;H472),"Xong trễ","Xong"),IF(F472="","CHƯA GIAO","")&amp;IF(NOT(ISNUMBER(H472)),"",IF(TODAY()&gt;H472,IF(F472=""," · ","")&amp;"QUÁ HẠN "&amp;(TODAY()-H472)&amp;" ngày",IF(H472-TODAY()&lt;=3,IF(F472=""," · ","")&amp;"Đến hạn "&amp;IF(H472=TODAY(),"hôm nay","trong "&amp;(H472-TODAY())&amp;" ngày"),""))))))</f>
        <v/>
      </c>
      <c r="Q472">
        <f>IF(AND(E472&lt;&gt;"",R472="Có",I472&lt;&gt;"Xong",I472&lt;&gt;"Bỏ qua",ISNUMBER(H472)),H472+ROW()/100000,"")</f>
        <v/>
      </c>
      <c r="R472">
        <f>IF(M472="","",IFERROR(INDEX(SK_L,MATCH(M472,SK_A,0)),""))</f>
        <v/>
      </c>
    </row>
    <row r="473">
      <c r="A473" s="11">
        <f>IF(M473="","",IFERROR(INDEX(SK_B,MATCH(M473,SK_A,0))&amp;"",""))</f>
        <v/>
      </c>
      <c r="B473" s="24">
        <f>IF(M473="","",IFERROR(INDEX(SK_C,MATCH(M473,SK_A,0)),""))</f>
        <v/>
      </c>
      <c r="C473" s="25">
        <f>IF(O473="","",IF(O473=0,"D",IF(O473&lt;0,"D"&amp;O473,"D+"&amp;O473)))</f>
        <v/>
      </c>
      <c r="D473" s="13" t="n"/>
      <c r="E473" s="11" t="n"/>
      <c r="F473" s="26" t="n"/>
      <c r="G473" s="13" t="n"/>
      <c r="H473" s="12">
        <f>IF(OR(B473="",O473=""),"",IF(O473&gt;0,IF(P473="Làm việc",WORKDAY(IFERROR(IF(INDEX(SK_D,MATCH(M473,SK_A,0))="",B473,INDEX(SK_D,MATCH(M473,SK_A,0))),B473),O473,HOLI),IFERROR(IF(INDEX(SK_D,MATCH(M473,SK_A,0))="",B473,INDEX(SK_D,MATCH(M473,SK_A,0))),B473)+O473),B473+O473))</f>
        <v/>
      </c>
      <c r="I473" s="13" t="n"/>
      <c r="J473" s="12" t="n"/>
      <c r="K473" s="11" t="n"/>
      <c r="L473" s="27">
        <f>IF(E473="","",IF(I473="Bỏ qua","—",IF(I473="Xong",IF(AND(ISNUMBER(J473),ISNUMBER(H473),J473&gt;H473),"Xong trễ","Xong"),IF(F473="","CHƯA GIAO","")&amp;IF(NOT(ISNUMBER(H473)),"",IF(TODAY()&gt;H473,IF(F473=""," · ","")&amp;"QUÁ HẠN "&amp;(TODAY()-H473)&amp;" ngày",IF(H473-TODAY()&lt;=3,IF(F473=""," · ","")&amp;"Đến hạn "&amp;IF(H473=TODAY(),"hôm nay","trong "&amp;(H473-TODAY())&amp;" ngày"),""))))))</f>
        <v/>
      </c>
      <c r="Q473">
        <f>IF(AND(E473&lt;&gt;"",R473="Có",I473&lt;&gt;"Xong",I473&lt;&gt;"Bỏ qua",ISNUMBER(H473)),H473+ROW()/100000,"")</f>
        <v/>
      </c>
      <c r="R473">
        <f>IF(M473="","",IFERROR(INDEX(SK_L,MATCH(M473,SK_A,0)),""))</f>
        <v/>
      </c>
    </row>
    <row r="474">
      <c r="A474" s="11">
        <f>IF(M474="","",IFERROR(INDEX(SK_B,MATCH(M474,SK_A,0))&amp;"",""))</f>
        <v/>
      </c>
      <c r="B474" s="24">
        <f>IF(M474="","",IFERROR(INDEX(SK_C,MATCH(M474,SK_A,0)),""))</f>
        <v/>
      </c>
      <c r="C474" s="25">
        <f>IF(O474="","",IF(O474=0,"D",IF(O474&lt;0,"D"&amp;O474,"D+"&amp;O474)))</f>
        <v/>
      </c>
      <c r="D474" s="13" t="n"/>
      <c r="E474" s="11" t="n"/>
      <c r="F474" s="26" t="n"/>
      <c r="G474" s="13" t="n"/>
      <c r="H474" s="12">
        <f>IF(OR(B474="",O474=""),"",IF(O474&gt;0,IF(P474="Làm việc",WORKDAY(IFERROR(IF(INDEX(SK_D,MATCH(M474,SK_A,0))="",B474,INDEX(SK_D,MATCH(M474,SK_A,0))),B474),O474,HOLI),IFERROR(IF(INDEX(SK_D,MATCH(M474,SK_A,0))="",B474,INDEX(SK_D,MATCH(M474,SK_A,0))),B474)+O474),B474+O474))</f>
        <v/>
      </c>
      <c r="I474" s="13" t="n"/>
      <c r="J474" s="12" t="n"/>
      <c r="K474" s="11" t="n"/>
      <c r="L474" s="27">
        <f>IF(E474="","",IF(I474="Bỏ qua","—",IF(I474="Xong",IF(AND(ISNUMBER(J474),ISNUMBER(H474),J474&gt;H474),"Xong trễ","Xong"),IF(F474="","CHƯA GIAO","")&amp;IF(NOT(ISNUMBER(H474)),"",IF(TODAY()&gt;H474,IF(F474=""," · ","")&amp;"QUÁ HẠN "&amp;(TODAY()-H474)&amp;" ngày",IF(H474-TODAY()&lt;=3,IF(F474=""," · ","")&amp;"Đến hạn "&amp;IF(H474=TODAY(),"hôm nay","trong "&amp;(H474-TODAY())&amp;" ngày"),""))))))</f>
        <v/>
      </c>
      <c r="Q474">
        <f>IF(AND(E474&lt;&gt;"",R474="Có",I474&lt;&gt;"Xong",I474&lt;&gt;"Bỏ qua",ISNUMBER(H474)),H474+ROW()/100000,"")</f>
        <v/>
      </c>
      <c r="R474">
        <f>IF(M474="","",IFERROR(INDEX(SK_L,MATCH(M474,SK_A,0)),""))</f>
        <v/>
      </c>
    </row>
    <row r="475">
      <c r="A475" s="11">
        <f>IF(M475="","",IFERROR(INDEX(SK_B,MATCH(M475,SK_A,0))&amp;"",""))</f>
        <v/>
      </c>
      <c r="B475" s="24">
        <f>IF(M475="","",IFERROR(INDEX(SK_C,MATCH(M475,SK_A,0)),""))</f>
        <v/>
      </c>
      <c r="C475" s="25">
        <f>IF(O475="","",IF(O475=0,"D",IF(O475&lt;0,"D"&amp;O475,"D+"&amp;O475)))</f>
        <v/>
      </c>
      <c r="D475" s="13" t="n"/>
      <c r="E475" s="11" t="n"/>
      <c r="F475" s="26" t="n"/>
      <c r="G475" s="13" t="n"/>
      <c r="H475" s="12">
        <f>IF(OR(B475="",O475=""),"",IF(O475&gt;0,IF(P475="Làm việc",WORKDAY(IFERROR(IF(INDEX(SK_D,MATCH(M475,SK_A,0))="",B475,INDEX(SK_D,MATCH(M475,SK_A,0))),B475),O475,HOLI),IFERROR(IF(INDEX(SK_D,MATCH(M475,SK_A,0))="",B475,INDEX(SK_D,MATCH(M475,SK_A,0))),B475)+O475),B475+O475))</f>
        <v/>
      </c>
      <c r="I475" s="13" t="n"/>
      <c r="J475" s="12" t="n"/>
      <c r="K475" s="11" t="n"/>
      <c r="L475" s="27">
        <f>IF(E475="","",IF(I475="Bỏ qua","—",IF(I475="Xong",IF(AND(ISNUMBER(J475),ISNUMBER(H475),J475&gt;H475),"Xong trễ","Xong"),IF(F475="","CHƯA GIAO","")&amp;IF(NOT(ISNUMBER(H475)),"",IF(TODAY()&gt;H475,IF(F475=""," · ","")&amp;"QUÁ HẠN "&amp;(TODAY()-H475)&amp;" ngày",IF(H475-TODAY()&lt;=3,IF(F475=""," · ","")&amp;"Đến hạn "&amp;IF(H475=TODAY(),"hôm nay","trong "&amp;(H475-TODAY())&amp;" ngày"),""))))))</f>
        <v/>
      </c>
      <c r="Q475">
        <f>IF(AND(E475&lt;&gt;"",R475="Có",I475&lt;&gt;"Xong",I475&lt;&gt;"Bỏ qua",ISNUMBER(H475)),H475+ROW()/100000,"")</f>
        <v/>
      </c>
      <c r="R475">
        <f>IF(M475="","",IFERROR(INDEX(SK_L,MATCH(M475,SK_A,0)),""))</f>
        <v/>
      </c>
    </row>
    <row r="476">
      <c r="A476" s="11">
        <f>IF(M476="","",IFERROR(INDEX(SK_B,MATCH(M476,SK_A,0))&amp;"",""))</f>
        <v/>
      </c>
      <c r="B476" s="24">
        <f>IF(M476="","",IFERROR(INDEX(SK_C,MATCH(M476,SK_A,0)),""))</f>
        <v/>
      </c>
      <c r="C476" s="25">
        <f>IF(O476="","",IF(O476=0,"D",IF(O476&lt;0,"D"&amp;O476,"D+"&amp;O476)))</f>
        <v/>
      </c>
      <c r="D476" s="13" t="n"/>
      <c r="E476" s="11" t="n"/>
      <c r="F476" s="26" t="n"/>
      <c r="G476" s="13" t="n"/>
      <c r="H476" s="12">
        <f>IF(OR(B476="",O476=""),"",IF(O476&gt;0,IF(P476="Làm việc",WORKDAY(IFERROR(IF(INDEX(SK_D,MATCH(M476,SK_A,0))="",B476,INDEX(SK_D,MATCH(M476,SK_A,0))),B476),O476,HOLI),IFERROR(IF(INDEX(SK_D,MATCH(M476,SK_A,0))="",B476,INDEX(SK_D,MATCH(M476,SK_A,0))),B476)+O476),B476+O476))</f>
        <v/>
      </c>
      <c r="I476" s="13" t="n"/>
      <c r="J476" s="12" t="n"/>
      <c r="K476" s="11" t="n"/>
      <c r="L476" s="27">
        <f>IF(E476="","",IF(I476="Bỏ qua","—",IF(I476="Xong",IF(AND(ISNUMBER(J476),ISNUMBER(H476),J476&gt;H476),"Xong trễ","Xong"),IF(F476="","CHƯA GIAO","")&amp;IF(NOT(ISNUMBER(H476)),"",IF(TODAY()&gt;H476,IF(F476=""," · ","")&amp;"QUÁ HẠN "&amp;(TODAY()-H476)&amp;" ngày",IF(H476-TODAY()&lt;=3,IF(F476=""," · ","")&amp;"Đến hạn "&amp;IF(H476=TODAY(),"hôm nay","trong "&amp;(H476-TODAY())&amp;" ngày"),""))))))</f>
        <v/>
      </c>
      <c r="Q476">
        <f>IF(AND(E476&lt;&gt;"",R476="Có",I476&lt;&gt;"Xong",I476&lt;&gt;"Bỏ qua",ISNUMBER(H476)),H476+ROW()/100000,"")</f>
        <v/>
      </c>
      <c r="R476">
        <f>IF(M476="","",IFERROR(INDEX(SK_L,MATCH(M476,SK_A,0)),""))</f>
        <v/>
      </c>
    </row>
    <row r="477">
      <c r="A477" s="11">
        <f>IF(M477="","",IFERROR(INDEX(SK_B,MATCH(M477,SK_A,0))&amp;"",""))</f>
        <v/>
      </c>
      <c r="B477" s="24">
        <f>IF(M477="","",IFERROR(INDEX(SK_C,MATCH(M477,SK_A,0)),""))</f>
        <v/>
      </c>
      <c r="C477" s="25">
        <f>IF(O477="","",IF(O477=0,"D",IF(O477&lt;0,"D"&amp;O477,"D+"&amp;O477)))</f>
        <v/>
      </c>
      <c r="D477" s="13" t="n"/>
      <c r="E477" s="11" t="n"/>
      <c r="F477" s="26" t="n"/>
      <c r="G477" s="13" t="n"/>
      <c r="H477" s="12">
        <f>IF(OR(B477="",O477=""),"",IF(O477&gt;0,IF(P477="Làm việc",WORKDAY(IFERROR(IF(INDEX(SK_D,MATCH(M477,SK_A,0))="",B477,INDEX(SK_D,MATCH(M477,SK_A,0))),B477),O477,HOLI),IFERROR(IF(INDEX(SK_D,MATCH(M477,SK_A,0))="",B477,INDEX(SK_D,MATCH(M477,SK_A,0))),B477)+O477),B477+O477))</f>
        <v/>
      </c>
      <c r="I477" s="13" t="n"/>
      <c r="J477" s="12" t="n"/>
      <c r="K477" s="11" t="n"/>
      <c r="L477" s="27">
        <f>IF(E477="","",IF(I477="Bỏ qua","—",IF(I477="Xong",IF(AND(ISNUMBER(J477),ISNUMBER(H477),J477&gt;H477),"Xong trễ","Xong"),IF(F477="","CHƯA GIAO","")&amp;IF(NOT(ISNUMBER(H477)),"",IF(TODAY()&gt;H477,IF(F477=""," · ","")&amp;"QUÁ HẠN "&amp;(TODAY()-H477)&amp;" ngày",IF(H477-TODAY()&lt;=3,IF(F477=""," · ","")&amp;"Đến hạn "&amp;IF(H477=TODAY(),"hôm nay","trong "&amp;(H477-TODAY())&amp;" ngày"),""))))))</f>
        <v/>
      </c>
      <c r="Q477">
        <f>IF(AND(E477&lt;&gt;"",R477="Có",I477&lt;&gt;"Xong",I477&lt;&gt;"Bỏ qua",ISNUMBER(H477)),H477+ROW()/100000,"")</f>
        <v/>
      </c>
      <c r="R477">
        <f>IF(M477="","",IFERROR(INDEX(SK_L,MATCH(M477,SK_A,0)),""))</f>
        <v/>
      </c>
    </row>
    <row r="478">
      <c r="A478" s="11">
        <f>IF(M478="","",IFERROR(INDEX(SK_B,MATCH(M478,SK_A,0))&amp;"",""))</f>
        <v/>
      </c>
      <c r="B478" s="24">
        <f>IF(M478="","",IFERROR(INDEX(SK_C,MATCH(M478,SK_A,0)),""))</f>
        <v/>
      </c>
      <c r="C478" s="25">
        <f>IF(O478="","",IF(O478=0,"D",IF(O478&lt;0,"D"&amp;O478,"D+"&amp;O478)))</f>
        <v/>
      </c>
      <c r="D478" s="13" t="n"/>
      <c r="E478" s="11" t="n"/>
      <c r="F478" s="26" t="n"/>
      <c r="G478" s="13" t="n"/>
      <c r="H478" s="12">
        <f>IF(OR(B478="",O478=""),"",IF(O478&gt;0,IF(P478="Làm việc",WORKDAY(IFERROR(IF(INDEX(SK_D,MATCH(M478,SK_A,0))="",B478,INDEX(SK_D,MATCH(M478,SK_A,0))),B478),O478,HOLI),IFERROR(IF(INDEX(SK_D,MATCH(M478,SK_A,0))="",B478,INDEX(SK_D,MATCH(M478,SK_A,0))),B478)+O478),B478+O478))</f>
        <v/>
      </c>
      <c r="I478" s="13" t="n"/>
      <c r="J478" s="12" t="n"/>
      <c r="K478" s="11" t="n"/>
      <c r="L478" s="27">
        <f>IF(E478="","",IF(I478="Bỏ qua","—",IF(I478="Xong",IF(AND(ISNUMBER(J478),ISNUMBER(H478),J478&gt;H478),"Xong trễ","Xong"),IF(F478="","CHƯA GIAO","")&amp;IF(NOT(ISNUMBER(H478)),"",IF(TODAY()&gt;H478,IF(F478=""," · ","")&amp;"QUÁ HẠN "&amp;(TODAY()-H478)&amp;" ngày",IF(H478-TODAY()&lt;=3,IF(F478=""," · ","")&amp;"Đến hạn "&amp;IF(H478=TODAY(),"hôm nay","trong "&amp;(H478-TODAY())&amp;" ngày"),""))))))</f>
        <v/>
      </c>
      <c r="Q478">
        <f>IF(AND(E478&lt;&gt;"",R478="Có",I478&lt;&gt;"Xong",I478&lt;&gt;"Bỏ qua",ISNUMBER(H478)),H478+ROW()/100000,"")</f>
        <v/>
      </c>
      <c r="R478">
        <f>IF(M478="","",IFERROR(INDEX(SK_L,MATCH(M478,SK_A,0)),""))</f>
        <v/>
      </c>
    </row>
    <row r="479">
      <c r="A479" s="11">
        <f>IF(M479="","",IFERROR(INDEX(SK_B,MATCH(M479,SK_A,0))&amp;"",""))</f>
        <v/>
      </c>
      <c r="B479" s="24">
        <f>IF(M479="","",IFERROR(INDEX(SK_C,MATCH(M479,SK_A,0)),""))</f>
        <v/>
      </c>
      <c r="C479" s="25">
        <f>IF(O479="","",IF(O479=0,"D",IF(O479&lt;0,"D"&amp;O479,"D+"&amp;O479)))</f>
        <v/>
      </c>
      <c r="D479" s="13" t="n"/>
      <c r="E479" s="11" t="n"/>
      <c r="F479" s="26" t="n"/>
      <c r="G479" s="13" t="n"/>
      <c r="H479" s="12">
        <f>IF(OR(B479="",O479=""),"",IF(O479&gt;0,IF(P479="Làm việc",WORKDAY(IFERROR(IF(INDEX(SK_D,MATCH(M479,SK_A,0))="",B479,INDEX(SK_D,MATCH(M479,SK_A,0))),B479),O479,HOLI),IFERROR(IF(INDEX(SK_D,MATCH(M479,SK_A,0))="",B479,INDEX(SK_D,MATCH(M479,SK_A,0))),B479)+O479),B479+O479))</f>
        <v/>
      </c>
      <c r="I479" s="13" t="n"/>
      <c r="J479" s="12" t="n"/>
      <c r="K479" s="11" t="n"/>
      <c r="L479" s="27">
        <f>IF(E479="","",IF(I479="Bỏ qua","—",IF(I479="Xong",IF(AND(ISNUMBER(J479),ISNUMBER(H479),J479&gt;H479),"Xong trễ","Xong"),IF(F479="","CHƯA GIAO","")&amp;IF(NOT(ISNUMBER(H479)),"",IF(TODAY()&gt;H479,IF(F479=""," · ","")&amp;"QUÁ HẠN "&amp;(TODAY()-H479)&amp;" ngày",IF(H479-TODAY()&lt;=3,IF(F479=""," · ","")&amp;"Đến hạn "&amp;IF(H479=TODAY(),"hôm nay","trong "&amp;(H479-TODAY())&amp;" ngày"),""))))))</f>
        <v/>
      </c>
      <c r="Q479">
        <f>IF(AND(E479&lt;&gt;"",R479="Có",I479&lt;&gt;"Xong",I479&lt;&gt;"Bỏ qua",ISNUMBER(H479)),H479+ROW()/100000,"")</f>
        <v/>
      </c>
      <c r="R479">
        <f>IF(M479="","",IFERROR(INDEX(SK_L,MATCH(M479,SK_A,0)),""))</f>
        <v/>
      </c>
    </row>
    <row r="480">
      <c r="A480" s="11">
        <f>IF(M480="","",IFERROR(INDEX(SK_B,MATCH(M480,SK_A,0))&amp;"",""))</f>
        <v/>
      </c>
      <c r="B480" s="24">
        <f>IF(M480="","",IFERROR(INDEX(SK_C,MATCH(M480,SK_A,0)),""))</f>
        <v/>
      </c>
      <c r="C480" s="25">
        <f>IF(O480="","",IF(O480=0,"D",IF(O480&lt;0,"D"&amp;O480,"D+"&amp;O480)))</f>
        <v/>
      </c>
      <c r="D480" s="13" t="n"/>
      <c r="E480" s="11" t="n"/>
      <c r="F480" s="26" t="n"/>
      <c r="G480" s="13" t="n"/>
      <c r="H480" s="12">
        <f>IF(OR(B480="",O480=""),"",IF(O480&gt;0,IF(P480="Làm việc",WORKDAY(IFERROR(IF(INDEX(SK_D,MATCH(M480,SK_A,0))="",B480,INDEX(SK_D,MATCH(M480,SK_A,0))),B480),O480,HOLI),IFERROR(IF(INDEX(SK_D,MATCH(M480,SK_A,0))="",B480,INDEX(SK_D,MATCH(M480,SK_A,0))),B480)+O480),B480+O480))</f>
        <v/>
      </c>
      <c r="I480" s="13" t="n"/>
      <c r="J480" s="12" t="n"/>
      <c r="K480" s="11" t="n"/>
      <c r="L480" s="27">
        <f>IF(E480="","",IF(I480="Bỏ qua","—",IF(I480="Xong",IF(AND(ISNUMBER(J480),ISNUMBER(H480),J480&gt;H480),"Xong trễ","Xong"),IF(F480="","CHƯA GIAO","")&amp;IF(NOT(ISNUMBER(H480)),"",IF(TODAY()&gt;H480,IF(F480=""," · ","")&amp;"QUÁ HẠN "&amp;(TODAY()-H480)&amp;" ngày",IF(H480-TODAY()&lt;=3,IF(F480=""," · ","")&amp;"Đến hạn "&amp;IF(H480=TODAY(),"hôm nay","trong "&amp;(H480-TODAY())&amp;" ngày"),""))))))</f>
        <v/>
      </c>
      <c r="Q480">
        <f>IF(AND(E480&lt;&gt;"",R480="Có",I480&lt;&gt;"Xong",I480&lt;&gt;"Bỏ qua",ISNUMBER(H480)),H480+ROW()/100000,"")</f>
        <v/>
      </c>
      <c r="R480">
        <f>IF(M480="","",IFERROR(INDEX(SK_L,MATCH(M480,SK_A,0)),""))</f>
        <v/>
      </c>
    </row>
    <row r="481">
      <c r="A481" s="11">
        <f>IF(M481="","",IFERROR(INDEX(SK_B,MATCH(M481,SK_A,0))&amp;"",""))</f>
        <v/>
      </c>
      <c r="B481" s="24">
        <f>IF(M481="","",IFERROR(INDEX(SK_C,MATCH(M481,SK_A,0)),""))</f>
        <v/>
      </c>
      <c r="C481" s="25">
        <f>IF(O481="","",IF(O481=0,"D",IF(O481&lt;0,"D"&amp;O481,"D+"&amp;O481)))</f>
        <v/>
      </c>
      <c r="D481" s="13" t="n"/>
      <c r="E481" s="11" t="n"/>
      <c r="F481" s="26" t="n"/>
      <c r="G481" s="13" t="n"/>
      <c r="H481" s="12">
        <f>IF(OR(B481="",O481=""),"",IF(O481&gt;0,IF(P481="Làm việc",WORKDAY(IFERROR(IF(INDEX(SK_D,MATCH(M481,SK_A,0))="",B481,INDEX(SK_D,MATCH(M481,SK_A,0))),B481),O481,HOLI),IFERROR(IF(INDEX(SK_D,MATCH(M481,SK_A,0))="",B481,INDEX(SK_D,MATCH(M481,SK_A,0))),B481)+O481),B481+O481))</f>
        <v/>
      </c>
      <c r="I481" s="13" t="n"/>
      <c r="J481" s="12" t="n"/>
      <c r="K481" s="11" t="n"/>
      <c r="L481" s="27">
        <f>IF(E481="","",IF(I481="Bỏ qua","—",IF(I481="Xong",IF(AND(ISNUMBER(J481),ISNUMBER(H481),J481&gt;H481),"Xong trễ","Xong"),IF(F481="","CHƯA GIAO","")&amp;IF(NOT(ISNUMBER(H481)),"",IF(TODAY()&gt;H481,IF(F481=""," · ","")&amp;"QUÁ HẠN "&amp;(TODAY()-H481)&amp;" ngày",IF(H481-TODAY()&lt;=3,IF(F481=""," · ","")&amp;"Đến hạn "&amp;IF(H481=TODAY(),"hôm nay","trong "&amp;(H481-TODAY())&amp;" ngày"),""))))))</f>
        <v/>
      </c>
      <c r="Q481">
        <f>IF(AND(E481&lt;&gt;"",R481="Có",I481&lt;&gt;"Xong",I481&lt;&gt;"Bỏ qua",ISNUMBER(H481)),H481+ROW()/100000,"")</f>
        <v/>
      </c>
      <c r="R481">
        <f>IF(M481="","",IFERROR(INDEX(SK_L,MATCH(M481,SK_A,0)),""))</f>
        <v/>
      </c>
    </row>
    <row r="482">
      <c r="A482" s="11">
        <f>IF(M482="","",IFERROR(INDEX(SK_B,MATCH(M482,SK_A,0))&amp;"",""))</f>
        <v/>
      </c>
      <c r="B482" s="24">
        <f>IF(M482="","",IFERROR(INDEX(SK_C,MATCH(M482,SK_A,0)),""))</f>
        <v/>
      </c>
      <c r="C482" s="25">
        <f>IF(O482="","",IF(O482=0,"D",IF(O482&lt;0,"D"&amp;O482,"D+"&amp;O482)))</f>
        <v/>
      </c>
      <c r="D482" s="13" t="n"/>
      <c r="E482" s="11" t="n"/>
      <c r="F482" s="26" t="n"/>
      <c r="G482" s="13" t="n"/>
      <c r="H482" s="12">
        <f>IF(OR(B482="",O482=""),"",IF(O482&gt;0,IF(P482="Làm việc",WORKDAY(IFERROR(IF(INDEX(SK_D,MATCH(M482,SK_A,0))="",B482,INDEX(SK_D,MATCH(M482,SK_A,0))),B482),O482,HOLI),IFERROR(IF(INDEX(SK_D,MATCH(M482,SK_A,0))="",B482,INDEX(SK_D,MATCH(M482,SK_A,0))),B482)+O482),B482+O482))</f>
        <v/>
      </c>
      <c r="I482" s="13" t="n"/>
      <c r="J482" s="12" t="n"/>
      <c r="K482" s="11" t="n"/>
      <c r="L482" s="27">
        <f>IF(E482="","",IF(I482="Bỏ qua","—",IF(I482="Xong",IF(AND(ISNUMBER(J482),ISNUMBER(H482),J482&gt;H482),"Xong trễ","Xong"),IF(F482="","CHƯA GIAO","")&amp;IF(NOT(ISNUMBER(H482)),"",IF(TODAY()&gt;H482,IF(F482=""," · ","")&amp;"QUÁ HẠN "&amp;(TODAY()-H482)&amp;" ngày",IF(H482-TODAY()&lt;=3,IF(F482=""," · ","")&amp;"Đến hạn "&amp;IF(H482=TODAY(),"hôm nay","trong "&amp;(H482-TODAY())&amp;" ngày"),""))))))</f>
        <v/>
      </c>
      <c r="Q482">
        <f>IF(AND(E482&lt;&gt;"",R482="Có",I482&lt;&gt;"Xong",I482&lt;&gt;"Bỏ qua",ISNUMBER(H482)),H482+ROW()/100000,"")</f>
        <v/>
      </c>
      <c r="R482">
        <f>IF(M482="","",IFERROR(INDEX(SK_L,MATCH(M482,SK_A,0)),""))</f>
        <v/>
      </c>
    </row>
    <row r="483">
      <c r="A483" s="11">
        <f>IF(M483="","",IFERROR(INDEX(SK_B,MATCH(M483,SK_A,0))&amp;"",""))</f>
        <v/>
      </c>
      <c r="B483" s="24">
        <f>IF(M483="","",IFERROR(INDEX(SK_C,MATCH(M483,SK_A,0)),""))</f>
        <v/>
      </c>
      <c r="C483" s="25">
        <f>IF(O483="","",IF(O483=0,"D",IF(O483&lt;0,"D"&amp;O483,"D+"&amp;O483)))</f>
        <v/>
      </c>
      <c r="D483" s="13" t="n"/>
      <c r="E483" s="11" t="n"/>
      <c r="F483" s="26" t="n"/>
      <c r="G483" s="13" t="n"/>
      <c r="H483" s="12">
        <f>IF(OR(B483="",O483=""),"",IF(O483&gt;0,IF(P483="Làm việc",WORKDAY(IFERROR(IF(INDEX(SK_D,MATCH(M483,SK_A,0))="",B483,INDEX(SK_D,MATCH(M483,SK_A,0))),B483),O483,HOLI),IFERROR(IF(INDEX(SK_D,MATCH(M483,SK_A,0))="",B483,INDEX(SK_D,MATCH(M483,SK_A,0))),B483)+O483),B483+O483))</f>
        <v/>
      </c>
      <c r="I483" s="13" t="n"/>
      <c r="J483" s="12" t="n"/>
      <c r="K483" s="11" t="n"/>
      <c r="L483" s="27">
        <f>IF(E483="","",IF(I483="Bỏ qua","—",IF(I483="Xong",IF(AND(ISNUMBER(J483),ISNUMBER(H483),J483&gt;H483),"Xong trễ","Xong"),IF(F483="","CHƯA GIAO","")&amp;IF(NOT(ISNUMBER(H483)),"",IF(TODAY()&gt;H483,IF(F483=""," · ","")&amp;"QUÁ HẠN "&amp;(TODAY()-H483)&amp;" ngày",IF(H483-TODAY()&lt;=3,IF(F483=""," · ","")&amp;"Đến hạn "&amp;IF(H483=TODAY(),"hôm nay","trong "&amp;(H483-TODAY())&amp;" ngày"),""))))))</f>
        <v/>
      </c>
      <c r="Q483">
        <f>IF(AND(E483&lt;&gt;"",R483="Có",I483&lt;&gt;"Xong",I483&lt;&gt;"Bỏ qua",ISNUMBER(H483)),H483+ROW()/100000,"")</f>
        <v/>
      </c>
      <c r="R483">
        <f>IF(M483="","",IFERROR(INDEX(SK_L,MATCH(M483,SK_A,0)),""))</f>
        <v/>
      </c>
    </row>
    <row r="484">
      <c r="A484" s="11">
        <f>IF(M484="","",IFERROR(INDEX(SK_B,MATCH(M484,SK_A,0))&amp;"",""))</f>
        <v/>
      </c>
      <c r="B484" s="24">
        <f>IF(M484="","",IFERROR(INDEX(SK_C,MATCH(M484,SK_A,0)),""))</f>
        <v/>
      </c>
      <c r="C484" s="25">
        <f>IF(O484="","",IF(O484=0,"D",IF(O484&lt;0,"D"&amp;O484,"D+"&amp;O484)))</f>
        <v/>
      </c>
      <c r="D484" s="13" t="n"/>
      <c r="E484" s="11" t="n"/>
      <c r="F484" s="26" t="n"/>
      <c r="G484" s="13" t="n"/>
      <c r="H484" s="12">
        <f>IF(OR(B484="",O484=""),"",IF(O484&gt;0,IF(P484="Làm việc",WORKDAY(IFERROR(IF(INDEX(SK_D,MATCH(M484,SK_A,0))="",B484,INDEX(SK_D,MATCH(M484,SK_A,0))),B484),O484,HOLI),IFERROR(IF(INDEX(SK_D,MATCH(M484,SK_A,0))="",B484,INDEX(SK_D,MATCH(M484,SK_A,0))),B484)+O484),B484+O484))</f>
        <v/>
      </c>
      <c r="I484" s="13" t="n"/>
      <c r="J484" s="12" t="n"/>
      <c r="K484" s="11" t="n"/>
      <c r="L484" s="27">
        <f>IF(E484="","",IF(I484="Bỏ qua","—",IF(I484="Xong",IF(AND(ISNUMBER(J484),ISNUMBER(H484),J484&gt;H484),"Xong trễ","Xong"),IF(F484="","CHƯA GIAO","")&amp;IF(NOT(ISNUMBER(H484)),"",IF(TODAY()&gt;H484,IF(F484=""," · ","")&amp;"QUÁ HẠN "&amp;(TODAY()-H484)&amp;" ngày",IF(H484-TODAY()&lt;=3,IF(F484=""," · ","")&amp;"Đến hạn "&amp;IF(H484=TODAY(),"hôm nay","trong "&amp;(H484-TODAY())&amp;" ngày"),""))))))</f>
        <v/>
      </c>
      <c r="Q484">
        <f>IF(AND(E484&lt;&gt;"",R484="Có",I484&lt;&gt;"Xong",I484&lt;&gt;"Bỏ qua",ISNUMBER(H484)),H484+ROW()/100000,"")</f>
        <v/>
      </c>
      <c r="R484">
        <f>IF(M484="","",IFERROR(INDEX(SK_L,MATCH(M484,SK_A,0)),""))</f>
        <v/>
      </c>
    </row>
    <row r="485">
      <c r="A485" s="11">
        <f>IF(M485="","",IFERROR(INDEX(SK_B,MATCH(M485,SK_A,0))&amp;"",""))</f>
        <v/>
      </c>
      <c r="B485" s="24">
        <f>IF(M485="","",IFERROR(INDEX(SK_C,MATCH(M485,SK_A,0)),""))</f>
        <v/>
      </c>
      <c r="C485" s="25">
        <f>IF(O485="","",IF(O485=0,"D",IF(O485&lt;0,"D"&amp;O485,"D+"&amp;O485)))</f>
        <v/>
      </c>
      <c r="D485" s="13" t="n"/>
      <c r="E485" s="11" t="n"/>
      <c r="F485" s="26" t="n"/>
      <c r="G485" s="13" t="n"/>
      <c r="H485" s="12">
        <f>IF(OR(B485="",O485=""),"",IF(O485&gt;0,IF(P485="Làm việc",WORKDAY(IFERROR(IF(INDEX(SK_D,MATCH(M485,SK_A,0))="",B485,INDEX(SK_D,MATCH(M485,SK_A,0))),B485),O485,HOLI),IFERROR(IF(INDEX(SK_D,MATCH(M485,SK_A,0))="",B485,INDEX(SK_D,MATCH(M485,SK_A,0))),B485)+O485),B485+O485))</f>
        <v/>
      </c>
      <c r="I485" s="13" t="n"/>
      <c r="J485" s="12" t="n"/>
      <c r="K485" s="11" t="n"/>
      <c r="L485" s="27">
        <f>IF(E485="","",IF(I485="Bỏ qua","—",IF(I485="Xong",IF(AND(ISNUMBER(J485),ISNUMBER(H485),J485&gt;H485),"Xong trễ","Xong"),IF(F485="","CHƯA GIAO","")&amp;IF(NOT(ISNUMBER(H485)),"",IF(TODAY()&gt;H485,IF(F485=""," · ","")&amp;"QUÁ HẠN "&amp;(TODAY()-H485)&amp;" ngày",IF(H485-TODAY()&lt;=3,IF(F485=""," · ","")&amp;"Đến hạn "&amp;IF(H485=TODAY(),"hôm nay","trong "&amp;(H485-TODAY())&amp;" ngày"),""))))))</f>
        <v/>
      </c>
      <c r="Q485">
        <f>IF(AND(E485&lt;&gt;"",R485="Có",I485&lt;&gt;"Xong",I485&lt;&gt;"Bỏ qua",ISNUMBER(H485)),H485+ROW()/100000,"")</f>
        <v/>
      </c>
      <c r="R485">
        <f>IF(M485="","",IFERROR(INDEX(SK_L,MATCH(M485,SK_A,0)),""))</f>
        <v/>
      </c>
    </row>
    <row r="486">
      <c r="A486" s="11">
        <f>IF(M486="","",IFERROR(INDEX(SK_B,MATCH(M486,SK_A,0))&amp;"",""))</f>
        <v/>
      </c>
      <c r="B486" s="24">
        <f>IF(M486="","",IFERROR(INDEX(SK_C,MATCH(M486,SK_A,0)),""))</f>
        <v/>
      </c>
      <c r="C486" s="25">
        <f>IF(O486="","",IF(O486=0,"D",IF(O486&lt;0,"D"&amp;O486,"D+"&amp;O486)))</f>
        <v/>
      </c>
      <c r="D486" s="13" t="n"/>
      <c r="E486" s="11" t="n"/>
      <c r="F486" s="26" t="n"/>
      <c r="G486" s="13" t="n"/>
      <c r="H486" s="12">
        <f>IF(OR(B486="",O486=""),"",IF(O486&gt;0,IF(P486="Làm việc",WORKDAY(IFERROR(IF(INDEX(SK_D,MATCH(M486,SK_A,0))="",B486,INDEX(SK_D,MATCH(M486,SK_A,0))),B486),O486,HOLI),IFERROR(IF(INDEX(SK_D,MATCH(M486,SK_A,0))="",B486,INDEX(SK_D,MATCH(M486,SK_A,0))),B486)+O486),B486+O486))</f>
        <v/>
      </c>
      <c r="I486" s="13" t="n"/>
      <c r="J486" s="12" t="n"/>
      <c r="K486" s="11" t="n"/>
      <c r="L486" s="27">
        <f>IF(E486="","",IF(I486="Bỏ qua","—",IF(I486="Xong",IF(AND(ISNUMBER(J486),ISNUMBER(H486),J486&gt;H486),"Xong trễ","Xong"),IF(F486="","CHƯA GIAO","")&amp;IF(NOT(ISNUMBER(H486)),"",IF(TODAY()&gt;H486,IF(F486=""," · ","")&amp;"QUÁ HẠN "&amp;(TODAY()-H486)&amp;" ngày",IF(H486-TODAY()&lt;=3,IF(F486=""," · ","")&amp;"Đến hạn "&amp;IF(H486=TODAY(),"hôm nay","trong "&amp;(H486-TODAY())&amp;" ngày"),""))))))</f>
        <v/>
      </c>
      <c r="Q486">
        <f>IF(AND(E486&lt;&gt;"",R486="Có",I486&lt;&gt;"Xong",I486&lt;&gt;"Bỏ qua",ISNUMBER(H486)),H486+ROW()/100000,"")</f>
        <v/>
      </c>
      <c r="R486">
        <f>IF(M486="","",IFERROR(INDEX(SK_L,MATCH(M486,SK_A,0)),""))</f>
        <v/>
      </c>
    </row>
    <row r="487">
      <c r="A487" s="11">
        <f>IF(M487="","",IFERROR(INDEX(SK_B,MATCH(M487,SK_A,0))&amp;"",""))</f>
        <v/>
      </c>
      <c r="B487" s="24">
        <f>IF(M487="","",IFERROR(INDEX(SK_C,MATCH(M487,SK_A,0)),""))</f>
        <v/>
      </c>
      <c r="C487" s="25">
        <f>IF(O487="","",IF(O487=0,"D",IF(O487&lt;0,"D"&amp;O487,"D+"&amp;O487)))</f>
        <v/>
      </c>
      <c r="D487" s="13" t="n"/>
      <c r="E487" s="11" t="n"/>
      <c r="F487" s="26" t="n"/>
      <c r="G487" s="13" t="n"/>
      <c r="H487" s="12">
        <f>IF(OR(B487="",O487=""),"",IF(O487&gt;0,IF(P487="Làm việc",WORKDAY(IFERROR(IF(INDEX(SK_D,MATCH(M487,SK_A,0))="",B487,INDEX(SK_D,MATCH(M487,SK_A,0))),B487),O487,HOLI),IFERROR(IF(INDEX(SK_D,MATCH(M487,SK_A,0))="",B487,INDEX(SK_D,MATCH(M487,SK_A,0))),B487)+O487),B487+O487))</f>
        <v/>
      </c>
      <c r="I487" s="13" t="n"/>
      <c r="J487" s="12" t="n"/>
      <c r="K487" s="11" t="n"/>
      <c r="L487" s="27">
        <f>IF(E487="","",IF(I487="Bỏ qua","—",IF(I487="Xong",IF(AND(ISNUMBER(J487),ISNUMBER(H487),J487&gt;H487),"Xong trễ","Xong"),IF(F487="","CHƯA GIAO","")&amp;IF(NOT(ISNUMBER(H487)),"",IF(TODAY()&gt;H487,IF(F487=""," · ","")&amp;"QUÁ HẠN "&amp;(TODAY()-H487)&amp;" ngày",IF(H487-TODAY()&lt;=3,IF(F487=""," · ","")&amp;"Đến hạn "&amp;IF(H487=TODAY(),"hôm nay","trong "&amp;(H487-TODAY())&amp;" ngày"),""))))))</f>
        <v/>
      </c>
      <c r="Q487">
        <f>IF(AND(E487&lt;&gt;"",R487="Có",I487&lt;&gt;"Xong",I487&lt;&gt;"Bỏ qua",ISNUMBER(H487)),H487+ROW()/100000,"")</f>
        <v/>
      </c>
      <c r="R487">
        <f>IF(M487="","",IFERROR(INDEX(SK_L,MATCH(M487,SK_A,0)),""))</f>
        <v/>
      </c>
    </row>
    <row r="488">
      <c r="A488" s="11">
        <f>IF(M488="","",IFERROR(INDEX(SK_B,MATCH(M488,SK_A,0))&amp;"",""))</f>
        <v/>
      </c>
      <c r="B488" s="24">
        <f>IF(M488="","",IFERROR(INDEX(SK_C,MATCH(M488,SK_A,0)),""))</f>
        <v/>
      </c>
      <c r="C488" s="25">
        <f>IF(O488="","",IF(O488=0,"D",IF(O488&lt;0,"D"&amp;O488,"D+"&amp;O488)))</f>
        <v/>
      </c>
      <c r="D488" s="13" t="n"/>
      <c r="E488" s="11" t="n"/>
      <c r="F488" s="26" t="n"/>
      <c r="G488" s="13" t="n"/>
      <c r="H488" s="12">
        <f>IF(OR(B488="",O488=""),"",IF(O488&gt;0,IF(P488="Làm việc",WORKDAY(IFERROR(IF(INDEX(SK_D,MATCH(M488,SK_A,0))="",B488,INDEX(SK_D,MATCH(M488,SK_A,0))),B488),O488,HOLI),IFERROR(IF(INDEX(SK_D,MATCH(M488,SK_A,0))="",B488,INDEX(SK_D,MATCH(M488,SK_A,0))),B488)+O488),B488+O488))</f>
        <v/>
      </c>
      <c r="I488" s="13" t="n"/>
      <c r="J488" s="12" t="n"/>
      <c r="K488" s="11" t="n"/>
      <c r="L488" s="27">
        <f>IF(E488="","",IF(I488="Bỏ qua","—",IF(I488="Xong",IF(AND(ISNUMBER(J488),ISNUMBER(H488),J488&gt;H488),"Xong trễ","Xong"),IF(F488="","CHƯA GIAO","")&amp;IF(NOT(ISNUMBER(H488)),"",IF(TODAY()&gt;H488,IF(F488=""," · ","")&amp;"QUÁ HẠN "&amp;(TODAY()-H488)&amp;" ngày",IF(H488-TODAY()&lt;=3,IF(F488=""," · ","")&amp;"Đến hạn "&amp;IF(H488=TODAY(),"hôm nay","trong "&amp;(H488-TODAY())&amp;" ngày"),""))))))</f>
        <v/>
      </c>
      <c r="Q488">
        <f>IF(AND(E488&lt;&gt;"",R488="Có",I488&lt;&gt;"Xong",I488&lt;&gt;"Bỏ qua",ISNUMBER(H488)),H488+ROW()/100000,"")</f>
        <v/>
      </c>
      <c r="R488">
        <f>IF(M488="","",IFERROR(INDEX(SK_L,MATCH(M488,SK_A,0)),""))</f>
        <v/>
      </c>
    </row>
    <row r="489">
      <c r="A489" s="11">
        <f>IF(M489="","",IFERROR(INDEX(SK_B,MATCH(M489,SK_A,0))&amp;"",""))</f>
        <v/>
      </c>
      <c r="B489" s="24">
        <f>IF(M489="","",IFERROR(INDEX(SK_C,MATCH(M489,SK_A,0)),""))</f>
        <v/>
      </c>
      <c r="C489" s="25">
        <f>IF(O489="","",IF(O489=0,"D",IF(O489&lt;0,"D"&amp;O489,"D+"&amp;O489)))</f>
        <v/>
      </c>
      <c r="D489" s="13" t="n"/>
      <c r="E489" s="11" t="n"/>
      <c r="F489" s="26" t="n"/>
      <c r="G489" s="13" t="n"/>
      <c r="H489" s="12">
        <f>IF(OR(B489="",O489=""),"",IF(O489&gt;0,IF(P489="Làm việc",WORKDAY(IFERROR(IF(INDEX(SK_D,MATCH(M489,SK_A,0))="",B489,INDEX(SK_D,MATCH(M489,SK_A,0))),B489),O489,HOLI),IFERROR(IF(INDEX(SK_D,MATCH(M489,SK_A,0))="",B489,INDEX(SK_D,MATCH(M489,SK_A,0))),B489)+O489),B489+O489))</f>
        <v/>
      </c>
      <c r="I489" s="13" t="n"/>
      <c r="J489" s="12" t="n"/>
      <c r="K489" s="11" t="n"/>
      <c r="L489" s="27">
        <f>IF(E489="","",IF(I489="Bỏ qua","—",IF(I489="Xong",IF(AND(ISNUMBER(J489),ISNUMBER(H489),J489&gt;H489),"Xong trễ","Xong"),IF(F489="","CHƯA GIAO","")&amp;IF(NOT(ISNUMBER(H489)),"",IF(TODAY()&gt;H489,IF(F489=""," · ","")&amp;"QUÁ HẠN "&amp;(TODAY()-H489)&amp;" ngày",IF(H489-TODAY()&lt;=3,IF(F489=""," · ","")&amp;"Đến hạn "&amp;IF(H489=TODAY(),"hôm nay","trong "&amp;(H489-TODAY())&amp;" ngày"),""))))))</f>
        <v/>
      </c>
      <c r="Q489">
        <f>IF(AND(E489&lt;&gt;"",R489="Có",I489&lt;&gt;"Xong",I489&lt;&gt;"Bỏ qua",ISNUMBER(H489)),H489+ROW()/100000,"")</f>
        <v/>
      </c>
      <c r="R489">
        <f>IF(M489="","",IFERROR(INDEX(SK_L,MATCH(M489,SK_A,0)),""))</f>
        <v/>
      </c>
    </row>
    <row r="490">
      <c r="A490" s="11">
        <f>IF(M490="","",IFERROR(INDEX(SK_B,MATCH(M490,SK_A,0))&amp;"",""))</f>
        <v/>
      </c>
      <c r="B490" s="24">
        <f>IF(M490="","",IFERROR(INDEX(SK_C,MATCH(M490,SK_A,0)),""))</f>
        <v/>
      </c>
      <c r="C490" s="25">
        <f>IF(O490="","",IF(O490=0,"D",IF(O490&lt;0,"D"&amp;O490,"D+"&amp;O490)))</f>
        <v/>
      </c>
      <c r="D490" s="13" t="n"/>
      <c r="E490" s="11" t="n"/>
      <c r="F490" s="26" t="n"/>
      <c r="G490" s="13" t="n"/>
      <c r="H490" s="12">
        <f>IF(OR(B490="",O490=""),"",IF(O490&gt;0,IF(P490="Làm việc",WORKDAY(IFERROR(IF(INDEX(SK_D,MATCH(M490,SK_A,0))="",B490,INDEX(SK_D,MATCH(M490,SK_A,0))),B490),O490,HOLI),IFERROR(IF(INDEX(SK_D,MATCH(M490,SK_A,0))="",B490,INDEX(SK_D,MATCH(M490,SK_A,0))),B490)+O490),B490+O490))</f>
        <v/>
      </c>
      <c r="I490" s="13" t="n"/>
      <c r="J490" s="12" t="n"/>
      <c r="K490" s="11" t="n"/>
      <c r="L490" s="27">
        <f>IF(E490="","",IF(I490="Bỏ qua","—",IF(I490="Xong",IF(AND(ISNUMBER(J490),ISNUMBER(H490),J490&gt;H490),"Xong trễ","Xong"),IF(F490="","CHƯA GIAO","")&amp;IF(NOT(ISNUMBER(H490)),"",IF(TODAY()&gt;H490,IF(F490=""," · ","")&amp;"QUÁ HẠN "&amp;(TODAY()-H490)&amp;" ngày",IF(H490-TODAY()&lt;=3,IF(F490=""," · ","")&amp;"Đến hạn "&amp;IF(H490=TODAY(),"hôm nay","trong "&amp;(H490-TODAY())&amp;" ngày"),""))))))</f>
        <v/>
      </c>
      <c r="Q490">
        <f>IF(AND(E490&lt;&gt;"",R490="Có",I490&lt;&gt;"Xong",I490&lt;&gt;"Bỏ qua",ISNUMBER(H490)),H490+ROW()/100000,"")</f>
        <v/>
      </c>
      <c r="R490">
        <f>IF(M490="","",IFERROR(INDEX(SK_L,MATCH(M490,SK_A,0)),""))</f>
        <v/>
      </c>
    </row>
    <row r="491">
      <c r="A491" s="11">
        <f>IF(M491="","",IFERROR(INDEX(SK_B,MATCH(M491,SK_A,0))&amp;"",""))</f>
        <v/>
      </c>
      <c r="B491" s="24">
        <f>IF(M491="","",IFERROR(INDEX(SK_C,MATCH(M491,SK_A,0)),""))</f>
        <v/>
      </c>
      <c r="C491" s="25">
        <f>IF(O491="","",IF(O491=0,"D",IF(O491&lt;0,"D"&amp;O491,"D+"&amp;O491)))</f>
        <v/>
      </c>
      <c r="D491" s="13" t="n"/>
      <c r="E491" s="11" t="n"/>
      <c r="F491" s="26" t="n"/>
      <c r="G491" s="13" t="n"/>
      <c r="H491" s="12">
        <f>IF(OR(B491="",O491=""),"",IF(O491&gt;0,IF(P491="Làm việc",WORKDAY(IFERROR(IF(INDEX(SK_D,MATCH(M491,SK_A,0))="",B491,INDEX(SK_D,MATCH(M491,SK_A,0))),B491),O491,HOLI),IFERROR(IF(INDEX(SK_D,MATCH(M491,SK_A,0))="",B491,INDEX(SK_D,MATCH(M491,SK_A,0))),B491)+O491),B491+O491))</f>
        <v/>
      </c>
      <c r="I491" s="13" t="n"/>
      <c r="J491" s="12" t="n"/>
      <c r="K491" s="11" t="n"/>
      <c r="L491" s="27">
        <f>IF(E491="","",IF(I491="Bỏ qua","—",IF(I491="Xong",IF(AND(ISNUMBER(J491),ISNUMBER(H491),J491&gt;H491),"Xong trễ","Xong"),IF(F491="","CHƯA GIAO","")&amp;IF(NOT(ISNUMBER(H491)),"",IF(TODAY()&gt;H491,IF(F491=""," · ","")&amp;"QUÁ HẠN "&amp;(TODAY()-H491)&amp;" ngày",IF(H491-TODAY()&lt;=3,IF(F491=""," · ","")&amp;"Đến hạn "&amp;IF(H491=TODAY(),"hôm nay","trong "&amp;(H491-TODAY())&amp;" ngày"),""))))))</f>
        <v/>
      </c>
      <c r="Q491">
        <f>IF(AND(E491&lt;&gt;"",R491="Có",I491&lt;&gt;"Xong",I491&lt;&gt;"Bỏ qua",ISNUMBER(H491)),H491+ROW()/100000,"")</f>
        <v/>
      </c>
      <c r="R491">
        <f>IF(M491="","",IFERROR(INDEX(SK_L,MATCH(M491,SK_A,0)),""))</f>
        <v/>
      </c>
    </row>
    <row r="492">
      <c r="A492" s="11">
        <f>IF(M492="","",IFERROR(INDEX(SK_B,MATCH(M492,SK_A,0))&amp;"",""))</f>
        <v/>
      </c>
      <c r="B492" s="24">
        <f>IF(M492="","",IFERROR(INDEX(SK_C,MATCH(M492,SK_A,0)),""))</f>
        <v/>
      </c>
      <c r="C492" s="25">
        <f>IF(O492="","",IF(O492=0,"D",IF(O492&lt;0,"D"&amp;O492,"D+"&amp;O492)))</f>
        <v/>
      </c>
      <c r="D492" s="13" t="n"/>
      <c r="E492" s="11" t="n"/>
      <c r="F492" s="26" t="n"/>
      <c r="G492" s="13" t="n"/>
      <c r="H492" s="12">
        <f>IF(OR(B492="",O492=""),"",IF(O492&gt;0,IF(P492="Làm việc",WORKDAY(IFERROR(IF(INDEX(SK_D,MATCH(M492,SK_A,0))="",B492,INDEX(SK_D,MATCH(M492,SK_A,0))),B492),O492,HOLI),IFERROR(IF(INDEX(SK_D,MATCH(M492,SK_A,0))="",B492,INDEX(SK_D,MATCH(M492,SK_A,0))),B492)+O492),B492+O492))</f>
        <v/>
      </c>
      <c r="I492" s="13" t="n"/>
      <c r="J492" s="12" t="n"/>
      <c r="K492" s="11" t="n"/>
      <c r="L492" s="27">
        <f>IF(E492="","",IF(I492="Bỏ qua","—",IF(I492="Xong",IF(AND(ISNUMBER(J492),ISNUMBER(H492),J492&gt;H492),"Xong trễ","Xong"),IF(F492="","CHƯA GIAO","")&amp;IF(NOT(ISNUMBER(H492)),"",IF(TODAY()&gt;H492,IF(F492=""," · ","")&amp;"QUÁ HẠN "&amp;(TODAY()-H492)&amp;" ngày",IF(H492-TODAY()&lt;=3,IF(F492=""," · ","")&amp;"Đến hạn "&amp;IF(H492=TODAY(),"hôm nay","trong "&amp;(H492-TODAY())&amp;" ngày"),""))))))</f>
        <v/>
      </c>
      <c r="Q492">
        <f>IF(AND(E492&lt;&gt;"",R492="Có",I492&lt;&gt;"Xong",I492&lt;&gt;"Bỏ qua",ISNUMBER(H492)),H492+ROW()/100000,"")</f>
        <v/>
      </c>
      <c r="R492">
        <f>IF(M492="","",IFERROR(INDEX(SK_L,MATCH(M492,SK_A,0)),""))</f>
        <v/>
      </c>
    </row>
    <row r="493">
      <c r="A493" s="11">
        <f>IF(M493="","",IFERROR(INDEX(SK_B,MATCH(M493,SK_A,0))&amp;"",""))</f>
        <v/>
      </c>
      <c r="B493" s="24">
        <f>IF(M493="","",IFERROR(INDEX(SK_C,MATCH(M493,SK_A,0)),""))</f>
        <v/>
      </c>
      <c r="C493" s="25">
        <f>IF(O493="","",IF(O493=0,"D",IF(O493&lt;0,"D"&amp;O493,"D+"&amp;O493)))</f>
        <v/>
      </c>
      <c r="D493" s="13" t="n"/>
      <c r="E493" s="11" t="n"/>
      <c r="F493" s="26" t="n"/>
      <c r="G493" s="13" t="n"/>
      <c r="H493" s="12">
        <f>IF(OR(B493="",O493=""),"",IF(O493&gt;0,IF(P493="Làm việc",WORKDAY(IFERROR(IF(INDEX(SK_D,MATCH(M493,SK_A,0))="",B493,INDEX(SK_D,MATCH(M493,SK_A,0))),B493),O493,HOLI),IFERROR(IF(INDEX(SK_D,MATCH(M493,SK_A,0))="",B493,INDEX(SK_D,MATCH(M493,SK_A,0))),B493)+O493),B493+O493))</f>
        <v/>
      </c>
      <c r="I493" s="13" t="n"/>
      <c r="J493" s="12" t="n"/>
      <c r="K493" s="11" t="n"/>
      <c r="L493" s="27">
        <f>IF(E493="","",IF(I493="Bỏ qua","—",IF(I493="Xong",IF(AND(ISNUMBER(J493),ISNUMBER(H493),J493&gt;H493),"Xong trễ","Xong"),IF(F493="","CHƯA GIAO","")&amp;IF(NOT(ISNUMBER(H493)),"",IF(TODAY()&gt;H493,IF(F493=""," · ","")&amp;"QUÁ HẠN "&amp;(TODAY()-H493)&amp;" ngày",IF(H493-TODAY()&lt;=3,IF(F493=""," · ","")&amp;"Đến hạn "&amp;IF(H493=TODAY(),"hôm nay","trong "&amp;(H493-TODAY())&amp;" ngày"),""))))))</f>
        <v/>
      </c>
      <c r="Q493">
        <f>IF(AND(E493&lt;&gt;"",R493="Có",I493&lt;&gt;"Xong",I493&lt;&gt;"Bỏ qua",ISNUMBER(H493)),H493+ROW()/100000,"")</f>
        <v/>
      </c>
      <c r="R493">
        <f>IF(M493="","",IFERROR(INDEX(SK_L,MATCH(M493,SK_A,0)),""))</f>
        <v/>
      </c>
    </row>
    <row r="494">
      <c r="A494" s="11">
        <f>IF(M494="","",IFERROR(INDEX(SK_B,MATCH(M494,SK_A,0))&amp;"",""))</f>
        <v/>
      </c>
      <c r="B494" s="24">
        <f>IF(M494="","",IFERROR(INDEX(SK_C,MATCH(M494,SK_A,0)),""))</f>
        <v/>
      </c>
      <c r="C494" s="25">
        <f>IF(O494="","",IF(O494=0,"D",IF(O494&lt;0,"D"&amp;O494,"D+"&amp;O494)))</f>
        <v/>
      </c>
      <c r="D494" s="13" t="n"/>
      <c r="E494" s="11" t="n"/>
      <c r="F494" s="26" t="n"/>
      <c r="G494" s="13" t="n"/>
      <c r="H494" s="12">
        <f>IF(OR(B494="",O494=""),"",IF(O494&gt;0,IF(P494="Làm việc",WORKDAY(IFERROR(IF(INDEX(SK_D,MATCH(M494,SK_A,0))="",B494,INDEX(SK_D,MATCH(M494,SK_A,0))),B494),O494,HOLI),IFERROR(IF(INDEX(SK_D,MATCH(M494,SK_A,0))="",B494,INDEX(SK_D,MATCH(M494,SK_A,0))),B494)+O494),B494+O494))</f>
        <v/>
      </c>
      <c r="I494" s="13" t="n"/>
      <c r="J494" s="12" t="n"/>
      <c r="K494" s="11" t="n"/>
      <c r="L494" s="27">
        <f>IF(E494="","",IF(I494="Bỏ qua","—",IF(I494="Xong",IF(AND(ISNUMBER(J494),ISNUMBER(H494),J494&gt;H494),"Xong trễ","Xong"),IF(F494="","CHƯA GIAO","")&amp;IF(NOT(ISNUMBER(H494)),"",IF(TODAY()&gt;H494,IF(F494=""," · ","")&amp;"QUÁ HẠN "&amp;(TODAY()-H494)&amp;" ngày",IF(H494-TODAY()&lt;=3,IF(F494=""," · ","")&amp;"Đến hạn "&amp;IF(H494=TODAY(),"hôm nay","trong "&amp;(H494-TODAY())&amp;" ngày"),""))))))</f>
        <v/>
      </c>
      <c r="Q494">
        <f>IF(AND(E494&lt;&gt;"",R494="Có",I494&lt;&gt;"Xong",I494&lt;&gt;"Bỏ qua",ISNUMBER(H494)),H494+ROW()/100000,"")</f>
        <v/>
      </c>
      <c r="R494">
        <f>IF(M494="","",IFERROR(INDEX(SK_L,MATCH(M494,SK_A,0)),""))</f>
        <v/>
      </c>
    </row>
    <row r="495">
      <c r="A495" s="11">
        <f>IF(M495="","",IFERROR(INDEX(SK_B,MATCH(M495,SK_A,0))&amp;"",""))</f>
        <v/>
      </c>
      <c r="B495" s="24">
        <f>IF(M495="","",IFERROR(INDEX(SK_C,MATCH(M495,SK_A,0)),""))</f>
        <v/>
      </c>
      <c r="C495" s="25">
        <f>IF(O495="","",IF(O495=0,"D",IF(O495&lt;0,"D"&amp;O495,"D+"&amp;O495)))</f>
        <v/>
      </c>
      <c r="D495" s="13" t="n"/>
      <c r="E495" s="11" t="n"/>
      <c r="F495" s="26" t="n"/>
      <c r="G495" s="13" t="n"/>
      <c r="H495" s="12">
        <f>IF(OR(B495="",O495=""),"",IF(O495&gt;0,IF(P495="Làm việc",WORKDAY(IFERROR(IF(INDEX(SK_D,MATCH(M495,SK_A,0))="",B495,INDEX(SK_D,MATCH(M495,SK_A,0))),B495),O495,HOLI),IFERROR(IF(INDEX(SK_D,MATCH(M495,SK_A,0))="",B495,INDEX(SK_D,MATCH(M495,SK_A,0))),B495)+O495),B495+O495))</f>
        <v/>
      </c>
      <c r="I495" s="13" t="n"/>
      <c r="J495" s="12" t="n"/>
      <c r="K495" s="11" t="n"/>
      <c r="L495" s="27">
        <f>IF(E495="","",IF(I495="Bỏ qua","—",IF(I495="Xong",IF(AND(ISNUMBER(J495),ISNUMBER(H495),J495&gt;H495),"Xong trễ","Xong"),IF(F495="","CHƯA GIAO","")&amp;IF(NOT(ISNUMBER(H495)),"",IF(TODAY()&gt;H495,IF(F495=""," · ","")&amp;"QUÁ HẠN "&amp;(TODAY()-H495)&amp;" ngày",IF(H495-TODAY()&lt;=3,IF(F495=""," · ","")&amp;"Đến hạn "&amp;IF(H495=TODAY(),"hôm nay","trong "&amp;(H495-TODAY())&amp;" ngày"),""))))))</f>
        <v/>
      </c>
      <c r="Q495">
        <f>IF(AND(E495&lt;&gt;"",R495="Có",I495&lt;&gt;"Xong",I495&lt;&gt;"Bỏ qua",ISNUMBER(H495)),H495+ROW()/100000,"")</f>
        <v/>
      </c>
      <c r="R495">
        <f>IF(M495="","",IFERROR(INDEX(SK_L,MATCH(M495,SK_A,0)),""))</f>
        <v/>
      </c>
    </row>
    <row r="496">
      <c r="A496" s="11">
        <f>IF(M496="","",IFERROR(INDEX(SK_B,MATCH(M496,SK_A,0))&amp;"",""))</f>
        <v/>
      </c>
      <c r="B496" s="24">
        <f>IF(M496="","",IFERROR(INDEX(SK_C,MATCH(M496,SK_A,0)),""))</f>
        <v/>
      </c>
      <c r="C496" s="25">
        <f>IF(O496="","",IF(O496=0,"D",IF(O496&lt;0,"D"&amp;O496,"D+"&amp;O496)))</f>
        <v/>
      </c>
      <c r="D496" s="13" t="n"/>
      <c r="E496" s="11" t="n"/>
      <c r="F496" s="26" t="n"/>
      <c r="G496" s="13" t="n"/>
      <c r="H496" s="12">
        <f>IF(OR(B496="",O496=""),"",IF(O496&gt;0,IF(P496="Làm việc",WORKDAY(IFERROR(IF(INDEX(SK_D,MATCH(M496,SK_A,0))="",B496,INDEX(SK_D,MATCH(M496,SK_A,0))),B496),O496,HOLI),IFERROR(IF(INDEX(SK_D,MATCH(M496,SK_A,0))="",B496,INDEX(SK_D,MATCH(M496,SK_A,0))),B496)+O496),B496+O496))</f>
        <v/>
      </c>
      <c r="I496" s="13" t="n"/>
      <c r="J496" s="12" t="n"/>
      <c r="K496" s="11" t="n"/>
      <c r="L496" s="27">
        <f>IF(E496="","",IF(I496="Bỏ qua","—",IF(I496="Xong",IF(AND(ISNUMBER(J496),ISNUMBER(H496),J496&gt;H496),"Xong trễ","Xong"),IF(F496="","CHƯA GIAO","")&amp;IF(NOT(ISNUMBER(H496)),"",IF(TODAY()&gt;H496,IF(F496=""," · ","")&amp;"QUÁ HẠN "&amp;(TODAY()-H496)&amp;" ngày",IF(H496-TODAY()&lt;=3,IF(F496=""," · ","")&amp;"Đến hạn "&amp;IF(H496=TODAY(),"hôm nay","trong "&amp;(H496-TODAY())&amp;" ngày"),""))))))</f>
        <v/>
      </c>
      <c r="Q496">
        <f>IF(AND(E496&lt;&gt;"",R496="Có",I496&lt;&gt;"Xong",I496&lt;&gt;"Bỏ qua",ISNUMBER(H496)),H496+ROW()/100000,"")</f>
        <v/>
      </c>
      <c r="R496">
        <f>IF(M496="","",IFERROR(INDEX(SK_L,MATCH(M496,SK_A,0)),""))</f>
        <v/>
      </c>
    </row>
    <row r="497">
      <c r="A497" s="11">
        <f>IF(M497="","",IFERROR(INDEX(SK_B,MATCH(M497,SK_A,0))&amp;"",""))</f>
        <v/>
      </c>
      <c r="B497" s="24">
        <f>IF(M497="","",IFERROR(INDEX(SK_C,MATCH(M497,SK_A,0)),""))</f>
        <v/>
      </c>
      <c r="C497" s="25">
        <f>IF(O497="","",IF(O497=0,"D",IF(O497&lt;0,"D"&amp;O497,"D+"&amp;O497)))</f>
        <v/>
      </c>
      <c r="D497" s="13" t="n"/>
      <c r="E497" s="11" t="n"/>
      <c r="F497" s="26" t="n"/>
      <c r="G497" s="13" t="n"/>
      <c r="H497" s="12">
        <f>IF(OR(B497="",O497=""),"",IF(O497&gt;0,IF(P497="Làm việc",WORKDAY(IFERROR(IF(INDEX(SK_D,MATCH(M497,SK_A,0))="",B497,INDEX(SK_D,MATCH(M497,SK_A,0))),B497),O497,HOLI),IFERROR(IF(INDEX(SK_D,MATCH(M497,SK_A,0))="",B497,INDEX(SK_D,MATCH(M497,SK_A,0))),B497)+O497),B497+O497))</f>
        <v/>
      </c>
      <c r="I497" s="13" t="n"/>
      <c r="J497" s="12" t="n"/>
      <c r="K497" s="11" t="n"/>
      <c r="L497" s="27">
        <f>IF(E497="","",IF(I497="Bỏ qua","—",IF(I497="Xong",IF(AND(ISNUMBER(J497),ISNUMBER(H497),J497&gt;H497),"Xong trễ","Xong"),IF(F497="","CHƯA GIAO","")&amp;IF(NOT(ISNUMBER(H497)),"",IF(TODAY()&gt;H497,IF(F497=""," · ","")&amp;"QUÁ HẠN "&amp;(TODAY()-H497)&amp;" ngày",IF(H497-TODAY()&lt;=3,IF(F497=""," · ","")&amp;"Đến hạn "&amp;IF(H497=TODAY(),"hôm nay","trong "&amp;(H497-TODAY())&amp;" ngày"),""))))))</f>
        <v/>
      </c>
      <c r="Q497">
        <f>IF(AND(E497&lt;&gt;"",R497="Có",I497&lt;&gt;"Xong",I497&lt;&gt;"Bỏ qua",ISNUMBER(H497)),H497+ROW()/100000,"")</f>
        <v/>
      </c>
      <c r="R497">
        <f>IF(M497="","",IFERROR(INDEX(SK_L,MATCH(M497,SK_A,0)),""))</f>
        <v/>
      </c>
    </row>
    <row r="498">
      <c r="A498" s="11">
        <f>IF(M498="","",IFERROR(INDEX(SK_B,MATCH(M498,SK_A,0))&amp;"",""))</f>
        <v/>
      </c>
      <c r="B498" s="24">
        <f>IF(M498="","",IFERROR(INDEX(SK_C,MATCH(M498,SK_A,0)),""))</f>
        <v/>
      </c>
      <c r="C498" s="25">
        <f>IF(O498="","",IF(O498=0,"D",IF(O498&lt;0,"D"&amp;O498,"D+"&amp;O498)))</f>
        <v/>
      </c>
      <c r="D498" s="13" t="n"/>
      <c r="E498" s="11" t="n"/>
      <c r="F498" s="26" t="n"/>
      <c r="G498" s="13" t="n"/>
      <c r="H498" s="12">
        <f>IF(OR(B498="",O498=""),"",IF(O498&gt;0,IF(P498="Làm việc",WORKDAY(IFERROR(IF(INDEX(SK_D,MATCH(M498,SK_A,0))="",B498,INDEX(SK_D,MATCH(M498,SK_A,0))),B498),O498,HOLI),IFERROR(IF(INDEX(SK_D,MATCH(M498,SK_A,0))="",B498,INDEX(SK_D,MATCH(M498,SK_A,0))),B498)+O498),B498+O498))</f>
        <v/>
      </c>
      <c r="I498" s="13" t="n"/>
      <c r="J498" s="12" t="n"/>
      <c r="K498" s="11" t="n"/>
      <c r="L498" s="27">
        <f>IF(E498="","",IF(I498="Bỏ qua","—",IF(I498="Xong",IF(AND(ISNUMBER(J498),ISNUMBER(H498),J498&gt;H498),"Xong trễ","Xong"),IF(F498="","CHƯA GIAO","")&amp;IF(NOT(ISNUMBER(H498)),"",IF(TODAY()&gt;H498,IF(F498=""," · ","")&amp;"QUÁ HẠN "&amp;(TODAY()-H498)&amp;" ngày",IF(H498-TODAY()&lt;=3,IF(F498=""," · ","")&amp;"Đến hạn "&amp;IF(H498=TODAY(),"hôm nay","trong "&amp;(H498-TODAY())&amp;" ngày"),""))))))</f>
        <v/>
      </c>
      <c r="Q498">
        <f>IF(AND(E498&lt;&gt;"",R498="Có",I498&lt;&gt;"Xong",I498&lt;&gt;"Bỏ qua",ISNUMBER(H498)),H498+ROW()/100000,"")</f>
        <v/>
      </c>
      <c r="R498">
        <f>IF(M498="","",IFERROR(INDEX(SK_L,MATCH(M498,SK_A,0)),""))</f>
        <v/>
      </c>
    </row>
    <row r="499">
      <c r="A499" s="11">
        <f>IF(M499="","",IFERROR(INDEX(SK_B,MATCH(M499,SK_A,0))&amp;"",""))</f>
        <v/>
      </c>
      <c r="B499" s="24">
        <f>IF(M499="","",IFERROR(INDEX(SK_C,MATCH(M499,SK_A,0)),""))</f>
        <v/>
      </c>
      <c r="C499" s="25">
        <f>IF(O499="","",IF(O499=0,"D",IF(O499&lt;0,"D"&amp;O499,"D+"&amp;O499)))</f>
        <v/>
      </c>
      <c r="D499" s="13" t="n"/>
      <c r="E499" s="11" t="n"/>
      <c r="F499" s="26" t="n"/>
      <c r="G499" s="13" t="n"/>
      <c r="H499" s="12">
        <f>IF(OR(B499="",O499=""),"",IF(O499&gt;0,IF(P499="Làm việc",WORKDAY(IFERROR(IF(INDEX(SK_D,MATCH(M499,SK_A,0))="",B499,INDEX(SK_D,MATCH(M499,SK_A,0))),B499),O499,HOLI),IFERROR(IF(INDEX(SK_D,MATCH(M499,SK_A,0))="",B499,INDEX(SK_D,MATCH(M499,SK_A,0))),B499)+O499),B499+O499))</f>
        <v/>
      </c>
      <c r="I499" s="13" t="n"/>
      <c r="J499" s="12" t="n"/>
      <c r="K499" s="11" t="n"/>
      <c r="L499" s="27">
        <f>IF(E499="","",IF(I499="Bỏ qua","—",IF(I499="Xong",IF(AND(ISNUMBER(J499),ISNUMBER(H499),J499&gt;H499),"Xong trễ","Xong"),IF(F499="","CHƯA GIAO","")&amp;IF(NOT(ISNUMBER(H499)),"",IF(TODAY()&gt;H499,IF(F499=""," · ","")&amp;"QUÁ HẠN "&amp;(TODAY()-H499)&amp;" ngày",IF(H499-TODAY()&lt;=3,IF(F499=""," · ","")&amp;"Đến hạn "&amp;IF(H499=TODAY(),"hôm nay","trong "&amp;(H499-TODAY())&amp;" ngày"),""))))))</f>
        <v/>
      </c>
      <c r="Q499">
        <f>IF(AND(E499&lt;&gt;"",R499="Có",I499&lt;&gt;"Xong",I499&lt;&gt;"Bỏ qua",ISNUMBER(H499)),H499+ROW()/100000,"")</f>
        <v/>
      </c>
      <c r="R499">
        <f>IF(M499="","",IFERROR(INDEX(SK_L,MATCH(M499,SK_A,0)),""))</f>
        <v/>
      </c>
    </row>
    <row r="500">
      <c r="A500" s="11">
        <f>IF(M500="","",IFERROR(INDEX(SK_B,MATCH(M500,SK_A,0))&amp;"",""))</f>
        <v/>
      </c>
      <c r="B500" s="24">
        <f>IF(M500="","",IFERROR(INDEX(SK_C,MATCH(M500,SK_A,0)),""))</f>
        <v/>
      </c>
      <c r="C500" s="25">
        <f>IF(O500="","",IF(O500=0,"D",IF(O500&lt;0,"D"&amp;O500,"D+"&amp;O500)))</f>
        <v/>
      </c>
      <c r="D500" s="13" t="n"/>
      <c r="E500" s="11" t="n"/>
      <c r="F500" s="26" t="n"/>
      <c r="G500" s="13" t="n"/>
      <c r="H500" s="12">
        <f>IF(OR(B500="",O500=""),"",IF(O500&gt;0,IF(P500="Làm việc",WORKDAY(IFERROR(IF(INDEX(SK_D,MATCH(M500,SK_A,0))="",B500,INDEX(SK_D,MATCH(M500,SK_A,0))),B500),O500,HOLI),IFERROR(IF(INDEX(SK_D,MATCH(M500,SK_A,0))="",B500,INDEX(SK_D,MATCH(M500,SK_A,0))),B500)+O500),B500+O500))</f>
        <v/>
      </c>
      <c r="I500" s="13" t="n"/>
      <c r="J500" s="12" t="n"/>
      <c r="K500" s="11" t="n"/>
      <c r="L500" s="27">
        <f>IF(E500="","",IF(I500="Bỏ qua","—",IF(I500="Xong",IF(AND(ISNUMBER(J500),ISNUMBER(H500),J500&gt;H500),"Xong trễ","Xong"),IF(F500="","CHƯA GIAO","")&amp;IF(NOT(ISNUMBER(H500)),"",IF(TODAY()&gt;H500,IF(F500=""," · ","")&amp;"QUÁ HẠN "&amp;(TODAY()-H500)&amp;" ngày",IF(H500-TODAY()&lt;=3,IF(F500=""," · ","")&amp;"Đến hạn "&amp;IF(H500=TODAY(),"hôm nay","trong "&amp;(H500-TODAY())&amp;" ngày"),""))))))</f>
        <v/>
      </c>
      <c r="Q500">
        <f>IF(AND(E500&lt;&gt;"",R500="Có",I500&lt;&gt;"Xong",I500&lt;&gt;"Bỏ qua",ISNUMBER(H500)),H500+ROW()/100000,"")</f>
        <v/>
      </c>
      <c r="R500">
        <f>IF(M500="","",IFERROR(INDEX(SK_L,MATCH(M500,SK_A,0)),""))</f>
        <v/>
      </c>
    </row>
    <row r="501">
      <c r="A501" s="11">
        <f>IF(M501="","",IFERROR(INDEX(SK_B,MATCH(M501,SK_A,0))&amp;"",""))</f>
        <v/>
      </c>
      <c r="B501" s="24">
        <f>IF(M501="","",IFERROR(INDEX(SK_C,MATCH(M501,SK_A,0)),""))</f>
        <v/>
      </c>
      <c r="C501" s="25">
        <f>IF(O501="","",IF(O501=0,"D",IF(O501&lt;0,"D"&amp;O501,"D+"&amp;O501)))</f>
        <v/>
      </c>
      <c r="D501" s="13" t="n"/>
      <c r="E501" s="11" t="n"/>
      <c r="F501" s="26" t="n"/>
      <c r="G501" s="13" t="n"/>
      <c r="H501" s="12">
        <f>IF(OR(B501="",O501=""),"",IF(O501&gt;0,IF(P501="Làm việc",WORKDAY(IFERROR(IF(INDEX(SK_D,MATCH(M501,SK_A,0))="",B501,INDEX(SK_D,MATCH(M501,SK_A,0))),B501),O501,HOLI),IFERROR(IF(INDEX(SK_D,MATCH(M501,SK_A,0))="",B501,INDEX(SK_D,MATCH(M501,SK_A,0))),B501)+O501),B501+O501))</f>
        <v/>
      </c>
      <c r="I501" s="13" t="n"/>
      <c r="J501" s="12" t="n"/>
      <c r="K501" s="11" t="n"/>
      <c r="L501" s="27">
        <f>IF(E501="","",IF(I501="Bỏ qua","—",IF(I501="Xong",IF(AND(ISNUMBER(J501),ISNUMBER(H501),J501&gt;H501),"Xong trễ","Xong"),IF(F501="","CHƯA GIAO","")&amp;IF(NOT(ISNUMBER(H501)),"",IF(TODAY()&gt;H501,IF(F501=""," · ","")&amp;"QUÁ HẠN "&amp;(TODAY()-H501)&amp;" ngày",IF(H501-TODAY()&lt;=3,IF(F501=""," · ","")&amp;"Đến hạn "&amp;IF(H501=TODAY(),"hôm nay","trong "&amp;(H501-TODAY())&amp;" ngày"),""))))))</f>
        <v/>
      </c>
      <c r="Q501">
        <f>IF(AND(E501&lt;&gt;"",R501="Có",I501&lt;&gt;"Xong",I501&lt;&gt;"Bỏ qua",ISNUMBER(H501)),H501+ROW()/100000,"")</f>
        <v/>
      </c>
      <c r="R501">
        <f>IF(M501="","",IFERROR(INDEX(SK_L,MATCH(M501,SK_A,0)),""))</f>
        <v/>
      </c>
    </row>
    <row r="502">
      <c r="A502" s="11">
        <f>IF(M502="","",IFERROR(INDEX(SK_B,MATCH(M502,SK_A,0))&amp;"",""))</f>
        <v/>
      </c>
      <c r="B502" s="24">
        <f>IF(M502="","",IFERROR(INDEX(SK_C,MATCH(M502,SK_A,0)),""))</f>
        <v/>
      </c>
      <c r="C502" s="25">
        <f>IF(O502="","",IF(O502=0,"D",IF(O502&lt;0,"D"&amp;O502,"D+"&amp;O502)))</f>
        <v/>
      </c>
      <c r="D502" s="13" t="n"/>
      <c r="E502" s="11" t="n"/>
      <c r="F502" s="26" t="n"/>
      <c r="G502" s="13" t="n"/>
      <c r="H502" s="12">
        <f>IF(OR(B502="",O502=""),"",IF(O502&gt;0,IF(P502="Làm việc",WORKDAY(IFERROR(IF(INDEX(SK_D,MATCH(M502,SK_A,0))="",B502,INDEX(SK_D,MATCH(M502,SK_A,0))),B502),O502,HOLI),IFERROR(IF(INDEX(SK_D,MATCH(M502,SK_A,0))="",B502,INDEX(SK_D,MATCH(M502,SK_A,0))),B502)+O502),B502+O502))</f>
        <v/>
      </c>
      <c r="I502" s="13" t="n"/>
      <c r="J502" s="12" t="n"/>
      <c r="K502" s="11" t="n"/>
      <c r="L502" s="27">
        <f>IF(E502="","",IF(I502="Bỏ qua","—",IF(I502="Xong",IF(AND(ISNUMBER(J502),ISNUMBER(H502),J502&gt;H502),"Xong trễ","Xong"),IF(F502="","CHƯA GIAO","")&amp;IF(NOT(ISNUMBER(H502)),"",IF(TODAY()&gt;H502,IF(F502=""," · ","")&amp;"QUÁ HẠN "&amp;(TODAY()-H502)&amp;" ngày",IF(H502-TODAY()&lt;=3,IF(F502=""," · ","")&amp;"Đến hạn "&amp;IF(H502=TODAY(),"hôm nay","trong "&amp;(H502-TODAY())&amp;" ngày"),""))))))</f>
        <v/>
      </c>
      <c r="Q502">
        <f>IF(AND(E502&lt;&gt;"",R502="Có",I502&lt;&gt;"Xong",I502&lt;&gt;"Bỏ qua",ISNUMBER(H502)),H502+ROW()/100000,"")</f>
        <v/>
      </c>
      <c r="R502">
        <f>IF(M502="","",IFERROR(INDEX(SK_L,MATCH(M502,SK_A,0)),""))</f>
        <v/>
      </c>
    </row>
    <row r="503">
      <c r="A503" s="11">
        <f>IF(M503="","",IFERROR(INDEX(SK_B,MATCH(M503,SK_A,0))&amp;"",""))</f>
        <v/>
      </c>
      <c r="B503" s="24">
        <f>IF(M503="","",IFERROR(INDEX(SK_C,MATCH(M503,SK_A,0)),""))</f>
        <v/>
      </c>
      <c r="C503" s="25">
        <f>IF(O503="","",IF(O503=0,"D",IF(O503&lt;0,"D"&amp;O503,"D+"&amp;O503)))</f>
        <v/>
      </c>
      <c r="D503" s="13" t="n"/>
      <c r="E503" s="11" t="n"/>
      <c r="F503" s="26" t="n"/>
      <c r="G503" s="13" t="n"/>
      <c r="H503" s="12">
        <f>IF(OR(B503="",O503=""),"",IF(O503&gt;0,IF(P503="Làm việc",WORKDAY(IFERROR(IF(INDEX(SK_D,MATCH(M503,SK_A,0))="",B503,INDEX(SK_D,MATCH(M503,SK_A,0))),B503),O503,HOLI),IFERROR(IF(INDEX(SK_D,MATCH(M503,SK_A,0))="",B503,INDEX(SK_D,MATCH(M503,SK_A,0))),B503)+O503),B503+O503))</f>
        <v/>
      </c>
      <c r="I503" s="13" t="n"/>
      <c r="J503" s="12" t="n"/>
      <c r="K503" s="11" t="n"/>
      <c r="L503" s="27">
        <f>IF(E503="","",IF(I503="Bỏ qua","—",IF(I503="Xong",IF(AND(ISNUMBER(J503),ISNUMBER(H503),J503&gt;H503),"Xong trễ","Xong"),IF(F503="","CHƯA GIAO","")&amp;IF(NOT(ISNUMBER(H503)),"",IF(TODAY()&gt;H503,IF(F503=""," · ","")&amp;"QUÁ HẠN "&amp;(TODAY()-H503)&amp;" ngày",IF(H503-TODAY()&lt;=3,IF(F503=""," · ","")&amp;"Đến hạn "&amp;IF(H503=TODAY(),"hôm nay","trong "&amp;(H503-TODAY())&amp;" ngày"),""))))))</f>
        <v/>
      </c>
      <c r="Q503">
        <f>IF(AND(E503&lt;&gt;"",R503="Có",I503&lt;&gt;"Xong",I503&lt;&gt;"Bỏ qua",ISNUMBER(H503)),H503+ROW()/100000,"")</f>
        <v/>
      </c>
      <c r="R503">
        <f>IF(M503="","",IFERROR(INDEX(SK_L,MATCH(M503,SK_A,0)),""))</f>
        <v/>
      </c>
    </row>
    <row r="504">
      <c r="A504" s="11">
        <f>IF(M504="","",IFERROR(INDEX(SK_B,MATCH(M504,SK_A,0))&amp;"",""))</f>
        <v/>
      </c>
      <c r="B504" s="24">
        <f>IF(M504="","",IFERROR(INDEX(SK_C,MATCH(M504,SK_A,0)),""))</f>
        <v/>
      </c>
      <c r="C504" s="25">
        <f>IF(O504="","",IF(O504=0,"D",IF(O504&lt;0,"D"&amp;O504,"D+"&amp;O504)))</f>
        <v/>
      </c>
      <c r="D504" s="13" t="n"/>
      <c r="E504" s="11" t="n"/>
      <c r="F504" s="26" t="n"/>
      <c r="G504" s="13" t="n"/>
      <c r="H504" s="12">
        <f>IF(OR(B504="",O504=""),"",IF(O504&gt;0,IF(P504="Làm việc",WORKDAY(IFERROR(IF(INDEX(SK_D,MATCH(M504,SK_A,0))="",B504,INDEX(SK_D,MATCH(M504,SK_A,0))),B504),O504,HOLI),IFERROR(IF(INDEX(SK_D,MATCH(M504,SK_A,0))="",B504,INDEX(SK_D,MATCH(M504,SK_A,0))),B504)+O504),B504+O504))</f>
        <v/>
      </c>
      <c r="I504" s="13" t="n"/>
      <c r="J504" s="12" t="n"/>
      <c r="K504" s="11" t="n"/>
      <c r="L504" s="27">
        <f>IF(E504="","",IF(I504="Bỏ qua","—",IF(I504="Xong",IF(AND(ISNUMBER(J504),ISNUMBER(H504),J504&gt;H504),"Xong trễ","Xong"),IF(F504="","CHƯA GIAO","")&amp;IF(NOT(ISNUMBER(H504)),"",IF(TODAY()&gt;H504,IF(F504=""," · ","")&amp;"QUÁ HẠN "&amp;(TODAY()-H504)&amp;" ngày",IF(H504-TODAY()&lt;=3,IF(F504=""," · ","")&amp;"Đến hạn "&amp;IF(H504=TODAY(),"hôm nay","trong "&amp;(H504-TODAY())&amp;" ngày"),""))))))</f>
        <v/>
      </c>
      <c r="Q504">
        <f>IF(AND(E504&lt;&gt;"",R504="Có",I504&lt;&gt;"Xong",I504&lt;&gt;"Bỏ qua",ISNUMBER(H504)),H504+ROW()/100000,"")</f>
        <v/>
      </c>
      <c r="R504">
        <f>IF(M504="","",IFERROR(INDEX(SK_L,MATCH(M504,SK_A,0)),""))</f>
        <v/>
      </c>
    </row>
    <row r="505">
      <c r="A505" s="11">
        <f>IF(M505="","",IFERROR(INDEX(SK_B,MATCH(M505,SK_A,0))&amp;"",""))</f>
        <v/>
      </c>
      <c r="B505" s="24">
        <f>IF(M505="","",IFERROR(INDEX(SK_C,MATCH(M505,SK_A,0)),""))</f>
        <v/>
      </c>
      <c r="C505" s="25">
        <f>IF(O505="","",IF(O505=0,"D",IF(O505&lt;0,"D"&amp;O505,"D+"&amp;O505)))</f>
        <v/>
      </c>
      <c r="D505" s="13" t="n"/>
      <c r="E505" s="11" t="n"/>
      <c r="F505" s="26" t="n"/>
      <c r="G505" s="13" t="n"/>
      <c r="H505" s="12">
        <f>IF(OR(B505="",O505=""),"",IF(O505&gt;0,IF(P505="Làm việc",WORKDAY(IFERROR(IF(INDEX(SK_D,MATCH(M505,SK_A,0))="",B505,INDEX(SK_D,MATCH(M505,SK_A,0))),B505),O505,HOLI),IFERROR(IF(INDEX(SK_D,MATCH(M505,SK_A,0))="",B505,INDEX(SK_D,MATCH(M505,SK_A,0))),B505)+O505),B505+O505))</f>
        <v/>
      </c>
      <c r="I505" s="13" t="n"/>
      <c r="J505" s="12" t="n"/>
      <c r="K505" s="11" t="n"/>
      <c r="L505" s="27">
        <f>IF(E505="","",IF(I505="Bỏ qua","—",IF(I505="Xong",IF(AND(ISNUMBER(J505),ISNUMBER(H505),J505&gt;H505),"Xong trễ","Xong"),IF(F505="","CHƯA GIAO","")&amp;IF(NOT(ISNUMBER(H505)),"",IF(TODAY()&gt;H505,IF(F505=""," · ","")&amp;"QUÁ HẠN "&amp;(TODAY()-H505)&amp;" ngày",IF(H505-TODAY()&lt;=3,IF(F505=""," · ","")&amp;"Đến hạn "&amp;IF(H505=TODAY(),"hôm nay","trong "&amp;(H505-TODAY())&amp;" ngày"),""))))))</f>
        <v/>
      </c>
      <c r="Q505">
        <f>IF(AND(E505&lt;&gt;"",R505="Có",I505&lt;&gt;"Xong",I505&lt;&gt;"Bỏ qua",ISNUMBER(H505)),H505+ROW()/100000,"")</f>
        <v/>
      </c>
      <c r="R505">
        <f>IF(M505="","",IFERROR(INDEX(SK_L,MATCH(M505,SK_A,0)),""))</f>
        <v/>
      </c>
    </row>
    <row r="506">
      <c r="A506" s="11">
        <f>IF(M506="","",IFERROR(INDEX(SK_B,MATCH(M506,SK_A,0))&amp;"",""))</f>
        <v/>
      </c>
      <c r="B506" s="24">
        <f>IF(M506="","",IFERROR(INDEX(SK_C,MATCH(M506,SK_A,0)),""))</f>
        <v/>
      </c>
      <c r="C506" s="25">
        <f>IF(O506="","",IF(O506=0,"D",IF(O506&lt;0,"D"&amp;O506,"D+"&amp;O506)))</f>
        <v/>
      </c>
      <c r="D506" s="13" t="n"/>
      <c r="E506" s="11" t="n"/>
      <c r="F506" s="26" t="n"/>
      <c r="G506" s="13" t="n"/>
      <c r="H506" s="12">
        <f>IF(OR(B506="",O506=""),"",IF(O506&gt;0,IF(P506="Làm việc",WORKDAY(IFERROR(IF(INDEX(SK_D,MATCH(M506,SK_A,0))="",B506,INDEX(SK_D,MATCH(M506,SK_A,0))),B506),O506,HOLI),IFERROR(IF(INDEX(SK_D,MATCH(M506,SK_A,0))="",B506,INDEX(SK_D,MATCH(M506,SK_A,0))),B506)+O506),B506+O506))</f>
        <v/>
      </c>
      <c r="I506" s="13" t="n"/>
      <c r="J506" s="12" t="n"/>
      <c r="K506" s="11" t="n"/>
      <c r="L506" s="27">
        <f>IF(E506="","",IF(I506="Bỏ qua","—",IF(I506="Xong",IF(AND(ISNUMBER(J506),ISNUMBER(H506),J506&gt;H506),"Xong trễ","Xong"),IF(F506="","CHƯA GIAO","")&amp;IF(NOT(ISNUMBER(H506)),"",IF(TODAY()&gt;H506,IF(F506=""," · ","")&amp;"QUÁ HẠN "&amp;(TODAY()-H506)&amp;" ngày",IF(H506-TODAY()&lt;=3,IF(F506=""," · ","")&amp;"Đến hạn "&amp;IF(H506=TODAY(),"hôm nay","trong "&amp;(H506-TODAY())&amp;" ngày"),""))))))</f>
        <v/>
      </c>
      <c r="Q506">
        <f>IF(AND(E506&lt;&gt;"",R506="Có",I506&lt;&gt;"Xong",I506&lt;&gt;"Bỏ qua",ISNUMBER(H506)),H506+ROW()/100000,"")</f>
        <v/>
      </c>
      <c r="R506">
        <f>IF(M506="","",IFERROR(INDEX(SK_L,MATCH(M506,SK_A,0)),""))</f>
        <v/>
      </c>
    </row>
    <row r="507">
      <c r="A507" s="11">
        <f>IF(M507="","",IFERROR(INDEX(SK_B,MATCH(M507,SK_A,0))&amp;"",""))</f>
        <v/>
      </c>
      <c r="B507" s="24">
        <f>IF(M507="","",IFERROR(INDEX(SK_C,MATCH(M507,SK_A,0)),""))</f>
        <v/>
      </c>
      <c r="C507" s="25">
        <f>IF(O507="","",IF(O507=0,"D",IF(O507&lt;0,"D"&amp;O507,"D+"&amp;O507)))</f>
        <v/>
      </c>
      <c r="D507" s="13" t="n"/>
      <c r="E507" s="11" t="n"/>
      <c r="F507" s="26" t="n"/>
      <c r="G507" s="13" t="n"/>
      <c r="H507" s="12">
        <f>IF(OR(B507="",O507=""),"",IF(O507&gt;0,IF(P507="Làm việc",WORKDAY(IFERROR(IF(INDEX(SK_D,MATCH(M507,SK_A,0))="",B507,INDEX(SK_D,MATCH(M507,SK_A,0))),B507),O507,HOLI),IFERROR(IF(INDEX(SK_D,MATCH(M507,SK_A,0))="",B507,INDEX(SK_D,MATCH(M507,SK_A,0))),B507)+O507),B507+O507))</f>
        <v/>
      </c>
      <c r="I507" s="13" t="n"/>
      <c r="J507" s="12" t="n"/>
      <c r="K507" s="11" t="n"/>
      <c r="L507" s="27">
        <f>IF(E507="","",IF(I507="Bỏ qua","—",IF(I507="Xong",IF(AND(ISNUMBER(J507),ISNUMBER(H507),J507&gt;H507),"Xong trễ","Xong"),IF(F507="","CHƯA GIAO","")&amp;IF(NOT(ISNUMBER(H507)),"",IF(TODAY()&gt;H507,IF(F507=""," · ","")&amp;"QUÁ HẠN "&amp;(TODAY()-H507)&amp;" ngày",IF(H507-TODAY()&lt;=3,IF(F507=""," · ","")&amp;"Đến hạn "&amp;IF(H507=TODAY(),"hôm nay","trong "&amp;(H507-TODAY())&amp;" ngày"),""))))))</f>
        <v/>
      </c>
      <c r="Q507">
        <f>IF(AND(E507&lt;&gt;"",R507="Có",I507&lt;&gt;"Xong",I507&lt;&gt;"Bỏ qua",ISNUMBER(H507)),H507+ROW()/100000,"")</f>
        <v/>
      </c>
      <c r="R507">
        <f>IF(M507="","",IFERROR(INDEX(SK_L,MATCH(M507,SK_A,0)),""))</f>
        <v/>
      </c>
    </row>
    <row r="508">
      <c r="A508" s="11">
        <f>IF(M508="","",IFERROR(INDEX(SK_B,MATCH(M508,SK_A,0))&amp;"",""))</f>
        <v/>
      </c>
      <c r="B508" s="24">
        <f>IF(M508="","",IFERROR(INDEX(SK_C,MATCH(M508,SK_A,0)),""))</f>
        <v/>
      </c>
      <c r="C508" s="25">
        <f>IF(O508="","",IF(O508=0,"D",IF(O508&lt;0,"D"&amp;O508,"D+"&amp;O508)))</f>
        <v/>
      </c>
      <c r="D508" s="13" t="n"/>
      <c r="E508" s="11" t="n"/>
      <c r="F508" s="26" t="n"/>
      <c r="G508" s="13" t="n"/>
      <c r="H508" s="12">
        <f>IF(OR(B508="",O508=""),"",IF(O508&gt;0,IF(P508="Làm việc",WORKDAY(IFERROR(IF(INDEX(SK_D,MATCH(M508,SK_A,0))="",B508,INDEX(SK_D,MATCH(M508,SK_A,0))),B508),O508,HOLI),IFERROR(IF(INDEX(SK_D,MATCH(M508,SK_A,0))="",B508,INDEX(SK_D,MATCH(M508,SK_A,0))),B508)+O508),B508+O508))</f>
        <v/>
      </c>
      <c r="I508" s="13" t="n"/>
      <c r="J508" s="12" t="n"/>
      <c r="K508" s="11" t="n"/>
      <c r="L508" s="27">
        <f>IF(E508="","",IF(I508="Bỏ qua","—",IF(I508="Xong",IF(AND(ISNUMBER(J508),ISNUMBER(H508),J508&gt;H508),"Xong trễ","Xong"),IF(F508="","CHƯA GIAO","")&amp;IF(NOT(ISNUMBER(H508)),"",IF(TODAY()&gt;H508,IF(F508=""," · ","")&amp;"QUÁ HẠN "&amp;(TODAY()-H508)&amp;" ngày",IF(H508-TODAY()&lt;=3,IF(F508=""," · ","")&amp;"Đến hạn "&amp;IF(H508=TODAY(),"hôm nay","trong "&amp;(H508-TODAY())&amp;" ngày"),""))))))</f>
        <v/>
      </c>
      <c r="Q508">
        <f>IF(AND(E508&lt;&gt;"",R508="Có",I508&lt;&gt;"Xong",I508&lt;&gt;"Bỏ qua",ISNUMBER(H508)),H508+ROW()/100000,"")</f>
        <v/>
      </c>
      <c r="R508">
        <f>IF(M508="","",IFERROR(INDEX(SK_L,MATCH(M508,SK_A,0)),""))</f>
        <v/>
      </c>
    </row>
    <row r="509">
      <c r="A509" s="11">
        <f>IF(M509="","",IFERROR(INDEX(SK_B,MATCH(M509,SK_A,0))&amp;"",""))</f>
        <v/>
      </c>
      <c r="B509" s="24">
        <f>IF(M509="","",IFERROR(INDEX(SK_C,MATCH(M509,SK_A,0)),""))</f>
        <v/>
      </c>
      <c r="C509" s="25">
        <f>IF(O509="","",IF(O509=0,"D",IF(O509&lt;0,"D"&amp;O509,"D+"&amp;O509)))</f>
        <v/>
      </c>
      <c r="D509" s="13" t="n"/>
      <c r="E509" s="11" t="n"/>
      <c r="F509" s="26" t="n"/>
      <c r="G509" s="13" t="n"/>
      <c r="H509" s="12">
        <f>IF(OR(B509="",O509=""),"",IF(O509&gt;0,IF(P509="Làm việc",WORKDAY(IFERROR(IF(INDEX(SK_D,MATCH(M509,SK_A,0))="",B509,INDEX(SK_D,MATCH(M509,SK_A,0))),B509),O509,HOLI),IFERROR(IF(INDEX(SK_D,MATCH(M509,SK_A,0))="",B509,INDEX(SK_D,MATCH(M509,SK_A,0))),B509)+O509),B509+O509))</f>
        <v/>
      </c>
      <c r="I509" s="13" t="n"/>
      <c r="J509" s="12" t="n"/>
      <c r="K509" s="11" t="n"/>
      <c r="L509" s="27">
        <f>IF(E509="","",IF(I509="Bỏ qua","—",IF(I509="Xong",IF(AND(ISNUMBER(J509),ISNUMBER(H509),J509&gt;H509),"Xong trễ","Xong"),IF(F509="","CHƯA GIAO","")&amp;IF(NOT(ISNUMBER(H509)),"",IF(TODAY()&gt;H509,IF(F509=""," · ","")&amp;"QUÁ HẠN "&amp;(TODAY()-H509)&amp;" ngày",IF(H509-TODAY()&lt;=3,IF(F509=""," · ","")&amp;"Đến hạn "&amp;IF(H509=TODAY(),"hôm nay","trong "&amp;(H509-TODAY())&amp;" ngày"),""))))))</f>
        <v/>
      </c>
      <c r="Q509">
        <f>IF(AND(E509&lt;&gt;"",R509="Có",I509&lt;&gt;"Xong",I509&lt;&gt;"Bỏ qua",ISNUMBER(H509)),H509+ROW()/100000,"")</f>
        <v/>
      </c>
      <c r="R509">
        <f>IF(M509="","",IFERROR(INDEX(SK_L,MATCH(M509,SK_A,0)),""))</f>
        <v/>
      </c>
    </row>
    <row r="510">
      <c r="A510" s="11">
        <f>IF(M510="","",IFERROR(INDEX(SK_B,MATCH(M510,SK_A,0))&amp;"",""))</f>
        <v/>
      </c>
      <c r="B510" s="24">
        <f>IF(M510="","",IFERROR(INDEX(SK_C,MATCH(M510,SK_A,0)),""))</f>
        <v/>
      </c>
      <c r="C510" s="25">
        <f>IF(O510="","",IF(O510=0,"D",IF(O510&lt;0,"D"&amp;O510,"D+"&amp;O510)))</f>
        <v/>
      </c>
      <c r="D510" s="13" t="n"/>
      <c r="E510" s="11" t="n"/>
      <c r="F510" s="26" t="n"/>
      <c r="G510" s="13" t="n"/>
      <c r="H510" s="12">
        <f>IF(OR(B510="",O510=""),"",IF(O510&gt;0,IF(P510="Làm việc",WORKDAY(IFERROR(IF(INDEX(SK_D,MATCH(M510,SK_A,0))="",B510,INDEX(SK_D,MATCH(M510,SK_A,0))),B510),O510,HOLI),IFERROR(IF(INDEX(SK_D,MATCH(M510,SK_A,0))="",B510,INDEX(SK_D,MATCH(M510,SK_A,0))),B510)+O510),B510+O510))</f>
        <v/>
      </c>
      <c r="I510" s="13" t="n"/>
      <c r="J510" s="12" t="n"/>
      <c r="K510" s="11" t="n"/>
      <c r="L510" s="27">
        <f>IF(E510="","",IF(I510="Bỏ qua","—",IF(I510="Xong",IF(AND(ISNUMBER(J510),ISNUMBER(H510),J510&gt;H510),"Xong trễ","Xong"),IF(F510="","CHƯA GIAO","")&amp;IF(NOT(ISNUMBER(H510)),"",IF(TODAY()&gt;H510,IF(F510=""," · ","")&amp;"QUÁ HẠN "&amp;(TODAY()-H510)&amp;" ngày",IF(H510-TODAY()&lt;=3,IF(F510=""," · ","")&amp;"Đến hạn "&amp;IF(H510=TODAY(),"hôm nay","trong "&amp;(H510-TODAY())&amp;" ngày"),""))))))</f>
        <v/>
      </c>
      <c r="Q510">
        <f>IF(AND(E510&lt;&gt;"",R510="Có",I510&lt;&gt;"Xong",I510&lt;&gt;"Bỏ qua",ISNUMBER(H510)),H510+ROW()/100000,"")</f>
        <v/>
      </c>
      <c r="R510">
        <f>IF(M510="","",IFERROR(INDEX(SK_L,MATCH(M510,SK_A,0)),""))</f>
        <v/>
      </c>
    </row>
    <row r="511">
      <c r="A511" s="11">
        <f>IF(M511="","",IFERROR(INDEX(SK_B,MATCH(M511,SK_A,0))&amp;"",""))</f>
        <v/>
      </c>
      <c r="B511" s="24">
        <f>IF(M511="","",IFERROR(INDEX(SK_C,MATCH(M511,SK_A,0)),""))</f>
        <v/>
      </c>
      <c r="C511" s="25">
        <f>IF(O511="","",IF(O511=0,"D",IF(O511&lt;0,"D"&amp;O511,"D+"&amp;O511)))</f>
        <v/>
      </c>
      <c r="D511" s="13" t="n"/>
      <c r="E511" s="11" t="n"/>
      <c r="F511" s="26" t="n"/>
      <c r="G511" s="13" t="n"/>
      <c r="H511" s="12">
        <f>IF(OR(B511="",O511=""),"",IF(O511&gt;0,IF(P511="Làm việc",WORKDAY(IFERROR(IF(INDEX(SK_D,MATCH(M511,SK_A,0))="",B511,INDEX(SK_D,MATCH(M511,SK_A,0))),B511),O511,HOLI),IFERROR(IF(INDEX(SK_D,MATCH(M511,SK_A,0))="",B511,INDEX(SK_D,MATCH(M511,SK_A,0))),B511)+O511),B511+O511))</f>
        <v/>
      </c>
      <c r="I511" s="13" t="n"/>
      <c r="J511" s="12" t="n"/>
      <c r="K511" s="11" t="n"/>
      <c r="L511" s="27">
        <f>IF(E511="","",IF(I511="Bỏ qua","—",IF(I511="Xong",IF(AND(ISNUMBER(J511),ISNUMBER(H511),J511&gt;H511),"Xong trễ","Xong"),IF(F511="","CHƯA GIAO","")&amp;IF(NOT(ISNUMBER(H511)),"",IF(TODAY()&gt;H511,IF(F511=""," · ","")&amp;"QUÁ HẠN "&amp;(TODAY()-H511)&amp;" ngày",IF(H511-TODAY()&lt;=3,IF(F511=""," · ","")&amp;"Đến hạn "&amp;IF(H511=TODAY(),"hôm nay","trong "&amp;(H511-TODAY())&amp;" ngày"),""))))))</f>
        <v/>
      </c>
      <c r="Q511">
        <f>IF(AND(E511&lt;&gt;"",R511="Có",I511&lt;&gt;"Xong",I511&lt;&gt;"Bỏ qua",ISNUMBER(H511)),H511+ROW()/100000,"")</f>
        <v/>
      </c>
      <c r="R511">
        <f>IF(M511="","",IFERROR(INDEX(SK_L,MATCH(M511,SK_A,0)),""))</f>
        <v/>
      </c>
    </row>
    <row r="512">
      <c r="A512" s="11">
        <f>IF(M512="","",IFERROR(INDEX(SK_B,MATCH(M512,SK_A,0))&amp;"",""))</f>
        <v/>
      </c>
      <c r="B512" s="24">
        <f>IF(M512="","",IFERROR(INDEX(SK_C,MATCH(M512,SK_A,0)),""))</f>
        <v/>
      </c>
      <c r="C512" s="25">
        <f>IF(O512="","",IF(O512=0,"D",IF(O512&lt;0,"D"&amp;O512,"D+"&amp;O512)))</f>
        <v/>
      </c>
      <c r="D512" s="13" t="n"/>
      <c r="E512" s="11" t="n"/>
      <c r="F512" s="26" t="n"/>
      <c r="G512" s="13" t="n"/>
      <c r="H512" s="12">
        <f>IF(OR(B512="",O512=""),"",IF(O512&gt;0,IF(P512="Làm việc",WORKDAY(IFERROR(IF(INDEX(SK_D,MATCH(M512,SK_A,0))="",B512,INDEX(SK_D,MATCH(M512,SK_A,0))),B512),O512,HOLI),IFERROR(IF(INDEX(SK_D,MATCH(M512,SK_A,0))="",B512,INDEX(SK_D,MATCH(M512,SK_A,0))),B512)+O512),B512+O512))</f>
        <v/>
      </c>
      <c r="I512" s="13" t="n"/>
      <c r="J512" s="12" t="n"/>
      <c r="K512" s="11" t="n"/>
      <c r="L512" s="27">
        <f>IF(E512="","",IF(I512="Bỏ qua","—",IF(I512="Xong",IF(AND(ISNUMBER(J512),ISNUMBER(H512),J512&gt;H512),"Xong trễ","Xong"),IF(F512="","CHƯA GIAO","")&amp;IF(NOT(ISNUMBER(H512)),"",IF(TODAY()&gt;H512,IF(F512=""," · ","")&amp;"QUÁ HẠN "&amp;(TODAY()-H512)&amp;" ngày",IF(H512-TODAY()&lt;=3,IF(F512=""," · ","")&amp;"Đến hạn "&amp;IF(H512=TODAY(),"hôm nay","trong "&amp;(H512-TODAY())&amp;" ngày"),""))))))</f>
        <v/>
      </c>
      <c r="Q512">
        <f>IF(AND(E512&lt;&gt;"",R512="Có",I512&lt;&gt;"Xong",I512&lt;&gt;"Bỏ qua",ISNUMBER(H512)),H512+ROW()/100000,"")</f>
        <v/>
      </c>
      <c r="R512">
        <f>IF(M512="","",IFERROR(INDEX(SK_L,MATCH(M512,SK_A,0)),""))</f>
        <v/>
      </c>
    </row>
    <row r="513">
      <c r="A513" s="11">
        <f>IF(M513="","",IFERROR(INDEX(SK_B,MATCH(M513,SK_A,0))&amp;"",""))</f>
        <v/>
      </c>
      <c r="B513" s="24">
        <f>IF(M513="","",IFERROR(INDEX(SK_C,MATCH(M513,SK_A,0)),""))</f>
        <v/>
      </c>
      <c r="C513" s="25">
        <f>IF(O513="","",IF(O513=0,"D",IF(O513&lt;0,"D"&amp;O513,"D+"&amp;O513)))</f>
        <v/>
      </c>
      <c r="D513" s="13" t="n"/>
      <c r="E513" s="11" t="n"/>
      <c r="F513" s="26" t="n"/>
      <c r="G513" s="13" t="n"/>
      <c r="H513" s="12">
        <f>IF(OR(B513="",O513=""),"",IF(O513&gt;0,IF(P513="Làm việc",WORKDAY(IFERROR(IF(INDEX(SK_D,MATCH(M513,SK_A,0))="",B513,INDEX(SK_D,MATCH(M513,SK_A,0))),B513),O513,HOLI),IFERROR(IF(INDEX(SK_D,MATCH(M513,SK_A,0))="",B513,INDEX(SK_D,MATCH(M513,SK_A,0))),B513)+O513),B513+O513))</f>
        <v/>
      </c>
      <c r="I513" s="13" t="n"/>
      <c r="J513" s="12" t="n"/>
      <c r="K513" s="11" t="n"/>
      <c r="L513" s="27">
        <f>IF(E513="","",IF(I513="Bỏ qua","—",IF(I513="Xong",IF(AND(ISNUMBER(J513),ISNUMBER(H513),J513&gt;H513),"Xong trễ","Xong"),IF(F513="","CHƯA GIAO","")&amp;IF(NOT(ISNUMBER(H513)),"",IF(TODAY()&gt;H513,IF(F513=""," · ","")&amp;"QUÁ HẠN "&amp;(TODAY()-H513)&amp;" ngày",IF(H513-TODAY()&lt;=3,IF(F513=""," · ","")&amp;"Đến hạn "&amp;IF(H513=TODAY(),"hôm nay","trong "&amp;(H513-TODAY())&amp;" ngày"),""))))))</f>
        <v/>
      </c>
      <c r="Q513">
        <f>IF(AND(E513&lt;&gt;"",R513="Có",I513&lt;&gt;"Xong",I513&lt;&gt;"Bỏ qua",ISNUMBER(H513)),H513+ROW()/100000,"")</f>
        <v/>
      </c>
      <c r="R513">
        <f>IF(M513="","",IFERROR(INDEX(SK_L,MATCH(M513,SK_A,0)),""))</f>
        <v/>
      </c>
    </row>
    <row r="514">
      <c r="A514" s="11">
        <f>IF(M514="","",IFERROR(INDEX(SK_B,MATCH(M514,SK_A,0))&amp;"",""))</f>
        <v/>
      </c>
      <c r="B514" s="24">
        <f>IF(M514="","",IFERROR(INDEX(SK_C,MATCH(M514,SK_A,0)),""))</f>
        <v/>
      </c>
      <c r="C514" s="25">
        <f>IF(O514="","",IF(O514=0,"D",IF(O514&lt;0,"D"&amp;O514,"D+"&amp;O514)))</f>
        <v/>
      </c>
      <c r="D514" s="13" t="n"/>
      <c r="E514" s="11" t="n"/>
      <c r="F514" s="26" t="n"/>
      <c r="G514" s="13" t="n"/>
      <c r="H514" s="12">
        <f>IF(OR(B514="",O514=""),"",IF(O514&gt;0,IF(P514="Làm việc",WORKDAY(IFERROR(IF(INDEX(SK_D,MATCH(M514,SK_A,0))="",B514,INDEX(SK_D,MATCH(M514,SK_A,0))),B514),O514,HOLI),IFERROR(IF(INDEX(SK_D,MATCH(M514,SK_A,0))="",B514,INDEX(SK_D,MATCH(M514,SK_A,0))),B514)+O514),B514+O514))</f>
        <v/>
      </c>
      <c r="I514" s="13" t="n"/>
      <c r="J514" s="12" t="n"/>
      <c r="K514" s="11" t="n"/>
      <c r="L514" s="27">
        <f>IF(E514="","",IF(I514="Bỏ qua","—",IF(I514="Xong",IF(AND(ISNUMBER(J514),ISNUMBER(H514),J514&gt;H514),"Xong trễ","Xong"),IF(F514="","CHƯA GIAO","")&amp;IF(NOT(ISNUMBER(H514)),"",IF(TODAY()&gt;H514,IF(F514=""," · ","")&amp;"QUÁ HẠN "&amp;(TODAY()-H514)&amp;" ngày",IF(H514-TODAY()&lt;=3,IF(F514=""," · ","")&amp;"Đến hạn "&amp;IF(H514=TODAY(),"hôm nay","trong "&amp;(H514-TODAY())&amp;" ngày"),""))))))</f>
        <v/>
      </c>
      <c r="Q514">
        <f>IF(AND(E514&lt;&gt;"",R514="Có",I514&lt;&gt;"Xong",I514&lt;&gt;"Bỏ qua",ISNUMBER(H514)),H514+ROW()/100000,"")</f>
        <v/>
      </c>
      <c r="R514">
        <f>IF(M514="","",IFERROR(INDEX(SK_L,MATCH(M514,SK_A,0)),""))</f>
        <v/>
      </c>
    </row>
    <row r="515">
      <c r="A515" s="11">
        <f>IF(M515="","",IFERROR(INDEX(SK_B,MATCH(M515,SK_A,0))&amp;"",""))</f>
        <v/>
      </c>
      <c r="B515" s="24">
        <f>IF(M515="","",IFERROR(INDEX(SK_C,MATCH(M515,SK_A,0)),""))</f>
        <v/>
      </c>
      <c r="C515" s="25">
        <f>IF(O515="","",IF(O515=0,"D",IF(O515&lt;0,"D"&amp;O515,"D+"&amp;O515)))</f>
        <v/>
      </c>
      <c r="D515" s="13" t="n"/>
      <c r="E515" s="11" t="n"/>
      <c r="F515" s="26" t="n"/>
      <c r="G515" s="13" t="n"/>
      <c r="H515" s="12">
        <f>IF(OR(B515="",O515=""),"",IF(O515&gt;0,IF(P515="Làm việc",WORKDAY(IFERROR(IF(INDEX(SK_D,MATCH(M515,SK_A,0))="",B515,INDEX(SK_D,MATCH(M515,SK_A,0))),B515),O515,HOLI),IFERROR(IF(INDEX(SK_D,MATCH(M515,SK_A,0))="",B515,INDEX(SK_D,MATCH(M515,SK_A,0))),B515)+O515),B515+O515))</f>
        <v/>
      </c>
      <c r="I515" s="13" t="n"/>
      <c r="J515" s="12" t="n"/>
      <c r="K515" s="11" t="n"/>
      <c r="L515" s="27">
        <f>IF(E515="","",IF(I515="Bỏ qua","—",IF(I515="Xong",IF(AND(ISNUMBER(J515),ISNUMBER(H515),J515&gt;H515),"Xong trễ","Xong"),IF(F515="","CHƯA GIAO","")&amp;IF(NOT(ISNUMBER(H515)),"",IF(TODAY()&gt;H515,IF(F515=""," · ","")&amp;"QUÁ HẠN "&amp;(TODAY()-H515)&amp;" ngày",IF(H515-TODAY()&lt;=3,IF(F515=""," · ","")&amp;"Đến hạn "&amp;IF(H515=TODAY(),"hôm nay","trong "&amp;(H515-TODAY())&amp;" ngày"),""))))))</f>
        <v/>
      </c>
      <c r="Q515">
        <f>IF(AND(E515&lt;&gt;"",R515="Có",I515&lt;&gt;"Xong",I515&lt;&gt;"Bỏ qua",ISNUMBER(H515)),H515+ROW()/100000,"")</f>
        <v/>
      </c>
      <c r="R515">
        <f>IF(M515="","",IFERROR(INDEX(SK_L,MATCH(M515,SK_A,0)),""))</f>
        <v/>
      </c>
    </row>
    <row r="516">
      <c r="A516" s="11">
        <f>IF(M516="","",IFERROR(INDEX(SK_B,MATCH(M516,SK_A,0))&amp;"",""))</f>
        <v/>
      </c>
      <c r="B516" s="24">
        <f>IF(M516="","",IFERROR(INDEX(SK_C,MATCH(M516,SK_A,0)),""))</f>
        <v/>
      </c>
      <c r="C516" s="25">
        <f>IF(O516="","",IF(O516=0,"D",IF(O516&lt;0,"D"&amp;O516,"D+"&amp;O516)))</f>
        <v/>
      </c>
      <c r="D516" s="13" t="n"/>
      <c r="E516" s="11" t="n"/>
      <c r="F516" s="26" t="n"/>
      <c r="G516" s="13" t="n"/>
      <c r="H516" s="12">
        <f>IF(OR(B516="",O516=""),"",IF(O516&gt;0,IF(P516="Làm việc",WORKDAY(IFERROR(IF(INDEX(SK_D,MATCH(M516,SK_A,0))="",B516,INDEX(SK_D,MATCH(M516,SK_A,0))),B516),O516,HOLI),IFERROR(IF(INDEX(SK_D,MATCH(M516,SK_A,0))="",B516,INDEX(SK_D,MATCH(M516,SK_A,0))),B516)+O516),B516+O516))</f>
        <v/>
      </c>
      <c r="I516" s="13" t="n"/>
      <c r="J516" s="12" t="n"/>
      <c r="K516" s="11" t="n"/>
      <c r="L516" s="27">
        <f>IF(E516="","",IF(I516="Bỏ qua","—",IF(I516="Xong",IF(AND(ISNUMBER(J516),ISNUMBER(H516),J516&gt;H516),"Xong trễ","Xong"),IF(F516="","CHƯA GIAO","")&amp;IF(NOT(ISNUMBER(H516)),"",IF(TODAY()&gt;H516,IF(F516=""," · ","")&amp;"QUÁ HẠN "&amp;(TODAY()-H516)&amp;" ngày",IF(H516-TODAY()&lt;=3,IF(F516=""," · ","")&amp;"Đến hạn "&amp;IF(H516=TODAY(),"hôm nay","trong "&amp;(H516-TODAY())&amp;" ngày"),""))))))</f>
        <v/>
      </c>
      <c r="Q516">
        <f>IF(AND(E516&lt;&gt;"",R516="Có",I516&lt;&gt;"Xong",I516&lt;&gt;"Bỏ qua",ISNUMBER(H516)),H516+ROW()/100000,"")</f>
        <v/>
      </c>
      <c r="R516">
        <f>IF(M516="","",IFERROR(INDEX(SK_L,MATCH(M516,SK_A,0)),""))</f>
        <v/>
      </c>
    </row>
    <row r="517">
      <c r="A517" s="11">
        <f>IF(M517="","",IFERROR(INDEX(SK_B,MATCH(M517,SK_A,0))&amp;"",""))</f>
        <v/>
      </c>
      <c r="B517" s="24">
        <f>IF(M517="","",IFERROR(INDEX(SK_C,MATCH(M517,SK_A,0)),""))</f>
        <v/>
      </c>
      <c r="C517" s="25">
        <f>IF(O517="","",IF(O517=0,"D",IF(O517&lt;0,"D"&amp;O517,"D+"&amp;O517)))</f>
        <v/>
      </c>
      <c r="D517" s="13" t="n"/>
      <c r="E517" s="11" t="n"/>
      <c r="F517" s="26" t="n"/>
      <c r="G517" s="13" t="n"/>
      <c r="H517" s="12">
        <f>IF(OR(B517="",O517=""),"",IF(O517&gt;0,IF(P517="Làm việc",WORKDAY(IFERROR(IF(INDEX(SK_D,MATCH(M517,SK_A,0))="",B517,INDEX(SK_D,MATCH(M517,SK_A,0))),B517),O517,HOLI),IFERROR(IF(INDEX(SK_D,MATCH(M517,SK_A,0))="",B517,INDEX(SK_D,MATCH(M517,SK_A,0))),B517)+O517),B517+O517))</f>
        <v/>
      </c>
      <c r="I517" s="13" t="n"/>
      <c r="J517" s="12" t="n"/>
      <c r="K517" s="11" t="n"/>
      <c r="L517" s="27">
        <f>IF(E517="","",IF(I517="Bỏ qua","—",IF(I517="Xong",IF(AND(ISNUMBER(J517),ISNUMBER(H517),J517&gt;H517),"Xong trễ","Xong"),IF(F517="","CHƯA GIAO","")&amp;IF(NOT(ISNUMBER(H517)),"",IF(TODAY()&gt;H517,IF(F517=""," · ","")&amp;"QUÁ HẠN "&amp;(TODAY()-H517)&amp;" ngày",IF(H517-TODAY()&lt;=3,IF(F517=""," · ","")&amp;"Đến hạn "&amp;IF(H517=TODAY(),"hôm nay","trong "&amp;(H517-TODAY())&amp;" ngày"),""))))))</f>
        <v/>
      </c>
      <c r="Q517">
        <f>IF(AND(E517&lt;&gt;"",R517="Có",I517&lt;&gt;"Xong",I517&lt;&gt;"Bỏ qua",ISNUMBER(H517)),H517+ROW()/100000,"")</f>
        <v/>
      </c>
      <c r="R517">
        <f>IF(M517="","",IFERROR(INDEX(SK_L,MATCH(M517,SK_A,0)),""))</f>
        <v/>
      </c>
    </row>
    <row r="518">
      <c r="A518" s="11">
        <f>IF(M518="","",IFERROR(INDEX(SK_B,MATCH(M518,SK_A,0))&amp;"",""))</f>
        <v/>
      </c>
      <c r="B518" s="24">
        <f>IF(M518="","",IFERROR(INDEX(SK_C,MATCH(M518,SK_A,0)),""))</f>
        <v/>
      </c>
      <c r="C518" s="25">
        <f>IF(O518="","",IF(O518=0,"D",IF(O518&lt;0,"D"&amp;O518,"D+"&amp;O518)))</f>
        <v/>
      </c>
      <c r="D518" s="13" t="n"/>
      <c r="E518" s="11" t="n"/>
      <c r="F518" s="26" t="n"/>
      <c r="G518" s="13" t="n"/>
      <c r="H518" s="12">
        <f>IF(OR(B518="",O518=""),"",IF(O518&gt;0,IF(P518="Làm việc",WORKDAY(IFERROR(IF(INDEX(SK_D,MATCH(M518,SK_A,0))="",B518,INDEX(SK_D,MATCH(M518,SK_A,0))),B518),O518,HOLI),IFERROR(IF(INDEX(SK_D,MATCH(M518,SK_A,0))="",B518,INDEX(SK_D,MATCH(M518,SK_A,0))),B518)+O518),B518+O518))</f>
        <v/>
      </c>
      <c r="I518" s="13" t="n"/>
      <c r="J518" s="12" t="n"/>
      <c r="K518" s="11" t="n"/>
      <c r="L518" s="27">
        <f>IF(E518="","",IF(I518="Bỏ qua","—",IF(I518="Xong",IF(AND(ISNUMBER(J518),ISNUMBER(H518),J518&gt;H518),"Xong trễ","Xong"),IF(F518="","CHƯA GIAO","")&amp;IF(NOT(ISNUMBER(H518)),"",IF(TODAY()&gt;H518,IF(F518=""," · ","")&amp;"QUÁ HẠN "&amp;(TODAY()-H518)&amp;" ngày",IF(H518-TODAY()&lt;=3,IF(F518=""," · ","")&amp;"Đến hạn "&amp;IF(H518=TODAY(),"hôm nay","trong "&amp;(H518-TODAY())&amp;" ngày"),""))))))</f>
        <v/>
      </c>
      <c r="Q518">
        <f>IF(AND(E518&lt;&gt;"",R518="Có",I518&lt;&gt;"Xong",I518&lt;&gt;"Bỏ qua",ISNUMBER(H518)),H518+ROW()/100000,"")</f>
        <v/>
      </c>
      <c r="R518">
        <f>IF(M518="","",IFERROR(INDEX(SK_L,MATCH(M518,SK_A,0)),""))</f>
        <v/>
      </c>
    </row>
    <row r="519">
      <c r="A519" s="11">
        <f>IF(M519="","",IFERROR(INDEX(SK_B,MATCH(M519,SK_A,0))&amp;"",""))</f>
        <v/>
      </c>
      <c r="B519" s="24">
        <f>IF(M519="","",IFERROR(INDEX(SK_C,MATCH(M519,SK_A,0)),""))</f>
        <v/>
      </c>
      <c r="C519" s="25">
        <f>IF(O519="","",IF(O519=0,"D",IF(O519&lt;0,"D"&amp;O519,"D+"&amp;O519)))</f>
        <v/>
      </c>
      <c r="D519" s="13" t="n"/>
      <c r="E519" s="11" t="n"/>
      <c r="F519" s="26" t="n"/>
      <c r="G519" s="13" t="n"/>
      <c r="H519" s="12">
        <f>IF(OR(B519="",O519=""),"",IF(O519&gt;0,IF(P519="Làm việc",WORKDAY(IFERROR(IF(INDEX(SK_D,MATCH(M519,SK_A,0))="",B519,INDEX(SK_D,MATCH(M519,SK_A,0))),B519),O519,HOLI),IFERROR(IF(INDEX(SK_D,MATCH(M519,SK_A,0))="",B519,INDEX(SK_D,MATCH(M519,SK_A,0))),B519)+O519),B519+O519))</f>
        <v/>
      </c>
      <c r="I519" s="13" t="n"/>
      <c r="J519" s="12" t="n"/>
      <c r="K519" s="11" t="n"/>
      <c r="L519" s="27">
        <f>IF(E519="","",IF(I519="Bỏ qua","—",IF(I519="Xong",IF(AND(ISNUMBER(J519),ISNUMBER(H519),J519&gt;H519),"Xong trễ","Xong"),IF(F519="","CHƯA GIAO","")&amp;IF(NOT(ISNUMBER(H519)),"",IF(TODAY()&gt;H519,IF(F519=""," · ","")&amp;"QUÁ HẠN "&amp;(TODAY()-H519)&amp;" ngày",IF(H519-TODAY()&lt;=3,IF(F519=""," · ","")&amp;"Đến hạn "&amp;IF(H519=TODAY(),"hôm nay","trong "&amp;(H519-TODAY())&amp;" ngày"),""))))))</f>
        <v/>
      </c>
      <c r="Q519">
        <f>IF(AND(E519&lt;&gt;"",R519="Có",I519&lt;&gt;"Xong",I519&lt;&gt;"Bỏ qua",ISNUMBER(H519)),H519+ROW()/100000,"")</f>
        <v/>
      </c>
      <c r="R519">
        <f>IF(M519="","",IFERROR(INDEX(SK_L,MATCH(M519,SK_A,0)),""))</f>
        <v/>
      </c>
    </row>
    <row r="520">
      <c r="A520" s="11">
        <f>IF(M520="","",IFERROR(INDEX(SK_B,MATCH(M520,SK_A,0))&amp;"",""))</f>
        <v/>
      </c>
      <c r="B520" s="24">
        <f>IF(M520="","",IFERROR(INDEX(SK_C,MATCH(M520,SK_A,0)),""))</f>
        <v/>
      </c>
      <c r="C520" s="25">
        <f>IF(O520="","",IF(O520=0,"D",IF(O520&lt;0,"D"&amp;O520,"D+"&amp;O520)))</f>
        <v/>
      </c>
      <c r="D520" s="13" t="n"/>
      <c r="E520" s="11" t="n"/>
      <c r="F520" s="26" t="n"/>
      <c r="G520" s="13" t="n"/>
      <c r="H520" s="12">
        <f>IF(OR(B520="",O520=""),"",IF(O520&gt;0,IF(P520="Làm việc",WORKDAY(IFERROR(IF(INDEX(SK_D,MATCH(M520,SK_A,0))="",B520,INDEX(SK_D,MATCH(M520,SK_A,0))),B520),O520,HOLI),IFERROR(IF(INDEX(SK_D,MATCH(M520,SK_A,0))="",B520,INDEX(SK_D,MATCH(M520,SK_A,0))),B520)+O520),B520+O520))</f>
        <v/>
      </c>
      <c r="I520" s="13" t="n"/>
      <c r="J520" s="12" t="n"/>
      <c r="K520" s="11" t="n"/>
      <c r="L520" s="27">
        <f>IF(E520="","",IF(I520="Bỏ qua","—",IF(I520="Xong",IF(AND(ISNUMBER(J520),ISNUMBER(H520),J520&gt;H520),"Xong trễ","Xong"),IF(F520="","CHƯA GIAO","")&amp;IF(NOT(ISNUMBER(H520)),"",IF(TODAY()&gt;H520,IF(F520=""," · ","")&amp;"QUÁ HẠN "&amp;(TODAY()-H520)&amp;" ngày",IF(H520-TODAY()&lt;=3,IF(F520=""," · ","")&amp;"Đến hạn "&amp;IF(H520=TODAY(),"hôm nay","trong "&amp;(H520-TODAY())&amp;" ngày"),""))))))</f>
        <v/>
      </c>
      <c r="Q520">
        <f>IF(AND(E520&lt;&gt;"",R520="Có",I520&lt;&gt;"Xong",I520&lt;&gt;"Bỏ qua",ISNUMBER(H520)),H520+ROW()/100000,"")</f>
        <v/>
      </c>
      <c r="R520">
        <f>IF(M520="","",IFERROR(INDEX(SK_L,MATCH(M520,SK_A,0)),""))</f>
        <v/>
      </c>
    </row>
    <row r="521">
      <c r="A521" s="11">
        <f>IF(M521="","",IFERROR(INDEX(SK_B,MATCH(M521,SK_A,0))&amp;"",""))</f>
        <v/>
      </c>
      <c r="B521" s="24">
        <f>IF(M521="","",IFERROR(INDEX(SK_C,MATCH(M521,SK_A,0)),""))</f>
        <v/>
      </c>
      <c r="C521" s="25">
        <f>IF(O521="","",IF(O521=0,"D",IF(O521&lt;0,"D"&amp;O521,"D+"&amp;O521)))</f>
        <v/>
      </c>
      <c r="D521" s="13" t="n"/>
      <c r="E521" s="11" t="n"/>
      <c r="F521" s="26" t="n"/>
      <c r="G521" s="13" t="n"/>
      <c r="H521" s="12">
        <f>IF(OR(B521="",O521=""),"",IF(O521&gt;0,IF(P521="Làm việc",WORKDAY(IFERROR(IF(INDEX(SK_D,MATCH(M521,SK_A,0))="",B521,INDEX(SK_D,MATCH(M521,SK_A,0))),B521),O521,HOLI),IFERROR(IF(INDEX(SK_D,MATCH(M521,SK_A,0))="",B521,INDEX(SK_D,MATCH(M521,SK_A,0))),B521)+O521),B521+O521))</f>
        <v/>
      </c>
      <c r="I521" s="13" t="n"/>
      <c r="J521" s="12" t="n"/>
      <c r="K521" s="11" t="n"/>
      <c r="L521" s="27">
        <f>IF(E521="","",IF(I521="Bỏ qua","—",IF(I521="Xong",IF(AND(ISNUMBER(J521),ISNUMBER(H521),J521&gt;H521),"Xong trễ","Xong"),IF(F521="","CHƯA GIAO","")&amp;IF(NOT(ISNUMBER(H521)),"",IF(TODAY()&gt;H521,IF(F521=""," · ","")&amp;"QUÁ HẠN "&amp;(TODAY()-H521)&amp;" ngày",IF(H521-TODAY()&lt;=3,IF(F521=""," · ","")&amp;"Đến hạn "&amp;IF(H521=TODAY(),"hôm nay","trong "&amp;(H521-TODAY())&amp;" ngày"),""))))))</f>
        <v/>
      </c>
      <c r="Q521">
        <f>IF(AND(E521&lt;&gt;"",R521="Có",I521&lt;&gt;"Xong",I521&lt;&gt;"Bỏ qua",ISNUMBER(H521)),H521+ROW()/100000,"")</f>
        <v/>
      </c>
      <c r="R521">
        <f>IF(M521="","",IFERROR(INDEX(SK_L,MATCH(M521,SK_A,0)),""))</f>
        <v/>
      </c>
    </row>
    <row r="522">
      <c r="A522" s="11">
        <f>IF(M522="","",IFERROR(INDEX(SK_B,MATCH(M522,SK_A,0))&amp;"",""))</f>
        <v/>
      </c>
      <c r="B522" s="24">
        <f>IF(M522="","",IFERROR(INDEX(SK_C,MATCH(M522,SK_A,0)),""))</f>
        <v/>
      </c>
      <c r="C522" s="25">
        <f>IF(O522="","",IF(O522=0,"D",IF(O522&lt;0,"D"&amp;O522,"D+"&amp;O522)))</f>
        <v/>
      </c>
      <c r="D522" s="13" t="n"/>
      <c r="E522" s="11" t="n"/>
      <c r="F522" s="26" t="n"/>
      <c r="G522" s="13" t="n"/>
      <c r="H522" s="12">
        <f>IF(OR(B522="",O522=""),"",IF(O522&gt;0,IF(P522="Làm việc",WORKDAY(IFERROR(IF(INDEX(SK_D,MATCH(M522,SK_A,0))="",B522,INDEX(SK_D,MATCH(M522,SK_A,0))),B522),O522,HOLI),IFERROR(IF(INDEX(SK_D,MATCH(M522,SK_A,0))="",B522,INDEX(SK_D,MATCH(M522,SK_A,0))),B522)+O522),B522+O522))</f>
        <v/>
      </c>
      <c r="I522" s="13" t="n"/>
      <c r="J522" s="12" t="n"/>
      <c r="K522" s="11" t="n"/>
      <c r="L522" s="27">
        <f>IF(E522="","",IF(I522="Bỏ qua","—",IF(I522="Xong",IF(AND(ISNUMBER(J522),ISNUMBER(H522),J522&gt;H522),"Xong trễ","Xong"),IF(F522="","CHƯA GIAO","")&amp;IF(NOT(ISNUMBER(H522)),"",IF(TODAY()&gt;H522,IF(F522=""," · ","")&amp;"QUÁ HẠN "&amp;(TODAY()-H522)&amp;" ngày",IF(H522-TODAY()&lt;=3,IF(F522=""," · ","")&amp;"Đến hạn "&amp;IF(H522=TODAY(),"hôm nay","trong "&amp;(H522-TODAY())&amp;" ngày"),""))))))</f>
        <v/>
      </c>
      <c r="Q522">
        <f>IF(AND(E522&lt;&gt;"",R522="Có",I522&lt;&gt;"Xong",I522&lt;&gt;"Bỏ qua",ISNUMBER(H522)),H522+ROW()/100000,"")</f>
        <v/>
      </c>
      <c r="R522">
        <f>IF(M522="","",IFERROR(INDEX(SK_L,MATCH(M522,SK_A,0)),""))</f>
        <v/>
      </c>
    </row>
    <row r="523">
      <c r="A523" s="11">
        <f>IF(M523="","",IFERROR(INDEX(SK_B,MATCH(M523,SK_A,0))&amp;"",""))</f>
        <v/>
      </c>
      <c r="B523" s="24">
        <f>IF(M523="","",IFERROR(INDEX(SK_C,MATCH(M523,SK_A,0)),""))</f>
        <v/>
      </c>
      <c r="C523" s="25">
        <f>IF(O523="","",IF(O523=0,"D",IF(O523&lt;0,"D"&amp;O523,"D+"&amp;O523)))</f>
        <v/>
      </c>
      <c r="D523" s="13" t="n"/>
      <c r="E523" s="11" t="n"/>
      <c r="F523" s="26" t="n"/>
      <c r="G523" s="13" t="n"/>
      <c r="H523" s="12">
        <f>IF(OR(B523="",O523=""),"",IF(O523&gt;0,IF(P523="Làm việc",WORKDAY(IFERROR(IF(INDEX(SK_D,MATCH(M523,SK_A,0))="",B523,INDEX(SK_D,MATCH(M523,SK_A,0))),B523),O523,HOLI),IFERROR(IF(INDEX(SK_D,MATCH(M523,SK_A,0))="",B523,INDEX(SK_D,MATCH(M523,SK_A,0))),B523)+O523),B523+O523))</f>
        <v/>
      </c>
      <c r="I523" s="13" t="n"/>
      <c r="J523" s="12" t="n"/>
      <c r="K523" s="11" t="n"/>
      <c r="L523" s="27">
        <f>IF(E523="","",IF(I523="Bỏ qua","—",IF(I523="Xong",IF(AND(ISNUMBER(J523),ISNUMBER(H523),J523&gt;H523),"Xong trễ","Xong"),IF(F523="","CHƯA GIAO","")&amp;IF(NOT(ISNUMBER(H523)),"",IF(TODAY()&gt;H523,IF(F523=""," · ","")&amp;"QUÁ HẠN "&amp;(TODAY()-H523)&amp;" ngày",IF(H523-TODAY()&lt;=3,IF(F523=""," · ","")&amp;"Đến hạn "&amp;IF(H523=TODAY(),"hôm nay","trong "&amp;(H523-TODAY())&amp;" ngày"),""))))))</f>
        <v/>
      </c>
      <c r="Q523">
        <f>IF(AND(E523&lt;&gt;"",R523="Có",I523&lt;&gt;"Xong",I523&lt;&gt;"Bỏ qua",ISNUMBER(H523)),H523+ROW()/100000,"")</f>
        <v/>
      </c>
      <c r="R523">
        <f>IF(M523="","",IFERROR(INDEX(SK_L,MATCH(M523,SK_A,0)),""))</f>
        <v/>
      </c>
    </row>
    <row r="524">
      <c r="A524" s="11">
        <f>IF(M524="","",IFERROR(INDEX(SK_B,MATCH(M524,SK_A,0))&amp;"",""))</f>
        <v/>
      </c>
      <c r="B524" s="24">
        <f>IF(M524="","",IFERROR(INDEX(SK_C,MATCH(M524,SK_A,0)),""))</f>
        <v/>
      </c>
      <c r="C524" s="25">
        <f>IF(O524="","",IF(O524=0,"D",IF(O524&lt;0,"D"&amp;O524,"D+"&amp;O524)))</f>
        <v/>
      </c>
      <c r="D524" s="13" t="n"/>
      <c r="E524" s="11" t="n"/>
      <c r="F524" s="26" t="n"/>
      <c r="G524" s="13" t="n"/>
      <c r="H524" s="12">
        <f>IF(OR(B524="",O524=""),"",IF(O524&gt;0,IF(P524="Làm việc",WORKDAY(IFERROR(IF(INDEX(SK_D,MATCH(M524,SK_A,0))="",B524,INDEX(SK_D,MATCH(M524,SK_A,0))),B524),O524,HOLI),IFERROR(IF(INDEX(SK_D,MATCH(M524,SK_A,0))="",B524,INDEX(SK_D,MATCH(M524,SK_A,0))),B524)+O524),B524+O524))</f>
        <v/>
      </c>
      <c r="I524" s="13" t="n"/>
      <c r="J524" s="12" t="n"/>
      <c r="K524" s="11" t="n"/>
      <c r="L524" s="27">
        <f>IF(E524="","",IF(I524="Bỏ qua","—",IF(I524="Xong",IF(AND(ISNUMBER(J524),ISNUMBER(H524),J524&gt;H524),"Xong trễ","Xong"),IF(F524="","CHƯA GIAO","")&amp;IF(NOT(ISNUMBER(H524)),"",IF(TODAY()&gt;H524,IF(F524=""," · ","")&amp;"QUÁ HẠN "&amp;(TODAY()-H524)&amp;" ngày",IF(H524-TODAY()&lt;=3,IF(F524=""," · ","")&amp;"Đến hạn "&amp;IF(H524=TODAY(),"hôm nay","trong "&amp;(H524-TODAY())&amp;" ngày"),""))))))</f>
        <v/>
      </c>
      <c r="Q524">
        <f>IF(AND(E524&lt;&gt;"",R524="Có",I524&lt;&gt;"Xong",I524&lt;&gt;"Bỏ qua",ISNUMBER(H524)),H524+ROW()/100000,"")</f>
        <v/>
      </c>
      <c r="R524">
        <f>IF(M524="","",IFERROR(INDEX(SK_L,MATCH(M524,SK_A,0)),""))</f>
        <v/>
      </c>
    </row>
    <row r="525">
      <c r="A525" s="11">
        <f>IF(M525="","",IFERROR(INDEX(SK_B,MATCH(M525,SK_A,0))&amp;"",""))</f>
        <v/>
      </c>
      <c r="B525" s="24">
        <f>IF(M525="","",IFERROR(INDEX(SK_C,MATCH(M525,SK_A,0)),""))</f>
        <v/>
      </c>
      <c r="C525" s="25">
        <f>IF(O525="","",IF(O525=0,"D",IF(O525&lt;0,"D"&amp;O525,"D+"&amp;O525)))</f>
        <v/>
      </c>
      <c r="D525" s="13" t="n"/>
      <c r="E525" s="11" t="n"/>
      <c r="F525" s="26" t="n"/>
      <c r="G525" s="13" t="n"/>
      <c r="H525" s="12">
        <f>IF(OR(B525="",O525=""),"",IF(O525&gt;0,IF(P525="Làm việc",WORKDAY(IFERROR(IF(INDEX(SK_D,MATCH(M525,SK_A,0))="",B525,INDEX(SK_D,MATCH(M525,SK_A,0))),B525),O525,HOLI),IFERROR(IF(INDEX(SK_D,MATCH(M525,SK_A,0))="",B525,INDEX(SK_D,MATCH(M525,SK_A,0))),B525)+O525),B525+O525))</f>
        <v/>
      </c>
      <c r="I525" s="13" t="n"/>
      <c r="J525" s="12" t="n"/>
      <c r="K525" s="11" t="n"/>
      <c r="L525" s="27">
        <f>IF(E525="","",IF(I525="Bỏ qua","—",IF(I525="Xong",IF(AND(ISNUMBER(J525),ISNUMBER(H525),J525&gt;H525),"Xong trễ","Xong"),IF(F525="","CHƯA GIAO","")&amp;IF(NOT(ISNUMBER(H525)),"",IF(TODAY()&gt;H525,IF(F525=""," · ","")&amp;"QUÁ HẠN "&amp;(TODAY()-H525)&amp;" ngày",IF(H525-TODAY()&lt;=3,IF(F525=""," · ","")&amp;"Đến hạn "&amp;IF(H525=TODAY(),"hôm nay","trong "&amp;(H525-TODAY())&amp;" ngày"),""))))))</f>
        <v/>
      </c>
      <c r="Q525">
        <f>IF(AND(E525&lt;&gt;"",R525="Có",I525&lt;&gt;"Xong",I525&lt;&gt;"Bỏ qua",ISNUMBER(H525)),H525+ROW()/100000,"")</f>
        <v/>
      </c>
      <c r="R525">
        <f>IF(M525="","",IFERROR(INDEX(SK_L,MATCH(M525,SK_A,0)),""))</f>
        <v/>
      </c>
    </row>
    <row r="526">
      <c r="A526" s="11">
        <f>IF(M526="","",IFERROR(INDEX(SK_B,MATCH(M526,SK_A,0))&amp;"",""))</f>
        <v/>
      </c>
      <c r="B526" s="24">
        <f>IF(M526="","",IFERROR(INDEX(SK_C,MATCH(M526,SK_A,0)),""))</f>
        <v/>
      </c>
      <c r="C526" s="25">
        <f>IF(O526="","",IF(O526=0,"D",IF(O526&lt;0,"D"&amp;O526,"D+"&amp;O526)))</f>
        <v/>
      </c>
      <c r="D526" s="13" t="n"/>
      <c r="E526" s="11" t="n"/>
      <c r="F526" s="26" t="n"/>
      <c r="G526" s="13" t="n"/>
      <c r="H526" s="12">
        <f>IF(OR(B526="",O526=""),"",IF(O526&gt;0,IF(P526="Làm việc",WORKDAY(IFERROR(IF(INDEX(SK_D,MATCH(M526,SK_A,0))="",B526,INDEX(SK_D,MATCH(M526,SK_A,0))),B526),O526,HOLI),IFERROR(IF(INDEX(SK_D,MATCH(M526,SK_A,0))="",B526,INDEX(SK_D,MATCH(M526,SK_A,0))),B526)+O526),B526+O526))</f>
        <v/>
      </c>
      <c r="I526" s="13" t="n"/>
      <c r="J526" s="12" t="n"/>
      <c r="K526" s="11" t="n"/>
      <c r="L526" s="27">
        <f>IF(E526="","",IF(I526="Bỏ qua","—",IF(I526="Xong",IF(AND(ISNUMBER(J526),ISNUMBER(H526),J526&gt;H526),"Xong trễ","Xong"),IF(F526="","CHƯA GIAO","")&amp;IF(NOT(ISNUMBER(H526)),"",IF(TODAY()&gt;H526,IF(F526=""," · ","")&amp;"QUÁ HẠN "&amp;(TODAY()-H526)&amp;" ngày",IF(H526-TODAY()&lt;=3,IF(F526=""," · ","")&amp;"Đến hạn "&amp;IF(H526=TODAY(),"hôm nay","trong "&amp;(H526-TODAY())&amp;" ngày"),""))))))</f>
        <v/>
      </c>
      <c r="Q526">
        <f>IF(AND(E526&lt;&gt;"",R526="Có",I526&lt;&gt;"Xong",I526&lt;&gt;"Bỏ qua",ISNUMBER(H526)),H526+ROW()/100000,"")</f>
        <v/>
      </c>
      <c r="R526">
        <f>IF(M526="","",IFERROR(INDEX(SK_L,MATCH(M526,SK_A,0)),""))</f>
        <v/>
      </c>
    </row>
    <row r="527">
      <c r="A527" s="11">
        <f>IF(M527="","",IFERROR(INDEX(SK_B,MATCH(M527,SK_A,0))&amp;"",""))</f>
        <v/>
      </c>
      <c r="B527" s="24">
        <f>IF(M527="","",IFERROR(INDEX(SK_C,MATCH(M527,SK_A,0)),""))</f>
        <v/>
      </c>
      <c r="C527" s="25">
        <f>IF(O527="","",IF(O527=0,"D",IF(O527&lt;0,"D"&amp;O527,"D+"&amp;O527)))</f>
        <v/>
      </c>
      <c r="D527" s="13" t="n"/>
      <c r="E527" s="11" t="n"/>
      <c r="F527" s="26" t="n"/>
      <c r="G527" s="13" t="n"/>
      <c r="H527" s="12">
        <f>IF(OR(B527="",O527=""),"",IF(O527&gt;0,IF(P527="Làm việc",WORKDAY(IFERROR(IF(INDEX(SK_D,MATCH(M527,SK_A,0))="",B527,INDEX(SK_D,MATCH(M527,SK_A,0))),B527),O527,HOLI),IFERROR(IF(INDEX(SK_D,MATCH(M527,SK_A,0))="",B527,INDEX(SK_D,MATCH(M527,SK_A,0))),B527)+O527),B527+O527))</f>
        <v/>
      </c>
      <c r="I527" s="13" t="n"/>
      <c r="J527" s="12" t="n"/>
      <c r="K527" s="11" t="n"/>
      <c r="L527" s="27">
        <f>IF(E527="","",IF(I527="Bỏ qua","—",IF(I527="Xong",IF(AND(ISNUMBER(J527),ISNUMBER(H527),J527&gt;H527),"Xong trễ","Xong"),IF(F527="","CHƯA GIAO","")&amp;IF(NOT(ISNUMBER(H527)),"",IF(TODAY()&gt;H527,IF(F527=""," · ","")&amp;"QUÁ HẠN "&amp;(TODAY()-H527)&amp;" ngày",IF(H527-TODAY()&lt;=3,IF(F527=""," · ","")&amp;"Đến hạn "&amp;IF(H527=TODAY(),"hôm nay","trong "&amp;(H527-TODAY())&amp;" ngày"),""))))))</f>
        <v/>
      </c>
      <c r="Q527">
        <f>IF(AND(E527&lt;&gt;"",R527="Có",I527&lt;&gt;"Xong",I527&lt;&gt;"Bỏ qua",ISNUMBER(H527)),H527+ROW()/100000,"")</f>
        <v/>
      </c>
      <c r="R527">
        <f>IF(M527="","",IFERROR(INDEX(SK_L,MATCH(M527,SK_A,0)),""))</f>
        <v/>
      </c>
    </row>
    <row r="528">
      <c r="A528" s="11">
        <f>IF(M528="","",IFERROR(INDEX(SK_B,MATCH(M528,SK_A,0))&amp;"",""))</f>
        <v/>
      </c>
      <c r="B528" s="24">
        <f>IF(M528="","",IFERROR(INDEX(SK_C,MATCH(M528,SK_A,0)),""))</f>
        <v/>
      </c>
      <c r="C528" s="25">
        <f>IF(O528="","",IF(O528=0,"D",IF(O528&lt;0,"D"&amp;O528,"D+"&amp;O528)))</f>
        <v/>
      </c>
      <c r="D528" s="13" t="n"/>
      <c r="E528" s="11" t="n"/>
      <c r="F528" s="26" t="n"/>
      <c r="G528" s="13" t="n"/>
      <c r="H528" s="12">
        <f>IF(OR(B528="",O528=""),"",IF(O528&gt;0,IF(P528="Làm việc",WORKDAY(IFERROR(IF(INDEX(SK_D,MATCH(M528,SK_A,0))="",B528,INDEX(SK_D,MATCH(M528,SK_A,0))),B528),O528,HOLI),IFERROR(IF(INDEX(SK_D,MATCH(M528,SK_A,0))="",B528,INDEX(SK_D,MATCH(M528,SK_A,0))),B528)+O528),B528+O528))</f>
        <v/>
      </c>
      <c r="I528" s="13" t="n"/>
      <c r="J528" s="12" t="n"/>
      <c r="K528" s="11" t="n"/>
      <c r="L528" s="27">
        <f>IF(E528="","",IF(I528="Bỏ qua","—",IF(I528="Xong",IF(AND(ISNUMBER(J528),ISNUMBER(H528),J528&gt;H528),"Xong trễ","Xong"),IF(F528="","CHƯA GIAO","")&amp;IF(NOT(ISNUMBER(H528)),"",IF(TODAY()&gt;H528,IF(F528=""," · ","")&amp;"QUÁ HẠN "&amp;(TODAY()-H528)&amp;" ngày",IF(H528-TODAY()&lt;=3,IF(F528=""," · ","")&amp;"Đến hạn "&amp;IF(H528=TODAY(),"hôm nay","trong "&amp;(H528-TODAY())&amp;" ngày"),""))))))</f>
        <v/>
      </c>
      <c r="Q528">
        <f>IF(AND(E528&lt;&gt;"",R528="Có",I528&lt;&gt;"Xong",I528&lt;&gt;"Bỏ qua",ISNUMBER(H528)),H528+ROW()/100000,"")</f>
        <v/>
      </c>
      <c r="R528">
        <f>IF(M528="","",IFERROR(INDEX(SK_L,MATCH(M528,SK_A,0)),""))</f>
        <v/>
      </c>
    </row>
    <row r="529">
      <c r="A529" s="11">
        <f>IF(M529="","",IFERROR(INDEX(SK_B,MATCH(M529,SK_A,0))&amp;"",""))</f>
        <v/>
      </c>
      <c r="B529" s="24">
        <f>IF(M529="","",IFERROR(INDEX(SK_C,MATCH(M529,SK_A,0)),""))</f>
        <v/>
      </c>
      <c r="C529" s="25">
        <f>IF(O529="","",IF(O529=0,"D",IF(O529&lt;0,"D"&amp;O529,"D+"&amp;O529)))</f>
        <v/>
      </c>
      <c r="D529" s="13" t="n"/>
      <c r="E529" s="11" t="n"/>
      <c r="F529" s="26" t="n"/>
      <c r="G529" s="13" t="n"/>
      <c r="H529" s="12">
        <f>IF(OR(B529="",O529=""),"",IF(O529&gt;0,IF(P529="Làm việc",WORKDAY(IFERROR(IF(INDEX(SK_D,MATCH(M529,SK_A,0))="",B529,INDEX(SK_D,MATCH(M529,SK_A,0))),B529),O529,HOLI),IFERROR(IF(INDEX(SK_D,MATCH(M529,SK_A,0))="",B529,INDEX(SK_D,MATCH(M529,SK_A,0))),B529)+O529),B529+O529))</f>
        <v/>
      </c>
      <c r="I529" s="13" t="n"/>
      <c r="J529" s="12" t="n"/>
      <c r="K529" s="11" t="n"/>
      <c r="L529" s="27">
        <f>IF(E529="","",IF(I529="Bỏ qua","—",IF(I529="Xong",IF(AND(ISNUMBER(J529),ISNUMBER(H529),J529&gt;H529),"Xong trễ","Xong"),IF(F529="","CHƯA GIAO","")&amp;IF(NOT(ISNUMBER(H529)),"",IF(TODAY()&gt;H529,IF(F529=""," · ","")&amp;"QUÁ HẠN "&amp;(TODAY()-H529)&amp;" ngày",IF(H529-TODAY()&lt;=3,IF(F529=""," · ","")&amp;"Đến hạn "&amp;IF(H529=TODAY(),"hôm nay","trong "&amp;(H529-TODAY())&amp;" ngày"),""))))))</f>
        <v/>
      </c>
      <c r="Q529">
        <f>IF(AND(E529&lt;&gt;"",R529="Có",I529&lt;&gt;"Xong",I529&lt;&gt;"Bỏ qua",ISNUMBER(H529)),H529+ROW()/100000,"")</f>
        <v/>
      </c>
      <c r="R529">
        <f>IF(M529="","",IFERROR(INDEX(SK_L,MATCH(M529,SK_A,0)),""))</f>
        <v/>
      </c>
    </row>
    <row r="530">
      <c r="A530" s="11">
        <f>IF(M530="","",IFERROR(INDEX(SK_B,MATCH(M530,SK_A,0))&amp;"",""))</f>
        <v/>
      </c>
      <c r="B530" s="24">
        <f>IF(M530="","",IFERROR(INDEX(SK_C,MATCH(M530,SK_A,0)),""))</f>
        <v/>
      </c>
      <c r="C530" s="25">
        <f>IF(O530="","",IF(O530=0,"D",IF(O530&lt;0,"D"&amp;O530,"D+"&amp;O530)))</f>
        <v/>
      </c>
      <c r="D530" s="13" t="n"/>
      <c r="E530" s="11" t="n"/>
      <c r="F530" s="26" t="n"/>
      <c r="G530" s="13" t="n"/>
      <c r="H530" s="12">
        <f>IF(OR(B530="",O530=""),"",IF(O530&gt;0,IF(P530="Làm việc",WORKDAY(IFERROR(IF(INDEX(SK_D,MATCH(M530,SK_A,0))="",B530,INDEX(SK_D,MATCH(M530,SK_A,0))),B530),O530,HOLI),IFERROR(IF(INDEX(SK_D,MATCH(M530,SK_A,0))="",B530,INDEX(SK_D,MATCH(M530,SK_A,0))),B530)+O530),B530+O530))</f>
        <v/>
      </c>
      <c r="I530" s="13" t="n"/>
      <c r="J530" s="12" t="n"/>
      <c r="K530" s="11" t="n"/>
      <c r="L530" s="27">
        <f>IF(E530="","",IF(I530="Bỏ qua","—",IF(I530="Xong",IF(AND(ISNUMBER(J530),ISNUMBER(H530),J530&gt;H530),"Xong trễ","Xong"),IF(F530="","CHƯA GIAO","")&amp;IF(NOT(ISNUMBER(H530)),"",IF(TODAY()&gt;H530,IF(F530=""," · ","")&amp;"QUÁ HẠN "&amp;(TODAY()-H530)&amp;" ngày",IF(H530-TODAY()&lt;=3,IF(F530=""," · ","")&amp;"Đến hạn "&amp;IF(H530=TODAY(),"hôm nay","trong "&amp;(H530-TODAY())&amp;" ngày"),""))))))</f>
        <v/>
      </c>
      <c r="Q530">
        <f>IF(AND(E530&lt;&gt;"",R530="Có",I530&lt;&gt;"Xong",I530&lt;&gt;"Bỏ qua",ISNUMBER(H530)),H530+ROW()/100000,"")</f>
        <v/>
      </c>
      <c r="R530">
        <f>IF(M530="","",IFERROR(INDEX(SK_L,MATCH(M530,SK_A,0)),""))</f>
        <v/>
      </c>
    </row>
    <row r="531">
      <c r="A531" s="11">
        <f>IF(M531="","",IFERROR(INDEX(SK_B,MATCH(M531,SK_A,0))&amp;"",""))</f>
        <v/>
      </c>
      <c r="B531" s="24">
        <f>IF(M531="","",IFERROR(INDEX(SK_C,MATCH(M531,SK_A,0)),""))</f>
        <v/>
      </c>
      <c r="C531" s="25">
        <f>IF(O531="","",IF(O531=0,"D",IF(O531&lt;0,"D"&amp;O531,"D+"&amp;O531)))</f>
        <v/>
      </c>
      <c r="D531" s="13" t="n"/>
      <c r="E531" s="11" t="n"/>
      <c r="F531" s="26" t="n"/>
      <c r="G531" s="13" t="n"/>
      <c r="H531" s="12">
        <f>IF(OR(B531="",O531=""),"",IF(O531&gt;0,IF(P531="Làm việc",WORKDAY(IFERROR(IF(INDEX(SK_D,MATCH(M531,SK_A,0))="",B531,INDEX(SK_D,MATCH(M531,SK_A,0))),B531),O531,HOLI),IFERROR(IF(INDEX(SK_D,MATCH(M531,SK_A,0))="",B531,INDEX(SK_D,MATCH(M531,SK_A,0))),B531)+O531),B531+O531))</f>
        <v/>
      </c>
      <c r="I531" s="13" t="n"/>
      <c r="J531" s="12" t="n"/>
      <c r="K531" s="11" t="n"/>
      <c r="L531" s="27">
        <f>IF(E531="","",IF(I531="Bỏ qua","—",IF(I531="Xong",IF(AND(ISNUMBER(J531),ISNUMBER(H531),J531&gt;H531),"Xong trễ","Xong"),IF(F531="","CHƯA GIAO","")&amp;IF(NOT(ISNUMBER(H531)),"",IF(TODAY()&gt;H531,IF(F531=""," · ","")&amp;"QUÁ HẠN "&amp;(TODAY()-H531)&amp;" ngày",IF(H531-TODAY()&lt;=3,IF(F531=""," · ","")&amp;"Đến hạn "&amp;IF(H531=TODAY(),"hôm nay","trong "&amp;(H531-TODAY())&amp;" ngày"),""))))))</f>
        <v/>
      </c>
      <c r="Q531">
        <f>IF(AND(E531&lt;&gt;"",R531="Có",I531&lt;&gt;"Xong",I531&lt;&gt;"Bỏ qua",ISNUMBER(H531)),H531+ROW()/100000,"")</f>
        <v/>
      </c>
      <c r="R531">
        <f>IF(M531="","",IFERROR(INDEX(SK_L,MATCH(M531,SK_A,0)),""))</f>
        <v/>
      </c>
    </row>
    <row r="532">
      <c r="A532" s="11">
        <f>IF(M532="","",IFERROR(INDEX(SK_B,MATCH(M532,SK_A,0))&amp;"",""))</f>
        <v/>
      </c>
      <c r="B532" s="24">
        <f>IF(M532="","",IFERROR(INDEX(SK_C,MATCH(M532,SK_A,0)),""))</f>
        <v/>
      </c>
      <c r="C532" s="25">
        <f>IF(O532="","",IF(O532=0,"D",IF(O532&lt;0,"D"&amp;O532,"D+"&amp;O532)))</f>
        <v/>
      </c>
      <c r="D532" s="13" t="n"/>
      <c r="E532" s="11" t="n"/>
      <c r="F532" s="26" t="n"/>
      <c r="G532" s="13" t="n"/>
      <c r="H532" s="12">
        <f>IF(OR(B532="",O532=""),"",IF(O532&gt;0,IF(P532="Làm việc",WORKDAY(IFERROR(IF(INDEX(SK_D,MATCH(M532,SK_A,0))="",B532,INDEX(SK_D,MATCH(M532,SK_A,0))),B532),O532,HOLI),IFERROR(IF(INDEX(SK_D,MATCH(M532,SK_A,0))="",B532,INDEX(SK_D,MATCH(M532,SK_A,0))),B532)+O532),B532+O532))</f>
        <v/>
      </c>
      <c r="I532" s="13" t="n"/>
      <c r="J532" s="12" t="n"/>
      <c r="K532" s="11" t="n"/>
      <c r="L532" s="27">
        <f>IF(E532="","",IF(I532="Bỏ qua","—",IF(I532="Xong",IF(AND(ISNUMBER(J532),ISNUMBER(H532),J532&gt;H532),"Xong trễ","Xong"),IF(F532="","CHƯA GIAO","")&amp;IF(NOT(ISNUMBER(H532)),"",IF(TODAY()&gt;H532,IF(F532=""," · ","")&amp;"QUÁ HẠN "&amp;(TODAY()-H532)&amp;" ngày",IF(H532-TODAY()&lt;=3,IF(F532=""," · ","")&amp;"Đến hạn "&amp;IF(H532=TODAY(),"hôm nay","trong "&amp;(H532-TODAY())&amp;" ngày"),""))))))</f>
        <v/>
      </c>
      <c r="Q532">
        <f>IF(AND(E532&lt;&gt;"",R532="Có",I532&lt;&gt;"Xong",I532&lt;&gt;"Bỏ qua",ISNUMBER(H532)),H532+ROW()/100000,"")</f>
        <v/>
      </c>
      <c r="R532">
        <f>IF(M532="","",IFERROR(INDEX(SK_L,MATCH(M532,SK_A,0)),""))</f>
        <v/>
      </c>
    </row>
    <row r="533">
      <c r="A533" s="11">
        <f>IF(M533="","",IFERROR(INDEX(SK_B,MATCH(M533,SK_A,0))&amp;"",""))</f>
        <v/>
      </c>
      <c r="B533" s="24">
        <f>IF(M533="","",IFERROR(INDEX(SK_C,MATCH(M533,SK_A,0)),""))</f>
        <v/>
      </c>
      <c r="C533" s="25">
        <f>IF(O533="","",IF(O533=0,"D",IF(O533&lt;0,"D"&amp;O533,"D+"&amp;O533)))</f>
        <v/>
      </c>
      <c r="D533" s="13" t="n"/>
      <c r="E533" s="11" t="n"/>
      <c r="F533" s="26" t="n"/>
      <c r="G533" s="13" t="n"/>
      <c r="H533" s="12">
        <f>IF(OR(B533="",O533=""),"",IF(O533&gt;0,IF(P533="Làm việc",WORKDAY(IFERROR(IF(INDEX(SK_D,MATCH(M533,SK_A,0))="",B533,INDEX(SK_D,MATCH(M533,SK_A,0))),B533),O533,HOLI),IFERROR(IF(INDEX(SK_D,MATCH(M533,SK_A,0))="",B533,INDEX(SK_D,MATCH(M533,SK_A,0))),B533)+O533),B533+O533))</f>
        <v/>
      </c>
      <c r="I533" s="13" t="n"/>
      <c r="J533" s="12" t="n"/>
      <c r="K533" s="11" t="n"/>
      <c r="L533" s="27">
        <f>IF(E533="","",IF(I533="Bỏ qua","—",IF(I533="Xong",IF(AND(ISNUMBER(J533),ISNUMBER(H533),J533&gt;H533),"Xong trễ","Xong"),IF(F533="","CHƯA GIAO","")&amp;IF(NOT(ISNUMBER(H533)),"",IF(TODAY()&gt;H533,IF(F533=""," · ","")&amp;"QUÁ HẠN "&amp;(TODAY()-H533)&amp;" ngày",IF(H533-TODAY()&lt;=3,IF(F533=""," · ","")&amp;"Đến hạn "&amp;IF(H533=TODAY(),"hôm nay","trong "&amp;(H533-TODAY())&amp;" ngày"),""))))))</f>
        <v/>
      </c>
      <c r="Q533">
        <f>IF(AND(E533&lt;&gt;"",R533="Có",I533&lt;&gt;"Xong",I533&lt;&gt;"Bỏ qua",ISNUMBER(H533)),H533+ROW()/100000,"")</f>
        <v/>
      </c>
      <c r="R533">
        <f>IF(M533="","",IFERROR(INDEX(SK_L,MATCH(M533,SK_A,0)),""))</f>
        <v/>
      </c>
    </row>
    <row r="534">
      <c r="A534" s="11">
        <f>IF(M534="","",IFERROR(INDEX(SK_B,MATCH(M534,SK_A,0))&amp;"",""))</f>
        <v/>
      </c>
      <c r="B534" s="24">
        <f>IF(M534="","",IFERROR(INDEX(SK_C,MATCH(M534,SK_A,0)),""))</f>
        <v/>
      </c>
      <c r="C534" s="25">
        <f>IF(O534="","",IF(O534=0,"D",IF(O534&lt;0,"D"&amp;O534,"D+"&amp;O534)))</f>
        <v/>
      </c>
      <c r="D534" s="13" t="n"/>
      <c r="E534" s="11" t="n"/>
      <c r="F534" s="26" t="n"/>
      <c r="G534" s="13" t="n"/>
      <c r="H534" s="12">
        <f>IF(OR(B534="",O534=""),"",IF(O534&gt;0,IF(P534="Làm việc",WORKDAY(IFERROR(IF(INDEX(SK_D,MATCH(M534,SK_A,0))="",B534,INDEX(SK_D,MATCH(M534,SK_A,0))),B534),O534,HOLI),IFERROR(IF(INDEX(SK_D,MATCH(M534,SK_A,0))="",B534,INDEX(SK_D,MATCH(M534,SK_A,0))),B534)+O534),B534+O534))</f>
        <v/>
      </c>
      <c r="I534" s="13" t="n"/>
      <c r="J534" s="12" t="n"/>
      <c r="K534" s="11" t="n"/>
      <c r="L534" s="27">
        <f>IF(E534="","",IF(I534="Bỏ qua","—",IF(I534="Xong",IF(AND(ISNUMBER(J534),ISNUMBER(H534),J534&gt;H534),"Xong trễ","Xong"),IF(F534="","CHƯA GIAO","")&amp;IF(NOT(ISNUMBER(H534)),"",IF(TODAY()&gt;H534,IF(F534=""," · ","")&amp;"QUÁ HẠN "&amp;(TODAY()-H534)&amp;" ngày",IF(H534-TODAY()&lt;=3,IF(F534=""," · ","")&amp;"Đến hạn "&amp;IF(H534=TODAY(),"hôm nay","trong "&amp;(H534-TODAY())&amp;" ngày"),""))))))</f>
        <v/>
      </c>
      <c r="Q534">
        <f>IF(AND(E534&lt;&gt;"",R534="Có",I534&lt;&gt;"Xong",I534&lt;&gt;"Bỏ qua",ISNUMBER(H534)),H534+ROW()/100000,"")</f>
        <v/>
      </c>
      <c r="R534">
        <f>IF(M534="","",IFERROR(INDEX(SK_L,MATCH(M534,SK_A,0)),""))</f>
        <v/>
      </c>
    </row>
    <row r="535">
      <c r="A535" s="11">
        <f>IF(M535="","",IFERROR(INDEX(SK_B,MATCH(M535,SK_A,0))&amp;"",""))</f>
        <v/>
      </c>
      <c r="B535" s="24">
        <f>IF(M535="","",IFERROR(INDEX(SK_C,MATCH(M535,SK_A,0)),""))</f>
        <v/>
      </c>
      <c r="C535" s="25">
        <f>IF(O535="","",IF(O535=0,"D",IF(O535&lt;0,"D"&amp;O535,"D+"&amp;O535)))</f>
        <v/>
      </c>
      <c r="D535" s="13" t="n"/>
      <c r="E535" s="11" t="n"/>
      <c r="F535" s="26" t="n"/>
      <c r="G535" s="13" t="n"/>
      <c r="H535" s="12">
        <f>IF(OR(B535="",O535=""),"",IF(O535&gt;0,IF(P535="Làm việc",WORKDAY(IFERROR(IF(INDEX(SK_D,MATCH(M535,SK_A,0))="",B535,INDEX(SK_D,MATCH(M535,SK_A,0))),B535),O535,HOLI),IFERROR(IF(INDEX(SK_D,MATCH(M535,SK_A,0))="",B535,INDEX(SK_D,MATCH(M535,SK_A,0))),B535)+O535),B535+O535))</f>
        <v/>
      </c>
      <c r="I535" s="13" t="n"/>
      <c r="J535" s="12" t="n"/>
      <c r="K535" s="11" t="n"/>
      <c r="L535" s="27">
        <f>IF(E535="","",IF(I535="Bỏ qua","—",IF(I535="Xong",IF(AND(ISNUMBER(J535),ISNUMBER(H535),J535&gt;H535),"Xong trễ","Xong"),IF(F535="","CHƯA GIAO","")&amp;IF(NOT(ISNUMBER(H535)),"",IF(TODAY()&gt;H535,IF(F535=""," · ","")&amp;"QUÁ HẠN "&amp;(TODAY()-H535)&amp;" ngày",IF(H535-TODAY()&lt;=3,IF(F535=""," · ","")&amp;"Đến hạn "&amp;IF(H535=TODAY(),"hôm nay","trong "&amp;(H535-TODAY())&amp;" ngày"),""))))))</f>
        <v/>
      </c>
      <c r="Q535">
        <f>IF(AND(E535&lt;&gt;"",R535="Có",I535&lt;&gt;"Xong",I535&lt;&gt;"Bỏ qua",ISNUMBER(H535)),H535+ROW()/100000,"")</f>
        <v/>
      </c>
      <c r="R535">
        <f>IF(M535="","",IFERROR(INDEX(SK_L,MATCH(M535,SK_A,0)),""))</f>
        <v/>
      </c>
    </row>
    <row r="536">
      <c r="A536" s="11">
        <f>IF(M536="","",IFERROR(INDEX(SK_B,MATCH(M536,SK_A,0))&amp;"",""))</f>
        <v/>
      </c>
      <c r="B536" s="24">
        <f>IF(M536="","",IFERROR(INDEX(SK_C,MATCH(M536,SK_A,0)),""))</f>
        <v/>
      </c>
      <c r="C536" s="25">
        <f>IF(O536="","",IF(O536=0,"D",IF(O536&lt;0,"D"&amp;O536,"D+"&amp;O536)))</f>
        <v/>
      </c>
      <c r="D536" s="13" t="n"/>
      <c r="E536" s="11" t="n"/>
      <c r="F536" s="26" t="n"/>
      <c r="G536" s="13" t="n"/>
      <c r="H536" s="12">
        <f>IF(OR(B536="",O536=""),"",IF(O536&gt;0,IF(P536="Làm việc",WORKDAY(IFERROR(IF(INDEX(SK_D,MATCH(M536,SK_A,0))="",B536,INDEX(SK_D,MATCH(M536,SK_A,0))),B536),O536,HOLI),IFERROR(IF(INDEX(SK_D,MATCH(M536,SK_A,0))="",B536,INDEX(SK_D,MATCH(M536,SK_A,0))),B536)+O536),B536+O536))</f>
        <v/>
      </c>
      <c r="I536" s="13" t="n"/>
      <c r="J536" s="12" t="n"/>
      <c r="K536" s="11" t="n"/>
      <c r="L536" s="27">
        <f>IF(E536="","",IF(I536="Bỏ qua","—",IF(I536="Xong",IF(AND(ISNUMBER(J536),ISNUMBER(H536),J536&gt;H536),"Xong trễ","Xong"),IF(F536="","CHƯA GIAO","")&amp;IF(NOT(ISNUMBER(H536)),"",IF(TODAY()&gt;H536,IF(F536=""," · ","")&amp;"QUÁ HẠN "&amp;(TODAY()-H536)&amp;" ngày",IF(H536-TODAY()&lt;=3,IF(F536=""," · ","")&amp;"Đến hạn "&amp;IF(H536=TODAY(),"hôm nay","trong "&amp;(H536-TODAY())&amp;" ngày"),""))))))</f>
        <v/>
      </c>
      <c r="Q536">
        <f>IF(AND(E536&lt;&gt;"",R536="Có",I536&lt;&gt;"Xong",I536&lt;&gt;"Bỏ qua",ISNUMBER(H536)),H536+ROW()/100000,"")</f>
        <v/>
      </c>
      <c r="R536">
        <f>IF(M536="","",IFERROR(INDEX(SK_L,MATCH(M536,SK_A,0)),""))</f>
        <v/>
      </c>
    </row>
    <row r="537">
      <c r="A537" s="11">
        <f>IF(M537="","",IFERROR(INDEX(SK_B,MATCH(M537,SK_A,0))&amp;"",""))</f>
        <v/>
      </c>
      <c r="B537" s="24">
        <f>IF(M537="","",IFERROR(INDEX(SK_C,MATCH(M537,SK_A,0)),""))</f>
        <v/>
      </c>
      <c r="C537" s="25">
        <f>IF(O537="","",IF(O537=0,"D",IF(O537&lt;0,"D"&amp;O537,"D+"&amp;O537)))</f>
        <v/>
      </c>
      <c r="D537" s="13" t="n"/>
      <c r="E537" s="11" t="n"/>
      <c r="F537" s="26" t="n"/>
      <c r="G537" s="13" t="n"/>
      <c r="H537" s="12">
        <f>IF(OR(B537="",O537=""),"",IF(O537&gt;0,IF(P537="Làm việc",WORKDAY(IFERROR(IF(INDEX(SK_D,MATCH(M537,SK_A,0))="",B537,INDEX(SK_D,MATCH(M537,SK_A,0))),B537),O537,HOLI),IFERROR(IF(INDEX(SK_D,MATCH(M537,SK_A,0))="",B537,INDEX(SK_D,MATCH(M537,SK_A,0))),B537)+O537),B537+O537))</f>
        <v/>
      </c>
      <c r="I537" s="13" t="n"/>
      <c r="J537" s="12" t="n"/>
      <c r="K537" s="11" t="n"/>
      <c r="L537" s="27">
        <f>IF(E537="","",IF(I537="Bỏ qua","—",IF(I537="Xong",IF(AND(ISNUMBER(J537),ISNUMBER(H537),J537&gt;H537),"Xong trễ","Xong"),IF(F537="","CHƯA GIAO","")&amp;IF(NOT(ISNUMBER(H537)),"",IF(TODAY()&gt;H537,IF(F537=""," · ","")&amp;"QUÁ HẠN "&amp;(TODAY()-H537)&amp;" ngày",IF(H537-TODAY()&lt;=3,IF(F537=""," · ","")&amp;"Đến hạn "&amp;IF(H537=TODAY(),"hôm nay","trong "&amp;(H537-TODAY())&amp;" ngày"),""))))))</f>
        <v/>
      </c>
      <c r="Q537">
        <f>IF(AND(E537&lt;&gt;"",R537="Có",I537&lt;&gt;"Xong",I537&lt;&gt;"Bỏ qua",ISNUMBER(H537)),H537+ROW()/100000,"")</f>
        <v/>
      </c>
      <c r="R537">
        <f>IF(M537="","",IFERROR(INDEX(SK_L,MATCH(M537,SK_A,0)),""))</f>
        <v/>
      </c>
    </row>
    <row r="538">
      <c r="A538" s="11">
        <f>IF(M538="","",IFERROR(INDEX(SK_B,MATCH(M538,SK_A,0))&amp;"",""))</f>
        <v/>
      </c>
      <c r="B538" s="24">
        <f>IF(M538="","",IFERROR(INDEX(SK_C,MATCH(M538,SK_A,0)),""))</f>
        <v/>
      </c>
      <c r="C538" s="25">
        <f>IF(O538="","",IF(O538=0,"D",IF(O538&lt;0,"D"&amp;O538,"D+"&amp;O538)))</f>
        <v/>
      </c>
      <c r="D538" s="13" t="n"/>
      <c r="E538" s="11" t="n"/>
      <c r="F538" s="26" t="n"/>
      <c r="G538" s="13" t="n"/>
      <c r="H538" s="12">
        <f>IF(OR(B538="",O538=""),"",IF(O538&gt;0,IF(P538="Làm việc",WORKDAY(IFERROR(IF(INDEX(SK_D,MATCH(M538,SK_A,0))="",B538,INDEX(SK_D,MATCH(M538,SK_A,0))),B538),O538,HOLI),IFERROR(IF(INDEX(SK_D,MATCH(M538,SK_A,0))="",B538,INDEX(SK_D,MATCH(M538,SK_A,0))),B538)+O538),B538+O538))</f>
        <v/>
      </c>
      <c r="I538" s="13" t="n"/>
      <c r="J538" s="12" t="n"/>
      <c r="K538" s="11" t="n"/>
      <c r="L538" s="27">
        <f>IF(E538="","",IF(I538="Bỏ qua","—",IF(I538="Xong",IF(AND(ISNUMBER(J538),ISNUMBER(H538),J538&gt;H538),"Xong trễ","Xong"),IF(F538="","CHƯA GIAO","")&amp;IF(NOT(ISNUMBER(H538)),"",IF(TODAY()&gt;H538,IF(F538=""," · ","")&amp;"QUÁ HẠN "&amp;(TODAY()-H538)&amp;" ngày",IF(H538-TODAY()&lt;=3,IF(F538=""," · ","")&amp;"Đến hạn "&amp;IF(H538=TODAY(),"hôm nay","trong "&amp;(H538-TODAY())&amp;" ngày"),""))))))</f>
        <v/>
      </c>
      <c r="Q538">
        <f>IF(AND(E538&lt;&gt;"",R538="Có",I538&lt;&gt;"Xong",I538&lt;&gt;"Bỏ qua",ISNUMBER(H538)),H538+ROW()/100000,"")</f>
        <v/>
      </c>
      <c r="R538">
        <f>IF(M538="","",IFERROR(INDEX(SK_L,MATCH(M538,SK_A,0)),""))</f>
        <v/>
      </c>
    </row>
    <row r="539">
      <c r="A539" s="11">
        <f>IF(M539="","",IFERROR(INDEX(SK_B,MATCH(M539,SK_A,0))&amp;"",""))</f>
        <v/>
      </c>
      <c r="B539" s="24">
        <f>IF(M539="","",IFERROR(INDEX(SK_C,MATCH(M539,SK_A,0)),""))</f>
        <v/>
      </c>
      <c r="C539" s="25">
        <f>IF(O539="","",IF(O539=0,"D",IF(O539&lt;0,"D"&amp;O539,"D+"&amp;O539)))</f>
        <v/>
      </c>
      <c r="D539" s="13" t="n"/>
      <c r="E539" s="11" t="n"/>
      <c r="F539" s="26" t="n"/>
      <c r="G539" s="13" t="n"/>
      <c r="H539" s="12">
        <f>IF(OR(B539="",O539=""),"",IF(O539&gt;0,IF(P539="Làm việc",WORKDAY(IFERROR(IF(INDEX(SK_D,MATCH(M539,SK_A,0))="",B539,INDEX(SK_D,MATCH(M539,SK_A,0))),B539),O539,HOLI),IFERROR(IF(INDEX(SK_D,MATCH(M539,SK_A,0))="",B539,INDEX(SK_D,MATCH(M539,SK_A,0))),B539)+O539),B539+O539))</f>
        <v/>
      </c>
      <c r="I539" s="13" t="n"/>
      <c r="J539" s="12" t="n"/>
      <c r="K539" s="11" t="n"/>
      <c r="L539" s="27">
        <f>IF(E539="","",IF(I539="Bỏ qua","—",IF(I539="Xong",IF(AND(ISNUMBER(J539),ISNUMBER(H539),J539&gt;H539),"Xong trễ","Xong"),IF(F539="","CHƯA GIAO","")&amp;IF(NOT(ISNUMBER(H539)),"",IF(TODAY()&gt;H539,IF(F539=""," · ","")&amp;"QUÁ HẠN "&amp;(TODAY()-H539)&amp;" ngày",IF(H539-TODAY()&lt;=3,IF(F539=""," · ","")&amp;"Đến hạn "&amp;IF(H539=TODAY(),"hôm nay","trong "&amp;(H539-TODAY())&amp;" ngày"),""))))))</f>
        <v/>
      </c>
      <c r="Q539">
        <f>IF(AND(E539&lt;&gt;"",R539="Có",I539&lt;&gt;"Xong",I539&lt;&gt;"Bỏ qua",ISNUMBER(H539)),H539+ROW()/100000,"")</f>
        <v/>
      </c>
      <c r="R539">
        <f>IF(M539="","",IFERROR(INDEX(SK_L,MATCH(M539,SK_A,0)),""))</f>
        <v/>
      </c>
    </row>
    <row r="540">
      <c r="A540" s="11">
        <f>IF(M540="","",IFERROR(INDEX(SK_B,MATCH(M540,SK_A,0))&amp;"",""))</f>
        <v/>
      </c>
      <c r="B540" s="24">
        <f>IF(M540="","",IFERROR(INDEX(SK_C,MATCH(M540,SK_A,0)),""))</f>
        <v/>
      </c>
      <c r="C540" s="25">
        <f>IF(O540="","",IF(O540=0,"D",IF(O540&lt;0,"D"&amp;O540,"D+"&amp;O540)))</f>
        <v/>
      </c>
      <c r="D540" s="13" t="n"/>
      <c r="E540" s="11" t="n"/>
      <c r="F540" s="26" t="n"/>
      <c r="G540" s="13" t="n"/>
      <c r="H540" s="12">
        <f>IF(OR(B540="",O540=""),"",IF(O540&gt;0,IF(P540="Làm việc",WORKDAY(IFERROR(IF(INDEX(SK_D,MATCH(M540,SK_A,0))="",B540,INDEX(SK_D,MATCH(M540,SK_A,0))),B540),O540,HOLI),IFERROR(IF(INDEX(SK_D,MATCH(M540,SK_A,0))="",B540,INDEX(SK_D,MATCH(M540,SK_A,0))),B540)+O540),B540+O540))</f>
        <v/>
      </c>
      <c r="I540" s="13" t="n"/>
      <c r="J540" s="12" t="n"/>
      <c r="K540" s="11" t="n"/>
      <c r="L540" s="27">
        <f>IF(E540="","",IF(I540="Bỏ qua","—",IF(I540="Xong",IF(AND(ISNUMBER(J540),ISNUMBER(H540),J540&gt;H540),"Xong trễ","Xong"),IF(F540="","CHƯA GIAO","")&amp;IF(NOT(ISNUMBER(H540)),"",IF(TODAY()&gt;H540,IF(F540=""," · ","")&amp;"QUÁ HẠN "&amp;(TODAY()-H540)&amp;" ngày",IF(H540-TODAY()&lt;=3,IF(F540=""," · ","")&amp;"Đến hạn "&amp;IF(H540=TODAY(),"hôm nay","trong "&amp;(H540-TODAY())&amp;" ngày"),""))))))</f>
        <v/>
      </c>
      <c r="Q540">
        <f>IF(AND(E540&lt;&gt;"",R540="Có",I540&lt;&gt;"Xong",I540&lt;&gt;"Bỏ qua",ISNUMBER(H540)),H540+ROW()/100000,"")</f>
        <v/>
      </c>
      <c r="R540">
        <f>IF(M540="","",IFERROR(INDEX(SK_L,MATCH(M540,SK_A,0)),""))</f>
        <v/>
      </c>
    </row>
    <row r="541">
      <c r="A541" s="11">
        <f>IF(M541="","",IFERROR(INDEX(SK_B,MATCH(M541,SK_A,0))&amp;"",""))</f>
        <v/>
      </c>
      <c r="B541" s="24">
        <f>IF(M541="","",IFERROR(INDEX(SK_C,MATCH(M541,SK_A,0)),""))</f>
        <v/>
      </c>
      <c r="C541" s="25">
        <f>IF(O541="","",IF(O541=0,"D",IF(O541&lt;0,"D"&amp;O541,"D+"&amp;O541)))</f>
        <v/>
      </c>
      <c r="D541" s="13" t="n"/>
      <c r="E541" s="11" t="n"/>
      <c r="F541" s="26" t="n"/>
      <c r="G541" s="13" t="n"/>
      <c r="H541" s="12">
        <f>IF(OR(B541="",O541=""),"",IF(O541&gt;0,IF(P541="Làm việc",WORKDAY(IFERROR(IF(INDEX(SK_D,MATCH(M541,SK_A,0))="",B541,INDEX(SK_D,MATCH(M541,SK_A,0))),B541),O541,HOLI),IFERROR(IF(INDEX(SK_D,MATCH(M541,SK_A,0))="",B541,INDEX(SK_D,MATCH(M541,SK_A,0))),B541)+O541),B541+O541))</f>
        <v/>
      </c>
      <c r="I541" s="13" t="n"/>
      <c r="J541" s="12" t="n"/>
      <c r="K541" s="11" t="n"/>
      <c r="L541" s="27">
        <f>IF(E541="","",IF(I541="Bỏ qua","—",IF(I541="Xong",IF(AND(ISNUMBER(J541),ISNUMBER(H541),J541&gt;H541),"Xong trễ","Xong"),IF(F541="","CHƯA GIAO","")&amp;IF(NOT(ISNUMBER(H541)),"",IF(TODAY()&gt;H541,IF(F541=""," · ","")&amp;"QUÁ HẠN "&amp;(TODAY()-H541)&amp;" ngày",IF(H541-TODAY()&lt;=3,IF(F541=""," · ","")&amp;"Đến hạn "&amp;IF(H541=TODAY(),"hôm nay","trong "&amp;(H541-TODAY())&amp;" ngày"),""))))))</f>
        <v/>
      </c>
      <c r="Q541">
        <f>IF(AND(E541&lt;&gt;"",R541="Có",I541&lt;&gt;"Xong",I541&lt;&gt;"Bỏ qua",ISNUMBER(H541)),H541+ROW()/100000,"")</f>
        <v/>
      </c>
      <c r="R541">
        <f>IF(M541="","",IFERROR(INDEX(SK_L,MATCH(M541,SK_A,0)),""))</f>
        <v/>
      </c>
    </row>
    <row r="542">
      <c r="A542" s="11">
        <f>IF(M542="","",IFERROR(INDEX(SK_B,MATCH(M542,SK_A,0))&amp;"",""))</f>
        <v/>
      </c>
      <c r="B542" s="24">
        <f>IF(M542="","",IFERROR(INDEX(SK_C,MATCH(M542,SK_A,0)),""))</f>
        <v/>
      </c>
      <c r="C542" s="25">
        <f>IF(O542="","",IF(O542=0,"D",IF(O542&lt;0,"D"&amp;O542,"D+"&amp;O542)))</f>
        <v/>
      </c>
      <c r="D542" s="13" t="n"/>
      <c r="E542" s="11" t="n"/>
      <c r="F542" s="26" t="n"/>
      <c r="G542" s="13" t="n"/>
      <c r="H542" s="12">
        <f>IF(OR(B542="",O542=""),"",IF(O542&gt;0,IF(P542="Làm việc",WORKDAY(IFERROR(IF(INDEX(SK_D,MATCH(M542,SK_A,0))="",B542,INDEX(SK_D,MATCH(M542,SK_A,0))),B542),O542,HOLI),IFERROR(IF(INDEX(SK_D,MATCH(M542,SK_A,0))="",B542,INDEX(SK_D,MATCH(M542,SK_A,0))),B542)+O542),B542+O542))</f>
        <v/>
      </c>
      <c r="I542" s="13" t="n"/>
      <c r="J542" s="12" t="n"/>
      <c r="K542" s="11" t="n"/>
      <c r="L542" s="27">
        <f>IF(E542="","",IF(I542="Bỏ qua","—",IF(I542="Xong",IF(AND(ISNUMBER(J542),ISNUMBER(H542),J542&gt;H542),"Xong trễ","Xong"),IF(F542="","CHƯA GIAO","")&amp;IF(NOT(ISNUMBER(H542)),"",IF(TODAY()&gt;H542,IF(F542=""," · ","")&amp;"QUÁ HẠN "&amp;(TODAY()-H542)&amp;" ngày",IF(H542-TODAY()&lt;=3,IF(F542=""," · ","")&amp;"Đến hạn "&amp;IF(H542=TODAY(),"hôm nay","trong "&amp;(H542-TODAY())&amp;" ngày"),""))))))</f>
        <v/>
      </c>
      <c r="Q542">
        <f>IF(AND(E542&lt;&gt;"",R542="Có",I542&lt;&gt;"Xong",I542&lt;&gt;"Bỏ qua",ISNUMBER(H542)),H542+ROW()/100000,"")</f>
        <v/>
      </c>
      <c r="R542">
        <f>IF(M542="","",IFERROR(INDEX(SK_L,MATCH(M542,SK_A,0)),""))</f>
        <v/>
      </c>
    </row>
    <row r="543">
      <c r="A543" s="11">
        <f>IF(M543="","",IFERROR(INDEX(SK_B,MATCH(M543,SK_A,0))&amp;"",""))</f>
        <v/>
      </c>
      <c r="B543" s="24">
        <f>IF(M543="","",IFERROR(INDEX(SK_C,MATCH(M543,SK_A,0)),""))</f>
        <v/>
      </c>
      <c r="C543" s="25">
        <f>IF(O543="","",IF(O543=0,"D",IF(O543&lt;0,"D"&amp;O543,"D+"&amp;O543)))</f>
        <v/>
      </c>
      <c r="D543" s="13" t="n"/>
      <c r="E543" s="11" t="n"/>
      <c r="F543" s="26" t="n"/>
      <c r="G543" s="13" t="n"/>
      <c r="H543" s="12">
        <f>IF(OR(B543="",O543=""),"",IF(O543&gt;0,IF(P543="Làm việc",WORKDAY(IFERROR(IF(INDEX(SK_D,MATCH(M543,SK_A,0))="",B543,INDEX(SK_D,MATCH(M543,SK_A,0))),B543),O543,HOLI),IFERROR(IF(INDEX(SK_D,MATCH(M543,SK_A,0))="",B543,INDEX(SK_D,MATCH(M543,SK_A,0))),B543)+O543),B543+O543))</f>
        <v/>
      </c>
      <c r="I543" s="13" t="n"/>
      <c r="J543" s="12" t="n"/>
      <c r="K543" s="11" t="n"/>
      <c r="L543" s="27">
        <f>IF(E543="","",IF(I543="Bỏ qua","—",IF(I543="Xong",IF(AND(ISNUMBER(J543),ISNUMBER(H543),J543&gt;H543),"Xong trễ","Xong"),IF(F543="","CHƯA GIAO","")&amp;IF(NOT(ISNUMBER(H543)),"",IF(TODAY()&gt;H543,IF(F543=""," · ","")&amp;"QUÁ HẠN "&amp;(TODAY()-H543)&amp;" ngày",IF(H543-TODAY()&lt;=3,IF(F543=""," · ","")&amp;"Đến hạn "&amp;IF(H543=TODAY(),"hôm nay","trong "&amp;(H543-TODAY())&amp;" ngày"),""))))))</f>
        <v/>
      </c>
      <c r="Q543">
        <f>IF(AND(E543&lt;&gt;"",R543="Có",I543&lt;&gt;"Xong",I543&lt;&gt;"Bỏ qua",ISNUMBER(H543)),H543+ROW()/100000,"")</f>
        <v/>
      </c>
      <c r="R543">
        <f>IF(M543="","",IFERROR(INDEX(SK_L,MATCH(M543,SK_A,0)),""))</f>
        <v/>
      </c>
    </row>
    <row r="544">
      <c r="A544" s="11">
        <f>IF(M544="","",IFERROR(INDEX(SK_B,MATCH(M544,SK_A,0))&amp;"",""))</f>
        <v/>
      </c>
      <c r="B544" s="24">
        <f>IF(M544="","",IFERROR(INDEX(SK_C,MATCH(M544,SK_A,0)),""))</f>
        <v/>
      </c>
      <c r="C544" s="25">
        <f>IF(O544="","",IF(O544=0,"D",IF(O544&lt;0,"D"&amp;O544,"D+"&amp;O544)))</f>
        <v/>
      </c>
      <c r="D544" s="13" t="n"/>
      <c r="E544" s="11" t="n"/>
      <c r="F544" s="26" t="n"/>
      <c r="G544" s="13" t="n"/>
      <c r="H544" s="12">
        <f>IF(OR(B544="",O544=""),"",IF(O544&gt;0,IF(P544="Làm việc",WORKDAY(IFERROR(IF(INDEX(SK_D,MATCH(M544,SK_A,0))="",B544,INDEX(SK_D,MATCH(M544,SK_A,0))),B544),O544,HOLI),IFERROR(IF(INDEX(SK_D,MATCH(M544,SK_A,0))="",B544,INDEX(SK_D,MATCH(M544,SK_A,0))),B544)+O544),B544+O544))</f>
        <v/>
      </c>
      <c r="I544" s="13" t="n"/>
      <c r="J544" s="12" t="n"/>
      <c r="K544" s="11" t="n"/>
      <c r="L544" s="27">
        <f>IF(E544="","",IF(I544="Bỏ qua","—",IF(I544="Xong",IF(AND(ISNUMBER(J544),ISNUMBER(H544),J544&gt;H544),"Xong trễ","Xong"),IF(F544="","CHƯA GIAO","")&amp;IF(NOT(ISNUMBER(H544)),"",IF(TODAY()&gt;H544,IF(F544=""," · ","")&amp;"QUÁ HẠN "&amp;(TODAY()-H544)&amp;" ngày",IF(H544-TODAY()&lt;=3,IF(F544=""," · ","")&amp;"Đến hạn "&amp;IF(H544=TODAY(),"hôm nay","trong "&amp;(H544-TODAY())&amp;" ngày"),""))))))</f>
        <v/>
      </c>
      <c r="Q544">
        <f>IF(AND(E544&lt;&gt;"",R544="Có",I544&lt;&gt;"Xong",I544&lt;&gt;"Bỏ qua",ISNUMBER(H544)),H544+ROW()/100000,"")</f>
        <v/>
      </c>
      <c r="R544">
        <f>IF(M544="","",IFERROR(INDEX(SK_L,MATCH(M544,SK_A,0)),""))</f>
        <v/>
      </c>
    </row>
    <row r="545">
      <c r="A545" s="11">
        <f>IF(M545="","",IFERROR(INDEX(SK_B,MATCH(M545,SK_A,0))&amp;"",""))</f>
        <v/>
      </c>
      <c r="B545" s="24">
        <f>IF(M545="","",IFERROR(INDEX(SK_C,MATCH(M545,SK_A,0)),""))</f>
        <v/>
      </c>
      <c r="C545" s="25">
        <f>IF(O545="","",IF(O545=0,"D",IF(O545&lt;0,"D"&amp;O545,"D+"&amp;O545)))</f>
        <v/>
      </c>
      <c r="D545" s="13" t="n"/>
      <c r="E545" s="11" t="n"/>
      <c r="F545" s="26" t="n"/>
      <c r="G545" s="13" t="n"/>
      <c r="H545" s="12">
        <f>IF(OR(B545="",O545=""),"",IF(O545&gt;0,IF(P545="Làm việc",WORKDAY(IFERROR(IF(INDEX(SK_D,MATCH(M545,SK_A,0))="",B545,INDEX(SK_D,MATCH(M545,SK_A,0))),B545),O545,HOLI),IFERROR(IF(INDEX(SK_D,MATCH(M545,SK_A,0))="",B545,INDEX(SK_D,MATCH(M545,SK_A,0))),B545)+O545),B545+O545))</f>
        <v/>
      </c>
      <c r="I545" s="13" t="n"/>
      <c r="J545" s="12" t="n"/>
      <c r="K545" s="11" t="n"/>
      <c r="L545" s="27">
        <f>IF(E545="","",IF(I545="Bỏ qua","—",IF(I545="Xong",IF(AND(ISNUMBER(J545),ISNUMBER(H545),J545&gt;H545),"Xong trễ","Xong"),IF(F545="","CHƯA GIAO","")&amp;IF(NOT(ISNUMBER(H545)),"",IF(TODAY()&gt;H545,IF(F545=""," · ","")&amp;"QUÁ HẠN "&amp;(TODAY()-H545)&amp;" ngày",IF(H545-TODAY()&lt;=3,IF(F545=""," · ","")&amp;"Đến hạn "&amp;IF(H545=TODAY(),"hôm nay","trong "&amp;(H545-TODAY())&amp;" ngày"),""))))))</f>
        <v/>
      </c>
      <c r="Q545">
        <f>IF(AND(E545&lt;&gt;"",R545="Có",I545&lt;&gt;"Xong",I545&lt;&gt;"Bỏ qua",ISNUMBER(H545)),H545+ROW()/100000,"")</f>
        <v/>
      </c>
      <c r="R545">
        <f>IF(M545="","",IFERROR(INDEX(SK_L,MATCH(M545,SK_A,0)),""))</f>
        <v/>
      </c>
    </row>
    <row r="546">
      <c r="A546" s="11">
        <f>IF(M546="","",IFERROR(INDEX(SK_B,MATCH(M546,SK_A,0))&amp;"",""))</f>
        <v/>
      </c>
      <c r="B546" s="24">
        <f>IF(M546="","",IFERROR(INDEX(SK_C,MATCH(M546,SK_A,0)),""))</f>
        <v/>
      </c>
      <c r="C546" s="25">
        <f>IF(O546="","",IF(O546=0,"D",IF(O546&lt;0,"D"&amp;O546,"D+"&amp;O546)))</f>
        <v/>
      </c>
      <c r="D546" s="13" t="n"/>
      <c r="E546" s="11" t="n"/>
      <c r="F546" s="26" t="n"/>
      <c r="G546" s="13" t="n"/>
      <c r="H546" s="12">
        <f>IF(OR(B546="",O546=""),"",IF(O546&gt;0,IF(P546="Làm việc",WORKDAY(IFERROR(IF(INDEX(SK_D,MATCH(M546,SK_A,0))="",B546,INDEX(SK_D,MATCH(M546,SK_A,0))),B546),O546,HOLI),IFERROR(IF(INDEX(SK_D,MATCH(M546,SK_A,0))="",B546,INDEX(SK_D,MATCH(M546,SK_A,0))),B546)+O546),B546+O546))</f>
        <v/>
      </c>
      <c r="I546" s="13" t="n"/>
      <c r="J546" s="12" t="n"/>
      <c r="K546" s="11" t="n"/>
      <c r="L546" s="27">
        <f>IF(E546="","",IF(I546="Bỏ qua","—",IF(I546="Xong",IF(AND(ISNUMBER(J546),ISNUMBER(H546),J546&gt;H546),"Xong trễ","Xong"),IF(F546="","CHƯA GIAO","")&amp;IF(NOT(ISNUMBER(H546)),"",IF(TODAY()&gt;H546,IF(F546=""," · ","")&amp;"QUÁ HẠN "&amp;(TODAY()-H546)&amp;" ngày",IF(H546-TODAY()&lt;=3,IF(F546=""," · ","")&amp;"Đến hạn "&amp;IF(H546=TODAY(),"hôm nay","trong "&amp;(H546-TODAY())&amp;" ngày"),""))))))</f>
        <v/>
      </c>
      <c r="Q546">
        <f>IF(AND(E546&lt;&gt;"",R546="Có",I546&lt;&gt;"Xong",I546&lt;&gt;"Bỏ qua",ISNUMBER(H546)),H546+ROW()/100000,"")</f>
        <v/>
      </c>
      <c r="R546">
        <f>IF(M546="","",IFERROR(INDEX(SK_L,MATCH(M546,SK_A,0)),""))</f>
        <v/>
      </c>
    </row>
    <row r="547">
      <c r="A547" s="11">
        <f>IF(M547="","",IFERROR(INDEX(SK_B,MATCH(M547,SK_A,0))&amp;"",""))</f>
        <v/>
      </c>
      <c r="B547" s="24">
        <f>IF(M547="","",IFERROR(INDEX(SK_C,MATCH(M547,SK_A,0)),""))</f>
        <v/>
      </c>
      <c r="C547" s="25">
        <f>IF(O547="","",IF(O547=0,"D",IF(O547&lt;0,"D"&amp;O547,"D+"&amp;O547)))</f>
        <v/>
      </c>
      <c r="D547" s="13" t="n"/>
      <c r="E547" s="11" t="n"/>
      <c r="F547" s="26" t="n"/>
      <c r="G547" s="13" t="n"/>
      <c r="H547" s="12">
        <f>IF(OR(B547="",O547=""),"",IF(O547&gt;0,IF(P547="Làm việc",WORKDAY(IFERROR(IF(INDEX(SK_D,MATCH(M547,SK_A,0))="",B547,INDEX(SK_D,MATCH(M547,SK_A,0))),B547),O547,HOLI),IFERROR(IF(INDEX(SK_D,MATCH(M547,SK_A,0))="",B547,INDEX(SK_D,MATCH(M547,SK_A,0))),B547)+O547),B547+O547))</f>
        <v/>
      </c>
      <c r="I547" s="13" t="n"/>
      <c r="J547" s="12" t="n"/>
      <c r="K547" s="11" t="n"/>
      <c r="L547" s="27">
        <f>IF(E547="","",IF(I547="Bỏ qua","—",IF(I547="Xong",IF(AND(ISNUMBER(J547),ISNUMBER(H547),J547&gt;H547),"Xong trễ","Xong"),IF(F547="","CHƯA GIAO","")&amp;IF(NOT(ISNUMBER(H547)),"",IF(TODAY()&gt;H547,IF(F547=""," · ","")&amp;"QUÁ HẠN "&amp;(TODAY()-H547)&amp;" ngày",IF(H547-TODAY()&lt;=3,IF(F547=""," · ","")&amp;"Đến hạn "&amp;IF(H547=TODAY(),"hôm nay","trong "&amp;(H547-TODAY())&amp;" ngày"),""))))))</f>
        <v/>
      </c>
      <c r="Q547">
        <f>IF(AND(E547&lt;&gt;"",R547="Có",I547&lt;&gt;"Xong",I547&lt;&gt;"Bỏ qua",ISNUMBER(H547)),H547+ROW()/100000,"")</f>
        <v/>
      </c>
      <c r="R547">
        <f>IF(M547="","",IFERROR(INDEX(SK_L,MATCH(M547,SK_A,0)),""))</f>
        <v/>
      </c>
    </row>
    <row r="548">
      <c r="A548" s="11">
        <f>IF(M548="","",IFERROR(INDEX(SK_B,MATCH(M548,SK_A,0))&amp;"",""))</f>
        <v/>
      </c>
      <c r="B548" s="24">
        <f>IF(M548="","",IFERROR(INDEX(SK_C,MATCH(M548,SK_A,0)),""))</f>
        <v/>
      </c>
      <c r="C548" s="25">
        <f>IF(O548="","",IF(O548=0,"D",IF(O548&lt;0,"D"&amp;O548,"D+"&amp;O548)))</f>
        <v/>
      </c>
      <c r="D548" s="13" t="n"/>
      <c r="E548" s="11" t="n"/>
      <c r="F548" s="26" t="n"/>
      <c r="G548" s="13" t="n"/>
      <c r="H548" s="12">
        <f>IF(OR(B548="",O548=""),"",IF(O548&gt;0,IF(P548="Làm việc",WORKDAY(IFERROR(IF(INDEX(SK_D,MATCH(M548,SK_A,0))="",B548,INDEX(SK_D,MATCH(M548,SK_A,0))),B548),O548,HOLI),IFERROR(IF(INDEX(SK_D,MATCH(M548,SK_A,0))="",B548,INDEX(SK_D,MATCH(M548,SK_A,0))),B548)+O548),B548+O548))</f>
        <v/>
      </c>
      <c r="I548" s="13" t="n"/>
      <c r="J548" s="12" t="n"/>
      <c r="K548" s="11" t="n"/>
      <c r="L548" s="27">
        <f>IF(E548="","",IF(I548="Bỏ qua","—",IF(I548="Xong",IF(AND(ISNUMBER(J548),ISNUMBER(H548),J548&gt;H548),"Xong trễ","Xong"),IF(F548="","CHƯA GIAO","")&amp;IF(NOT(ISNUMBER(H548)),"",IF(TODAY()&gt;H548,IF(F548=""," · ","")&amp;"QUÁ HẠN "&amp;(TODAY()-H548)&amp;" ngày",IF(H548-TODAY()&lt;=3,IF(F548=""," · ","")&amp;"Đến hạn "&amp;IF(H548=TODAY(),"hôm nay","trong "&amp;(H548-TODAY())&amp;" ngày"),""))))))</f>
        <v/>
      </c>
      <c r="Q548">
        <f>IF(AND(E548&lt;&gt;"",R548="Có",I548&lt;&gt;"Xong",I548&lt;&gt;"Bỏ qua",ISNUMBER(H548)),H548+ROW()/100000,"")</f>
        <v/>
      </c>
      <c r="R548">
        <f>IF(M548="","",IFERROR(INDEX(SK_L,MATCH(M548,SK_A,0)),""))</f>
        <v/>
      </c>
    </row>
    <row r="549">
      <c r="A549" s="11">
        <f>IF(M549="","",IFERROR(INDEX(SK_B,MATCH(M549,SK_A,0))&amp;"",""))</f>
        <v/>
      </c>
      <c r="B549" s="24">
        <f>IF(M549="","",IFERROR(INDEX(SK_C,MATCH(M549,SK_A,0)),""))</f>
        <v/>
      </c>
      <c r="C549" s="25">
        <f>IF(O549="","",IF(O549=0,"D",IF(O549&lt;0,"D"&amp;O549,"D+"&amp;O549)))</f>
        <v/>
      </c>
      <c r="D549" s="13" t="n"/>
      <c r="E549" s="11" t="n"/>
      <c r="F549" s="26" t="n"/>
      <c r="G549" s="13" t="n"/>
      <c r="H549" s="12">
        <f>IF(OR(B549="",O549=""),"",IF(O549&gt;0,IF(P549="Làm việc",WORKDAY(IFERROR(IF(INDEX(SK_D,MATCH(M549,SK_A,0))="",B549,INDEX(SK_D,MATCH(M549,SK_A,0))),B549),O549,HOLI),IFERROR(IF(INDEX(SK_D,MATCH(M549,SK_A,0))="",B549,INDEX(SK_D,MATCH(M549,SK_A,0))),B549)+O549),B549+O549))</f>
        <v/>
      </c>
      <c r="I549" s="13" t="n"/>
      <c r="J549" s="12" t="n"/>
      <c r="K549" s="11" t="n"/>
      <c r="L549" s="27">
        <f>IF(E549="","",IF(I549="Bỏ qua","—",IF(I549="Xong",IF(AND(ISNUMBER(J549),ISNUMBER(H549),J549&gt;H549),"Xong trễ","Xong"),IF(F549="","CHƯA GIAO","")&amp;IF(NOT(ISNUMBER(H549)),"",IF(TODAY()&gt;H549,IF(F549=""," · ","")&amp;"QUÁ HẠN "&amp;(TODAY()-H549)&amp;" ngày",IF(H549-TODAY()&lt;=3,IF(F549=""," · ","")&amp;"Đến hạn "&amp;IF(H549=TODAY(),"hôm nay","trong "&amp;(H549-TODAY())&amp;" ngày"),""))))))</f>
        <v/>
      </c>
      <c r="Q549">
        <f>IF(AND(E549&lt;&gt;"",R549="Có",I549&lt;&gt;"Xong",I549&lt;&gt;"Bỏ qua",ISNUMBER(H549)),H549+ROW()/100000,"")</f>
        <v/>
      </c>
      <c r="R549">
        <f>IF(M549="","",IFERROR(INDEX(SK_L,MATCH(M549,SK_A,0)),""))</f>
        <v/>
      </c>
    </row>
    <row r="550">
      <c r="A550" s="11">
        <f>IF(M550="","",IFERROR(INDEX(SK_B,MATCH(M550,SK_A,0))&amp;"",""))</f>
        <v/>
      </c>
      <c r="B550" s="24">
        <f>IF(M550="","",IFERROR(INDEX(SK_C,MATCH(M550,SK_A,0)),""))</f>
        <v/>
      </c>
      <c r="C550" s="25">
        <f>IF(O550="","",IF(O550=0,"D",IF(O550&lt;0,"D"&amp;O550,"D+"&amp;O550)))</f>
        <v/>
      </c>
      <c r="D550" s="13" t="n"/>
      <c r="E550" s="11" t="n"/>
      <c r="F550" s="26" t="n"/>
      <c r="G550" s="13" t="n"/>
      <c r="H550" s="12">
        <f>IF(OR(B550="",O550=""),"",IF(O550&gt;0,IF(P550="Làm việc",WORKDAY(IFERROR(IF(INDEX(SK_D,MATCH(M550,SK_A,0))="",B550,INDEX(SK_D,MATCH(M550,SK_A,0))),B550),O550,HOLI),IFERROR(IF(INDEX(SK_D,MATCH(M550,SK_A,0))="",B550,INDEX(SK_D,MATCH(M550,SK_A,0))),B550)+O550),B550+O550))</f>
        <v/>
      </c>
      <c r="I550" s="13" t="n"/>
      <c r="J550" s="12" t="n"/>
      <c r="K550" s="11" t="n"/>
      <c r="L550" s="27">
        <f>IF(E550="","",IF(I550="Bỏ qua","—",IF(I550="Xong",IF(AND(ISNUMBER(J550),ISNUMBER(H550),J550&gt;H550),"Xong trễ","Xong"),IF(F550="","CHƯA GIAO","")&amp;IF(NOT(ISNUMBER(H550)),"",IF(TODAY()&gt;H550,IF(F550=""," · ","")&amp;"QUÁ HẠN "&amp;(TODAY()-H550)&amp;" ngày",IF(H550-TODAY()&lt;=3,IF(F550=""," · ","")&amp;"Đến hạn "&amp;IF(H550=TODAY(),"hôm nay","trong "&amp;(H550-TODAY())&amp;" ngày"),""))))))</f>
        <v/>
      </c>
      <c r="Q550">
        <f>IF(AND(E550&lt;&gt;"",R550="Có",I550&lt;&gt;"Xong",I550&lt;&gt;"Bỏ qua",ISNUMBER(H550)),H550+ROW()/100000,"")</f>
        <v/>
      </c>
      <c r="R550">
        <f>IF(M550="","",IFERROR(INDEX(SK_L,MATCH(M550,SK_A,0)),""))</f>
        <v/>
      </c>
    </row>
    <row r="551">
      <c r="A551" s="11">
        <f>IF(M551="","",IFERROR(INDEX(SK_B,MATCH(M551,SK_A,0))&amp;"",""))</f>
        <v/>
      </c>
      <c r="B551" s="24">
        <f>IF(M551="","",IFERROR(INDEX(SK_C,MATCH(M551,SK_A,0)),""))</f>
        <v/>
      </c>
      <c r="C551" s="25">
        <f>IF(O551="","",IF(O551=0,"D",IF(O551&lt;0,"D"&amp;O551,"D+"&amp;O551)))</f>
        <v/>
      </c>
      <c r="D551" s="13" t="n"/>
      <c r="E551" s="11" t="n"/>
      <c r="F551" s="26" t="n"/>
      <c r="G551" s="13" t="n"/>
      <c r="H551" s="12">
        <f>IF(OR(B551="",O551=""),"",IF(O551&gt;0,IF(P551="Làm việc",WORKDAY(IFERROR(IF(INDEX(SK_D,MATCH(M551,SK_A,0))="",B551,INDEX(SK_D,MATCH(M551,SK_A,0))),B551),O551,HOLI),IFERROR(IF(INDEX(SK_D,MATCH(M551,SK_A,0))="",B551,INDEX(SK_D,MATCH(M551,SK_A,0))),B551)+O551),B551+O551))</f>
        <v/>
      </c>
      <c r="I551" s="13" t="n"/>
      <c r="J551" s="12" t="n"/>
      <c r="K551" s="11" t="n"/>
      <c r="L551" s="27">
        <f>IF(E551="","",IF(I551="Bỏ qua","—",IF(I551="Xong",IF(AND(ISNUMBER(J551),ISNUMBER(H551),J551&gt;H551),"Xong trễ","Xong"),IF(F551="","CHƯA GIAO","")&amp;IF(NOT(ISNUMBER(H551)),"",IF(TODAY()&gt;H551,IF(F551=""," · ","")&amp;"QUÁ HẠN "&amp;(TODAY()-H551)&amp;" ngày",IF(H551-TODAY()&lt;=3,IF(F551=""," · ","")&amp;"Đến hạn "&amp;IF(H551=TODAY(),"hôm nay","trong "&amp;(H551-TODAY())&amp;" ngày"),""))))))</f>
        <v/>
      </c>
      <c r="Q551">
        <f>IF(AND(E551&lt;&gt;"",R551="Có",I551&lt;&gt;"Xong",I551&lt;&gt;"Bỏ qua",ISNUMBER(H551)),H551+ROW()/100000,"")</f>
        <v/>
      </c>
      <c r="R551">
        <f>IF(M551="","",IFERROR(INDEX(SK_L,MATCH(M551,SK_A,0)),""))</f>
        <v/>
      </c>
    </row>
    <row r="552">
      <c r="A552" s="11">
        <f>IF(M552="","",IFERROR(INDEX(SK_B,MATCH(M552,SK_A,0))&amp;"",""))</f>
        <v/>
      </c>
      <c r="B552" s="24">
        <f>IF(M552="","",IFERROR(INDEX(SK_C,MATCH(M552,SK_A,0)),""))</f>
        <v/>
      </c>
      <c r="C552" s="25">
        <f>IF(O552="","",IF(O552=0,"D",IF(O552&lt;0,"D"&amp;O552,"D+"&amp;O552)))</f>
        <v/>
      </c>
      <c r="D552" s="13" t="n"/>
      <c r="E552" s="11" t="n"/>
      <c r="F552" s="26" t="n"/>
      <c r="G552" s="13" t="n"/>
      <c r="H552" s="12">
        <f>IF(OR(B552="",O552=""),"",IF(O552&gt;0,IF(P552="Làm việc",WORKDAY(IFERROR(IF(INDEX(SK_D,MATCH(M552,SK_A,0))="",B552,INDEX(SK_D,MATCH(M552,SK_A,0))),B552),O552,HOLI),IFERROR(IF(INDEX(SK_D,MATCH(M552,SK_A,0))="",B552,INDEX(SK_D,MATCH(M552,SK_A,0))),B552)+O552),B552+O552))</f>
        <v/>
      </c>
      <c r="I552" s="13" t="n"/>
      <c r="J552" s="12" t="n"/>
      <c r="K552" s="11" t="n"/>
      <c r="L552" s="27">
        <f>IF(E552="","",IF(I552="Bỏ qua","—",IF(I552="Xong",IF(AND(ISNUMBER(J552),ISNUMBER(H552),J552&gt;H552),"Xong trễ","Xong"),IF(F552="","CHƯA GIAO","")&amp;IF(NOT(ISNUMBER(H552)),"",IF(TODAY()&gt;H552,IF(F552=""," · ","")&amp;"QUÁ HẠN "&amp;(TODAY()-H552)&amp;" ngày",IF(H552-TODAY()&lt;=3,IF(F552=""," · ","")&amp;"Đến hạn "&amp;IF(H552=TODAY(),"hôm nay","trong "&amp;(H552-TODAY())&amp;" ngày"),""))))))</f>
        <v/>
      </c>
      <c r="Q552">
        <f>IF(AND(E552&lt;&gt;"",R552="Có",I552&lt;&gt;"Xong",I552&lt;&gt;"Bỏ qua",ISNUMBER(H552)),H552+ROW()/100000,"")</f>
        <v/>
      </c>
      <c r="R552">
        <f>IF(M552="","",IFERROR(INDEX(SK_L,MATCH(M552,SK_A,0)),""))</f>
        <v/>
      </c>
    </row>
    <row r="553">
      <c r="A553" s="11">
        <f>IF(M553="","",IFERROR(INDEX(SK_B,MATCH(M553,SK_A,0))&amp;"",""))</f>
        <v/>
      </c>
      <c r="B553" s="24">
        <f>IF(M553="","",IFERROR(INDEX(SK_C,MATCH(M553,SK_A,0)),""))</f>
        <v/>
      </c>
      <c r="C553" s="25">
        <f>IF(O553="","",IF(O553=0,"D",IF(O553&lt;0,"D"&amp;O553,"D+"&amp;O553)))</f>
        <v/>
      </c>
      <c r="D553" s="13" t="n"/>
      <c r="E553" s="11" t="n"/>
      <c r="F553" s="26" t="n"/>
      <c r="G553" s="13" t="n"/>
      <c r="H553" s="12">
        <f>IF(OR(B553="",O553=""),"",IF(O553&gt;0,IF(P553="Làm việc",WORKDAY(IFERROR(IF(INDEX(SK_D,MATCH(M553,SK_A,0))="",B553,INDEX(SK_D,MATCH(M553,SK_A,0))),B553),O553,HOLI),IFERROR(IF(INDEX(SK_D,MATCH(M553,SK_A,0))="",B553,INDEX(SK_D,MATCH(M553,SK_A,0))),B553)+O553),B553+O553))</f>
        <v/>
      </c>
      <c r="I553" s="13" t="n"/>
      <c r="J553" s="12" t="n"/>
      <c r="K553" s="11" t="n"/>
      <c r="L553" s="27">
        <f>IF(E553="","",IF(I553="Bỏ qua","—",IF(I553="Xong",IF(AND(ISNUMBER(J553),ISNUMBER(H553),J553&gt;H553),"Xong trễ","Xong"),IF(F553="","CHƯA GIAO","")&amp;IF(NOT(ISNUMBER(H553)),"",IF(TODAY()&gt;H553,IF(F553=""," · ","")&amp;"QUÁ HẠN "&amp;(TODAY()-H553)&amp;" ngày",IF(H553-TODAY()&lt;=3,IF(F553=""," · ","")&amp;"Đến hạn "&amp;IF(H553=TODAY(),"hôm nay","trong "&amp;(H553-TODAY())&amp;" ngày"),""))))))</f>
        <v/>
      </c>
      <c r="Q553">
        <f>IF(AND(E553&lt;&gt;"",R553="Có",I553&lt;&gt;"Xong",I553&lt;&gt;"Bỏ qua",ISNUMBER(H553)),H553+ROW()/100000,"")</f>
        <v/>
      </c>
      <c r="R553">
        <f>IF(M553="","",IFERROR(INDEX(SK_L,MATCH(M553,SK_A,0)),""))</f>
        <v/>
      </c>
    </row>
    <row r="554">
      <c r="A554" s="11">
        <f>IF(M554="","",IFERROR(INDEX(SK_B,MATCH(M554,SK_A,0))&amp;"",""))</f>
        <v/>
      </c>
      <c r="B554" s="24">
        <f>IF(M554="","",IFERROR(INDEX(SK_C,MATCH(M554,SK_A,0)),""))</f>
        <v/>
      </c>
      <c r="C554" s="25">
        <f>IF(O554="","",IF(O554=0,"D",IF(O554&lt;0,"D"&amp;O554,"D+"&amp;O554)))</f>
        <v/>
      </c>
      <c r="D554" s="13" t="n"/>
      <c r="E554" s="11" t="n"/>
      <c r="F554" s="26" t="n"/>
      <c r="G554" s="13" t="n"/>
      <c r="H554" s="12">
        <f>IF(OR(B554="",O554=""),"",IF(O554&gt;0,IF(P554="Làm việc",WORKDAY(IFERROR(IF(INDEX(SK_D,MATCH(M554,SK_A,0))="",B554,INDEX(SK_D,MATCH(M554,SK_A,0))),B554),O554,HOLI),IFERROR(IF(INDEX(SK_D,MATCH(M554,SK_A,0))="",B554,INDEX(SK_D,MATCH(M554,SK_A,0))),B554)+O554),B554+O554))</f>
        <v/>
      </c>
      <c r="I554" s="13" t="n"/>
      <c r="J554" s="12" t="n"/>
      <c r="K554" s="11" t="n"/>
      <c r="L554" s="27">
        <f>IF(E554="","",IF(I554="Bỏ qua","—",IF(I554="Xong",IF(AND(ISNUMBER(J554),ISNUMBER(H554),J554&gt;H554),"Xong trễ","Xong"),IF(F554="","CHƯA GIAO","")&amp;IF(NOT(ISNUMBER(H554)),"",IF(TODAY()&gt;H554,IF(F554=""," · ","")&amp;"QUÁ HẠN "&amp;(TODAY()-H554)&amp;" ngày",IF(H554-TODAY()&lt;=3,IF(F554=""," · ","")&amp;"Đến hạn "&amp;IF(H554=TODAY(),"hôm nay","trong "&amp;(H554-TODAY())&amp;" ngày"),""))))))</f>
        <v/>
      </c>
      <c r="Q554">
        <f>IF(AND(E554&lt;&gt;"",R554="Có",I554&lt;&gt;"Xong",I554&lt;&gt;"Bỏ qua",ISNUMBER(H554)),H554+ROW()/100000,"")</f>
        <v/>
      </c>
      <c r="R554">
        <f>IF(M554="","",IFERROR(INDEX(SK_L,MATCH(M554,SK_A,0)),""))</f>
        <v/>
      </c>
    </row>
    <row r="555">
      <c r="A555" s="11">
        <f>IF(M555="","",IFERROR(INDEX(SK_B,MATCH(M555,SK_A,0))&amp;"",""))</f>
        <v/>
      </c>
      <c r="B555" s="24">
        <f>IF(M555="","",IFERROR(INDEX(SK_C,MATCH(M555,SK_A,0)),""))</f>
        <v/>
      </c>
      <c r="C555" s="25">
        <f>IF(O555="","",IF(O555=0,"D",IF(O555&lt;0,"D"&amp;O555,"D+"&amp;O555)))</f>
        <v/>
      </c>
      <c r="D555" s="13" t="n"/>
      <c r="E555" s="11" t="n"/>
      <c r="F555" s="26" t="n"/>
      <c r="G555" s="13" t="n"/>
      <c r="H555" s="12">
        <f>IF(OR(B555="",O555=""),"",IF(O555&gt;0,IF(P555="Làm việc",WORKDAY(IFERROR(IF(INDEX(SK_D,MATCH(M555,SK_A,0))="",B555,INDEX(SK_D,MATCH(M555,SK_A,0))),B555),O555,HOLI),IFERROR(IF(INDEX(SK_D,MATCH(M555,SK_A,0))="",B555,INDEX(SK_D,MATCH(M555,SK_A,0))),B555)+O555),B555+O555))</f>
        <v/>
      </c>
      <c r="I555" s="13" t="n"/>
      <c r="J555" s="12" t="n"/>
      <c r="K555" s="11" t="n"/>
      <c r="L555" s="27">
        <f>IF(E555="","",IF(I555="Bỏ qua","—",IF(I555="Xong",IF(AND(ISNUMBER(J555),ISNUMBER(H555),J555&gt;H555),"Xong trễ","Xong"),IF(F555="","CHƯA GIAO","")&amp;IF(NOT(ISNUMBER(H555)),"",IF(TODAY()&gt;H555,IF(F555=""," · ","")&amp;"QUÁ HẠN "&amp;(TODAY()-H555)&amp;" ngày",IF(H555-TODAY()&lt;=3,IF(F555=""," · ","")&amp;"Đến hạn "&amp;IF(H555=TODAY(),"hôm nay","trong "&amp;(H555-TODAY())&amp;" ngày"),""))))))</f>
        <v/>
      </c>
      <c r="Q555">
        <f>IF(AND(E555&lt;&gt;"",R555="Có",I555&lt;&gt;"Xong",I555&lt;&gt;"Bỏ qua",ISNUMBER(H555)),H555+ROW()/100000,"")</f>
        <v/>
      </c>
      <c r="R555">
        <f>IF(M555="","",IFERROR(INDEX(SK_L,MATCH(M555,SK_A,0)),""))</f>
        <v/>
      </c>
    </row>
    <row r="556">
      <c r="A556" s="11">
        <f>IF(M556="","",IFERROR(INDEX(SK_B,MATCH(M556,SK_A,0))&amp;"",""))</f>
        <v/>
      </c>
      <c r="B556" s="24">
        <f>IF(M556="","",IFERROR(INDEX(SK_C,MATCH(M556,SK_A,0)),""))</f>
        <v/>
      </c>
      <c r="C556" s="25">
        <f>IF(O556="","",IF(O556=0,"D",IF(O556&lt;0,"D"&amp;O556,"D+"&amp;O556)))</f>
        <v/>
      </c>
      <c r="D556" s="13" t="n"/>
      <c r="E556" s="11" t="n"/>
      <c r="F556" s="26" t="n"/>
      <c r="G556" s="13" t="n"/>
      <c r="H556" s="12">
        <f>IF(OR(B556="",O556=""),"",IF(O556&gt;0,IF(P556="Làm việc",WORKDAY(IFERROR(IF(INDEX(SK_D,MATCH(M556,SK_A,0))="",B556,INDEX(SK_D,MATCH(M556,SK_A,0))),B556),O556,HOLI),IFERROR(IF(INDEX(SK_D,MATCH(M556,SK_A,0))="",B556,INDEX(SK_D,MATCH(M556,SK_A,0))),B556)+O556),B556+O556))</f>
        <v/>
      </c>
      <c r="I556" s="13" t="n"/>
      <c r="J556" s="12" t="n"/>
      <c r="K556" s="11" t="n"/>
      <c r="L556" s="27">
        <f>IF(E556="","",IF(I556="Bỏ qua","—",IF(I556="Xong",IF(AND(ISNUMBER(J556),ISNUMBER(H556),J556&gt;H556),"Xong trễ","Xong"),IF(F556="","CHƯA GIAO","")&amp;IF(NOT(ISNUMBER(H556)),"",IF(TODAY()&gt;H556,IF(F556=""," · ","")&amp;"QUÁ HẠN "&amp;(TODAY()-H556)&amp;" ngày",IF(H556-TODAY()&lt;=3,IF(F556=""," · ","")&amp;"Đến hạn "&amp;IF(H556=TODAY(),"hôm nay","trong "&amp;(H556-TODAY())&amp;" ngày"),""))))))</f>
        <v/>
      </c>
      <c r="Q556">
        <f>IF(AND(E556&lt;&gt;"",R556="Có",I556&lt;&gt;"Xong",I556&lt;&gt;"Bỏ qua",ISNUMBER(H556)),H556+ROW()/100000,"")</f>
        <v/>
      </c>
      <c r="R556">
        <f>IF(M556="","",IFERROR(INDEX(SK_L,MATCH(M556,SK_A,0)),""))</f>
        <v/>
      </c>
    </row>
    <row r="557">
      <c r="A557" s="11">
        <f>IF(M557="","",IFERROR(INDEX(SK_B,MATCH(M557,SK_A,0))&amp;"",""))</f>
        <v/>
      </c>
      <c r="B557" s="24">
        <f>IF(M557="","",IFERROR(INDEX(SK_C,MATCH(M557,SK_A,0)),""))</f>
        <v/>
      </c>
      <c r="C557" s="25">
        <f>IF(O557="","",IF(O557=0,"D",IF(O557&lt;0,"D"&amp;O557,"D+"&amp;O557)))</f>
        <v/>
      </c>
      <c r="D557" s="13" t="n"/>
      <c r="E557" s="11" t="n"/>
      <c r="F557" s="26" t="n"/>
      <c r="G557" s="13" t="n"/>
      <c r="H557" s="12">
        <f>IF(OR(B557="",O557=""),"",IF(O557&gt;0,IF(P557="Làm việc",WORKDAY(IFERROR(IF(INDEX(SK_D,MATCH(M557,SK_A,0))="",B557,INDEX(SK_D,MATCH(M557,SK_A,0))),B557),O557,HOLI),IFERROR(IF(INDEX(SK_D,MATCH(M557,SK_A,0))="",B557,INDEX(SK_D,MATCH(M557,SK_A,0))),B557)+O557),B557+O557))</f>
        <v/>
      </c>
      <c r="I557" s="13" t="n"/>
      <c r="J557" s="12" t="n"/>
      <c r="K557" s="11" t="n"/>
      <c r="L557" s="27">
        <f>IF(E557="","",IF(I557="Bỏ qua","—",IF(I557="Xong",IF(AND(ISNUMBER(J557),ISNUMBER(H557),J557&gt;H557),"Xong trễ","Xong"),IF(F557="","CHƯA GIAO","")&amp;IF(NOT(ISNUMBER(H557)),"",IF(TODAY()&gt;H557,IF(F557=""," · ","")&amp;"QUÁ HẠN "&amp;(TODAY()-H557)&amp;" ngày",IF(H557-TODAY()&lt;=3,IF(F557=""," · ","")&amp;"Đến hạn "&amp;IF(H557=TODAY(),"hôm nay","trong "&amp;(H557-TODAY())&amp;" ngày"),""))))))</f>
        <v/>
      </c>
      <c r="Q557">
        <f>IF(AND(E557&lt;&gt;"",R557="Có",I557&lt;&gt;"Xong",I557&lt;&gt;"Bỏ qua",ISNUMBER(H557)),H557+ROW()/100000,"")</f>
        <v/>
      </c>
      <c r="R557">
        <f>IF(M557="","",IFERROR(INDEX(SK_L,MATCH(M557,SK_A,0)),""))</f>
        <v/>
      </c>
    </row>
    <row r="558">
      <c r="A558" s="11">
        <f>IF(M558="","",IFERROR(INDEX(SK_B,MATCH(M558,SK_A,0))&amp;"",""))</f>
        <v/>
      </c>
      <c r="B558" s="24">
        <f>IF(M558="","",IFERROR(INDEX(SK_C,MATCH(M558,SK_A,0)),""))</f>
        <v/>
      </c>
      <c r="C558" s="25">
        <f>IF(O558="","",IF(O558=0,"D",IF(O558&lt;0,"D"&amp;O558,"D+"&amp;O558)))</f>
        <v/>
      </c>
      <c r="D558" s="13" t="n"/>
      <c r="E558" s="11" t="n"/>
      <c r="F558" s="26" t="n"/>
      <c r="G558" s="13" t="n"/>
      <c r="H558" s="12">
        <f>IF(OR(B558="",O558=""),"",IF(O558&gt;0,IF(P558="Làm việc",WORKDAY(IFERROR(IF(INDEX(SK_D,MATCH(M558,SK_A,0))="",B558,INDEX(SK_D,MATCH(M558,SK_A,0))),B558),O558,HOLI),IFERROR(IF(INDEX(SK_D,MATCH(M558,SK_A,0))="",B558,INDEX(SK_D,MATCH(M558,SK_A,0))),B558)+O558),B558+O558))</f>
        <v/>
      </c>
      <c r="I558" s="13" t="n"/>
      <c r="J558" s="12" t="n"/>
      <c r="K558" s="11" t="n"/>
      <c r="L558" s="27">
        <f>IF(E558="","",IF(I558="Bỏ qua","—",IF(I558="Xong",IF(AND(ISNUMBER(J558),ISNUMBER(H558),J558&gt;H558),"Xong trễ","Xong"),IF(F558="","CHƯA GIAO","")&amp;IF(NOT(ISNUMBER(H558)),"",IF(TODAY()&gt;H558,IF(F558=""," · ","")&amp;"QUÁ HẠN "&amp;(TODAY()-H558)&amp;" ngày",IF(H558-TODAY()&lt;=3,IF(F558=""," · ","")&amp;"Đến hạn "&amp;IF(H558=TODAY(),"hôm nay","trong "&amp;(H558-TODAY())&amp;" ngày"),""))))))</f>
        <v/>
      </c>
      <c r="Q558">
        <f>IF(AND(E558&lt;&gt;"",R558="Có",I558&lt;&gt;"Xong",I558&lt;&gt;"Bỏ qua",ISNUMBER(H558)),H558+ROW()/100000,"")</f>
        <v/>
      </c>
      <c r="R558">
        <f>IF(M558="","",IFERROR(INDEX(SK_L,MATCH(M558,SK_A,0)),""))</f>
        <v/>
      </c>
    </row>
    <row r="559">
      <c r="A559" s="11">
        <f>IF(M559="","",IFERROR(INDEX(SK_B,MATCH(M559,SK_A,0))&amp;"",""))</f>
        <v/>
      </c>
      <c r="B559" s="24">
        <f>IF(M559="","",IFERROR(INDEX(SK_C,MATCH(M559,SK_A,0)),""))</f>
        <v/>
      </c>
      <c r="C559" s="25">
        <f>IF(O559="","",IF(O559=0,"D",IF(O559&lt;0,"D"&amp;O559,"D+"&amp;O559)))</f>
        <v/>
      </c>
      <c r="D559" s="13" t="n"/>
      <c r="E559" s="11" t="n"/>
      <c r="F559" s="26" t="n"/>
      <c r="G559" s="13" t="n"/>
      <c r="H559" s="12">
        <f>IF(OR(B559="",O559=""),"",IF(O559&gt;0,IF(P559="Làm việc",WORKDAY(IFERROR(IF(INDEX(SK_D,MATCH(M559,SK_A,0))="",B559,INDEX(SK_D,MATCH(M559,SK_A,0))),B559),O559,HOLI),IFERROR(IF(INDEX(SK_D,MATCH(M559,SK_A,0))="",B559,INDEX(SK_D,MATCH(M559,SK_A,0))),B559)+O559),B559+O559))</f>
        <v/>
      </c>
      <c r="I559" s="13" t="n"/>
      <c r="J559" s="12" t="n"/>
      <c r="K559" s="11" t="n"/>
      <c r="L559" s="27">
        <f>IF(E559="","",IF(I559="Bỏ qua","—",IF(I559="Xong",IF(AND(ISNUMBER(J559),ISNUMBER(H559),J559&gt;H559),"Xong trễ","Xong"),IF(F559="","CHƯA GIAO","")&amp;IF(NOT(ISNUMBER(H559)),"",IF(TODAY()&gt;H559,IF(F559=""," · ","")&amp;"QUÁ HẠN "&amp;(TODAY()-H559)&amp;" ngày",IF(H559-TODAY()&lt;=3,IF(F559=""," · ","")&amp;"Đến hạn "&amp;IF(H559=TODAY(),"hôm nay","trong "&amp;(H559-TODAY())&amp;" ngày"),""))))))</f>
        <v/>
      </c>
      <c r="Q559">
        <f>IF(AND(E559&lt;&gt;"",R559="Có",I559&lt;&gt;"Xong",I559&lt;&gt;"Bỏ qua",ISNUMBER(H559)),H559+ROW()/100000,"")</f>
        <v/>
      </c>
      <c r="R559">
        <f>IF(M559="","",IFERROR(INDEX(SK_L,MATCH(M559,SK_A,0)),""))</f>
        <v/>
      </c>
    </row>
    <row r="560">
      <c r="A560" s="11">
        <f>IF(M560="","",IFERROR(INDEX(SK_B,MATCH(M560,SK_A,0))&amp;"",""))</f>
        <v/>
      </c>
      <c r="B560" s="24">
        <f>IF(M560="","",IFERROR(INDEX(SK_C,MATCH(M560,SK_A,0)),""))</f>
        <v/>
      </c>
      <c r="C560" s="25">
        <f>IF(O560="","",IF(O560=0,"D",IF(O560&lt;0,"D"&amp;O560,"D+"&amp;O560)))</f>
        <v/>
      </c>
      <c r="D560" s="13" t="n"/>
      <c r="E560" s="11" t="n"/>
      <c r="F560" s="26" t="n"/>
      <c r="G560" s="13" t="n"/>
      <c r="H560" s="12">
        <f>IF(OR(B560="",O560=""),"",IF(O560&gt;0,IF(P560="Làm việc",WORKDAY(IFERROR(IF(INDEX(SK_D,MATCH(M560,SK_A,0))="",B560,INDEX(SK_D,MATCH(M560,SK_A,0))),B560),O560,HOLI),IFERROR(IF(INDEX(SK_D,MATCH(M560,SK_A,0))="",B560,INDEX(SK_D,MATCH(M560,SK_A,0))),B560)+O560),B560+O560))</f>
        <v/>
      </c>
      <c r="I560" s="13" t="n"/>
      <c r="J560" s="12" t="n"/>
      <c r="K560" s="11" t="n"/>
      <c r="L560" s="27">
        <f>IF(E560="","",IF(I560="Bỏ qua","—",IF(I560="Xong",IF(AND(ISNUMBER(J560),ISNUMBER(H560),J560&gt;H560),"Xong trễ","Xong"),IF(F560="","CHƯA GIAO","")&amp;IF(NOT(ISNUMBER(H560)),"",IF(TODAY()&gt;H560,IF(F560=""," · ","")&amp;"QUÁ HẠN "&amp;(TODAY()-H560)&amp;" ngày",IF(H560-TODAY()&lt;=3,IF(F560=""," · ","")&amp;"Đến hạn "&amp;IF(H560=TODAY(),"hôm nay","trong "&amp;(H560-TODAY())&amp;" ngày"),""))))))</f>
        <v/>
      </c>
      <c r="Q560">
        <f>IF(AND(E560&lt;&gt;"",R560="Có",I560&lt;&gt;"Xong",I560&lt;&gt;"Bỏ qua",ISNUMBER(H560)),H560+ROW()/100000,"")</f>
        <v/>
      </c>
      <c r="R560">
        <f>IF(M560="","",IFERROR(INDEX(SK_L,MATCH(M560,SK_A,0)),""))</f>
        <v/>
      </c>
    </row>
    <row r="561">
      <c r="A561" s="11">
        <f>IF(M561="","",IFERROR(INDEX(SK_B,MATCH(M561,SK_A,0))&amp;"",""))</f>
        <v/>
      </c>
      <c r="B561" s="24">
        <f>IF(M561="","",IFERROR(INDEX(SK_C,MATCH(M561,SK_A,0)),""))</f>
        <v/>
      </c>
      <c r="C561" s="25">
        <f>IF(O561="","",IF(O561=0,"D",IF(O561&lt;0,"D"&amp;O561,"D+"&amp;O561)))</f>
        <v/>
      </c>
      <c r="D561" s="13" t="n"/>
      <c r="E561" s="11" t="n"/>
      <c r="F561" s="26" t="n"/>
      <c r="G561" s="13" t="n"/>
      <c r="H561" s="12">
        <f>IF(OR(B561="",O561=""),"",IF(O561&gt;0,IF(P561="Làm việc",WORKDAY(IFERROR(IF(INDEX(SK_D,MATCH(M561,SK_A,0))="",B561,INDEX(SK_D,MATCH(M561,SK_A,0))),B561),O561,HOLI),IFERROR(IF(INDEX(SK_D,MATCH(M561,SK_A,0))="",B561,INDEX(SK_D,MATCH(M561,SK_A,0))),B561)+O561),B561+O561))</f>
        <v/>
      </c>
      <c r="I561" s="13" t="n"/>
      <c r="J561" s="12" t="n"/>
      <c r="K561" s="11" t="n"/>
      <c r="L561" s="27">
        <f>IF(E561="","",IF(I561="Bỏ qua","—",IF(I561="Xong",IF(AND(ISNUMBER(J561),ISNUMBER(H561),J561&gt;H561),"Xong trễ","Xong"),IF(F561="","CHƯA GIAO","")&amp;IF(NOT(ISNUMBER(H561)),"",IF(TODAY()&gt;H561,IF(F561=""," · ","")&amp;"QUÁ HẠN "&amp;(TODAY()-H561)&amp;" ngày",IF(H561-TODAY()&lt;=3,IF(F561=""," · ","")&amp;"Đến hạn "&amp;IF(H561=TODAY(),"hôm nay","trong "&amp;(H561-TODAY())&amp;" ngày"),""))))))</f>
        <v/>
      </c>
      <c r="Q561">
        <f>IF(AND(E561&lt;&gt;"",R561="Có",I561&lt;&gt;"Xong",I561&lt;&gt;"Bỏ qua",ISNUMBER(H561)),H561+ROW()/100000,"")</f>
        <v/>
      </c>
      <c r="R561">
        <f>IF(M561="","",IFERROR(INDEX(SK_L,MATCH(M561,SK_A,0)),""))</f>
        <v/>
      </c>
    </row>
    <row r="562">
      <c r="A562" s="11">
        <f>IF(M562="","",IFERROR(INDEX(SK_B,MATCH(M562,SK_A,0))&amp;"",""))</f>
        <v/>
      </c>
      <c r="B562" s="24">
        <f>IF(M562="","",IFERROR(INDEX(SK_C,MATCH(M562,SK_A,0)),""))</f>
        <v/>
      </c>
      <c r="C562" s="25">
        <f>IF(O562="","",IF(O562=0,"D",IF(O562&lt;0,"D"&amp;O562,"D+"&amp;O562)))</f>
        <v/>
      </c>
      <c r="D562" s="13" t="n"/>
      <c r="E562" s="11" t="n"/>
      <c r="F562" s="26" t="n"/>
      <c r="G562" s="13" t="n"/>
      <c r="H562" s="12">
        <f>IF(OR(B562="",O562=""),"",IF(O562&gt;0,IF(P562="Làm việc",WORKDAY(IFERROR(IF(INDEX(SK_D,MATCH(M562,SK_A,0))="",B562,INDEX(SK_D,MATCH(M562,SK_A,0))),B562),O562,HOLI),IFERROR(IF(INDEX(SK_D,MATCH(M562,SK_A,0))="",B562,INDEX(SK_D,MATCH(M562,SK_A,0))),B562)+O562),B562+O562))</f>
        <v/>
      </c>
      <c r="I562" s="13" t="n"/>
      <c r="J562" s="12" t="n"/>
      <c r="K562" s="11" t="n"/>
      <c r="L562" s="27">
        <f>IF(E562="","",IF(I562="Bỏ qua","—",IF(I562="Xong",IF(AND(ISNUMBER(J562),ISNUMBER(H562),J562&gt;H562),"Xong trễ","Xong"),IF(F562="","CHƯA GIAO","")&amp;IF(NOT(ISNUMBER(H562)),"",IF(TODAY()&gt;H562,IF(F562=""," · ","")&amp;"QUÁ HẠN "&amp;(TODAY()-H562)&amp;" ngày",IF(H562-TODAY()&lt;=3,IF(F562=""," · ","")&amp;"Đến hạn "&amp;IF(H562=TODAY(),"hôm nay","trong "&amp;(H562-TODAY())&amp;" ngày"),""))))))</f>
        <v/>
      </c>
      <c r="Q562">
        <f>IF(AND(E562&lt;&gt;"",R562="Có",I562&lt;&gt;"Xong",I562&lt;&gt;"Bỏ qua",ISNUMBER(H562)),H562+ROW()/100000,"")</f>
        <v/>
      </c>
      <c r="R562">
        <f>IF(M562="","",IFERROR(INDEX(SK_L,MATCH(M562,SK_A,0)),""))</f>
        <v/>
      </c>
    </row>
    <row r="563">
      <c r="A563" s="11">
        <f>IF(M563="","",IFERROR(INDEX(SK_B,MATCH(M563,SK_A,0))&amp;"",""))</f>
        <v/>
      </c>
      <c r="B563" s="24">
        <f>IF(M563="","",IFERROR(INDEX(SK_C,MATCH(M563,SK_A,0)),""))</f>
        <v/>
      </c>
      <c r="C563" s="25">
        <f>IF(O563="","",IF(O563=0,"D",IF(O563&lt;0,"D"&amp;O563,"D+"&amp;O563)))</f>
        <v/>
      </c>
      <c r="D563" s="13" t="n"/>
      <c r="E563" s="11" t="n"/>
      <c r="F563" s="26" t="n"/>
      <c r="G563" s="13" t="n"/>
      <c r="H563" s="12">
        <f>IF(OR(B563="",O563=""),"",IF(O563&gt;0,IF(P563="Làm việc",WORKDAY(IFERROR(IF(INDEX(SK_D,MATCH(M563,SK_A,0))="",B563,INDEX(SK_D,MATCH(M563,SK_A,0))),B563),O563,HOLI),IFERROR(IF(INDEX(SK_D,MATCH(M563,SK_A,0))="",B563,INDEX(SK_D,MATCH(M563,SK_A,0))),B563)+O563),B563+O563))</f>
        <v/>
      </c>
      <c r="I563" s="13" t="n"/>
      <c r="J563" s="12" t="n"/>
      <c r="K563" s="11" t="n"/>
      <c r="L563" s="27">
        <f>IF(E563="","",IF(I563="Bỏ qua","—",IF(I563="Xong",IF(AND(ISNUMBER(J563),ISNUMBER(H563),J563&gt;H563),"Xong trễ","Xong"),IF(F563="","CHƯA GIAO","")&amp;IF(NOT(ISNUMBER(H563)),"",IF(TODAY()&gt;H563,IF(F563=""," · ","")&amp;"QUÁ HẠN "&amp;(TODAY()-H563)&amp;" ngày",IF(H563-TODAY()&lt;=3,IF(F563=""," · ","")&amp;"Đến hạn "&amp;IF(H563=TODAY(),"hôm nay","trong "&amp;(H563-TODAY())&amp;" ngày"),""))))))</f>
        <v/>
      </c>
      <c r="Q563">
        <f>IF(AND(E563&lt;&gt;"",R563="Có",I563&lt;&gt;"Xong",I563&lt;&gt;"Bỏ qua",ISNUMBER(H563)),H563+ROW()/100000,"")</f>
        <v/>
      </c>
      <c r="R563">
        <f>IF(M563="","",IFERROR(INDEX(SK_L,MATCH(M563,SK_A,0)),""))</f>
        <v/>
      </c>
    </row>
    <row r="564">
      <c r="A564" s="11">
        <f>IF(M564="","",IFERROR(INDEX(SK_B,MATCH(M564,SK_A,0))&amp;"",""))</f>
        <v/>
      </c>
      <c r="B564" s="24">
        <f>IF(M564="","",IFERROR(INDEX(SK_C,MATCH(M564,SK_A,0)),""))</f>
        <v/>
      </c>
      <c r="C564" s="25">
        <f>IF(O564="","",IF(O564=0,"D",IF(O564&lt;0,"D"&amp;O564,"D+"&amp;O564)))</f>
        <v/>
      </c>
      <c r="D564" s="13" t="n"/>
      <c r="E564" s="11" t="n"/>
      <c r="F564" s="26" t="n"/>
      <c r="G564" s="13" t="n"/>
      <c r="H564" s="12">
        <f>IF(OR(B564="",O564=""),"",IF(O564&gt;0,IF(P564="Làm việc",WORKDAY(IFERROR(IF(INDEX(SK_D,MATCH(M564,SK_A,0))="",B564,INDEX(SK_D,MATCH(M564,SK_A,0))),B564),O564,HOLI),IFERROR(IF(INDEX(SK_D,MATCH(M564,SK_A,0))="",B564,INDEX(SK_D,MATCH(M564,SK_A,0))),B564)+O564),B564+O564))</f>
        <v/>
      </c>
      <c r="I564" s="13" t="n"/>
      <c r="J564" s="12" t="n"/>
      <c r="K564" s="11" t="n"/>
      <c r="L564" s="27">
        <f>IF(E564="","",IF(I564="Bỏ qua","—",IF(I564="Xong",IF(AND(ISNUMBER(J564),ISNUMBER(H564),J564&gt;H564),"Xong trễ","Xong"),IF(F564="","CHƯA GIAO","")&amp;IF(NOT(ISNUMBER(H564)),"",IF(TODAY()&gt;H564,IF(F564=""," · ","")&amp;"QUÁ HẠN "&amp;(TODAY()-H564)&amp;" ngày",IF(H564-TODAY()&lt;=3,IF(F564=""," · ","")&amp;"Đến hạn "&amp;IF(H564=TODAY(),"hôm nay","trong "&amp;(H564-TODAY())&amp;" ngày"),""))))))</f>
        <v/>
      </c>
      <c r="Q564">
        <f>IF(AND(E564&lt;&gt;"",R564="Có",I564&lt;&gt;"Xong",I564&lt;&gt;"Bỏ qua",ISNUMBER(H564)),H564+ROW()/100000,"")</f>
        <v/>
      </c>
      <c r="R564">
        <f>IF(M564="","",IFERROR(INDEX(SK_L,MATCH(M564,SK_A,0)),""))</f>
        <v/>
      </c>
    </row>
    <row r="565">
      <c r="A565" s="11">
        <f>IF(M565="","",IFERROR(INDEX(SK_B,MATCH(M565,SK_A,0))&amp;"",""))</f>
        <v/>
      </c>
      <c r="B565" s="24">
        <f>IF(M565="","",IFERROR(INDEX(SK_C,MATCH(M565,SK_A,0)),""))</f>
        <v/>
      </c>
      <c r="C565" s="25">
        <f>IF(O565="","",IF(O565=0,"D",IF(O565&lt;0,"D"&amp;O565,"D+"&amp;O565)))</f>
        <v/>
      </c>
      <c r="D565" s="13" t="n"/>
      <c r="E565" s="11" t="n"/>
      <c r="F565" s="26" t="n"/>
      <c r="G565" s="13" t="n"/>
      <c r="H565" s="12">
        <f>IF(OR(B565="",O565=""),"",IF(O565&gt;0,IF(P565="Làm việc",WORKDAY(IFERROR(IF(INDEX(SK_D,MATCH(M565,SK_A,0))="",B565,INDEX(SK_D,MATCH(M565,SK_A,0))),B565),O565,HOLI),IFERROR(IF(INDEX(SK_D,MATCH(M565,SK_A,0))="",B565,INDEX(SK_D,MATCH(M565,SK_A,0))),B565)+O565),B565+O565))</f>
        <v/>
      </c>
      <c r="I565" s="13" t="n"/>
      <c r="J565" s="12" t="n"/>
      <c r="K565" s="11" t="n"/>
      <c r="L565" s="27">
        <f>IF(E565="","",IF(I565="Bỏ qua","—",IF(I565="Xong",IF(AND(ISNUMBER(J565),ISNUMBER(H565),J565&gt;H565),"Xong trễ","Xong"),IF(F565="","CHƯA GIAO","")&amp;IF(NOT(ISNUMBER(H565)),"",IF(TODAY()&gt;H565,IF(F565=""," · ","")&amp;"QUÁ HẠN "&amp;(TODAY()-H565)&amp;" ngày",IF(H565-TODAY()&lt;=3,IF(F565=""," · ","")&amp;"Đến hạn "&amp;IF(H565=TODAY(),"hôm nay","trong "&amp;(H565-TODAY())&amp;" ngày"),""))))))</f>
        <v/>
      </c>
      <c r="Q565">
        <f>IF(AND(E565&lt;&gt;"",R565="Có",I565&lt;&gt;"Xong",I565&lt;&gt;"Bỏ qua",ISNUMBER(H565)),H565+ROW()/100000,"")</f>
        <v/>
      </c>
      <c r="R565">
        <f>IF(M565="","",IFERROR(INDEX(SK_L,MATCH(M565,SK_A,0)),""))</f>
        <v/>
      </c>
    </row>
    <row r="566">
      <c r="A566" s="11">
        <f>IF(M566="","",IFERROR(INDEX(SK_B,MATCH(M566,SK_A,0))&amp;"",""))</f>
        <v/>
      </c>
      <c r="B566" s="24">
        <f>IF(M566="","",IFERROR(INDEX(SK_C,MATCH(M566,SK_A,0)),""))</f>
        <v/>
      </c>
      <c r="C566" s="25">
        <f>IF(O566="","",IF(O566=0,"D",IF(O566&lt;0,"D"&amp;O566,"D+"&amp;O566)))</f>
        <v/>
      </c>
      <c r="D566" s="13" t="n"/>
      <c r="E566" s="11" t="n"/>
      <c r="F566" s="26" t="n"/>
      <c r="G566" s="13" t="n"/>
      <c r="H566" s="12">
        <f>IF(OR(B566="",O566=""),"",IF(O566&gt;0,IF(P566="Làm việc",WORKDAY(IFERROR(IF(INDEX(SK_D,MATCH(M566,SK_A,0))="",B566,INDEX(SK_D,MATCH(M566,SK_A,0))),B566),O566,HOLI),IFERROR(IF(INDEX(SK_D,MATCH(M566,SK_A,0))="",B566,INDEX(SK_D,MATCH(M566,SK_A,0))),B566)+O566),B566+O566))</f>
        <v/>
      </c>
      <c r="I566" s="13" t="n"/>
      <c r="J566" s="12" t="n"/>
      <c r="K566" s="11" t="n"/>
      <c r="L566" s="27">
        <f>IF(E566="","",IF(I566="Bỏ qua","—",IF(I566="Xong",IF(AND(ISNUMBER(J566),ISNUMBER(H566),J566&gt;H566),"Xong trễ","Xong"),IF(F566="","CHƯA GIAO","")&amp;IF(NOT(ISNUMBER(H566)),"",IF(TODAY()&gt;H566,IF(F566=""," · ","")&amp;"QUÁ HẠN "&amp;(TODAY()-H566)&amp;" ngày",IF(H566-TODAY()&lt;=3,IF(F566=""," · ","")&amp;"Đến hạn "&amp;IF(H566=TODAY(),"hôm nay","trong "&amp;(H566-TODAY())&amp;" ngày"),""))))))</f>
        <v/>
      </c>
      <c r="Q566">
        <f>IF(AND(E566&lt;&gt;"",R566="Có",I566&lt;&gt;"Xong",I566&lt;&gt;"Bỏ qua",ISNUMBER(H566)),H566+ROW()/100000,"")</f>
        <v/>
      </c>
      <c r="R566">
        <f>IF(M566="","",IFERROR(INDEX(SK_L,MATCH(M566,SK_A,0)),""))</f>
        <v/>
      </c>
    </row>
    <row r="567">
      <c r="A567" s="11">
        <f>IF(M567="","",IFERROR(INDEX(SK_B,MATCH(M567,SK_A,0))&amp;"",""))</f>
        <v/>
      </c>
      <c r="B567" s="24">
        <f>IF(M567="","",IFERROR(INDEX(SK_C,MATCH(M567,SK_A,0)),""))</f>
        <v/>
      </c>
      <c r="C567" s="25">
        <f>IF(O567="","",IF(O567=0,"D",IF(O567&lt;0,"D"&amp;O567,"D+"&amp;O567)))</f>
        <v/>
      </c>
      <c r="D567" s="13" t="n"/>
      <c r="E567" s="11" t="n"/>
      <c r="F567" s="26" t="n"/>
      <c r="G567" s="13" t="n"/>
      <c r="H567" s="12">
        <f>IF(OR(B567="",O567=""),"",IF(O567&gt;0,IF(P567="Làm việc",WORKDAY(IFERROR(IF(INDEX(SK_D,MATCH(M567,SK_A,0))="",B567,INDEX(SK_D,MATCH(M567,SK_A,0))),B567),O567,HOLI),IFERROR(IF(INDEX(SK_D,MATCH(M567,SK_A,0))="",B567,INDEX(SK_D,MATCH(M567,SK_A,0))),B567)+O567),B567+O567))</f>
        <v/>
      </c>
      <c r="I567" s="13" t="n"/>
      <c r="J567" s="12" t="n"/>
      <c r="K567" s="11" t="n"/>
      <c r="L567" s="27">
        <f>IF(E567="","",IF(I567="Bỏ qua","—",IF(I567="Xong",IF(AND(ISNUMBER(J567),ISNUMBER(H567),J567&gt;H567),"Xong trễ","Xong"),IF(F567="","CHƯA GIAO","")&amp;IF(NOT(ISNUMBER(H567)),"",IF(TODAY()&gt;H567,IF(F567=""," · ","")&amp;"QUÁ HẠN "&amp;(TODAY()-H567)&amp;" ngày",IF(H567-TODAY()&lt;=3,IF(F567=""," · ","")&amp;"Đến hạn "&amp;IF(H567=TODAY(),"hôm nay","trong "&amp;(H567-TODAY())&amp;" ngày"),""))))))</f>
        <v/>
      </c>
      <c r="Q567">
        <f>IF(AND(E567&lt;&gt;"",R567="Có",I567&lt;&gt;"Xong",I567&lt;&gt;"Bỏ qua",ISNUMBER(H567)),H567+ROW()/100000,"")</f>
        <v/>
      </c>
      <c r="R567">
        <f>IF(M567="","",IFERROR(INDEX(SK_L,MATCH(M567,SK_A,0)),""))</f>
        <v/>
      </c>
    </row>
    <row r="568">
      <c r="A568" s="11">
        <f>IF(M568="","",IFERROR(INDEX(SK_B,MATCH(M568,SK_A,0))&amp;"",""))</f>
        <v/>
      </c>
      <c r="B568" s="24">
        <f>IF(M568="","",IFERROR(INDEX(SK_C,MATCH(M568,SK_A,0)),""))</f>
        <v/>
      </c>
      <c r="C568" s="25">
        <f>IF(O568="","",IF(O568=0,"D",IF(O568&lt;0,"D"&amp;O568,"D+"&amp;O568)))</f>
        <v/>
      </c>
      <c r="D568" s="13" t="n"/>
      <c r="E568" s="11" t="n"/>
      <c r="F568" s="26" t="n"/>
      <c r="G568" s="13" t="n"/>
      <c r="H568" s="12">
        <f>IF(OR(B568="",O568=""),"",IF(O568&gt;0,IF(P568="Làm việc",WORKDAY(IFERROR(IF(INDEX(SK_D,MATCH(M568,SK_A,0))="",B568,INDEX(SK_D,MATCH(M568,SK_A,0))),B568),O568,HOLI),IFERROR(IF(INDEX(SK_D,MATCH(M568,SK_A,0))="",B568,INDEX(SK_D,MATCH(M568,SK_A,0))),B568)+O568),B568+O568))</f>
        <v/>
      </c>
      <c r="I568" s="13" t="n"/>
      <c r="J568" s="12" t="n"/>
      <c r="K568" s="11" t="n"/>
      <c r="L568" s="27">
        <f>IF(E568="","",IF(I568="Bỏ qua","—",IF(I568="Xong",IF(AND(ISNUMBER(J568),ISNUMBER(H568),J568&gt;H568),"Xong trễ","Xong"),IF(F568="","CHƯA GIAO","")&amp;IF(NOT(ISNUMBER(H568)),"",IF(TODAY()&gt;H568,IF(F568=""," · ","")&amp;"QUÁ HẠN "&amp;(TODAY()-H568)&amp;" ngày",IF(H568-TODAY()&lt;=3,IF(F568=""," · ","")&amp;"Đến hạn "&amp;IF(H568=TODAY(),"hôm nay","trong "&amp;(H568-TODAY())&amp;" ngày"),""))))))</f>
        <v/>
      </c>
      <c r="Q568">
        <f>IF(AND(E568&lt;&gt;"",R568="Có",I568&lt;&gt;"Xong",I568&lt;&gt;"Bỏ qua",ISNUMBER(H568)),H568+ROW()/100000,"")</f>
        <v/>
      </c>
      <c r="R568">
        <f>IF(M568="","",IFERROR(INDEX(SK_L,MATCH(M568,SK_A,0)),""))</f>
        <v/>
      </c>
    </row>
    <row r="569">
      <c r="A569" s="11">
        <f>IF(M569="","",IFERROR(INDEX(SK_B,MATCH(M569,SK_A,0))&amp;"",""))</f>
        <v/>
      </c>
      <c r="B569" s="24">
        <f>IF(M569="","",IFERROR(INDEX(SK_C,MATCH(M569,SK_A,0)),""))</f>
        <v/>
      </c>
      <c r="C569" s="25">
        <f>IF(O569="","",IF(O569=0,"D",IF(O569&lt;0,"D"&amp;O569,"D+"&amp;O569)))</f>
        <v/>
      </c>
      <c r="D569" s="13" t="n"/>
      <c r="E569" s="11" t="n"/>
      <c r="F569" s="26" t="n"/>
      <c r="G569" s="13" t="n"/>
      <c r="H569" s="12">
        <f>IF(OR(B569="",O569=""),"",IF(O569&gt;0,IF(P569="Làm việc",WORKDAY(IFERROR(IF(INDEX(SK_D,MATCH(M569,SK_A,0))="",B569,INDEX(SK_D,MATCH(M569,SK_A,0))),B569),O569,HOLI),IFERROR(IF(INDEX(SK_D,MATCH(M569,SK_A,0))="",B569,INDEX(SK_D,MATCH(M569,SK_A,0))),B569)+O569),B569+O569))</f>
        <v/>
      </c>
      <c r="I569" s="13" t="n"/>
      <c r="J569" s="12" t="n"/>
      <c r="K569" s="11" t="n"/>
      <c r="L569" s="27">
        <f>IF(E569="","",IF(I569="Bỏ qua","—",IF(I569="Xong",IF(AND(ISNUMBER(J569),ISNUMBER(H569),J569&gt;H569),"Xong trễ","Xong"),IF(F569="","CHƯA GIAO","")&amp;IF(NOT(ISNUMBER(H569)),"",IF(TODAY()&gt;H569,IF(F569=""," · ","")&amp;"QUÁ HẠN "&amp;(TODAY()-H569)&amp;" ngày",IF(H569-TODAY()&lt;=3,IF(F569=""," · ","")&amp;"Đến hạn "&amp;IF(H569=TODAY(),"hôm nay","trong "&amp;(H569-TODAY())&amp;" ngày"),""))))))</f>
        <v/>
      </c>
      <c r="Q569">
        <f>IF(AND(E569&lt;&gt;"",R569="Có",I569&lt;&gt;"Xong",I569&lt;&gt;"Bỏ qua",ISNUMBER(H569)),H569+ROW()/100000,"")</f>
        <v/>
      </c>
      <c r="R569">
        <f>IF(M569="","",IFERROR(INDEX(SK_L,MATCH(M569,SK_A,0)),""))</f>
        <v/>
      </c>
    </row>
    <row r="570">
      <c r="A570" s="11">
        <f>IF(M570="","",IFERROR(INDEX(SK_B,MATCH(M570,SK_A,0))&amp;"",""))</f>
        <v/>
      </c>
      <c r="B570" s="24">
        <f>IF(M570="","",IFERROR(INDEX(SK_C,MATCH(M570,SK_A,0)),""))</f>
        <v/>
      </c>
      <c r="C570" s="25">
        <f>IF(O570="","",IF(O570=0,"D",IF(O570&lt;0,"D"&amp;O570,"D+"&amp;O570)))</f>
        <v/>
      </c>
      <c r="D570" s="13" t="n"/>
      <c r="E570" s="11" t="n"/>
      <c r="F570" s="26" t="n"/>
      <c r="G570" s="13" t="n"/>
      <c r="H570" s="12">
        <f>IF(OR(B570="",O570=""),"",IF(O570&gt;0,IF(P570="Làm việc",WORKDAY(IFERROR(IF(INDEX(SK_D,MATCH(M570,SK_A,0))="",B570,INDEX(SK_D,MATCH(M570,SK_A,0))),B570),O570,HOLI),IFERROR(IF(INDEX(SK_D,MATCH(M570,SK_A,0))="",B570,INDEX(SK_D,MATCH(M570,SK_A,0))),B570)+O570),B570+O570))</f>
        <v/>
      </c>
      <c r="I570" s="13" t="n"/>
      <c r="J570" s="12" t="n"/>
      <c r="K570" s="11" t="n"/>
      <c r="L570" s="27">
        <f>IF(E570="","",IF(I570="Bỏ qua","—",IF(I570="Xong",IF(AND(ISNUMBER(J570),ISNUMBER(H570),J570&gt;H570),"Xong trễ","Xong"),IF(F570="","CHƯA GIAO","")&amp;IF(NOT(ISNUMBER(H570)),"",IF(TODAY()&gt;H570,IF(F570=""," · ","")&amp;"QUÁ HẠN "&amp;(TODAY()-H570)&amp;" ngày",IF(H570-TODAY()&lt;=3,IF(F570=""," · ","")&amp;"Đến hạn "&amp;IF(H570=TODAY(),"hôm nay","trong "&amp;(H570-TODAY())&amp;" ngày"),""))))))</f>
        <v/>
      </c>
      <c r="Q570">
        <f>IF(AND(E570&lt;&gt;"",R570="Có",I570&lt;&gt;"Xong",I570&lt;&gt;"Bỏ qua",ISNUMBER(H570)),H570+ROW()/100000,"")</f>
        <v/>
      </c>
      <c r="R570">
        <f>IF(M570="","",IFERROR(INDEX(SK_L,MATCH(M570,SK_A,0)),""))</f>
        <v/>
      </c>
    </row>
    <row r="571">
      <c r="A571" s="11">
        <f>IF(M571="","",IFERROR(INDEX(SK_B,MATCH(M571,SK_A,0))&amp;"",""))</f>
        <v/>
      </c>
      <c r="B571" s="24">
        <f>IF(M571="","",IFERROR(INDEX(SK_C,MATCH(M571,SK_A,0)),""))</f>
        <v/>
      </c>
      <c r="C571" s="25">
        <f>IF(O571="","",IF(O571=0,"D",IF(O571&lt;0,"D"&amp;O571,"D+"&amp;O571)))</f>
        <v/>
      </c>
      <c r="D571" s="13" t="n"/>
      <c r="E571" s="11" t="n"/>
      <c r="F571" s="26" t="n"/>
      <c r="G571" s="13" t="n"/>
      <c r="H571" s="12">
        <f>IF(OR(B571="",O571=""),"",IF(O571&gt;0,IF(P571="Làm việc",WORKDAY(IFERROR(IF(INDEX(SK_D,MATCH(M571,SK_A,0))="",B571,INDEX(SK_D,MATCH(M571,SK_A,0))),B571),O571,HOLI),IFERROR(IF(INDEX(SK_D,MATCH(M571,SK_A,0))="",B571,INDEX(SK_D,MATCH(M571,SK_A,0))),B571)+O571),B571+O571))</f>
        <v/>
      </c>
      <c r="I571" s="13" t="n"/>
      <c r="J571" s="12" t="n"/>
      <c r="K571" s="11" t="n"/>
      <c r="L571" s="27">
        <f>IF(E571="","",IF(I571="Bỏ qua","—",IF(I571="Xong",IF(AND(ISNUMBER(J571),ISNUMBER(H571),J571&gt;H571),"Xong trễ","Xong"),IF(F571="","CHƯA GIAO","")&amp;IF(NOT(ISNUMBER(H571)),"",IF(TODAY()&gt;H571,IF(F571=""," · ","")&amp;"QUÁ HẠN "&amp;(TODAY()-H571)&amp;" ngày",IF(H571-TODAY()&lt;=3,IF(F571=""," · ","")&amp;"Đến hạn "&amp;IF(H571=TODAY(),"hôm nay","trong "&amp;(H571-TODAY())&amp;" ngày"),""))))))</f>
        <v/>
      </c>
      <c r="Q571">
        <f>IF(AND(E571&lt;&gt;"",R571="Có",I571&lt;&gt;"Xong",I571&lt;&gt;"Bỏ qua",ISNUMBER(H571)),H571+ROW()/100000,"")</f>
        <v/>
      </c>
      <c r="R571">
        <f>IF(M571="","",IFERROR(INDEX(SK_L,MATCH(M571,SK_A,0)),""))</f>
        <v/>
      </c>
    </row>
    <row r="572">
      <c r="A572" s="11">
        <f>IF(M572="","",IFERROR(INDEX(SK_B,MATCH(M572,SK_A,0))&amp;"",""))</f>
        <v/>
      </c>
      <c r="B572" s="24">
        <f>IF(M572="","",IFERROR(INDEX(SK_C,MATCH(M572,SK_A,0)),""))</f>
        <v/>
      </c>
      <c r="C572" s="25">
        <f>IF(O572="","",IF(O572=0,"D",IF(O572&lt;0,"D"&amp;O572,"D+"&amp;O572)))</f>
        <v/>
      </c>
      <c r="D572" s="13" t="n"/>
      <c r="E572" s="11" t="n"/>
      <c r="F572" s="26" t="n"/>
      <c r="G572" s="13" t="n"/>
      <c r="H572" s="12">
        <f>IF(OR(B572="",O572=""),"",IF(O572&gt;0,IF(P572="Làm việc",WORKDAY(IFERROR(IF(INDEX(SK_D,MATCH(M572,SK_A,0))="",B572,INDEX(SK_D,MATCH(M572,SK_A,0))),B572),O572,HOLI),IFERROR(IF(INDEX(SK_D,MATCH(M572,SK_A,0))="",B572,INDEX(SK_D,MATCH(M572,SK_A,0))),B572)+O572),B572+O572))</f>
        <v/>
      </c>
      <c r="I572" s="13" t="n"/>
      <c r="J572" s="12" t="n"/>
      <c r="K572" s="11" t="n"/>
      <c r="L572" s="27">
        <f>IF(E572="","",IF(I572="Bỏ qua","—",IF(I572="Xong",IF(AND(ISNUMBER(J572),ISNUMBER(H572),J572&gt;H572),"Xong trễ","Xong"),IF(F572="","CHƯA GIAO","")&amp;IF(NOT(ISNUMBER(H572)),"",IF(TODAY()&gt;H572,IF(F572=""," · ","")&amp;"QUÁ HẠN "&amp;(TODAY()-H572)&amp;" ngày",IF(H572-TODAY()&lt;=3,IF(F572=""," · ","")&amp;"Đến hạn "&amp;IF(H572=TODAY(),"hôm nay","trong "&amp;(H572-TODAY())&amp;" ngày"),""))))))</f>
        <v/>
      </c>
      <c r="Q572">
        <f>IF(AND(E572&lt;&gt;"",R572="Có",I572&lt;&gt;"Xong",I572&lt;&gt;"Bỏ qua",ISNUMBER(H572)),H572+ROW()/100000,"")</f>
        <v/>
      </c>
      <c r="R572">
        <f>IF(M572="","",IFERROR(INDEX(SK_L,MATCH(M572,SK_A,0)),""))</f>
        <v/>
      </c>
    </row>
    <row r="573">
      <c r="A573" s="11">
        <f>IF(M573="","",IFERROR(INDEX(SK_B,MATCH(M573,SK_A,0))&amp;"",""))</f>
        <v/>
      </c>
      <c r="B573" s="24">
        <f>IF(M573="","",IFERROR(INDEX(SK_C,MATCH(M573,SK_A,0)),""))</f>
        <v/>
      </c>
      <c r="C573" s="25">
        <f>IF(O573="","",IF(O573=0,"D",IF(O573&lt;0,"D"&amp;O573,"D+"&amp;O573)))</f>
        <v/>
      </c>
      <c r="D573" s="13" t="n"/>
      <c r="E573" s="11" t="n"/>
      <c r="F573" s="26" t="n"/>
      <c r="G573" s="13" t="n"/>
      <c r="H573" s="12">
        <f>IF(OR(B573="",O573=""),"",IF(O573&gt;0,IF(P573="Làm việc",WORKDAY(IFERROR(IF(INDEX(SK_D,MATCH(M573,SK_A,0))="",B573,INDEX(SK_D,MATCH(M573,SK_A,0))),B573),O573,HOLI),IFERROR(IF(INDEX(SK_D,MATCH(M573,SK_A,0))="",B573,INDEX(SK_D,MATCH(M573,SK_A,0))),B573)+O573),B573+O573))</f>
        <v/>
      </c>
      <c r="I573" s="13" t="n"/>
      <c r="J573" s="12" t="n"/>
      <c r="K573" s="11" t="n"/>
      <c r="L573" s="27">
        <f>IF(E573="","",IF(I573="Bỏ qua","—",IF(I573="Xong",IF(AND(ISNUMBER(J573),ISNUMBER(H573),J573&gt;H573),"Xong trễ","Xong"),IF(F573="","CHƯA GIAO","")&amp;IF(NOT(ISNUMBER(H573)),"",IF(TODAY()&gt;H573,IF(F573=""," · ","")&amp;"QUÁ HẠN "&amp;(TODAY()-H573)&amp;" ngày",IF(H573-TODAY()&lt;=3,IF(F573=""," · ","")&amp;"Đến hạn "&amp;IF(H573=TODAY(),"hôm nay","trong "&amp;(H573-TODAY())&amp;" ngày"),""))))))</f>
        <v/>
      </c>
      <c r="Q573">
        <f>IF(AND(E573&lt;&gt;"",R573="Có",I573&lt;&gt;"Xong",I573&lt;&gt;"Bỏ qua",ISNUMBER(H573)),H573+ROW()/100000,"")</f>
        <v/>
      </c>
      <c r="R573">
        <f>IF(M573="","",IFERROR(INDEX(SK_L,MATCH(M573,SK_A,0)),""))</f>
        <v/>
      </c>
    </row>
    <row r="574">
      <c r="A574" s="11">
        <f>IF(M574="","",IFERROR(INDEX(SK_B,MATCH(M574,SK_A,0))&amp;"",""))</f>
        <v/>
      </c>
      <c r="B574" s="24">
        <f>IF(M574="","",IFERROR(INDEX(SK_C,MATCH(M574,SK_A,0)),""))</f>
        <v/>
      </c>
      <c r="C574" s="25">
        <f>IF(O574="","",IF(O574=0,"D",IF(O574&lt;0,"D"&amp;O574,"D+"&amp;O574)))</f>
        <v/>
      </c>
      <c r="D574" s="13" t="n"/>
      <c r="E574" s="11" t="n"/>
      <c r="F574" s="26" t="n"/>
      <c r="G574" s="13" t="n"/>
      <c r="H574" s="12">
        <f>IF(OR(B574="",O574=""),"",IF(O574&gt;0,IF(P574="Làm việc",WORKDAY(IFERROR(IF(INDEX(SK_D,MATCH(M574,SK_A,0))="",B574,INDEX(SK_D,MATCH(M574,SK_A,0))),B574),O574,HOLI),IFERROR(IF(INDEX(SK_D,MATCH(M574,SK_A,0))="",B574,INDEX(SK_D,MATCH(M574,SK_A,0))),B574)+O574),B574+O574))</f>
        <v/>
      </c>
      <c r="I574" s="13" t="n"/>
      <c r="J574" s="12" t="n"/>
      <c r="K574" s="11" t="n"/>
      <c r="L574" s="27">
        <f>IF(E574="","",IF(I574="Bỏ qua","—",IF(I574="Xong",IF(AND(ISNUMBER(J574),ISNUMBER(H574),J574&gt;H574),"Xong trễ","Xong"),IF(F574="","CHƯA GIAO","")&amp;IF(NOT(ISNUMBER(H574)),"",IF(TODAY()&gt;H574,IF(F574=""," · ","")&amp;"QUÁ HẠN "&amp;(TODAY()-H574)&amp;" ngày",IF(H574-TODAY()&lt;=3,IF(F574=""," · ","")&amp;"Đến hạn "&amp;IF(H574=TODAY(),"hôm nay","trong "&amp;(H574-TODAY())&amp;" ngày"),""))))))</f>
        <v/>
      </c>
      <c r="Q574">
        <f>IF(AND(E574&lt;&gt;"",R574="Có",I574&lt;&gt;"Xong",I574&lt;&gt;"Bỏ qua",ISNUMBER(H574)),H574+ROW()/100000,"")</f>
        <v/>
      </c>
      <c r="R574">
        <f>IF(M574="","",IFERROR(INDEX(SK_L,MATCH(M574,SK_A,0)),""))</f>
        <v/>
      </c>
    </row>
    <row r="575">
      <c r="A575" s="11">
        <f>IF(M575="","",IFERROR(INDEX(SK_B,MATCH(M575,SK_A,0))&amp;"",""))</f>
        <v/>
      </c>
      <c r="B575" s="24">
        <f>IF(M575="","",IFERROR(INDEX(SK_C,MATCH(M575,SK_A,0)),""))</f>
        <v/>
      </c>
      <c r="C575" s="25">
        <f>IF(O575="","",IF(O575=0,"D",IF(O575&lt;0,"D"&amp;O575,"D+"&amp;O575)))</f>
        <v/>
      </c>
      <c r="D575" s="13" t="n"/>
      <c r="E575" s="11" t="n"/>
      <c r="F575" s="26" t="n"/>
      <c r="G575" s="13" t="n"/>
      <c r="H575" s="12">
        <f>IF(OR(B575="",O575=""),"",IF(O575&gt;0,IF(P575="Làm việc",WORKDAY(IFERROR(IF(INDEX(SK_D,MATCH(M575,SK_A,0))="",B575,INDEX(SK_D,MATCH(M575,SK_A,0))),B575),O575,HOLI),IFERROR(IF(INDEX(SK_D,MATCH(M575,SK_A,0))="",B575,INDEX(SK_D,MATCH(M575,SK_A,0))),B575)+O575),B575+O575))</f>
        <v/>
      </c>
      <c r="I575" s="13" t="n"/>
      <c r="J575" s="12" t="n"/>
      <c r="K575" s="11" t="n"/>
      <c r="L575" s="27">
        <f>IF(E575="","",IF(I575="Bỏ qua","—",IF(I575="Xong",IF(AND(ISNUMBER(J575),ISNUMBER(H575),J575&gt;H575),"Xong trễ","Xong"),IF(F575="","CHƯA GIAO","")&amp;IF(NOT(ISNUMBER(H575)),"",IF(TODAY()&gt;H575,IF(F575=""," · ","")&amp;"QUÁ HẠN "&amp;(TODAY()-H575)&amp;" ngày",IF(H575-TODAY()&lt;=3,IF(F575=""," · ","")&amp;"Đến hạn "&amp;IF(H575=TODAY(),"hôm nay","trong "&amp;(H575-TODAY())&amp;" ngày"),""))))))</f>
        <v/>
      </c>
      <c r="Q575">
        <f>IF(AND(E575&lt;&gt;"",R575="Có",I575&lt;&gt;"Xong",I575&lt;&gt;"Bỏ qua",ISNUMBER(H575)),H575+ROW()/100000,"")</f>
        <v/>
      </c>
      <c r="R575">
        <f>IF(M575="","",IFERROR(INDEX(SK_L,MATCH(M575,SK_A,0)),""))</f>
        <v/>
      </c>
    </row>
    <row r="576">
      <c r="A576" s="11">
        <f>IF(M576="","",IFERROR(INDEX(SK_B,MATCH(M576,SK_A,0))&amp;"",""))</f>
        <v/>
      </c>
      <c r="B576" s="24">
        <f>IF(M576="","",IFERROR(INDEX(SK_C,MATCH(M576,SK_A,0)),""))</f>
        <v/>
      </c>
      <c r="C576" s="25">
        <f>IF(O576="","",IF(O576=0,"D",IF(O576&lt;0,"D"&amp;O576,"D+"&amp;O576)))</f>
        <v/>
      </c>
      <c r="D576" s="13" t="n"/>
      <c r="E576" s="11" t="n"/>
      <c r="F576" s="26" t="n"/>
      <c r="G576" s="13" t="n"/>
      <c r="H576" s="12">
        <f>IF(OR(B576="",O576=""),"",IF(O576&gt;0,IF(P576="Làm việc",WORKDAY(IFERROR(IF(INDEX(SK_D,MATCH(M576,SK_A,0))="",B576,INDEX(SK_D,MATCH(M576,SK_A,0))),B576),O576,HOLI),IFERROR(IF(INDEX(SK_D,MATCH(M576,SK_A,0))="",B576,INDEX(SK_D,MATCH(M576,SK_A,0))),B576)+O576),B576+O576))</f>
        <v/>
      </c>
      <c r="I576" s="13" t="n"/>
      <c r="J576" s="12" t="n"/>
      <c r="K576" s="11" t="n"/>
      <c r="L576" s="27">
        <f>IF(E576="","",IF(I576="Bỏ qua","—",IF(I576="Xong",IF(AND(ISNUMBER(J576),ISNUMBER(H576),J576&gt;H576),"Xong trễ","Xong"),IF(F576="","CHƯA GIAO","")&amp;IF(NOT(ISNUMBER(H576)),"",IF(TODAY()&gt;H576,IF(F576=""," · ","")&amp;"QUÁ HẠN "&amp;(TODAY()-H576)&amp;" ngày",IF(H576-TODAY()&lt;=3,IF(F576=""," · ","")&amp;"Đến hạn "&amp;IF(H576=TODAY(),"hôm nay","trong "&amp;(H576-TODAY())&amp;" ngày"),""))))))</f>
        <v/>
      </c>
      <c r="Q576">
        <f>IF(AND(E576&lt;&gt;"",R576="Có",I576&lt;&gt;"Xong",I576&lt;&gt;"Bỏ qua",ISNUMBER(H576)),H576+ROW()/100000,"")</f>
        <v/>
      </c>
      <c r="R576">
        <f>IF(M576="","",IFERROR(INDEX(SK_L,MATCH(M576,SK_A,0)),""))</f>
        <v/>
      </c>
    </row>
    <row r="577">
      <c r="A577" s="11">
        <f>IF(M577="","",IFERROR(INDEX(SK_B,MATCH(M577,SK_A,0))&amp;"",""))</f>
        <v/>
      </c>
      <c r="B577" s="24">
        <f>IF(M577="","",IFERROR(INDEX(SK_C,MATCH(M577,SK_A,0)),""))</f>
        <v/>
      </c>
      <c r="C577" s="25">
        <f>IF(O577="","",IF(O577=0,"D",IF(O577&lt;0,"D"&amp;O577,"D+"&amp;O577)))</f>
        <v/>
      </c>
      <c r="D577" s="13" t="n"/>
      <c r="E577" s="11" t="n"/>
      <c r="F577" s="26" t="n"/>
      <c r="G577" s="13" t="n"/>
      <c r="H577" s="12">
        <f>IF(OR(B577="",O577=""),"",IF(O577&gt;0,IF(P577="Làm việc",WORKDAY(IFERROR(IF(INDEX(SK_D,MATCH(M577,SK_A,0))="",B577,INDEX(SK_D,MATCH(M577,SK_A,0))),B577),O577,HOLI),IFERROR(IF(INDEX(SK_D,MATCH(M577,SK_A,0))="",B577,INDEX(SK_D,MATCH(M577,SK_A,0))),B577)+O577),B577+O577))</f>
        <v/>
      </c>
      <c r="I577" s="13" t="n"/>
      <c r="J577" s="12" t="n"/>
      <c r="K577" s="11" t="n"/>
      <c r="L577" s="27">
        <f>IF(E577="","",IF(I577="Bỏ qua","—",IF(I577="Xong",IF(AND(ISNUMBER(J577),ISNUMBER(H577),J577&gt;H577),"Xong trễ","Xong"),IF(F577="","CHƯA GIAO","")&amp;IF(NOT(ISNUMBER(H577)),"",IF(TODAY()&gt;H577,IF(F577=""," · ","")&amp;"QUÁ HẠN "&amp;(TODAY()-H577)&amp;" ngày",IF(H577-TODAY()&lt;=3,IF(F577=""," · ","")&amp;"Đến hạn "&amp;IF(H577=TODAY(),"hôm nay","trong "&amp;(H577-TODAY())&amp;" ngày"),""))))))</f>
        <v/>
      </c>
      <c r="Q577">
        <f>IF(AND(E577&lt;&gt;"",R577="Có",I577&lt;&gt;"Xong",I577&lt;&gt;"Bỏ qua",ISNUMBER(H577)),H577+ROW()/100000,"")</f>
        <v/>
      </c>
      <c r="R577">
        <f>IF(M577="","",IFERROR(INDEX(SK_L,MATCH(M577,SK_A,0)),""))</f>
        <v/>
      </c>
    </row>
    <row r="578">
      <c r="A578" s="11">
        <f>IF(M578="","",IFERROR(INDEX(SK_B,MATCH(M578,SK_A,0))&amp;"",""))</f>
        <v/>
      </c>
      <c r="B578" s="24">
        <f>IF(M578="","",IFERROR(INDEX(SK_C,MATCH(M578,SK_A,0)),""))</f>
        <v/>
      </c>
      <c r="C578" s="25">
        <f>IF(O578="","",IF(O578=0,"D",IF(O578&lt;0,"D"&amp;O578,"D+"&amp;O578)))</f>
        <v/>
      </c>
      <c r="D578" s="13" t="n"/>
      <c r="E578" s="11" t="n"/>
      <c r="F578" s="26" t="n"/>
      <c r="G578" s="13" t="n"/>
      <c r="H578" s="12">
        <f>IF(OR(B578="",O578=""),"",IF(O578&gt;0,IF(P578="Làm việc",WORKDAY(IFERROR(IF(INDEX(SK_D,MATCH(M578,SK_A,0))="",B578,INDEX(SK_D,MATCH(M578,SK_A,0))),B578),O578,HOLI),IFERROR(IF(INDEX(SK_D,MATCH(M578,SK_A,0))="",B578,INDEX(SK_D,MATCH(M578,SK_A,0))),B578)+O578),B578+O578))</f>
        <v/>
      </c>
      <c r="I578" s="13" t="n"/>
      <c r="J578" s="12" t="n"/>
      <c r="K578" s="11" t="n"/>
      <c r="L578" s="27">
        <f>IF(E578="","",IF(I578="Bỏ qua","—",IF(I578="Xong",IF(AND(ISNUMBER(J578),ISNUMBER(H578),J578&gt;H578),"Xong trễ","Xong"),IF(F578="","CHƯA GIAO","")&amp;IF(NOT(ISNUMBER(H578)),"",IF(TODAY()&gt;H578,IF(F578=""," · ","")&amp;"QUÁ HẠN "&amp;(TODAY()-H578)&amp;" ngày",IF(H578-TODAY()&lt;=3,IF(F578=""," · ","")&amp;"Đến hạn "&amp;IF(H578=TODAY(),"hôm nay","trong "&amp;(H578-TODAY())&amp;" ngày"),""))))))</f>
        <v/>
      </c>
      <c r="Q578">
        <f>IF(AND(E578&lt;&gt;"",R578="Có",I578&lt;&gt;"Xong",I578&lt;&gt;"Bỏ qua",ISNUMBER(H578)),H578+ROW()/100000,"")</f>
        <v/>
      </c>
      <c r="R578">
        <f>IF(M578="","",IFERROR(INDEX(SK_L,MATCH(M578,SK_A,0)),""))</f>
        <v/>
      </c>
    </row>
    <row r="579">
      <c r="A579" s="11">
        <f>IF(M579="","",IFERROR(INDEX(SK_B,MATCH(M579,SK_A,0))&amp;"",""))</f>
        <v/>
      </c>
      <c r="B579" s="24">
        <f>IF(M579="","",IFERROR(INDEX(SK_C,MATCH(M579,SK_A,0)),""))</f>
        <v/>
      </c>
      <c r="C579" s="25">
        <f>IF(O579="","",IF(O579=0,"D",IF(O579&lt;0,"D"&amp;O579,"D+"&amp;O579)))</f>
        <v/>
      </c>
      <c r="D579" s="13" t="n"/>
      <c r="E579" s="11" t="n"/>
      <c r="F579" s="26" t="n"/>
      <c r="G579" s="13" t="n"/>
      <c r="H579" s="12">
        <f>IF(OR(B579="",O579=""),"",IF(O579&gt;0,IF(P579="Làm việc",WORKDAY(IFERROR(IF(INDEX(SK_D,MATCH(M579,SK_A,0))="",B579,INDEX(SK_D,MATCH(M579,SK_A,0))),B579),O579,HOLI),IFERROR(IF(INDEX(SK_D,MATCH(M579,SK_A,0))="",B579,INDEX(SK_D,MATCH(M579,SK_A,0))),B579)+O579),B579+O579))</f>
        <v/>
      </c>
      <c r="I579" s="13" t="n"/>
      <c r="J579" s="12" t="n"/>
      <c r="K579" s="11" t="n"/>
      <c r="L579" s="27">
        <f>IF(E579="","",IF(I579="Bỏ qua","—",IF(I579="Xong",IF(AND(ISNUMBER(J579),ISNUMBER(H579),J579&gt;H579),"Xong trễ","Xong"),IF(F579="","CHƯA GIAO","")&amp;IF(NOT(ISNUMBER(H579)),"",IF(TODAY()&gt;H579,IF(F579=""," · ","")&amp;"QUÁ HẠN "&amp;(TODAY()-H579)&amp;" ngày",IF(H579-TODAY()&lt;=3,IF(F579=""," · ","")&amp;"Đến hạn "&amp;IF(H579=TODAY(),"hôm nay","trong "&amp;(H579-TODAY())&amp;" ngày"),""))))))</f>
        <v/>
      </c>
      <c r="Q579">
        <f>IF(AND(E579&lt;&gt;"",R579="Có",I579&lt;&gt;"Xong",I579&lt;&gt;"Bỏ qua",ISNUMBER(H579)),H579+ROW()/100000,"")</f>
        <v/>
      </c>
      <c r="R579">
        <f>IF(M579="","",IFERROR(INDEX(SK_L,MATCH(M579,SK_A,0)),""))</f>
        <v/>
      </c>
    </row>
    <row r="580">
      <c r="A580" s="11">
        <f>IF(M580="","",IFERROR(INDEX(SK_B,MATCH(M580,SK_A,0))&amp;"",""))</f>
        <v/>
      </c>
      <c r="B580" s="24">
        <f>IF(M580="","",IFERROR(INDEX(SK_C,MATCH(M580,SK_A,0)),""))</f>
        <v/>
      </c>
      <c r="C580" s="25">
        <f>IF(O580="","",IF(O580=0,"D",IF(O580&lt;0,"D"&amp;O580,"D+"&amp;O580)))</f>
        <v/>
      </c>
      <c r="D580" s="13" t="n"/>
      <c r="E580" s="11" t="n"/>
      <c r="F580" s="26" t="n"/>
      <c r="G580" s="13" t="n"/>
      <c r="H580" s="12">
        <f>IF(OR(B580="",O580=""),"",IF(O580&gt;0,IF(P580="Làm việc",WORKDAY(IFERROR(IF(INDEX(SK_D,MATCH(M580,SK_A,0))="",B580,INDEX(SK_D,MATCH(M580,SK_A,0))),B580),O580,HOLI),IFERROR(IF(INDEX(SK_D,MATCH(M580,SK_A,0))="",B580,INDEX(SK_D,MATCH(M580,SK_A,0))),B580)+O580),B580+O580))</f>
        <v/>
      </c>
      <c r="I580" s="13" t="n"/>
      <c r="J580" s="12" t="n"/>
      <c r="K580" s="11" t="n"/>
      <c r="L580" s="27">
        <f>IF(E580="","",IF(I580="Bỏ qua","—",IF(I580="Xong",IF(AND(ISNUMBER(J580),ISNUMBER(H580),J580&gt;H580),"Xong trễ","Xong"),IF(F580="","CHƯA GIAO","")&amp;IF(NOT(ISNUMBER(H580)),"",IF(TODAY()&gt;H580,IF(F580=""," · ","")&amp;"QUÁ HẠN "&amp;(TODAY()-H580)&amp;" ngày",IF(H580-TODAY()&lt;=3,IF(F580=""," · ","")&amp;"Đến hạn "&amp;IF(H580=TODAY(),"hôm nay","trong "&amp;(H580-TODAY())&amp;" ngày"),""))))))</f>
        <v/>
      </c>
      <c r="Q580">
        <f>IF(AND(E580&lt;&gt;"",R580="Có",I580&lt;&gt;"Xong",I580&lt;&gt;"Bỏ qua",ISNUMBER(H580)),H580+ROW()/100000,"")</f>
        <v/>
      </c>
      <c r="R580">
        <f>IF(M580="","",IFERROR(INDEX(SK_L,MATCH(M580,SK_A,0)),""))</f>
        <v/>
      </c>
    </row>
    <row r="581">
      <c r="A581" s="11">
        <f>IF(M581="","",IFERROR(INDEX(SK_B,MATCH(M581,SK_A,0))&amp;"",""))</f>
        <v/>
      </c>
      <c r="B581" s="24">
        <f>IF(M581="","",IFERROR(INDEX(SK_C,MATCH(M581,SK_A,0)),""))</f>
        <v/>
      </c>
      <c r="C581" s="25">
        <f>IF(O581="","",IF(O581=0,"D",IF(O581&lt;0,"D"&amp;O581,"D+"&amp;O581)))</f>
        <v/>
      </c>
      <c r="D581" s="13" t="n"/>
      <c r="E581" s="11" t="n"/>
      <c r="F581" s="26" t="n"/>
      <c r="G581" s="13" t="n"/>
      <c r="H581" s="12">
        <f>IF(OR(B581="",O581=""),"",IF(O581&gt;0,IF(P581="Làm việc",WORKDAY(IFERROR(IF(INDEX(SK_D,MATCH(M581,SK_A,0))="",B581,INDEX(SK_D,MATCH(M581,SK_A,0))),B581),O581,HOLI),IFERROR(IF(INDEX(SK_D,MATCH(M581,SK_A,0))="",B581,INDEX(SK_D,MATCH(M581,SK_A,0))),B581)+O581),B581+O581))</f>
        <v/>
      </c>
      <c r="I581" s="13" t="n"/>
      <c r="J581" s="12" t="n"/>
      <c r="K581" s="11" t="n"/>
      <c r="L581" s="27">
        <f>IF(E581="","",IF(I581="Bỏ qua","—",IF(I581="Xong",IF(AND(ISNUMBER(J581),ISNUMBER(H581),J581&gt;H581),"Xong trễ","Xong"),IF(F581="","CHƯA GIAO","")&amp;IF(NOT(ISNUMBER(H581)),"",IF(TODAY()&gt;H581,IF(F581=""," · ","")&amp;"QUÁ HẠN "&amp;(TODAY()-H581)&amp;" ngày",IF(H581-TODAY()&lt;=3,IF(F581=""," · ","")&amp;"Đến hạn "&amp;IF(H581=TODAY(),"hôm nay","trong "&amp;(H581-TODAY())&amp;" ngày"),""))))))</f>
        <v/>
      </c>
      <c r="Q581">
        <f>IF(AND(E581&lt;&gt;"",R581="Có",I581&lt;&gt;"Xong",I581&lt;&gt;"Bỏ qua",ISNUMBER(H581)),H581+ROW()/100000,"")</f>
        <v/>
      </c>
      <c r="R581">
        <f>IF(M581="","",IFERROR(INDEX(SK_L,MATCH(M581,SK_A,0)),""))</f>
        <v/>
      </c>
    </row>
    <row r="582">
      <c r="A582" s="11">
        <f>IF(M582="","",IFERROR(INDEX(SK_B,MATCH(M582,SK_A,0))&amp;"",""))</f>
        <v/>
      </c>
      <c r="B582" s="24">
        <f>IF(M582="","",IFERROR(INDEX(SK_C,MATCH(M582,SK_A,0)),""))</f>
        <v/>
      </c>
      <c r="C582" s="25">
        <f>IF(O582="","",IF(O582=0,"D",IF(O582&lt;0,"D"&amp;O582,"D+"&amp;O582)))</f>
        <v/>
      </c>
      <c r="D582" s="13" t="n"/>
      <c r="E582" s="11" t="n"/>
      <c r="F582" s="26" t="n"/>
      <c r="G582" s="13" t="n"/>
      <c r="H582" s="12">
        <f>IF(OR(B582="",O582=""),"",IF(O582&gt;0,IF(P582="Làm việc",WORKDAY(IFERROR(IF(INDEX(SK_D,MATCH(M582,SK_A,0))="",B582,INDEX(SK_D,MATCH(M582,SK_A,0))),B582),O582,HOLI),IFERROR(IF(INDEX(SK_D,MATCH(M582,SK_A,0))="",B582,INDEX(SK_D,MATCH(M582,SK_A,0))),B582)+O582),B582+O582))</f>
        <v/>
      </c>
      <c r="I582" s="13" t="n"/>
      <c r="J582" s="12" t="n"/>
      <c r="K582" s="11" t="n"/>
      <c r="L582" s="27">
        <f>IF(E582="","",IF(I582="Bỏ qua","—",IF(I582="Xong",IF(AND(ISNUMBER(J582),ISNUMBER(H582),J582&gt;H582),"Xong trễ","Xong"),IF(F582="","CHƯA GIAO","")&amp;IF(NOT(ISNUMBER(H582)),"",IF(TODAY()&gt;H582,IF(F582=""," · ","")&amp;"QUÁ HẠN "&amp;(TODAY()-H582)&amp;" ngày",IF(H582-TODAY()&lt;=3,IF(F582=""," · ","")&amp;"Đến hạn "&amp;IF(H582=TODAY(),"hôm nay","trong "&amp;(H582-TODAY())&amp;" ngày"),""))))))</f>
        <v/>
      </c>
      <c r="Q582">
        <f>IF(AND(E582&lt;&gt;"",R582="Có",I582&lt;&gt;"Xong",I582&lt;&gt;"Bỏ qua",ISNUMBER(H582)),H582+ROW()/100000,"")</f>
        <v/>
      </c>
      <c r="R582">
        <f>IF(M582="","",IFERROR(INDEX(SK_L,MATCH(M582,SK_A,0)),""))</f>
        <v/>
      </c>
    </row>
    <row r="583">
      <c r="A583" s="11">
        <f>IF(M583="","",IFERROR(INDEX(SK_B,MATCH(M583,SK_A,0))&amp;"",""))</f>
        <v/>
      </c>
      <c r="B583" s="24">
        <f>IF(M583="","",IFERROR(INDEX(SK_C,MATCH(M583,SK_A,0)),""))</f>
        <v/>
      </c>
      <c r="C583" s="25">
        <f>IF(O583="","",IF(O583=0,"D",IF(O583&lt;0,"D"&amp;O583,"D+"&amp;O583)))</f>
        <v/>
      </c>
      <c r="D583" s="13" t="n"/>
      <c r="E583" s="11" t="n"/>
      <c r="F583" s="26" t="n"/>
      <c r="G583" s="13" t="n"/>
      <c r="H583" s="12">
        <f>IF(OR(B583="",O583=""),"",IF(O583&gt;0,IF(P583="Làm việc",WORKDAY(IFERROR(IF(INDEX(SK_D,MATCH(M583,SK_A,0))="",B583,INDEX(SK_D,MATCH(M583,SK_A,0))),B583),O583,HOLI),IFERROR(IF(INDEX(SK_D,MATCH(M583,SK_A,0))="",B583,INDEX(SK_D,MATCH(M583,SK_A,0))),B583)+O583),B583+O583))</f>
        <v/>
      </c>
      <c r="I583" s="13" t="n"/>
      <c r="J583" s="12" t="n"/>
      <c r="K583" s="11" t="n"/>
      <c r="L583" s="27">
        <f>IF(E583="","",IF(I583="Bỏ qua","—",IF(I583="Xong",IF(AND(ISNUMBER(J583),ISNUMBER(H583),J583&gt;H583),"Xong trễ","Xong"),IF(F583="","CHƯA GIAO","")&amp;IF(NOT(ISNUMBER(H583)),"",IF(TODAY()&gt;H583,IF(F583=""," · ","")&amp;"QUÁ HẠN "&amp;(TODAY()-H583)&amp;" ngày",IF(H583-TODAY()&lt;=3,IF(F583=""," · ","")&amp;"Đến hạn "&amp;IF(H583=TODAY(),"hôm nay","trong "&amp;(H583-TODAY())&amp;" ngày"),""))))))</f>
        <v/>
      </c>
      <c r="Q583">
        <f>IF(AND(E583&lt;&gt;"",R583="Có",I583&lt;&gt;"Xong",I583&lt;&gt;"Bỏ qua",ISNUMBER(H583)),H583+ROW()/100000,"")</f>
        <v/>
      </c>
      <c r="R583">
        <f>IF(M583="","",IFERROR(INDEX(SK_L,MATCH(M583,SK_A,0)),""))</f>
        <v/>
      </c>
    </row>
    <row r="584">
      <c r="A584" s="11">
        <f>IF(M584="","",IFERROR(INDEX(SK_B,MATCH(M584,SK_A,0))&amp;"",""))</f>
        <v/>
      </c>
      <c r="B584" s="24">
        <f>IF(M584="","",IFERROR(INDEX(SK_C,MATCH(M584,SK_A,0)),""))</f>
        <v/>
      </c>
      <c r="C584" s="25">
        <f>IF(O584="","",IF(O584=0,"D",IF(O584&lt;0,"D"&amp;O584,"D+"&amp;O584)))</f>
        <v/>
      </c>
      <c r="D584" s="13" t="n"/>
      <c r="E584" s="11" t="n"/>
      <c r="F584" s="26" t="n"/>
      <c r="G584" s="13" t="n"/>
      <c r="H584" s="12">
        <f>IF(OR(B584="",O584=""),"",IF(O584&gt;0,IF(P584="Làm việc",WORKDAY(IFERROR(IF(INDEX(SK_D,MATCH(M584,SK_A,0))="",B584,INDEX(SK_D,MATCH(M584,SK_A,0))),B584),O584,HOLI),IFERROR(IF(INDEX(SK_D,MATCH(M584,SK_A,0))="",B584,INDEX(SK_D,MATCH(M584,SK_A,0))),B584)+O584),B584+O584))</f>
        <v/>
      </c>
      <c r="I584" s="13" t="n"/>
      <c r="J584" s="12" t="n"/>
      <c r="K584" s="11" t="n"/>
      <c r="L584" s="27">
        <f>IF(E584="","",IF(I584="Bỏ qua","—",IF(I584="Xong",IF(AND(ISNUMBER(J584),ISNUMBER(H584),J584&gt;H584),"Xong trễ","Xong"),IF(F584="","CHƯA GIAO","")&amp;IF(NOT(ISNUMBER(H584)),"",IF(TODAY()&gt;H584,IF(F584=""," · ","")&amp;"QUÁ HẠN "&amp;(TODAY()-H584)&amp;" ngày",IF(H584-TODAY()&lt;=3,IF(F584=""," · ","")&amp;"Đến hạn "&amp;IF(H584=TODAY(),"hôm nay","trong "&amp;(H584-TODAY())&amp;" ngày"),""))))))</f>
        <v/>
      </c>
      <c r="Q584">
        <f>IF(AND(E584&lt;&gt;"",R584="Có",I584&lt;&gt;"Xong",I584&lt;&gt;"Bỏ qua",ISNUMBER(H584)),H584+ROW()/100000,"")</f>
        <v/>
      </c>
      <c r="R584">
        <f>IF(M584="","",IFERROR(INDEX(SK_L,MATCH(M584,SK_A,0)),""))</f>
        <v/>
      </c>
    </row>
    <row r="585">
      <c r="A585" s="11">
        <f>IF(M585="","",IFERROR(INDEX(SK_B,MATCH(M585,SK_A,0))&amp;"",""))</f>
        <v/>
      </c>
      <c r="B585" s="24">
        <f>IF(M585="","",IFERROR(INDEX(SK_C,MATCH(M585,SK_A,0)),""))</f>
        <v/>
      </c>
      <c r="C585" s="25">
        <f>IF(O585="","",IF(O585=0,"D",IF(O585&lt;0,"D"&amp;O585,"D+"&amp;O585)))</f>
        <v/>
      </c>
      <c r="D585" s="13" t="n"/>
      <c r="E585" s="11" t="n"/>
      <c r="F585" s="26" t="n"/>
      <c r="G585" s="13" t="n"/>
      <c r="H585" s="12">
        <f>IF(OR(B585="",O585=""),"",IF(O585&gt;0,IF(P585="Làm việc",WORKDAY(IFERROR(IF(INDEX(SK_D,MATCH(M585,SK_A,0))="",B585,INDEX(SK_D,MATCH(M585,SK_A,0))),B585),O585,HOLI),IFERROR(IF(INDEX(SK_D,MATCH(M585,SK_A,0))="",B585,INDEX(SK_D,MATCH(M585,SK_A,0))),B585)+O585),B585+O585))</f>
        <v/>
      </c>
      <c r="I585" s="13" t="n"/>
      <c r="J585" s="12" t="n"/>
      <c r="K585" s="11" t="n"/>
      <c r="L585" s="27">
        <f>IF(E585="","",IF(I585="Bỏ qua","—",IF(I585="Xong",IF(AND(ISNUMBER(J585),ISNUMBER(H585),J585&gt;H585),"Xong trễ","Xong"),IF(F585="","CHƯA GIAO","")&amp;IF(NOT(ISNUMBER(H585)),"",IF(TODAY()&gt;H585,IF(F585=""," · ","")&amp;"QUÁ HẠN "&amp;(TODAY()-H585)&amp;" ngày",IF(H585-TODAY()&lt;=3,IF(F585=""," · ","")&amp;"Đến hạn "&amp;IF(H585=TODAY(),"hôm nay","trong "&amp;(H585-TODAY())&amp;" ngày"),""))))))</f>
        <v/>
      </c>
      <c r="Q585">
        <f>IF(AND(E585&lt;&gt;"",R585="Có",I585&lt;&gt;"Xong",I585&lt;&gt;"Bỏ qua",ISNUMBER(H585)),H585+ROW()/100000,"")</f>
        <v/>
      </c>
      <c r="R585">
        <f>IF(M585="","",IFERROR(INDEX(SK_L,MATCH(M585,SK_A,0)),""))</f>
        <v/>
      </c>
    </row>
    <row r="586">
      <c r="A586" s="11">
        <f>IF(M586="","",IFERROR(INDEX(SK_B,MATCH(M586,SK_A,0))&amp;"",""))</f>
        <v/>
      </c>
      <c r="B586" s="24">
        <f>IF(M586="","",IFERROR(INDEX(SK_C,MATCH(M586,SK_A,0)),""))</f>
        <v/>
      </c>
      <c r="C586" s="25">
        <f>IF(O586="","",IF(O586=0,"D",IF(O586&lt;0,"D"&amp;O586,"D+"&amp;O586)))</f>
        <v/>
      </c>
      <c r="D586" s="13" t="n"/>
      <c r="E586" s="11" t="n"/>
      <c r="F586" s="26" t="n"/>
      <c r="G586" s="13" t="n"/>
      <c r="H586" s="12">
        <f>IF(OR(B586="",O586=""),"",IF(O586&gt;0,IF(P586="Làm việc",WORKDAY(IFERROR(IF(INDEX(SK_D,MATCH(M586,SK_A,0))="",B586,INDEX(SK_D,MATCH(M586,SK_A,0))),B586),O586,HOLI),IFERROR(IF(INDEX(SK_D,MATCH(M586,SK_A,0))="",B586,INDEX(SK_D,MATCH(M586,SK_A,0))),B586)+O586),B586+O586))</f>
        <v/>
      </c>
      <c r="I586" s="13" t="n"/>
      <c r="J586" s="12" t="n"/>
      <c r="K586" s="11" t="n"/>
      <c r="L586" s="27">
        <f>IF(E586="","",IF(I586="Bỏ qua","—",IF(I586="Xong",IF(AND(ISNUMBER(J586),ISNUMBER(H586),J586&gt;H586),"Xong trễ","Xong"),IF(F586="","CHƯA GIAO","")&amp;IF(NOT(ISNUMBER(H586)),"",IF(TODAY()&gt;H586,IF(F586=""," · ","")&amp;"QUÁ HẠN "&amp;(TODAY()-H586)&amp;" ngày",IF(H586-TODAY()&lt;=3,IF(F586=""," · ","")&amp;"Đến hạn "&amp;IF(H586=TODAY(),"hôm nay","trong "&amp;(H586-TODAY())&amp;" ngày"),""))))))</f>
        <v/>
      </c>
      <c r="Q586">
        <f>IF(AND(E586&lt;&gt;"",R586="Có",I586&lt;&gt;"Xong",I586&lt;&gt;"Bỏ qua",ISNUMBER(H586)),H586+ROW()/100000,"")</f>
        <v/>
      </c>
      <c r="R586">
        <f>IF(M586="","",IFERROR(INDEX(SK_L,MATCH(M586,SK_A,0)),""))</f>
        <v/>
      </c>
    </row>
    <row r="587">
      <c r="A587" s="11">
        <f>IF(M587="","",IFERROR(INDEX(SK_B,MATCH(M587,SK_A,0))&amp;"",""))</f>
        <v/>
      </c>
      <c r="B587" s="24">
        <f>IF(M587="","",IFERROR(INDEX(SK_C,MATCH(M587,SK_A,0)),""))</f>
        <v/>
      </c>
      <c r="C587" s="25">
        <f>IF(O587="","",IF(O587=0,"D",IF(O587&lt;0,"D"&amp;O587,"D+"&amp;O587)))</f>
        <v/>
      </c>
      <c r="D587" s="13" t="n"/>
      <c r="E587" s="11" t="n"/>
      <c r="F587" s="26" t="n"/>
      <c r="G587" s="13" t="n"/>
      <c r="H587" s="12">
        <f>IF(OR(B587="",O587=""),"",IF(O587&gt;0,IF(P587="Làm việc",WORKDAY(IFERROR(IF(INDEX(SK_D,MATCH(M587,SK_A,0))="",B587,INDEX(SK_D,MATCH(M587,SK_A,0))),B587),O587,HOLI),IFERROR(IF(INDEX(SK_D,MATCH(M587,SK_A,0))="",B587,INDEX(SK_D,MATCH(M587,SK_A,0))),B587)+O587),B587+O587))</f>
        <v/>
      </c>
      <c r="I587" s="13" t="n"/>
      <c r="J587" s="12" t="n"/>
      <c r="K587" s="11" t="n"/>
      <c r="L587" s="27">
        <f>IF(E587="","",IF(I587="Bỏ qua","—",IF(I587="Xong",IF(AND(ISNUMBER(J587),ISNUMBER(H587),J587&gt;H587),"Xong trễ","Xong"),IF(F587="","CHƯA GIAO","")&amp;IF(NOT(ISNUMBER(H587)),"",IF(TODAY()&gt;H587,IF(F587=""," · ","")&amp;"QUÁ HẠN "&amp;(TODAY()-H587)&amp;" ngày",IF(H587-TODAY()&lt;=3,IF(F587=""," · ","")&amp;"Đến hạn "&amp;IF(H587=TODAY(),"hôm nay","trong "&amp;(H587-TODAY())&amp;" ngày"),""))))))</f>
        <v/>
      </c>
      <c r="Q587">
        <f>IF(AND(E587&lt;&gt;"",R587="Có",I587&lt;&gt;"Xong",I587&lt;&gt;"Bỏ qua",ISNUMBER(H587)),H587+ROW()/100000,"")</f>
        <v/>
      </c>
      <c r="R587">
        <f>IF(M587="","",IFERROR(INDEX(SK_L,MATCH(M587,SK_A,0)),""))</f>
        <v/>
      </c>
    </row>
    <row r="588">
      <c r="A588" s="11">
        <f>IF(M588="","",IFERROR(INDEX(SK_B,MATCH(M588,SK_A,0))&amp;"",""))</f>
        <v/>
      </c>
      <c r="B588" s="24">
        <f>IF(M588="","",IFERROR(INDEX(SK_C,MATCH(M588,SK_A,0)),""))</f>
        <v/>
      </c>
      <c r="C588" s="25">
        <f>IF(O588="","",IF(O588=0,"D",IF(O588&lt;0,"D"&amp;O588,"D+"&amp;O588)))</f>
        <v/>
      </c>
      <c r="D588" s="13" t="n"/>
      <c r="E588" s="11" t="n"/>
      <c r="F588" s="26" t="n"/>
      <c r="G588" s="13" t="n"/>
      <c r="H588" s="12">
        <f>IF(OR(B588="",O588=""),"",IF(O588&gt;0,IF(P588="Làm việc",WORKDAY(IFERROR(IF(INDEX(SK_D,MATCH(M588,SK_A,0))="",B588,INDEX(SK_D,MATCH(M588,SK_A,0))),B588),O588,HOLI),IFERROR(IF(INDEX(SK_D,MATCH(M588,SK_A,0))="",B588,INDEX(SK_D,MATCH(M588,SK_A,0))),B588)+O588),B588+O588))</f>
        <v/>
      </c>
      <c r="I588" s="13" t="n"/>
      <c r="J588" s="12" t="n"/>
      <c r="K588" s="11" t="n"/>
      <c r="L588" s="27">
        <f>IF(E588="","",IF(I588="Bỏ qua","—",IF(I588="Xong",IF(AND(ISNUMBER(J588),ISNUMBER(H588),J588&gt;H588),"Xong trễ","Xong"),IF(F588="","CHƯA GIAO","")&amp;IF(NOT(ISNUMBER(H588)),"",IF(TODAY()&gt;H588,IF(F588=""," · ","")&amp;"QUÁ HẠN "&amp;(TODAY()-H588)&amp;" ngày",IF(H588-TODAY()&lt;=3,IF(F588=""," · ","")&amp;"Đến hạn "&amp;IF(H588=TODAY(),"hôm nay","trong "&amp;(H588-TODAY())&amp;" ngày"),""))))))</f>
        <v/>
      </c>
      <c r="Q588">
        <f>IF(AND(E588&lt;&gt;"",R588="Có",I588&lt;&gt;"Xong",I588&lt;&gt;"Bỏ qua",ISNUMBER(H588)),H588+ROW()/100000,"")</f>
        <v/>
      </c>
      <c r="R588">
        <f>IF(M588="","",IFERROR(INDEX(SK_L,MATCH(M588,SK_A,0)),""))</f>
        <v/>
      </c>
    </row>
    <row r="589">
      <c r="A589" s="11">
        <f>IF(M589="","",IFERROR(INDEX(SK_B,MATCH(M589,SK_A,0))&amp;"",""))</f>
        <v/>
      </c>
      <c r="B589" s="24">
        <f>IF(M589="","",IFERROR(INDEX(SK_C,MATCH(M589,SK_A,0)),""))</f>
        <v/>
      </c>
      <c r="C589" s="25">
        <f>IF(O589="","",IF(O589=0,"D",IF(O589&lt;0,"D"&amp;O589,"D+"&amp;O589)))</f>
        <v/>
      </c>
      <c r="D589" s="13" t="n"/>
      <c r="E589" s="11" t="n"/>
      <c r="F589" s="26" t="n"/>
      <c r="G589" s="13" t="n"/>
      <c r="H589" s="12">
        <f>IF(OR(B589="",O589=""),"",IF(O589&gt;0,IF(P589="Làm việc",WORKDAY(IFERROR(IF(INDEX(SK_D,MATCH(M589,SK_A,0))="",B589,INDEX(SK_D,MATCH(M589,SK_A,0))),B589),O589,HOLI),IFERROR(IF(INDEX(SK_D,MATCH(M589,SK_A,0))="",B589,INDEX(SK_D,MATCH(M589,SK_A,0))),B589)+O589),B589+O589))</f>
        <v/>
      </c>
      <c r="I589" s="13" t="n"/>
      <c r="J589" s="12" t="n"/>
      <c r="K589" s="11" t="n"/>
      <c r="L589" s="27">
        <f>IF(E589="","",IF(I589="Bỏ qua","—",IF(I589="Xong",IF(AND(ISNUMBER(J589),ISNUMBER(H589),J589&gt;H589),"Xong trễ","Xong"),IF(F589="","CHƯA GIAO","")&amp;IF(NOT(ISNUMBER(H589)),"",IF(TODAY()&gt;H589,IF(F589=""," · ","")&amp;"QUÁ HẠN "&amp;(TODAY()-H589)&amp;" ngày",IF(H589-TODAY()&lt;=3,IF(F589=""," · ","")&amp;"Đến hạn "&amp;IF(H589=TODAY(),"hôm nay","trong "&amp;(H589-TODAY())&amp;" ngày"),""))))))</f>
        <v/>
      </c>
      <c r="Q589">
        <f>IF(AND(E589&lt;&gt;"",R589="Có",I589&lt;&gt;"Xong",I589&lt;&gt;"Bỏ qua",ISNUMBER(H589)),H589+ROW()/100000,"")</f>
        <v/>
      </c>
      <c r="R589">
        <f>IF(M589="","",IFERROR(INDEX(SK_L,MATCH(M589,SK_A,0)),""))</f>
        <v/>
      </c>
    </row>
    <row r="590">
      <c r="A590" s="11">
        <f>IF(M590="","",IFERROR(INDEX(SK_B,MATCH(M590,SK_A,0))&amp;"",""))</f>
        <v/>
      </c>
      <c r="B590" s="24">
        <f>IF(M590="","",IFERROR(INDEX(SK_C,MATCH(M590,SK_A,0)),""))</f>
        <v/>
      </c>
      <c r="C590" s="25">
        <f>IF(O590="","",IF(O590=0,"D",IF(O590&lt;0,"D"&amp;O590,"D+"&amp;O590)))</f>
        <v/>
      </c>
      <c r="D590" s="13" t="n"/>
      <c r="E590" s="11" t="n"/>
      <c r="F590" s="26" t="n"/>
      <c r="G590" s="13" t="n"/>
      <c r="H590" s="12">
        <f>IF(OR(B590="",O590=""),"",IF(O590&gt;0,IF(P590="Làm việc",WORKDAY(IFERROR(IF(INDEX(SK_D,MATCH(M590,SK_A,0))="",B590,INDEX(SK_D,MATCH(M590,SK_A,0))),B590),O590,HOLI),IFERROR(IF(INDEX(SK_D,MATCH(M590,SK_A,0))="",B590,INDEX(SK_D,MATCH(M590,SK_A,0))),B590)+O590),B590+O590))</f>
        <v/>
      </c>
      <c r="I590" s="13" t="n"/>
      <c r="J590" s="12" t="n"/>
      <c r="K590" s="11" t="n"/>
      <c r="L590" s="27">
        <f>IF(E590="","",IF(I590="Bỏ qua","—",IF(I590="Xong",IF(AND(ISNUMBER(J590),ISNUMBER(H590),J590&gt;H590),"Xong trễ","Xong"),IF(F590="","CHƯA GIAO","")&amp;IF(NOT(ISNUMBER(H590)),"",IF(TODAY()&gt;H590,IF(F590=""," · ","")&amp;"QUÁ HẠN "&amp;(TODAY()-H590)&amp;" ngày",IF(H590-TODAY()&lt;=3,IF(F590=""," · ","")&amp;"Đến hạn "&amp;IF(H590=TODAY(),"hôm nay","trong "&amp;(H590-TODAY())&amp;" ngày"),""))))))</f>
        <v/>
      </c>
      <c r="Q590">
        <f>IF(AND(E590&lt;&gt;"",R590="Có",I590&lt;&gt;"Xong",I590&lt;&gt;"Bỏ qua",ISNUMBER(H590)),H590+ROW()/100000,"")</f>
        <v/>
      </c>
      <c r="R590">
        <f>IF(M590="","",IFERROR(INDEX(SK_L,MATCH(M590,SK_A,0)),""))</f>
        <v/>
      </c>
    </row>
    <row r="591">
      <c r="A591" s="11">
        <f>IF(M591="","",IFERROR(INDEX(SK_B,MATCH(M591,SK_A,0))&amp;"",""))</f>
        <v/>
      </c>
      <c r="B591" s="24">
        <f>IF(M591="","",IFERROR(INDEX(SK_C,MATCH(M591,SK_A,0)),""))</f>
        <v/>
      </c>
      <c r="C591" s="25">
        <f>IF(O591="","",IF(O591=0,"D",IF(O591&lt;0,"D"&amp;O591,"D+"&amp;O591)))</f>
        <v/>
      </c>
      <c r="D591" s="13" t="n"/>
      <c r="E591" s="11" t="n"/>
      <c r="F591" s="26" t="n"/>
      <c r="G591" s="13" t="n"/>
      <c r="H591" s="12">
        <f>IF(OR(B591="",O591=""),"",IF(O591&gt;0,IF(P591="Làm việc",WORKDAY(IFERROR(IF(INDEX(SK_D,MATCH(M591,SK_A,0))="",B591,INDEX(SK_D,MATCH(M591,SK_A,0))),B591),O591,HOLI),IFERROR(IF(INDEX(SK_D,MATCH(M591,SK_A,0))="",B591,INDEX(SK_D,MATCH(M591,SK_A,0))),B591)+O591),B591+O591))</f>
        <v/>
      </c>
      <c r="I591" s="13" t="n"/>
      <c r="J591" s="12" t="n"/>
      <c r="K591" s="11" t="n"/>
      <c r="L591" s="27">
        <f>IF(E591="","",IF(I591="Bỏ qua","—",IF(I591="Xong",IF(AND(ISNUMBER(J591),ISNUMBER(H591),J591&gt;H591),"Xong trễ","Xong"),IF(F591="","CHƯA GIAO","")&amp;IF(NOT(ISNUMBER(H591)),"",IF(TODAY()&gt;H591,IF(F591=""," · ","")&amp;"QUÁ HẠN "&amp;(TODAY()-H591)&amp;" ngày",IF(H591-TODAY()&lt;=3,IF(F591=""," · ","")&amp;"Đến hạn "&amp;IF(H591=TODAY(),"hôm nay","trong "&amp;(H591-TODAY())&amp;" ngày"),""))))))</f>
        <v/>
      </c>
      <c r="Q591">
        <f>IF(AND(E591&lt;&gt;"",R591="Có",I591&lt;&gt;"Xong",I591&lt;&gt;"Bỏ qua",ISNUMBER(H591)),H591+ROW()/100000,"")</f>
        <v/>
      </c>
      <c r="R591">
        <f>IF(M591="","",IFERROR(INDEX(SK_L,MATCH(M591,SK_A,0)),""))</f>
        <v/>
      </c>
    </row>
    <row r="592">
      <c r="A592" s="11">
        <f>IF(M592="","",IFERROR(INDEX(SK_B,MATCH(M592,SK_A,0))&amp;"",""))</f>
        <v/>
      </c>
      <c r="B592" s="24">
        <f>IF(M592="","",IFERROR(INDEX(SK_C,MATCH(M592,SK_A,0)),""))</f>
        <v/>
      </c>
      <c r="C592" s="25">
        <f>IF(O592="","",IF(O592=0,"D",IF(O592&lt;0,"D"&amp;O592,"D+"&amp;O592)))</f>
        <v/>
      </c>
      <c r="D592" s="13" t="n"/>
      <c r="E592" s="11" t="n"/>
      <c r="F592" s="26" t="n"/>
      <c r="G592" s="13" t="n"/>
      <c r="H592" s="12">
        <f>IF(OR(B592="",O592=""),"",IF(O592&gt;0,IF(P592="Làm việc",WORKDAY(IFERROR(IF(INDEX(SK_D,MATCH(M592,SK_A,0))="",B592,INDEX(SK_D,MATCH(M592,SK_A,0))),B592),O592,HOLI),IFERROR(IF(INDEX(SK_D,MATCH(M592,SK_A,0))="",B592,INDEX(SK_D,MATCH(M592,SK_A,0))),B592)+O592),B592+O592))</f>
        <v/>
      </c>
      <c r="I592" s="13" t="n"/>
      <c r="J592" s="12" t="n"/>
      <c r="K592" s="11" t="n"/>
      <c r="L592" s="27">
        <f>IF(E592="","",IF(I592="Bỏ qua","—",IF(I592="Xong",IF(AND(ISNUMBER(J592),ISNUMBER(H592),J592&gt;H592),"Xong trễ","Xong"),IF(F592="","CHƯA GIAO","")&amp;IF(NOT(ISNUMBER(H592)),"",IF(TODAY()&gt;H592,IF(F592=""," · ","")&amp;"QUÁ HẠN "&amp;(TODAY()-H592)&amp;" ngày",IF(H592-TODAY()&lt;=3,IF(F592=""," · ","")&amp;"Đến hạn "&amp;IF(H592=TODAY(),"hôm nay","trong "&amp;(H592-TODAY())&amp;" ngày"),""))))))</f>
        <v/>
      </c>
      <c r="Q592">
        <f>IF(AND(E592&lt;&gt;"",R592="Có",I592&lt;&gt;"Xong",I592&lt;&gt;"Bỏ qua",ISNUMBER(H592)),H592+ROW()/100000,"")</f>
        <v/>
      </c>
      <c r="R592">
        <f>IF(M592="","",IFERROR(INDEX(SK_L,MATCH(M592,SK_A,0)),""))</f>
        <v/>
      </c>
    </row>
    <row r="593">
      <c r="A593" s="11">
        <f>IF(M593="","",IFERROR(INDEX(SK_B,MATCH(M593,SK_A,0))&amp;"",""))</f>
        <v/>
      </c>
      <c r="B593" s="24">
        <f>IF(M593="","",IFERROR(INDEX(SK_C,MATCH(M593,SK_A,0)),""))</f>
        <v/>
      </c>
      <c r="C593" s="25">
        <f>IF(O593="","",IF(O593=0,"D",IF(O593&lt;0,"D"&amp;O593,"D+"&amp;O593)))</f>
        <v/>
      </c>
      <c r="D593" s="13" t="n"/>
      <c r="E593" s="11" t="n"/>
      <c r="F593" s="26" t="n"/>
      <c r="G593" s="13" t="n"/>
      <c r="H593" s="12">
        <f>IF(OR(B593="",O593=""),"",IF(O593&gt;0,IF(P593="Làm việc",WORKDAY(IFERROR(IF(INDEX(SK_D,MATCH(M593,SK_A,0))="",B593,INDEX(SK_D,MATCH(M593,SK_A,0))),B593),O593,HOLI),IFERROR(IF(INDEX(SK_D,MATCH(M593,SK_A,0))="",B593,INDEX(SK_D,MATCH(M593,SK_A,0))),B593)+O593),B593+O593))</f>
        <v/>
      </c>
      <c r="I593" s="13" t="n"/>
      <c r="J593" s="12" t="n"/>
      <c r="K593" s="11" t="n"/>
      <c r="L593" s="27">
        <f>IF(E593="","",IF(I593="Bỏ qua","—",IF(I593="Xong",IF(AND(ISNUMBER(J593),ISNUMBER(H593),J593&gt;H593),"Xong trễ","Xong"),IF(F593="","CHƯA GIAO","")&amp;IF(NOT(ISNUMBER(H593)),"",IF(TODAY()&gt;H593,IF(F593=""," · ","")&amp;"QUÁ HẠN "&amp;(TODAY()-H593)&amp;" ngày",IF(H593-TODAY()&lt;=3,IF(F593=""," · ","")&amp;"Đến hạn "&amp;IF(H593=TODAY(),"hôm nay","trong "&amp;(H593-TODAY())&amp;" ngày"),""))))))</f>
        <v/>
      </c>
      <c r="Q593">
        <f>IF(AND(E593&lt;&gt;"",R593="Có",I593&lt;&gt;"Xong",I593&lt;&gt;"Bỏ qua",ISNUMBER(H593)),H593+ROW()/100000,"")</f>
        <v/>
      </c>
      <c r="R593">
        <f>IF(M593="","",IFERROR(INDEX(SK_L,MATCH(M593,SK_A,0)),""))</f>
        <v/>
      </c>
    </row>
    <row r="594">
      <c r="A594" s="11">
        <f>IF(M594="","",IFERROR(INDEX(SK_B,MATCH(M594,SK_A,0))&amp;"",""))</f>
        <v/>
      </c>
      <c r="B594" s="24">
        <f>IF(M594="","",IFERROR(INDEX(SK_C,MATCH(M594,SK_A,0)),""))</f>
        <v/>
      </c>
      <c r="C594" s="25">
        <f>IF(O594="","",IF(O594=0,"D",IF(O594&lt;0,"D"&amp;O594,"D+"&amp;O594)))</f>
        <v/>
      </c>
      <c r="D594" s="13" t="n"/>
      <c r="E594" s="11" t="n"/>
      <c r="F594" s="26" t="n"/>
      <c r="G594" s="13" t="n"/>
      <c r="H594" s="12">
        <f>IF(OR(B594="",O594=""),"",IF(O594&gt;0,IF(P594="Làm việc",WORKDAY(IFERROR(IF(INDEX(SK_D,MATCH(M594,SK_A,0))="",B594,INDEX(SK_D,MATCH(M594,SK_A,0))),B594),O594,HOLI),IFERROR(IF(INDEX(SK_D,MATCH(M594,SK_A,0))="",B594,INDEX(SK_D,MATCH(M594,SK_A,0))),B594)+O594),B594+O594))</f>
        <v/>
      </c>
      <c r="I594" s="13" t="n"/>
      <c r="J594" s="12" t="n"/>
      <c r="K594" s="11" t="n"/>
      <c r="L594" s="27">
        <f>IF(E594="","",IF(I594="Bỏ qua","—",IF(I594="Xong",IF(AND(ISNUMBER(J594),ISNUMBER(H594),J594&gt;H594),"Xong trễ","Xong"),IF(F594="","CHƯA GIAO","")&amp;IF(NOT(ISNUMBER(H594)),"",IF(TODAY()&gt;H594,IF(F594=""," · ","")&amp;"QUÁ HẠN "&amp;(TODAY()-H594)&amp;" ngày",IF(H594-TODAY()&lt;=3,IF(F594=""," · ","")&amp;"Đến hạn "&amp;IF(H594=TODAY(),"hôm nay","trong "&amp;(H594-TODAY())&amp;" ngày"),""))))))</f>
        <v/>
      </c>
      <c r="Q594">
        <f>IF(AND(E594&lt;&gt;"",R594="Có",I594&lt;&gt;"Xong",I594&lt;&gt;"Bỏ qua",ISNUMBER(H594)),H594+ROW()/100000,"")</f>
        <v/>
      </c>
      <c r="R594">
        <f>IF(M594="","",IFERROR(INDEX(SK_L,MATCH(M594,SK_A,0)),""))</f>
        <v/>
      </c>
    </row>
    <row r="595">
      <c r="A595" s="11">
        <f>IF(M595="","",IFERROR(INDEX(SK_B,MATCH(M595,SK_A,0))&amp;"",""))</f>
        <v/>
      </c>
      <c r="B595" s="24">
        <f>IF(M595="","",IFERROR(INDEX(SK_C,MATCH(M595,SK_A,0)),""))</f>
        <v/>
      </c>
      <c r="C595" s="25">
        <f>IF(O595="","",IF(O595=0,"D",IF(O595&lt;0,"D"&amp;O595,"D+"&amp;O595)))</f>
        <v/>
      </c>
      <c r="D595" s="13" t="n"/>
      <c r="E595" s="11" t="n"/>
      <c r="F595" s="26" t="n"/>
      <c r="G595" s="13" t="n"/>
      <c r="H595" s="12">
        <f>IF(OR(B595="",O595=""),"",IF(O595&gt;0,IF(P595="Làm việc",WORKDAY(IFERROR(IF(INDEX(SK_D,MATCH(M595,SK_A,0))="",B595,INDEX(SK_D,MATCH(M595,SK_A,0))),B595),O595,HOLI),IFERROR(IF(INDEX(SK_D,MATCH(M595,SK_A,0))="",B595,INDEX(SK_D,MATCH(M595,SK_A,0))),B595)+O595),B595+O595))</f>
        <v/>
      </c>
      <c r="I595" s="13" t="n"/>
      <c r="J595" s="12" t="n"/>
      <c r="K595" s="11" t="n"/>
      <c r="L595" s="27">
        <f>IF(E595="","",IF(I595="Bỏ qua","—",IF(I595="Xong",IF(AND(ISNUMBER(J595),ISNUMBER(H595),J595&gt;H595),"Xong trễ","Xong"),IF(F595="","CHƯA GIAO","")&amp;IF(NOT(ISNUMBER(H595)),"",IF(TODAY()&gt;H595,IF(F595=""," · ","")&amp;"QUÁ HẠN "&amp;(TODAY()-H595)&amp;" ngày",IF(H595-TODAY()&lt;=3,IF(F595=""," · ","")&amp;"Đến hạn "&amp;IF(H595=TODAY(),"hôm nay","trong "&amp;(H595-TODAY())&amp;" ngày"),""))))))</f>
        <v/>
      </c>
      <c r="Q595">
        <f>IF(AND(E595&lt;&gt;"",R595="Có",I595&lt;&gt;"Xong",I595&lt;&gt;"Bỏ qua",ISNUMBER(H595)),H595+ROW()/100000,"")</f>
        <v/>
      </c>
      <c r="R595">
        <f>IF(M595="","",IFERROR(INDEX(SK_L,MATCH(M595,SK_A,0)),""))</f>
        <v/>
      </c>
    </row>
    <row r="596">
      <c r="A596" s="11">
        <f>IF(M596="","",IFERROR(INDEX(SK_B,MATCH(M596,SK_A,0))&amp;"",""))</f>
        <v/>
      </c>
      <c r="B596" s="24">
        <f>IF(M596="","",IFERROR(INDEX(SK_C,MATCH(M596,SK_A,0)),""))</f>
        <v/>
      </c>
      <c r="C596" s="25">
        <f>IF(O596="","",IF(O596=0,"D",IF(O596&lt;0,"D"&amp;O596,"D+"&amp;O596)))</f>
        <v/>
      </c>
      <c r="D596" s="13" t="n"/>
      <c r="E596" s="11" t="n"/>
      <c r="F596" s="26" t="n"/>
      <c r="G596" s="13" t="n"/>
      <c r="H596" s="12">
        <f>IF(OR(B596="",O596=""),"",IF(O596&gt;0,IF(P596="Làm việc",WORKDAY(IFERROR(IF(INDEX(SK_D,MATCH(M596,SK_A,0))="",B596,INDEX(SK_D,MATCH(M596,SK_A,0))),B596),O596,HOLI),IFERROR(IF(INDEX(SK_D,MATCH(M596,SK_A,0))="",B596,INDEX(SK_D,MATCH(M596,SK_A,0))),B596)+O596),B596+O596))</f>
        <v/>
      </c>
      <c r="I596" s="13" t="n"/>
      <c r="J596" s="12" t="n"/>
      <c r="K596" s="11" t="n"/>
      <c r="L596" s="27">
        <f>IF(E596="","",IF(I596="Bỏ qua","—",IF(I596="Xong",IF(AND(ISNUMBER(J596),ISNUMBER(H596),J596&gt;H596),"Xong trễ","Xong"),IF(F596="","CHƯA GIAO","")&amp;IF(NOT(ISNUMBER(H596)),"",IF(TODAY()&gt;H596,IF(F596=""," · ","")&amp;"QUÁ HẠN "&amp;(TODAY()-H596)&amp;" ngày",IF(H596-TODAY()&lt;=3,IF(F596=""," · ","")&amp;"Đến hạn "&amp;IF(H596=TODAY(),"hôm nay","trong "&amp;(H596-TODAY())&amp;" ngày"),""))))))</f>
        <v/>
      </c>
      <c r="Q596">
        <f>IF(AND(E596&lt;&gt;"",R596="Có",I596&lt;&gt;"Xong",I596&lt;&gt;"Bỏ qua",ISNUMBER(H596)),H596+ROW()/100000,"")</f>
        <v/>
      </c>
      <c r="R596">
        <f>IF(M596="","",IFERROR(INDEX(SK_L,MATCH(M596,SK_A,0)),""))</f>
        <v/>
      </c>
    </row>
    <row r="597">
      <c r="A597" s="11">
        <f>IF(M597="","",IFERROR(INDEX(SK_B,MATCH(M597,SK_A,0))&amp;"",""))</f>
        <v/>
      </c>
      <c r="B597" s="24">
        <f>IF(M597="","",IFERROR(INDEX(SK_C,MATCH(M597,SK_A,0)),""))</f>
        <v/>
      </c>
      <c r="C597" s="25">
        <f>IF(O597="","",IF(O597=0,"D",IF(O597&lt;0,"D"&amp;O597,"D+"&amp;O597)))</f>
        <v/>
      </c>
      <c r="D597" s="13" t="n"/>
      <c r="E597" s="11" t="n"/>
      <c r="F597" s="26" t="n"/>
      <c r="G597" s="13" t="n"/>
      <c r="H597" s="12">
        <f>IF(OR(B597="",O597=""),"",IF(O597&gt;0,IF(P597="Làm việc",WORKDAY(IFERROR(IF(INDEX(SK_D,MATCH(M597,SK_A,0))="",B597,INDEX(SK_D,MATCH(M597,SK_A,0))),B597),O597,HOLI),IFERROR(IF(INDEX(SK_D,MATCH(M597,SK_A,0))="",B597,INDEX(SK_D,MATCH(M597,SK_A,0))),B597)+O597),B597+O597))</f>
        <v/>
      </c>
      <c r="I597" s="13" t="n"/>
      <c r="J597" s="12" t="n"/>
      <c r="K597" s="11" t="n"/>
      <c r="L597" s="27">
        <f>IF(E597="","",IF(I597="Bỏ qua","—",IF(I597="Xong",IF(AND(ISNUMBER(J597),ISNUMBER(H597),J597&gt;H597),"Xong trễ","Xong"),IF(F597="","CHƯA GIAO","")&amp;IF(NOT(ISNUMBER(H597)),"",IF(TODAY()&gt;H597,IF(F597=""," · ","")&amp;"QUÁ HẠN "&amp;(TODAY()-H597)&amp;" ngày",IF(H597-TODAY()&lt;=3,IF(F597=""," · ","")&amp;"Đến hạn "&amp;IF(H597=TODAY(),"hôm nay","trong "&amp;(H597-TODAY())&amp;" ngày"),""))))))</f>
        <v/>
      </c>
      <c r="Q597">
        <f>IF(AND(E597&lt;&gt;"",R597="Có",I597&lt;&gt;"Xong",I597&lt;&gt;"Bỏ qua",ISNUMBER(H597)),H597+ROW()/100000,"")</f>
        <v/>
      </c>
      <c r="R597">
        <f>IF(M597="","",IFERROR(INDEX(SK_L,MATCH(M597,SK_A,0)),""))</f>
        <v/>
      </c>
    </row>
    <row r="598">
      <c r="A598" s="11">
        <f>IF(M598="","",IFERROR(INDEX(SK_B,MATCH(M598,SK_A,0))&amp;"",""))</f>
        <v/>
      </c>
      <c r="B598" s="24">
        <f>IF(M598="","",IFERROR(INDEX(SK_C,MATCH(M598,SK_A,0)),""))</f>
        <v/>
      </c>
      <c r="C598" s="25">
        <f>IF(O598="","",IF(O598=0,"D",IF(O598&lt;0,"D"&amp;O598,"D+"&amp;O598)))</f>
        <v/>
      </c>
      <c r="D598" s="13" t="n"/>
      <c r="E598" s="11" t="n"/>
      <c r="F598" s="26" t="n"/>
      <c r="G598" s="13" t="n"/>
      <c r="H598" s="12">
        <f>IF(OR(B598="",O598=""),"",IF(O598&gt;0,IF(P598="Làm việc",WORKDAY(IFERROR(IF(INDEX(SK_D,MATCH(M598,SK_A,0))="",B598,INDEX(SK_D,MATCH(M598,SK_A,0))),B598),O598,HOLI),IFERROR(IF(INDEX(SK_D,MATCH(M598,SK_A,0))="",B598,INDEX(SK_D,MATCH(M598,SK_A,0))),B598)+O598),B598+O598))</f>
        <v/>
      </c>
      <c r="I598" s="13" t="n"/>
      <c r="J598" s="12" t="n"/>
      <c r="K598" s="11" t="n"/>
      <c r="L598" s="27">
        <f>IF(E598="","",IF(I598="Bỏ qua","—",IF(I598="Xong",IF(AND(ISNUMBER(J598),ISNUMBER(H598),J598&gt;H598),"Xong trễ","Xong"),IF(F598="","CHƯA GIAO","")&amp;IF(NOT(ISNUMBER(H598)),"",IF(TODAY()&gt;H598,IF(F598=""," · ","")&amp;"QUÁ HẠN "&amp;(TODAY()-H598)&amp;" ngày",IF(H598-TODAY()&lt;=3,IF(F598=""," · ","")&amp;"Đến hạn "&amp;IF(H598=TODAY(),"hôm nay","trong "&amp;(H598-TODAY())&amp;" ngày"),""))))))</f>
        <v/>
      </c>
      <c r="Q598">
        <f>IF(AND(E598&lt;&gt;"",R598="Có",I598&lt;&gt;"Xong",I598&lt;&gt;"Bỏ qua",ISNUMBER(H598)),H598+ROW()/100000,"")</f>
        <v/>
      </c>
      <c r="R598">
        <f>IF(M598="","",IFERROR(INDEX(SK_L,MATCH(M598,SK_A,0)),""))</f>
        <v/>
      </c>
    </row>
    <row r="599">
      <c r="A599" s="11">
        <f>IF(M599="","",IFERROR(INDEX(SK_B,MATCH(M599,SK_A,0))&amp;"",""))</f>
        <v/>
      </c>
      <c r="B599" s="24">
        <f>IF(M599="","",IFERROR(INDEX(SK_C,MATCH(M599,SK_A,0)),""))</f>
        <v/>
      </c>
      <c r="C599" s="25">
        <f>IF(O599="","",IF(O599=0,"D",IF(O599&lt;0,"D"&amp;O599,"D+"&amp;O599)))</f>
        <v/>
      </c>
      <c r="D599" s="13" t="n"/>
      <c r="E599" s="11" t="n"/>
      <c r="F599" s="26" t="n"/>
      <c r="G599" s="13" t="n"/>
      <c r="H599" s="12">
        <f>IF(OR(B599="",O599=""),"",IF(O599&gt;0,IF(P599="Làm việc",WORKDAY(IFERROR(IF(INDEX(SK_D,MATCH(M599,SK_A,0))="",B599,INDEX(SK_D,MATCH(M599,SK_A,0))),B599),O599,HOLI),IFERROR(IF(INDEX(SK_D,MATCH(M599,SK_A,0))="",B599,INDEX(SK_D,MATCH(M599,SK_A,0))),B599)+O599),B599+O599))</f>
        <v/>
      </c>
      <c r="I599" s="13" t="n"/>
      <c r="J599" s="12" t="n"/>
      <c r="K599" s="11" t="n"/>
      <c r="L599" s="27">
        <f>IF(E599="","",IF(I599="Bỏ qua","—",IF(I599="Xong",IF(AND(ISNUMBER(J599),ISNUMBER(H599),J599&gt;H599),"Xong trễ","Xong"),IF(F599="","CHƯA GIAO","")&amp;IF(NOT(ISNUMBER(H599)),"",IF(TODAY()&gt;H599,IF(F599=""," · ","")&amp;"QUÁ HẠN "&amp;(TODAY()-H599)&amp;" ngày",IF(H599-TODAY()&lt;=3,IF(F599=""," · ","")&amp;"Đến hạn "&amp;IF(H599=TODAY(),"hôm nay","trong "&amp;(H599-TODAY())&amp;" ngày"),""))))))</f>
        <v/>
      </c>
      <c r="Q599">
        <f>IF(AND(E599&lt;&gt;"",R599="Có",I599&lt;&gt;"Xong",I599&lt;&gt;"Bỏ qua",ISNUMBER(H599)),H599+ROW()/100000,"")</f>
        <v/>
      </c>
      <c r="R599">
        <f>IF(M599="","",IFERROR(INDEX(SK_L,MATCH(M599,SK_A,0)),""))</f>
        <v/>
      </c>
    </row>
    <row r="600">
      <c r="A600" s="11">
        <f>IF(M600="","",IFERROR(INDEX(SK_B,MATCH(M600,SK_A,0))&amp;"",""))</f>
        <v/>
      </c>
      <c r="B600" s="24">
        <f>IF(M600="","",IFERROR(INDEX(SK_C,MATCH(M600,SK_A,0)),""))</f>
        <v/>
      </c>
      <c r="C600" s="25">
        <f>IF(O600="","",IF(O600=0,"D",IF(O600&lt;0,"D"&amp;O600,"D+"&amp;O600)))</f>
        <v/>
      </c>
      <c r="D600" s="13" t="n"/>
      <c r="E600" s="11" t="n"/>
      <c r="F600" s="26" t="n"/>
      <c r="G600" s="13" t="n"/>
      <c r="H600" s="12">
        <f>IF(OR(B600="",O600=""),"",IF(O600&gt;0,IF(P600="Làm việc",WORKDAY(IFERROR(IF(INDEX(SK_D,MATCH(M600,SK_A,0))="",B600,INDEX(SK_D,MATCH(M600,SK_A,0))),B600),O600,HOLI),IFERROR(IF(INDEX(SK_D,MATCH(M600,SK_A,0))="",B600,INDEX(SK_D,MATCH(M600,SK_A,0))),B600)+O600),B600+O600))</f>
        <v/>
      </c>
      <c r="I600" s="13" t="n"/>
      <c r="J600" s="12" t="n"/>
      <c r="K600" s="11" t="n"/>
      <c r="L600" s="27">
        <f>IF(E600="","",IF(I600="Bỏ qua","—",IF(I600="Xong",IF(AND(ISNUMBER(J600),ISNUMBER(H600),J600&gt;H600),"Xong trễ","Xong"),IF(F600="","CHƯA GIAO","")&amp;IF(NOT(ISNUMBER(H600)),"",IF(TODAY()&gt;H600,IF(F600=""," · ","")&amp;"QUÁ HẠN "&amp;(TODAY()-H600)&amp;" ngày",IF(H600-TODAY()&lt;=3,IF(F600=""," · ","")&amp;"Đến hạn "&amp;IF(H600=TODAY(),"hôm nay","trong "&amp;(H600-TODAY())&amp;" ngày"),""))))))</f>
        <v/>
      </c>
      <c r="Q600">
        <f>IF(AND(E600&lt;&gt;"",R600="Có",I600&lt;&gt;"Xong",I600&lt;&gt;"Bỏ qua",ISNUMBER(H600)),H600+ROW()/100000,"")</f>
        <v/>
      </c>
      <c r="R600">
        <f>IF(M600="","",IFERROR(INDEX(SK_L,MATCH(M600,SK_A,0)),""))</f>
        <v/>
      </c>
    </row>
    <row r="601">
      <c r="A601" s="11">
        <f>IF(M601="","",IFERROR(INDEX(SK_B,MATCH(M601,SK_A,0))&amp;"",""))</f>
        <v/>
      </c>
      <c r="B601" s="24">
        <f>IF(M601="","",IFERROR(INDEX(SK_C,MATCH(M601,SK_A,0)),""))</f>
        <v/>
      </c>
      <c r="C601" s="25">
        <f>IF(O601="","",IF(O601=0,"D",IF(O601&lt;0,"D"&amp;O601,"D+"&amp;O601)))</f>
        <v/>
      </c>
      <c r="D601" s="13" t="n"/>
      <c r="E601" s="11" t="n"/>
      <c r="F601" s="26" t="n"/>
      <c r="G601" s="13" t="n"/>
      <c r="H601" s="12">
        <f>IF(OR(B601="",O601=""),"",IF(O601&gt;0,IF(P601="Làm việc",WORKDAY(IFERROR(IF(INDEX(SK_D,MATCH(M601,SK_A,0))="",B601,INDEX(SK_D,MATCH(M601,SK_A,0))),B601),O601,HOLI),IFERROR(IF(INDEX(SK_D,MATCH(M601,SK_A,0))="",B601,INDEX(SK_D,MATCH(M601,SK_A,0))),B601)+O601),B601+O601))</f>
        <v/>
      </c>
      <c r="I601" s="13" t="n"/>
      <c r="J601" s="12" t="n"/>
      <c r="K601" s="11" t="n"/>
      <c r="L601" s="27">
        <f>IF(E601="","",IF(I601="Bỏ qua","—",IF(I601="Xong",IF(AND(ISNUMBER(J601),ISNUMBER(H601),J601&gt;H601),"Xong trễ","Xong"),IF(F601="","CHƯA GIAO","")&amp;IF(NOT(ISNUMBER(H601)),"",IF(TODAY()&gt;H601,IF(F601=""," · ","")&amp;"QUÁ HẠN "&amp;(TODAY()-H601)&amp;" ngày",IF(H601-TODAY()&lt;=3,IF(F601=""," · ","")&amp;"Đến hạn "&amp;IF(H601=TODAY(),"hôm nay","trong "&amp;(H601-TODAY())&amp;" ngày"),""))))))</f>
        <v/>
      </c>
      <c r="Q601">
        <f>IF(AND(E601&lt;&gt;"",R601="Có",I601&lt;&gt;"Xong",I601&lt;&gt;"Bỏ qua",ISNUMBER(H601)),H601+ROW()/100000,"")</f>
        <v/>
      </c>
      <c r="R601">
        <f>IF(M601="","",IFERROR(INDEX(SK_L,MATCH(M601,SK_A,0)),""))</f>
        <v/>
      </c>
    </row>
    <row r="602">
      <c r="A602" s="11">
        <f>IF(M602="","",IFERROR(INDEX(SK_B,MATCH(M602,SK_A,0))&amp;"",""))</f>
        <v/>
      </c>
      <c r="B602" s="24">
        <f>IF(M602="","",IFERROR(INDEX(SK_C,MATCH(M602,SK_A,0)),""))</f>
        <v/>
      </c>
      <c r="C602" s="25">
        <f>IF(O602="","",IF(O602=0,"D",IF(O602&lt;0,"D"&amp;O602,"D+"&amp;O602)))</f>
        <v/>
      </c>
      <c r="D602" s="13" t="n"/>
      <c r="E602" s="11" t="n"/>
      <c r="F602" s="26" t="n"/>
      <c r="G602" s="13" t="n"/>
      <c r="H602" s="12">
        <f>IF(OR(B602="",O602=""),"",IF(O602&gt;0,IF(P602="Làm việc",WORKDAY(IFERROR(IF(INDEX(SK_D,MATCH(M602,SK_A,0))="",B602,INDEX(SK_D,MATCH(M602,SK_A,0))),B602),O602,HOLI),IFERROR(IF(INDEX(SK_D,MATCH(M602,SK_A,0))="",B602,INDEX(SK_D,MATCH(M602,SK_A,0))),B602)+O602),B602+O602))</f>
        <v/>
      </c>
      <c r="I602" s="13" t="n"/>
      <c r="J602" s="12" t="n"/>
      <c r="K602" s="11" t="n"/>
      <c r="L602" s="27">
        <f>IF(E602="","",IF(I602="Bỏ qua","—",IF(I602="Xong",IF(AND(ISNUMBER(J602),ISNUMBER(H602),J602&gt;H602),"Xong trễ","Xong"),IF(F602="","CHƯA GIAO","")&amp;IF(NOT(ISNUMBER(H602)),"",IF(TODAY()&gt;H602,IF(F602=""," · ","")&amp;"QUÁ HẠN "&amp;(TODAY()-H602)&amp;" ngày",IF(H602-TODAY()&lt;=3,IF(F602=""," · ","")&amp;"Đến hạn "&amp;IF(H602=TODAY(),"hôm nay","trong "&amp;(H602-TODAY())&amp;" ngày"),""))))))</f>
        <v/>
      </c>
      <c r="Q602">
        <f>IF(AND(E602&lt;&gt;"",R602="Có",I602&lt;&gt;"Xong",I602&lt;&gt;"Bỏ qua",ISNUMBER(H602)),H602+ROW()/100000,"")</f>
        <v/>
      </c>
      <c r="R602">
        <f>IF(M602="","",IFERROR(INDEX(SK_L,MATCH(M602,SK_A,0)),""))</f>
        <v/>
      </c>
    </row>
    <row r="603">
      <c r="A603" s="11">
        <f>IF(M603="","",IFERROR(INDEX(SK_B,MATCH(M603,SK_A,0))&amp;"",""))</f>
        <v/>
      </c>
      <c r="B603" s="24">
        <f>IF(M603="","",IFERROR(INDEX(SK_C,MATCH(M603,SK_A,0)),""))</f>
        <v/>
      </c>
      <c r="C603" s="25">
        <f>IF(O603="","",IF(O603=0,"D",IF(O603&lt;0,"D"&amp;O603,"D+"&amp;O603)))</f>
        <v/>
      </c>
      <c r="D603" s="13" t="n"/>
      <c r="E603" s="11" t="n"/>
      <c r="F603" s="26" t="n"/>
      <c r="G603" s="13" t="n"/>
      <c r="H603" s="12">
        <f>IF(OR(B603="",O603=""),"",IF(O603&gt;0,IF(P603="Làm việc",WORKDAY(IFERROR(IF(INDEX(SK_D,MATCH(M603,SK_A,0))="",B603,INDEX(SK_D,MATCH(M603,SK_A,0))),B603),O603,HOLI),IFERROR(IF(INDEX(SK_D,MATCH(M603,SK_A,0))="",B603,INDEX(SK_D,MATCH(M603,SK_A,0))),B603)+O603),B603+O603))</f>
        <v/>
      </c>
      <c r="I603" s="13" t="n"/>
      <c r="J603" s="12" t="n"/>
      <c r="K603" s="11" t="n"/>
      <c r="L603" s="27">
        <f>IF(E603="","",IF(I603="Bỏ qua","—",IF(I603="Xong",IF(AND(ISNUMBER(J603),ISNUMBER(H603),J603&gt;H603),"Xong trễ","Xong"),IF(F603="","CHƯA GIAO","")&amp;IF(NOT(ISNUMBER(H603)),"",IF(TODAY()&gt;H603,IF(F603=""," · ","")&amp;"QUÁ HẠN "&amp;(TODAY()-H603)&amp;" ngày",IF(H603-TODAY()&lt;=3,IF(F603=""," · ","")&amp;"Đến hạn "&amp;IF(H603=TODAY(),"hôm nay","trong "&amp;(H603-TODAY())&amp;" ngày"),""))))))</f>
        <v/>
      </c>
      <c r="Q603">
        <f>IF(AND(E603&lt;&gt;"",R603="Có",I603&lt;&gt;"Xong",I603&lt;&gt;"Bỏ qua",ISNUMBER(H603)),H603+ROW()/100000,"")</f>
        <v/>
      </c>
      <c r="R603">
        <f>IF(M603="","",IFERROR(INDEX(SK_L,MATCH(M603,SK_A,0)),""))</f>
        <v/>
      </c>
    </row>
    <row r="604">
      <c r="A604" s="11">
        <f>IF(M604="","",IFERROR(INDEX(SK_B,MATCH(M604,SK_A,0))&amp;"",""))</f>
        <v/>
      </c>
      <c r="B604" s="24">
        <f>IF(M604="","",IFERROR(INDEX(SK_C,MATCH(M604,SK_A,0)),""))</f>
        <v/>
      </c>
      <c r="C604" s="25">
        <f>IF(O604="","",IF(O604=0,"D",IF(O604&lt;0,"D"&amp;O604,"D+"&amp;O604)))</f>
        <v/>
      </c>
      <c r="D604" s="13" t="n"/>
      <c r="E604" s="11" t="n"/>
      <c r="F604" s="26" t="n"/>
      <c r="G604" s="13" t="n"/>
      <c r="H604" s="12">
        <f>IF(OR(B604="",O604=""),"",IF(O604&gt;0,IF(P604="Làm việc",WORKDAY(IFERROR(IF(INDEX(SK_D,MATCH(M604,SK_A,0))="",B604,INDEX(SK_D,MATCH(M604,SK_A,0))),B604),O604,HOLI),IFERROR(IF(INDEX(SK_D,MATCH(M604,SK_A,0))="",B604,INDEX(SK_D,MATCH(M604,SK_A,0))),B604)+O604),B604+O604))</f>
        <v/>
      </c>
      <c r="I604" s="13" t="n"/>
      <c r="J604" s="12" t="n"/>
      <c r="K604" s="11" t="n"/>
      <c r="L604" s="27">
        <f>IF(E604="","",IF(I604="Bỏ qua","—",IF(I604="Xong",IF(AND(ISNUMBER(J604),ISNUMBER(H604),J604&gt;H604),"Xong trễ","Xong"),IF(F604="","CHƯA GIAO","")&amp;IF(NOT(ISNUMBER(H604)),"",IF(TODAY()&gt;H604,IF(F604=""," · ","")&amp;"QUÁ HẠN "&amp;(TODAY()-H604)&amp;" ngày",IF(H604-TODAY()&lt;=3,IF(F604=""," · ","")&amp;"Đến hạn "&amp;IF(H604=TODAY(),"hôm nay","trong "&amp;(H604-TODAY())&amp;" ngày"),""))))))</f>
        <v/>
      </c>
      <c r="Q604">
        <f>IF(AND(E604&lt;&gt;"",R604="Có",I604&lt;&gt;"Xong",I604&lt;&gt;"Bỏ qua",ISNUMBER(H604)),H604+ROW()/100000,"")</f>
        <v/>
      </c>
      <c r="R604">
        <f>IF(M604="","",IFERROR(INDEX(SK_L,MATCH(M604,SK_A,0)),""))</f>
        <v/>
      </c>
    </row>
    <row r="605">
      <c r="A605" s="11">
        <f>IF(M605="","",IFERROR(INDEX(SK_B,MATCH(M605,SK_A,0))&amp;"",""))</f>
        <v/>
      </c>
      <c r="B605" s="24">
        <f>IF(M605="","",IFERROR(INDEX(SK_C,MATCH(M605,SK_A,0)),""))</f>
        <v/>
      </c>
      <c r="C605" s="25">
        <f>IF(O605="","",IF(O605=0,"D",IF(O605&lt;0,"D"&amp;O605,"D+"&amp;O605)))</f>
        <v/>
      </c>
      <c r="D605" s="13" t="n"/>
      <c r="E605" s="11" t="n"/>
      <c r="F605" s="26" t="n"/>
      <c r="G605" s="13" t="n"/>
      <c r="H605" s="12">
        <f>IF(OR(B605="",O605=""),"",IF(O605&gt;0,IF(P605="Làm việc",WORKDAY(IFERROR(IF(INDEX(SK_D,MATCH(M605,SK_A,0))="",B605,INDEX(SK_D,MATCH(M605,SK_A,0))),B605),O605,HOLI),IFERROR(IF(INDEX(SK_D,MATCH(M605,SK_A,0))="",B605,INDEX(SK_D,MATCH(M605,SK_A,0))),B605)+O605),B605+O605))</f>
        <v/>
      </c>
      <c r="I605" s="13" t="n"/>
      <c r="J605" s="12" t="n"/>
      <c r="K605" s="11" t="n"/>
      <c r="L605" s="27">
        <f>IF(E605="","",IF(I605="Bỏ qua","—",IF(I605="Xong",IF(AND(ISNUMBER(J605),ISNUMBER(H605),J605&gt;H605),"Xong trễ","Xong"),IF(F605="","CHƯA GIAO","")&amp;IF(NOT(ISNUMBER(H605)),"",IF(TODAY()&gt;H605,IF(F605=""," · ","")&amp;"QUÁ HẠN "&amp;(TODAY()-H605)&amp;" ngày",IF(H605-TODAY()&lt;=3,IF(F605=""," · ","")&amp;"Đến hạn "&amp;IF(H605=TODAY(),"hôm nay","trong "&amp;(H605-TODAY())&amp;" ngày"),""))))))</f>
        <v/>
      </c>
      <c r="Q605">
        <f>IF(AND(E605&lt;&gt;"",R605="Có",I605&lt;&gt;"Xong",I605&lt;&gt;"Bỏ qua",ISNUMBER(H605)),H605+ROW()/100000,"")</f>
        <v/>
      </c>
      <c r="R605">
        <f>IF(M605="","",IFERROR(INDEX(SK_L,MATCH(M605,SK_A,0)),""))</f>
        <v/>
      </c>
    </row>
    <row r="606">
      <c r="A606" s="11">
        <f>IF(M606="","",IFERROR(INDEX(SK_B,MATCH(M606,SK_A,0))&amp;"",""))</f>
        <v/>
      </c>
      <c r="B606" s="24">
        <f>IF(M606="","",IFERROR(INDEX(SK_C,MATCH(M606,SK_A,0)),""))</f>
        <v/>
      </c>
      <c r="C606" s="25">
        <f>IF(O606="","",IF(O606=0,"D",IF(O606&lt;0,"D"&amp;O606,"D+"&amp;O606)))</f>
        <v/>
      </c>
      <c r="D606" s="13" t="n"/>
      <c r="E606" s="11" t="n"/>
      <c r="F606" s="26" t="n"/>
      <c r="G606" s="13" t="n"/>
      <c r="H606" s="12">
        <f>IF(OR(B606="",O606=""),"",IF(O606&gt;0,IF(P606="Làm việc",WORKDAY(IFERROR(IF(INDEX(SK_D,MATCH(M606,SK_A,0))="",B606,INDEX(SK_D,MATCH(M606,SK_A,0))),B606),O606,HOLI),IFERROR(IF(INDEX(SK_D,MATCH(M606,SK_A,0))="",B606,INDEX(SK_D,MATCH(M606,SK_A,0))),B606)+O606),B606+O606))</f>
        <v/>
      </c>
      <c r="I606" s="13" t="n"/>
      <c r="J606" s="12" t="n"/>
      <c r="K606" s="11" t="n"/>
      <c r="L606" s="27">
        <f>IF(E606="","",IF(I606="Bỏ qua","—",IF(I606="Xong",IF(AND(ISNUMBER(J606),ISNUMBER(H606),J606&gt;H606),"Xong trễ","Xong"),IF(F606="","CHƯA GIAO","")&amp;IF(NOT(ISNUMBER(H606)),"",IF(TODAY()&gt;H606,IF(F606=""," · ","")&amp;"QUÁ HẠN "&amp;(TODAY()-H606)&amp;" ngày",IF(H606-TODAY()&lt;=3,IF(F606=""," · ","")&amp;"Đến hạn "&amp;IF(H606=TODAY(),"hôm nay","trong "&amp;(H606-TODAY())&amp;" ngày"),""))))))</f>
        <v/>
      </c>
      <c r="Q606">
        <f>IF(AND(E606&lt;&gt;"",R606="Có",I606&lt;&gt;"Xong",I606&lt;&gt;"Bỏ qua",ISNUMBER(H606)),H606+ROW()/100000,"")</f>
        <v/>
      </c>
      <c r="R606">
        <f>IF(M606="","",IFERROR(INDEX(SK_L,MATCH(M606,SK_A,0)),""))</f>
        <v/>
      </c>
    </row>
    <row r="607">
      <c r="A607" s="11">
        <f>IF(M607="","",IFERROR(INDEX(SK_B,MATCH(M607,SK_A,0))&amp;"",""))</f>
        <v/>
      </c>
      <c r="B607" s="24">
        <f>IF(M607="","",IFERROR(INDEX(SK_C,MATCH(M607,SK_A,0)),""))</f>
        <v/>
      </c>
      <c r="C607" s="25">
        <f>IF(O607="","",IF(O607=0,"D",IF(O607&lt;0,"D"&amp;O607,"D+"&amp;O607)))</f>
        <v/>
      </c>
      <c r="D607" s="13" t="n"/>
      <c r="E607" s="11" t="n"/>
      <c r="F607" s="26" t="n"/>
      <c r="G607" s="13" t="n"/>
      <c r="H607" s="12">
        <f>IF(OR(B607="",O607=""),"",IF(O607&gt;0,IF(P607="Làm việc",WORKDAY(IFERROR(IF(INDEX(SK_D,MATCH(M607,SK_A,0))="",B607,INDEX(SK_D,MATCH(M607,SK_A,0))),B607),O607,HOLI),IFERROR(IF(INDEX(SK_D,MATCH(M607,SK_A,0))="",B607,INDEX(SK_D,MATCH(M607,SK_A,0))),B607)+O607),B607+O607))</f>
        <v/>
      </c>
      <c r="I607" s="13" t="n"/>
      <c r="J607" s="12" t="n"/>
      <c r="K607" s="11" t="n"/>
      <c r="L607" s="27">
        <f>IF(E607="","",IF(I607="Bỏ qua","—",IF(I607="Xong",IF(AND(ISNUMBER(J607),ISNUMBER(H607),J607&gt;H607),"Xong trễ","Xong"),IF(F607="","CHƯA GIAO","")&amp;IF(NOT(ISNUMBER(H607)),"",IF(TODAY()&gt;H607,IF(F607=""," · ","")&amp;"QUÁ HẠN "&amp;(TODAY()-H607)&amp;" ngày",IF(H607-TODAY()&lt;=3,IF(F607=""," · ","")&amp;"Đến hạn "&amp;IF(H607=TODAY(),"hôm nay","trong "&amp;(H607-TODAY())&amp;" ngày"),""))))))</f>
        <v/>
      </c>
      <c r="Q607">
        <f>IF(AND(E607&lt;&gt;"",R607="Có",I607&lt;&gt;"Xong",I607&lt;&gt;"Bỏ qua",ISNUMBER(H607)),H607+ROW()/100000,"")</f>
        <v/>
      </c>
      <c r="R607">
        <f>IF(M607="","",IFERROR(INDEX(SK_L,MATCH(M607,SK_A,0)),""))</f>
        <v/>
      </c>
    </row>
    <row r="608">
      <c r="A608" s="11">
        <f>IF(M608="","",IFERROR(INDEX(SK_B,MATCH(M608,SK_A,0))&amp;"",""))</f>
        <v/>
      </c>
      <c r="B608" s="24">
        <f>IF(M608="","",IFERROR(INDEX(SK_C,MATCH(M608,SK_A,0)),""))</f>
        <v/>
      </c>
      <c r="C608" s="25">
        <f>IF(O608="","",IF(O608=0,"D",IF(O608&lt;0,"D"&amp;O608,"D+"&amp;O608)))</f>
        <v/>
      </c>
      <c r="D608" s="13" t="n"/>
      <c r="E608" s="11" t="n"/>
      <c r="F608" s="26" t="n"/>
      <c r="G608" s="13" t="n"/>
      <c r="H608" s="12">
        <f>IF(OR(B608="",O608=""),"",IF(O608&gt;0,IF(P608="Làm việc",WORKDAY(IFERROR(IF(INDEX(SK_D,MATCH(M608,SK_A,0))="",B608,INDEX(SK_D,MATCH(M608,SK_A,0))),B608),O608,HOLI),IFERROR(IF(INDEX(SK_D,MATCH(M608,SK_A,0))="",B608,INDEX(SK_D,MATCH(M608,SK_A,0))),B608)+O608),B608+O608))</f>
        <v/>
      </c>
      <c r="I608" s="13" t="n"/>
      <c r="J608" s="12" t="n"/>
      <c r="K608" s="11" t="n"/>
      <c r="L608" s="27">
        <f>IF(E608="","",IF(I608="Bỏ qua","—",IF(I608="Xong",IF(AND(ISNUMBER(J608),ISNUMBER(H608),J608&gt;H608),"Xong trễ","Xong"),IF(F608="","CHƯA GIAO","")&amp;IF(NOT(ISNUMBER(H608)),"",IF(TODAY()&gt;H608,IF(F608=""," · ","")&amp;"QUÁ HẠN "&amp;(TODAY()-H608)&amp;" ngày",IF(H608-TODAY()&lt;=3,IF(F608=""," · ","")&amp;"Đến hạn "&amp;IF(H608=TODAY(),"hôm nay","trong "&amp;(H608-TODAY())&amp;" ngày"),""))))))</f>
        <v/>
      </c>
      <c r="Q608">
        <f>IF(AND(E608&lt;&gt;"",R608="Có",I608&lt;&gt;"Xong",I608&lt;&gt;"Bỏ qua",ISNUMBER(H608)),H608+ROW()/100000,"")</f>
        <v/>
      </c>
      <c r="R608">
        <f>IF(M608="","",IFERROR(INDEX(SK_L,MATCH(M608,SK_A,0)),""))</f>
        <v/>
      </c>
    </row>
    <row r="609">
      <c r="A609" s="11">
        <f>IF(M609="","",IFERROR(INDEX(SK_B,MATCH(M609,SK_A,0))&amp;"",""))</f>
        <v/>
      </c>
      <c r="B609" s="24">
        <f>IF(M609="","",IFERROR(INDEX(SK_C,MATCH(M609,SK_A,0)),""))</f>
        <v/>
      </c>
      <c r="C609" s="25">
        <f>IF(O609="","",IF(O609=0,"D",IF(O609&lt;0,"D"&amp;O609,"D+"&amp;O609)))</f>
        <v/>
      </c>
      <c r="D609" s="13" t="n"/>
      <c r="E609" s="11" t="n"/>
      <c r="F609" s="26" t="n"/>
      <c r="G609" s="13" t="n"/>
      <c r="H609" s="12">
        <f>IF(OR(B609="",O609=""),"",IF(O609&gt;0,IF(P609="Làm việc",WORKDAY(IFERROR(IF(INDEX(SK_D,MATCH(M609,SK_A,0))="",B609,INDEX(SK_D,MATCH(M609,SK_A,0))),B609),O609,HOLI),IFERROR(IF(INDEX(SK_D,MATCH(M609,SK_A,0))="",B609,INDEX(SK_D,MATCH(M609,SK_A,0))),B609)+O609),B609+O609))</f>
        <v/>
      </c>
      <c r="I609" s="13" t="n"/>
      <c r="J609" s="12" t="n"/>
      <c r="K609" s="11" t="n"/>
      <c r="L609" s="27">
        <f>IF(E609="","",IF(I609="Bỏ qua","—",IF(I609="Xong",IF(AND(ISNUMBER(J609),ISNUMBER(H609),J609&gt;H609),"Xong trễ","Xong"),IF(F609="","CHƯA GIAO","")&amp;IF(NOT(ISNUMBER(H609)),"",IF(TODAY()&gt;H609,IF(F609=""," · ","")&amp;"QUÁ HẠN "&amp;(TODAY()-H609)&amp;" ngày",IF(H609-TODAY()&lt;=3,IF(F609=""," · ","")&amp;"Đến hạn "&amp;IF(H609=TODAY(),"hôm nay","trong "&amp;(H609-TODAY())&amp;" ngày"),""))))))</f>
        <v/>
      </c>
      <c r="Q609">
        <f>IF(AND(E609&lt;&gt;"",R609="Có",I609&lt;&gt;"Xong",I609&lt;&gt;"Bỏ qua",ISNUMBER(H609)),H609+ROW()/100000,"")</f>
        <v/>
      </c>
      <c r="R609">
        <f>IF(M609="","",IFERROR(INDEX(SK_L,MATCH(M609,SK_A,0)),""))</f>
        <v/>
      </c>
    </row>
    <row r="610">
      <c r="A610" s="11">
        <f>IF(M610="","",IFERROR(INDEX(SK_B,MATCH(M610,SK_A,0))&amp;"",""))</f>
        <v/>
      </c>
      <c r="B610" s="24">
        <f>IF(M610="","",IFERROR(INDEX(SK_C,MATCH(M610,SK_A,0)),""))</f>
        <v/>
      </c>
      <c r="C610" s="25">
        <f>IF(O610="","",IF(O610=0,"D",IF(O610&lt;0,"D"&amp;O610,"D+"&amp;O610)))</f>
        <v/>
      </c>
      <c r="D610" s="13" t="n"/>
      <c r="E610" s="11" t="n"/>
      <c r="F610" s="26" t="n"/>
      <c r="G610" s="13" t="n"/>
      <c r="H610" s="12">
        <f>IF(OR(B610="",O610=""),"",IF(O610&gt;0,IF(P610="Làm việc",WORKDAY(IFERROR(IF(INDEX(SK_D,MATCH(M610,SK_A,0))="",B610,INDEX(SK_D,MATCH(M610,SK_A,0))),B610),O610,HOLI),IFERROR(IF(INDEX(SK_D,MATCH(M610,SK_A,0))="",B610,INDEX(SK_D,MATCH(M610,SK_A,0))),B610)+O610),B610+O610))</f>
        <v/>
      </c>
      <c r="I610" s="13" t="n"/>
      <c r="J610" s="12" t="n"/>
      <c r="K610" s="11" t="n"/>
      <c r="L610" s="27">
        <f>IF(E610="","",IF(I610="Bỏ qua","—",IF(I610="Xong",IF(AND(ISNUMBER(J610),ISNUMBER(H610),J610&gt;H610),"Xong trễ","Xong"),IF(F610="","CHƯA GIAO","")&amp;IF(NOT(ISNUMBER(H610)),"",IF(TODAY()&gt;H610,IF(F610=""," · ","")&amp;"QUÁ HẠN "&amp;(TODAY()-H610)&amp;" ngày",IF(H610-TODAY()&lt;=3,IF(F610=""," · ","")&amp;"Đến hạn "&amp;IF(H610=TODAY(),"hôm nay","trong "&amp;(H610-TODAY())&amp;" ngày"),""))))))</f>
        <v/>
      </c>
      <c r="Q610">
        <f>IF(AND(E610&lt;&gt;"",R610="Có",I610&lt;&gt;"Xong",I610&lt;&gt;"Bỏ qua",ISNUMBER(H610)),H610+ROW()/100000,"")</f>
        <v/>
      </c>
      <c r="R610">
        <f>IF(M610="","",IFERROR(INDEX(SK_L,MATCH(M610,SK_A,0)),""))</f>
        <v/>
      </c>
    </row>
    <row r="611">
      <c r="A611" s="11">
        <f>IF(M611="","",IFERROR(INDEX(SK_B,MATCH(M611,SK_A,0))&amp;"",""))</f>
        <v/>
      </c>
      <c r="B611" s="24">
        <f>IF(M611="","",IFERROR(INDEX(SK_C,MATCH(M611,SK_A,0)),""))</f>
        <v/>
      </c>
      <c r="C611" s="25">
        <f>IF(O611="","",IF(O611=0,"D",IF(O611&lt;0,"D"&amp;O611,"D+"&amp;O611)))</f>
        <v/>
      </c>
      <c r="D611" s="13" t="n"/>
      <c r="E611" s="11" t="n"/>
      <c r="F611" s="26" t="n"/>
      <c r="G611" s="13" t="n"/>
      <c r="H611" s="12">
        <f>IF(OR(B611="",O611=""),"",IF(O611&gt;0,IF(P611="Làm việc",WORKDAY(IFERROR(IF(INDEX(SK_D,MATCH(M611,SK_A,0))="",B611,INDEX(SK_D,MATCH(M611,SK_A,0))),B611),O611,HOLI),IFERROR(IF(INDEX(SK_D,MATCH(M611,SK_A,0))="",B611,INDEX(SK_D,MATCH(M611,SK_A,0))),B611)+O611),B611+O611))</f>
        <v/>
      </c>
      <c r="I611" s="13" t="n"/>
      <c r="J611" s="12" t="n"/>
      <c r="K611" s="11" t="n"/>
      <c r="L611" s="27">
        <f>IF(E611="","",IF(I611="Bỏ qua","—",IF(I611="Xong",IF(AND(ISNUMBER(J611),ISNUMBER(H611),J611&gt;H611),"Xong trễ","Xong"),IF(F611="","CHƯA GIAO","")&amp;IF(NOT(ISNUMBER(H611)),"",IF(TODAY()&gt;H611,IF(F611=""," · ","")&amp;"QUÁ HẠN "&amp;(TODAY()-H611)&amp;" ngày",IF(H611-TODAY()&lt;=3,IF(F611=""," · ","")&amp;"Đến hạn "&amp;IF(H611=TODAY(),"hôm nay","trong "&amp;(H611-TODAY())&amp;" ngày"),""))))))</f>
        <v/>
      </c>
      <c r="Q611">
        <f>IF(AND(E611&lt;&gt;"",R611="Có",I611&lt;&gt;"Xong",I611&lt;&gt;"Bỏ qua",ISNUMBER(H611)),H611+ROW()/100000,"")</f>
        <v/>
      </c>
      <c r="R611">
        <f>IF(M611="","",IFERROR(INDEX(SK_L,MATCH(M611,SK_A,0)),""))</f>
        <v/>
      </c>
    </row>
    <row r="612">
      <c r="A612" s="11">
        <f>IF(M612="","",IFERROR(INDEX(SK_B,MATCH(M612,SK_A,0))&amp;"",""))</f>
        <v/>
      </c>
      <c r="B612" s="24">
        <f>IF(M612="","",IFERROR(INDEX(SK_C,MATCH(M612,SK_A,0)),""))</f>
        <v/>
      </c>
      <c r="C612" s="25">
        <f>IF(O612="","",IF(O612=0,"D",IF(O612&lt;0,"D"&amp;O612,"D+"&amp;O612)))</f>
        <v/>
      </c>
      <c r="D612" s="13" t="n"/>
      <c r="E612" s="11" t="n"/>
      <c r="F612" s="26" t="n"/>
      <c r="G612" s="13" t="n"/>
      <c r="H612" s="12">
        <f>IF(OR(B612="",O612=""),"",IF(O612&gt;0,IF(P612="Làm việc",WORKDAY(IFERROR(IF(INDEX(SK_D,MATCH(M612,SK_A,0))="",B612,INDEX(SK_D,MATCH(M612,SK_A,0))),B612),O612,HOLI),IFERROR(IF(INDEX(SK_D,MATCH(M612,SK_A,0))="",B612,INDEX(SK_D,MATCH(M612,SK_A,0))),B612)+O612),B612+O612))</f>
        <v/>
      </c>
      <c r="I612" s="13" t="n"/>
      <c r="J612" s="12" t="n"/>
      <c r="K612" s="11" t="n"/>
      <c r="L612" s="27">
        <f>IF(E612="","",IF(I612="Bỏ qua","—",IF(I612="Xong",IF(AND(ISNUMBER(J612),ISNUMBER(H612),J612&gt;H612),"Xong trễ","Xong"),IF(F612="","CHƯA GIAO","")&amp;IF(NOT(ISNUMBER(H612)),"",IF(TODAY()&gt;H612,IF(F612=""," · ","")&amp;"QUÁ HẠN "&amp;(TODAY()-H612)&amp;" ngày",IF(H612-TODAY()&lt;=3,IF(F612=""," · ","")&amp;"Đến hạn "&amp;IF(H612=TODAY(),"hôm nay","trong "&amp;(H612-TODAY())&amp;" ngày"),""))))))</f>
        <v/>
      </c>
      <c r="Q612">
        <f>IF(AND(E612&lt;&gt;"",R612="Có",I612&lt;&gt;"Xong",I612&lt;&gt;"Bỏ qua",ISNUMBER(H612)),H612+ROW()/100000,"")</f>
        <v/>
      </c>
      <c r="R612">
        <f>IF(M612="","",IFERROR(INDEX(SK_L,MATCH(M612,SK_A,0)),""))</f>
        <v/>
      </c>
    </row>
    <row r="613">
      <c r="A613" s="11">
        <f>IF(M613="","",IFERROR(INDEX(SK_B,MATCH(M613,SK_A,0))&amp;"",""))</f>
        <v/>
      </c>
      <c r="B613" s="24">
        <f>IF(M613="","",IFERROR(INDEX(SK_C,MATCH(M613,SK_A,0)),""))</f>
        <v/>
      </c>
      <c r="C613" s="25">
        <f>IF(O613="","",IF(O613=0,"D",IF(O613&lt;0,"D"&amp;O613,"D+"&amp;O613)))</f>
        <v/>
      </c>
      <c r="D613" s="13" t="n"/>
      <c r="E613" s="11" t="n"/>
      <c r="F613" s="26" t="n"/>
      <c r="G613" s="13" t="n"/>
      <c r="H613" s="12">
        <f>IF(OR(B613="",O613=""),"",IF(O613&gt;0,IF(P613="Làm việc",WORKDAY(IFERROR(IF(INDEX(SK_D,MATCH(M613,SK_A,0))="",B613,INDEX(SK_D,MATCH(M613,SK_A,0))),B613),O613,HOLI),IFERROR(IF(INDEX(SK_D,MATCH(M613,SK_A,0))="",B613,INDEX(SK_D,MATCH(M613,SK_A,0))),B613)+O613),B613+O613))</f>
        <v/>
      </c>
      <c r="I613" s="13" t="n"/>
      <c r="J613" s="12" t="n"/>
      <c r="K613" s="11" t="n"/>
      <c r="L613" s="27">
        <f>IF(E613="","",IF(I613="Bỏ qua","—",IF(I613="Xong",IF(AND(ISNUMBER(J613),ISNUMBER(H613),J613&gt;H613),"Xong trễ","Xong"),IF(F613="","CHƯA GIAO","")&amp;IF(NOT(ISNUMBER(H613)),"",IF(TODAY()&gt;H613,IF(F613=""," · ","")&amp;"QUÁ HẠN "&amp;(TODAY()-H613)&amp;" ngày",IF(H613-TODAY()&lt;=3,IF(F613=""," · ","")&amp;"Đến hạn "&amp;IF(H613=TODAY(),"hôm nay","trong "&amp;(H613-TODAY())&amp;" ngày"),""))))))</f>
        <v/>
      </c>
      <c r="Q613">
        <f>IF(AND(E613&lt;&gt;"",R613="Có",I613&lt;&gt;"Xong",I613&lt;&gt;"Bỏ qua",ISNUMBER(H613)),H613+ROW()/100000,"")</f>
        <v/>
      </c>
      <c r="R613">
        <f>IF(M613="","",IFERROR(INDEX(SK_L,MATCH(M613,SK_A,0)),""))</f>
        <v/>
      </c>
    </row>
    <row r="614">
      <c r="A614" s="11">
        <f>IF(M614="","",IFERROR(INDEX(SK_B,MATCH(M614,SK_A,0))&amp;"",""))</f>
        <v/>
      </c>
      <c r="B614" s="24">
        <f>IF(M614="","",IFERROR(INDEX(SK_C,MATCH(M614,SK_A,0)),""))</f>
        <v/>
      </c>
      <c r="C614" s="25">
        <f>IF(O614="","",IF(O614=0,"D",IF(O614&lt;0,"D"&amp;O614,"D+"&amp;O614)))</f>
        <v/>
      </c>
      <c r="D614" s="13" t="n"/>
      <c r="E614" s="11" t="n"/>
      <c r="F614" s="26" t="n"/>
      <c r="G614" s="13" t="n"/>
      <c r="H614" s="12">
        <f>IF(OR(B614="",O614=""),"",IF(O614&gt;0,IF(P614="Làm việc",WORKDAY(IFERROR(IF(INDEX(SK_D,MATCH(M614,SK_A,0))="",B614,INDEX(SK_D,MATCH(M614,SK_A,0))),B614),O614,HOLI),IFERROR(IF(INDEX(SK_D,MATCH(M614,SK_A,0))="",B614,INDEX(SK_D,MATCH(M614,SK_A,0))),B614)+O614),B614+O614))</f>
        <v/>
      </c>
      <c r="I614" s="13" t="n"/>
      <c r="J614" s="12" t="n"/>
      <c r="K614" s="11" t="n"/>
      <c r="L614" s="27">
        <f>IF(E614="","",IF(I614="Bỏ qua","—",IF(I614="Xong",IF(AND(ISNUMBER(J614),ISNUMBER(H614),J614&gt;H614),"Xong trễ","Xong"),IF(F614="","CHƯA GIAO","")&amp;IF(NOT(ISNUMBER(H614)),"",IF(TODAY()&gt;H614,IF(F614=""," · ","")&amp;"QUÁ HẠN "&amp;(TODAY()-H614)&amp;" ngày",IF(H614-TODAY()&lt;=3,IF(F614=""," · ","")&amp;"Đến hạn "&amp;IF(H614=TODAY(),"hôm nay","trong "&amp;(H614-TODAY())&amp;" ngày"),""))))))</f>
        <v/>
      </c>
      <c r="Q614">
        <f>IF(AND(E614&lt;&gt;"",R614="Có",I614&lt;&gt;"Xong",I614&lt;&gt;"Bỏ qua",ISNUMBER(H614)),H614+ROW()/100000,"")</f>
        <v/>
      </c>
      <c r="R614">
        <f>IF(M614="","",IFERROR(INDEX(SK_L,MATCH(M614,SK_A,0)),""))</f>
        <v/>
      </c>
    </row>
    <row r="615">
      <c r="A615" s="11">
        <f>IF(M615="","",IFERROR(INDEX(SK_B,MATCH(M615,SK_A,0))&amp;"",""))</f>
        <v/>
      </c>
      <c r="B615" s="24">
        <f>IF(M615="","",IFERROR(INDEX(SK_C,MATCH(M615,SK_A,0)),""))</f>
        <v/>
      </c>
      <c r="C615" s="25">
        <f>IF(O615="","",IF(O615=0,"D",IF(O615&lt;0,"D"&amp;O615,"D+"&amp;O615)))</f>
        <v/>
      </c>
      <c r="D615" s="13" t="n"/>
      <c r="E615" s="11" t="n"/>
      <c r="F615" s="26" t="n"/>
      <c r="G615" s="13" t="n"/>
      <c r="H615" s="12">
        <f>IF(OR(B615="",O615=""),"",IF(O615&gt;0,IF(P615="Làm việc",WORKDAY(IFERROR(IF(INDEX(SK_D,MATCH(M615,SK_A,0))="",B615,INDEX(SK_D,MATCH(M615,SK_A,0))),B615),O615,HOLI),IFERROR(IF(INDEX(SK_D,MATCH(M615,SK_A,0))="",B615,INDEX(SK_D,MATCH(M615,SK_A,0))),B615)+O615),B615+O615))</f>
        <v/>
      </c>
      <c r="I615" s="13" t="n"/>
      <c r="J615" s="12" t="n"/>
      <c r="K615" s="11" t="n"/>
      <c r="L615" s="27">
        <f>IF(E615="","",IF(I615="Bỏ qua","—",IF(I615="Xong",IF(AND(ISNUMBER(J615),ISNUMBER(H615),J615&gt;H615),"Xong trễ","Xong"),IF(F615="","CHƯA GIAO","")&amp;IF(NOT(ISNUMBER(H615)),"",IF(TODAY()&gt;H615,IF(F615=""," · ","")&amp;"QUÁ HẠN "&amp;(TODAY()-H615)&amp;" ngày",IF(H615-TODAY()&lt;=3,IF(F615=""," · ","")&amp;"Đến hạn "&amp;IF(H615=TODAY(),"hôm nay","trong "&amp;(H615-TODAY())&amp;" ngày"),""))))))</f>
        <v/>
      </c>
      <c r="Q615">
        <f>IF(AND(E615&lt;&gt;"",R615="Có",I615&lt;&gt;"Xong",I615&lt;&gt;"Bỏ qua",ISNUMBER(H615)),H615+ROW()/100000,"")</f>
        <v/>
      </c>
      <c r="R615">
        <f>IF(M615="","",IFERROR(INDEX(SK_L,MATCH(M615,SK_A,0)),""))</f>
        <v/>
      </c>
    </row>
    <row r="616">
      <c r="A616" s="11">
        <f>IF(M616="","",IFERROR(INDEX(SK_B,MATCH(M616,SK_A,0))&amp;"",""))</f>
        <v/>
      </c>
      <c r="B616" s="24">
        <f>IF(M616="","",IFERROR(INDEX(SK_C,MATCH(M616,SK_A,0)),""))</f>
        <v/>
      </c>
      <c r="C616" s="25">
        <f>IF(O616="","",IF(O616=0,"D",IF(O616&lt;0,"D"&amp;O616,"D+"&amp;O616)))</f>
        <v/>
      </c>
      <c r="D616" s="13" t="n"/>
      <c r="E616" s="11" t="n"/>
      <c r="F616" s="26" t="n"/>
      <c r="G616" s="13" t="n"/>
      <c r="H616" s="12">
        <f>IF(OR(B616="",O616=""),"",IF(O616&gt;0,IF(P616="Làm việc",WORKDAY(IFERROR(IF(INDEX(SK_D,MATCH(M616,SK_A,0))="",B616,INDEX(SK_D,MATCH(M616,SK_A,0))),B616),O616,HOLI),IFERROR(IF(INDEX(SK_D,MATCH(M616,SK_A,0))="",B616,INDEX(SK_D,MATCH(M616,SK_A,0))),B616)+O616),B616+O616))</f>
        <v/>
      </c>
      <c r="I616" s="13" t="n"/>
      <c r="J616" s="12" t="n"/>
      <c r="K616" s="11" t="n"/>
      <c r="L616" s="27">
        <f>IF(E616="","",IF(I616="Bỏ qua","—",IF(I616="Xong",IF(AND(ISNUMBER(J616),ISNUMBER(H616),J616&gt;H616),"Xong trễ","Xong"),IF(F616="","CHƯA GIAO","")&amp;IF(NOT(ISNUMBER(H616)),"",IF(TODAY()&gt;H616,IF(F616=""," · ","")&amp;"QUÁ HẠN "&amp;(TODAY()-H616)&amp;" ngày",IF(H616-TODAY()&lt;=3,IF(F616=""," · ","")&amp;"Đến hạn "&amp;IF(H616=TODAY(),"hôm nay","trong "&amp;(H616-TODAY())&amp;" ngày"),""))))))</f>
        <v/>
      </c>
      <c r="Q616">
        <f>IF(AND(E616&lt;&gt;"",R616="Có",I616&lt;&gt;"Xong",I616&lt;&gt;"Bỏ qua",ISNUMBER(H616)),H616+ROW()/100000,"")</f>
        <v/>
      </c>
      <c r="R616">
        <f>IF(M616="","",IFERROR(INDEX(SK_L,MATCH(M616,SK_A,0)),""))</f>
        <v/>
      </c>
    </row>
    <row r="617">
      <c r="A617" s="11">
        <f>IF(M617="","",IFERROR(INDEX(SK_B,MATCH(M617,SK_A,0))&amp;"",""))</f>
        <v/>
      </c>
      <c r="B617" s="24">
        <f>IF(M617="","",IFERROR(INDEX(SK_C,MATCH(M617,SK_A,0)),""))</f>
        <v/>
      </c>
      <c r="C617" s="25">
        <f>IF(O617="","",IF(O617=0,"D",IF(O617&lt;0,"D"&amp;O617,"D+"&amp;O617)))</f>
        <v/>
      </c>
      <c r="D617" s="13" t="n"/>
      <c r="E617" s="11" t="n"/>
      <c r="F617" s="26" t="n"/>
      <c r="G617" s="13" t="n"/>
      <c r="H617" s="12">
        <f>IF(OR(B617="",O617=""),"",IF(O617&gt;0,IF(P617="Làm việc",WORKDAY(IFERROR(IF(INDEX(SK_D,MATCH(M617,SK_A,0))="",B617,INDEX(SK_D,MATCH(M617,SK_A,0))),B617),O617,HOLI),IFERROR(IF(INDEX(SK_D,MATCH(M617,SK_A,0))="",B617,INDEX(SK_D,MATCH(M617,SK_A,0))),B617)+O617),B617+O617))</f>
        <v/>
      </c>
      <c r="I617" s="13" t="n"/>
      <c r="J617" s="12" t="n"/>
      <c r="K617" s="11" t="n"/>
      <c r="L617" s="27">
        <f>IF(E617="","",IF(I617="Bỏ qua","—",IF(I617="Xong",IF(AND(ISNUMBER(J617),ISNUMBER(H617),J617&gt;H617),"Xong trễ","Xong"),IF(F617="","CHƯA GIAO","")&amp;IF(NOT(ISNUMBER(H617)),"",IF(TODAY()&gt;H617,IF(F617=""," · ","")&amp;"QUÁ HẠN "&amp;(TODAY()-H617)&amp;" ngày",IF(H617-TODAY()&lt;=3,IF(F617=""," · ","")&amp;"Đến hạn "&amp;IF(H617=TODAY(),"hôm nay","trong "&amp;(H617-TODAY())&amp;" ngày"),""))))))</f>
        <v/>
      </c>
      <c r="Q617">
        <f>IF(AND(E617&lt;&gt;"",R617="Có",I617&lt;&gt;"Xong",I617&lt;&gt;"Bỏ qua",ISNUMBER(H617)),H617+ROW()/100000,"")</f>
        <v/>
      </c>
      <c r="R617">
        <f>IF(M617="","",IFERROR(INDEX(SK_L,MATCH(M617,SK_A,0)),""))</f>
        <v/>
      </c>
    </row>
    <row r="618">
      <c r="A618" s="11">
        <f>IF(M618="","",IFERROR(INDEX(SK_B,MATCH(M618,SK_A,0))&amp;"",""))</f>
        <v/>
      </c>
      <c r="B618" s="24">
        <f>IF(M618="","",IFERROR(INDEX(SK_C,MATCH(M618,SK_A,0)),""))</f>
        <v/>
      </c>
      <c r="C618" s="25">
        <f>IF(O618="","",IF(O618=0,"D",IF(O618&lt;0,"D"&amp;O618,"D+"&amp;O618)))</f>
        <v/>
      </c>
      <c r="D618" s="13" t="n"/>
      <c r="E618" s="11" t="n"/>
      <c r="F618" s="26" t="n"/>
      <c r="G618" s="13" t="n"/>
      <c r="H618" s="12">
        <f>IF(OR(B618="",O618=""),"",IF(O618&gt;0,IF(P618="Làm việc",WORKDAY(IFERROR(IF(INDEX(SK_D,MATCH(M618,SK_A,0))="",B618,INDEX(SK_D,MATCH(M618,SK_A,0))),B618),O618,HOLI),IFERROR(IF(INDEX(SK_D,MATCH(M618,SK_A,0))="",B618,INDEX(SK_D,MATCH(M618,SK_A,0))),B618)+O618),B618+O618))</f>
        <v/>
      </c>
      <c r="I618" s="13" t="n"/>
      <c r="J618" s="12" t="n"/>
      <c r="K618" s="11" t="n"/>
      <c r="L618" s="27">
        <f>IF(E618="","",IF(I618="Bỏ qua","—",IF(I618="Xong",IF(AND(ISNUMBER(J618),ISNUMBER(H618),J618&gt;H618),"Xong trễ","Xong"),IF(F618="","CHƯA GIAO","")&amp;IF(NOT(ISNUMBER(H618)),"",IF(TODAY()&gt;H618,IF(F618=""," · ","")&amp;"QUÁ HẠN "&amp;(TODAY()-H618)&amp;" ngày",IF(H618-TODAY()&lt;=3,IF(F618=""," · ","")&amp;"Đến hạn "&amp;IF(H618=TODAY(),"hôm nay","trong "&amp;(H618-TODAY())&amp;" ngày"),""))))))</f>
        <v/>
      </c>
      <c r="Q618">
        <f>IF(AND(E618&lt;&gt;"",R618="Có",I618&lt;&gt;"Xong",I618&lt;&gt;"Bỏ qua",ISNUMBER(H618)),H618+ROW()/100000,"")</f>
        <v/>
      </c>
      <c r="R618">
        <f>IF(M618="","",IFERROR(INDEX(SK_L,MATCH(M618,SK_A,0)),""))</f>
        <v/>
      </c>
    </row>
    <row r="619">
      <c r="A619" s="11">
        <f>IF(M619="","",IFERROR(INDEX(SK_B,MATCH(M619,SK_A,0))&amp;"",""))</f>
        <v/>
      </c>
      <c r="B619" s="24">
        <f>IF(M619="","",IFERROR(INDEX(SK_C,MATCH(M619,SK_A,0)),""))</f>
        <v/>
      </c>
      <c r="C619" s="25">
        <f>IF(O619="","",IF(O619=0,"D",IF(O619&lt;0,"D"&amp;O619,"D+"&amp;O619)))</f>
        <v/>
      </c>
      <c r="D619" s="13" t="n"/>
      <c r="E619" s="11" t="n"/>
      <c r="F619" s="26" t="n"/>
      <c r="G619" s="13" t="n"/>
      <c r="H619" s="12">
        <f>IF(OR(B619="",O619=""),"",IF(O619&gt;0,IF(P619="Làm việc",WORKDAY(IFERROR(IF(INDEX(SK_D,MATCH(M619,SK_A,0))="",B619,INDEX(SK_D,MATCH(M619,SK_A,0))),B619),O619,HOLI),IFERROR(IF(INDEX(SK_D,MATCH(M619,SK_A,0))="",B619,INDEX(SK_D,MATCH(M619,SK_A,0))),B619)+O619),B619+O619))</f>
        <v/>
      </c>
      <c r="I619" s="13" t="n"/>
      <c r="J619" s="12" t="n"/>
      <c r="K619" s="11" t="n"/>
      <c r="L619" s="27">
        <f>IF(E619="","",IF(I619="Bỏ qua","—",IF(I619="Xong",IF(AND(ISNUMBER(J619),ISNUMBER(H619),J619&gt;H619),"Xong trễ","Xong"),IF(F619="","CHƯA GIAO","")&amp;IF(NOT(ISNUMBER(H619)),"",IF(TODAY()&gt;H619,IF(F619=""," · ","")&amp;"QUÁ HẠN "&amp;(TODAY()-H619)&amp;" ngày",IF(H619-TODAY()&lt;=3,IF(F619=""," · ","")&amp;"Đến hạn "&amp;IF(H619=TODAY(),"hôm nay","trong "&amp;(H619-TODAY())&amp;" ngày"),""))))))</f>
        <v/>
      </c>
      <c r="Q619">
        <f>IF(AND(E619&lt;&gt;"",R619="Có",I619&lt;&gt;"Xong",I619&lt;&gt;"Bỏ qua",ISNUMBER(H619)),H619+ROW()/100000,"")</f>
        <v/>
      </c>
      <c r="R619">
        <f>IF(M619="","",IFERROR(INDEX(SK_L,MATCH(M619,SK_A,0)),""))</f>
        <v/>
      </c>
    </row>
    <row r="620">
      <c r="A620" s="11">
        <f>IF(M620="","",IFERROR(INDEX(SK_B,MATCH(M620,SK_A,0))&amp;"",""))</f>
        <v/>
      </c>
      <c r="B620" s="24">
        <f>IF(M620="","",IFERROR(INDEX(SK_C,MATCH(M620,SK_A,0)),""))</f>
        <v/>
      </c>
      <c r="C620" s="25">
        <f>IF(O620="","",IF(O620=0,"D",IF(O620&lt;0,"D"&amp;O620,"D+"&amp;O620)))</f>
        <v/>
      </c>
      <c r="D620" s="13" t="n"/>
      <c r="E620" s="11" t="n"/>
      <c r="F620" s="26" t="n"/>
      <c r="G620" s="13" t="n"/>
      <c r="H620" s="12">
        <f>IF(OR(B620="",O620=""),"",IF(O620&gt;0,IF(P620="Làm việc",WORKDAY(IFERROR(IF(INDEX(SK_D,MATCH(M620,SK_A,0))="",B620,INDEX(SK_D,MATCH(M620,SK_A,0))),B620),O620,HOLI),IFERROR(IF(INDEX(SK_D,MATCH(M620,SK_A,0))="",B620,INDEX(SK_D,MATCH(M620,SK_A,0))),B620)+O620),B620+O620))</f>
        <v/>
      </c>
      <c r="I620" s="13" t="n"/>
      <c r="J620" s="12" t="n"/>
      <c r="K620" s="11" t="n"/>
      <c r="L620" s="27">
        <f>IF(E620="","",IF(I620="Bỏ qua","—",IF(I620="Xong",IF(AND(ISNUMBER(J620),ISNUMBER(H620),J620&gt;H620),"Xong trễ","Xong"),IF(F620="","CHƯA GIAO","")&amp;IF(NOT(ISNUMBER(H620)),"",IF(TODAY()&gt;H620,IF(F620=""," · ","")&amp;"QUÁ HẠN "&amp;(TODAY()-H620)&amp;" ngày",IF(H620-TODAY()&lt;=3,IF(F620=""," · ","")&amp;"Đến hạn "&amp;IF(H620=TODAY(),"hôm nay","trong "&amp;(H620-TODAY())&amp;" ngày"),""))))))</f>
        <v/>
      </c>
      <c r="Q620">
        <f>IF(AND(E620&lt;&gt;"",R620="Có",I620&lt;&gt;"Xong",I620&lt;&gt;"Bỏ qua",ISNUMBER(H620)),H620+ROW()/100000,"")</f>
        <v/>
      </c>
      <c r="R620">
        <f>IF(M620="","",IFERROR(INDEX(SK_L,MATCH(M620,SK_A,0)),""))</f>
        <v/>
      </c>
    </row>
    <row r="621">
      <c r="A621" s="11">
        <f>IF(M621="","",IFERROR(INDEX(SK_B,MATCH(M621,SK_A,0))&amp;"",""))</f>
        <v/>
      </c>
      <c r="B621" s="24">
        <f>IF(M621="","",IFERROR(INDEX(SK_C,MATCH(M621,SK_A,0)),""))</f>
        <v/>
      </c>
      <c r="C621" s="25">
        <f>IF(O621="","",IF(O621=0,"D",IF(O621&lt;0,"D"&amp;O621,"D+"&amp;O621)))</f>
        <v/>
      </c>
      <c r="D621" s="13" t="n"/>
      <c r="E621" s="11" t="n"/>
      <c r="F621" s="26" t="n"/>
      <c r="G621" s="13" t="n"/>
      <c r="H621" s="12">
        <f>IF(OR(B621="",O621=""),"",IF(O621&gt;0,IF(P621="Làm việc",WORKDAY(IFERROR(IF(INDEX(SK_D,MATCH(M621,SK_A,0))="",B621,INDEX(SK_D,MATCH(M621,SK_A,0))),B621),O621,HOLI),IFERROR(IF(INDEX(SK_D,MATCH(M621,SK_A,0))="",B621,INDEX(SK_D,MATCH(M621,SK_A,0))),B621)+O621),B621+O621))</f>
        <v/>
      </c>
      <c r="I621" s="13" t="n"/>
      <c r="J621" s="12" t="n"/>
      <c r="K621" s="11" t="n"/>
      <c r="L621" s="27">
        <f>IF(E621="","",IF(I621="Bỏ qua","—",IF(I621="Xong",IF(AND(ISNUMBER(J621),ISNUMBER(H621),J621&gt;H621),"Xong trễ","Xong"),IF(F621="","CHƯA GIAO","")&amp;IF(NOT(ISNUMBER(H621)),"",IF(TODAY()&gt;H621,IF(F621=""," · ","")&amp;"QUÁ HẠN "&amp;(TODAY()-H621)&amp;" ngày",IF(H621-TODAY()&lt;=3,IF(F621=""," · ","")&amp;"Đến hạn "&amp;IF(H621=TODAY(),"hôm nay","trong "&amp;(H621-TODAY())&amp;" ngày"),""))))))</f>
        <v/>
      </c>
      <c r="Q621">
        <f>IF(AND(E621&lt;&gt;"",R621="Có",I621&lt;&gt;"Xong",I621&lt;&gt;"Bỏ qua",ISNUMBER(H621)),H621+ROW()/100000,"")</f>
        <v/>
      </c>
      <c r="R621">
        <f>IF(M621="","",IFERROR(INDEX(SK_L,MATCH(M621,SK_A,0)),""))</f>
        <v/>
      </c>
    </row>
    <row r="622">
      <c r="A622" s="11">
        <f>IF(M622="","",IFERROR(INDEX(SK_B,MATCH(M622,SK_A,0))&amp;"",""))</f>
        <v/>
      </c>
      <c r="B622" s="24">
        <f>IF(M622="","",IFERROR(INDEX(SK_C,MATCH(M622,SK_A,0)),""))</f>
        <v/>
      </c>
      <c r="C622" s="25">
        <f>IF(O622="","",IF(O622=0,"D",IF(O622&lt;0,"D"&amp;O622,"D+"&amp;O622)))</f>
        <v/>
      </c>
      <c r="D622" s="13" t="n"/>
      <c r="E622" s="11" t="n"/>
      <c r="F622" s="26" t="n"/>
      <c r="G622" s="13" t="n"/>
      <c r="H622" s="12">
        <f>IF(OR(B622="",O622=""),"",IF(O622&gt;0,IF(P622="Làm việc",WORKDAY(IFERROR(IF(INDEX(SK_D,MATCH(M622,SK_A,0))="",B622,INDEX(SK_D,MATCH(M622,SK_A,0))),B622),O622,HOLI),IFERROR(IF(INDEX(SK_D,MATCH(M622,SK_A,0))="",B622,INDEX(SK_D,MATCH(M622,SK_A,0))),B622)+O622),B622+O622))</f>
        <v/>
      </c>
      <c r="I622" s="13" t="n"/>
      <c r="J622" s="12" t="n"/>
      <c r="K622" s="11" t="n"/>
      <c r="L622" s="27">
        <f>IF(E622="","",IF(I622="Bỏ qua","—",IF(I622="Xong",IF(AND(ISNUMBER(J622),ISNUMBER(H622),J622&gt;H622),"Xong trễ","Xong"),IF(F622="","CHƯA GIAO","")&amp;IF(NOT(ISNUMBER(H622)),"",IF(TODAY()&gt;H622,IF(F622=""," · ","")&amp;"QUÁ HẠN "&amp;(TODAY()-H622)&amp;" ngày",IF(H622-TODAY()&lt;=3,IF(F622=""," · ","")&amp;"Đến hạn "&amp;IF(H622=TODAY(),"hôm nay","trong "&amp;(H622-TODAY())&amp;" ngày"),""))))))</f>
        <v/>
      </c>
      <c r="Q622">
        <f>IF(AND(E622&lt;&gt;"",R622="Có",I622&lt;&gt;"Xong",I622&lt;&gt;"Bỏ qua",ISNUMBER(H622)),H622+ROW()/100000,"")</f>
        <v/>
      </c>
      <c r="R622">
        <f>IF(M622="","",IFERROR(INDEX(SK_L,MATCH(M622,SK_A,0)),""))</f>
        <v/>
      </c>
    </row>
    <row r="623">
      <c r="A623" s="11">
        <f>IF(M623="","",IFERROR(INDEX(SK_B,MATCH(M623,SK_A,0))&amp;"",""))</f>
        <v/>
      </c>
      <c r="B623" s="24">
        <f>IF(M623="","",IFERROR(INDEX(SK_C,MATCH(M623,SK_A,0)),""))</f>
        <v/>
      </c>
      <c r="C623" s="25">
        <f>IF(O623="","",IF(O623=0,"D",IF(O623&lt;0,"D"&amp;O623,"D+"&amp;O623)))</f>
        <v/>
      </c>
      <c r="D623" s="13" t="n"/>
      <c r="E623" s="11" t="n"/>
      <c r="F623" s="26" t="n"/>
      <c r="G623" s="13" t="n"/>
      <c r="H623" s="12">
        <f>IF(OR(B623="",O623=""),"",IF(O623&gt;0,IF(P623="Làm việc",WORKDAY(IFERROR(IF(INDEX(SK_D,MATCH(M623,SK_A,0))="",B623,INDEX(SK_D,MATCH(M623,SK_A,0))),B623),O623,HOLI),IFERROR(IF(INDEX(SK_D,MATCH(M623,SK_A,0))="",B623,INDEX(SK_D,MATCH(M623,SK_A,0))),B623)+O623),B623+O623))</f>
        <v/>
      </c>
      <c r="I623" s="13" t="n"/>
      <c r="J623" s="12" t="n"/>
      <c r="K623" s="11" t="n"/>
      <c r="L623" s="27">
        <f>IF(E623="","",IF(I623="Bỏ qua","—",IF(I623="Xong",IF(AND(ISNUMBER(J623),ISNUMBER(H623),J623&gt;H623),"Xong trễ","Xong"),IF(F623="","CHƯA GIAO","")&amp;IF(NOT(ISNUMBER(H623)),"",IF(TODAY()&gt;H623,IF(F623=""," · ","")&amp;"QUÁ HẠN "&amp;(TODAY()-H623)&amp;" ngày",IF(H623-TODAY()&lt;=3,IF(F623=""," · ","")&amp;"Đến hạn "&amp;IF(H623=TODAY(),"hôm nay","trong "&amp;(H623-TODAY())&amp;" ngày"),""))))))</f>
        <v/>
      </c>
      <c r="Q623">
        <f>IF(AND(E623&lt;&gt;"",R623="Có",I623&lt;&gt;"Xong",I623&lt;&gt;"Bỏ qua",ISNUMBER(H623)),H623+ROW()/100000,"")</f>
        <v/>
      </c>
      <c r="R623">
        <f>IF(M623="","",IFERROR(INDEX(SK_L,MATCH(M623,SK_A,0)),""))</f>
        <v/>
      </c>
    </row>
    <row r="624">
      <c r="A624" s="11">
        <f>IF(M624="","",IFERROR(INDEX(SK_B,MATCH(M624,SK_A,0))&amp;"",""))</f>
        <v/>
      </c>
      <c r="B624" s="24">
        <f>IF(M624="","",IFERROR(INDEX(SK_C,MATCH(M624,SK_A,0)),""))</f>
        <v/>
      </c>
      <c r="C624" s="25">
        <f>IF(O624="","",IF(O624=0,"D",IF(O624&lt;0,"D"&amp;O624,"D+"&amp;O624)))</f>
        <v/>
      </c>
      <c r="D624" s="13" t="n"/>
      <c r="E624" s="11" t="n"/>
      <c r="F624" s="26" t="n"/>
      <c r="G624" s="13" t="n"/>
      <c r="H624" s="12">
        <f>IF(OR(B624="",O624=""),"",IF(O624&gt;0,IF(P624="Làm việc",WORKDAY(IFERROR(IF(INDEX(SK_D,MATCH(M624,SK_A,0))="",B624,INDEX(SK_D,MATCH(M624,SK_A,0))),B624),O624,HOLI),IFERROR(IF(INDEX(SK_D,MATCH(M624,SK_A,0))="",B624,INDEX(SK_D,MATCH(M624,SK_A,0))),B624)+O624),B624+O624))</f>
        <v/>
      </c>
      <c r="I624" s="13" t="n"/>
      <c r="J624" s="12" t="n"/>
      <c r="K624" s="11" t="n"/>
      <c r="L624" s="27">
        <f>IF(E624="","",IF(I624="Bỏ qua","—",IF(I624="Xong",IF(AND(ISNUMBER(J624),ISNUMBER(H624),J624&gt;H624),"Xong trễ","Xong"),IF(F624="","CHƯA GIAO","")&amp;IF(NOT(ISNUMBER(H624)),"",IF(TODAY()&gt;H624,IF(F624=""," · ","")&amp;"QUÁ HẠN "&amp;(TODAY()-H624)&amp;" ngày",IF(H624-TODAY()&lt;=3,IF(F624=""," · ","")&amp;"Đến hạn "&amp;IF(H624=TODAY(),"hôm nay","trong "&amp;(H624-TODAY())&amp;" ngày"),""))))))</f>
        <v/>
      </c>
      <c r="Q624">
        <f>IF(AND(E624&lt;&gt;"",R624="Có",I624&lt;&gt;"Xong",I624&lt;&gt;"Bỏ qua",ISNUMBER(H624)),H624+ROW()/100000,"")</f>
        <v/>
      </c>
      <c r="R624">
        <f>IF(M624="","",IFERROR(INDEX(SK_L,MATCH(M624,SK_A,0)),""))</f>
        <v/>
      </c>
    </row>
    <row r="625">
      <c r="A625" s="11">
        <f>IF(M625="","",IFERROR(INDEX(SK_B,MATCH(M625,SK_A,0))&amp;"",""))</f>
        <v/>
      </c>
      <c r="B625" s="24">
        <f>IF(M625="","",IFERROR(INDEX(SK_C,MATCH(M625,SK_A,0)),""))</f>
        <v/>
      </c>
      <c r="C625" s="25">
        <f>IF(O625="","",IF(O625=0,"D",IF(O625&lt;0,"D"&amp;O625,"D+"&amp;O625)))</f>
        <v/>
      </c>
      <c r="D625" s="13" t="n"/>
      <c r="E625" s="11" t="n"/>
      <c r="F625" s="26" t="n"/>
      <c r="G625" s="13" t="n"/>
      <c r="H625" s="12">
        <f>IF(OR(B625="",O625=""),"",IF(O625&gt;0,IF(P625="Làm việc",WORKDAY(IFERROR(IF(INDEX(SK_D,MATCH(M625,SK_A,0))="",B625,INDEX(SK_D,MATCH(M625,SK_A,0))),B625),O625,HOLI),IFERROR(IF(INDEX(SK_D,MATCH(M625,SK_A,0))="",B625,INDEX(SK_D,MATCH(M625,SK_A,0))),B625)+O625),B625+O625))</f>
        <v/>
      </c>
      <c r="I625" s="13" t="n"/>
      <c r="J625" s="12" t="n"/>
      <c r="K625" s="11" t="n"/>
      <c r="L625" s="27">
        <f>IF(E625="","",IF(I625="Bỏ qua","—",IF(I625="Xong",IF(AND(ISNUMBER(J625),ISNUMBER(H625),J625&gt;H625),"Xong trễ","Xong"),IF(F625="","CHƯA GIAO","")&amp;IF(NOT(ISNUMBER(H625)),"",IF(TODAY()&gt;H625,IF(F625=""," · ","")&amp;"QUÁ HẠN "&amp;(TODAY()-H625)&amp;" ngày",IF(H625-TODAY()&lt;=3,IF(F625=""," · ","")&amp;"Đến hạn "&amp;IF(H625=TODAY(),"hôm nay","trong "&amp;(H625-TODAY())&amp;" ngày"),""))))))</f>
        <v/>
      </c>
      <c r="Q625">
        <f>IF(AND(E625&lt;&gt;"",R625="Có",I625&lt;&gt;"Xong",I625&lt;&gt;"Bỏ qua",ISNUMBER(H625)),H625+ROW()/100000,"")</f>
        <v/>
      </c>
      <c r="R625">
        <f>IF(M625="","",IFERROR(INDEX(SK_L,MATCH(M625,SK_A,0)),""))</f>
        <v/>
      </c>
    </row>
    <row r="626">
      <c r="A626" s="11">
        <f>IF(M626="","",IFERROR(INDEX(SK_B,MATCH(M626,SK_A,0))&amp;"",""))</f>
        <v/>
      </c>
      <c r="B626" s="24">
        <f>IF(M626="","",IFERROR(INDEX(SK_C,MATCH(M626,SK_A,0)),""))</f>
        <v/>
      </c>
      <c r="C626" s="25">
        <f>IF(O626="","",IF(O626=0,"D",IF(O626&lt;0,"D"&amp;O626,"D+"&amp;O626)))</f>
        <v/>
      </c>
      <c r="D626" s="13" t="n"/>
      <c r="E626" s="11" t="n"/>
      <c r="F626" s="26" t="n"/>
      <c r="G626" s="13" t="n"/>
      <c r="H626" s="12">
        <f>IF(OR(B626="",O626=""),"",IF(O626&gt;0,IF(P626="Làm việc",WORKDAY(IFERROR(IF(INDEX(SK_D,MATCH(M626,SK_A,0))="",B626,INDEX(SK_D,MATCH(M626,SK_A,0))),B626),O626,HOLI),IFERROR(IF(INDEX(SK_D,MATCH(M626,SK_A,0))="",B626,INDEX(SK_D,MATCH(M626,SK_A,0))),B626)+O626),B626+O626))</f>
        <v/>
      </c>
      <c r="I626" s="13" t="n"/>
      <c r="J626" s="12" t="n"/>
      <c r="K626" s="11" t="n"/>
      <c r="L626" s="27">
        <f>IF(E626="","",IF(I626="Bỏ qua","—",IF(I626="Xong",IF(AND(ISNUMBER(J626),ISNUMBER(H626),J626&gt;H626),"Xong trễ","Xong"),IF(F626="","CHƯA GIAO","")&amp;IF(NOT(ISNUMBER(H626)),"",IF(TODAY()&gt;H626,IF(F626=""," · ","")&amp;"QUÁ HẠN "&amp;(TODAY()-H626)&amp;" ngày",IF(H626-TODAY()&lt;=3,IF(F626=""," · ","")&amp;"Đến hạn "&amp;IF(H626=TODAY(),"hôm nay","trong "&amp;(H626-TODAY())&amp;" ngày"),""))))))</f>
        <v/>
      </c>
      <c r="Q626">
        <f>IF(AND(E626&lt;&gt;"",R626="Có",I626&lt;&gt;"Xong",I626&lt;&gt;"Bỏ qua",ISNUMBER(H626)),H626+ROW()/100000,"")</f>
        <v/>
      </c>
      <c r="R626">
        <f>IF(M626="","",IFERROR(INDEX(SK_L,MATCH(M626,SK_A,0)),""))</f>
        <v/>
      </c>
    </row>
    <row r="627">
      <c r="A627" s="11">
        <f>IF(M627="","",IFERROR(INDEX(SK_B,MATCH(M627,SK_A,0))&amp;"",""))</f>
        <v/>
      </c>
      <c r="B627" s="24">
        <f>IF(M627="","",IFERROR(INDEX(SK_C,MATCH(M627,SK_A,0)),""))</f>
        <v/>
      </c>
      <c r="C627" s="25">
        <f>IF(O627="","",IF(O627=0,"D",IF(O627&lt;0,"D"&amp;O627,"D+"&amp;O627)))</f>
        <v/>
      </c>
      <c r="D627" s="13" t="n"/>
      <c r="E627" s="11" t="n"/>
      <c r="F627" s="26" t="n"/>
      <c r="G627" s="13" t="n"/>
      <c r="H627" s="12">
        <f>IF(OR(B627="",O627=""),"",IF(O627&gt;0,IF(P627="Làm việc",WORKDAY(IFERROR(IF(INDEX(SK_D,MATCH(M627,SK_A,0))="",B627,INDEX(SK_D,MATCH(M627,SK_A,0))),B627),O627,HOLI),IFERROR(IF(INDEX(SK_D,MATCH(M627,SK_A,0))="",B627,INDEX(SK_D,MATCH(M627,SK_A,0))),B627)+O627),B627+O627))</f>
        <v/>
      </c>
      <c r="I627" s="13" t="n"/>
      <c r="J627" s="12" t="n"/>
      <c r="K627" s="11" t="n"/>
      <c r="L627" s="27">
        <f>IF(E627="","",IF(I627="Bỏ qua","—",IF(I627="Xong",IF(AND(ISNUMBER(J627),ISNUMBER(H627),J627&gt;H627),"Xong trễ","Xong"),IF(F627="","CHƯA GIAO","")&amp;IF(NOT(ISNUMBER(H627)),"",IF(TODAY()&gt;H627,IF(F627=""," · ","")&amp;"QUÁ HẠN "&amp;(TODAY()-H627)&amp;" ngày",IF(H627-TODAY()&lt;=3,IF(F627=""," · ","")&amp;"Đến hạn "&amp;IF(H627=TODAY(),"hôm nay","trong "&amp;(H627-TODAY())&amp;" ngày"),""))))))</f>
        <v/>
      </c>
      <c r="Q627">
        <f>IF(AND(E627&lt;&gt;"",R627="Có",I627&lt;&gt;"Xong",I627&lt;&gt;"Bỏ qua",ISNUMBER(H627)),H627+ROW()/100000,"")</f>
        <v/>
      </c>
      <c r="R627">
        <f>IF(M627="","",IFERROR(INDEX(SK_L,MATCH(M627,SK_A,0)),""))</f>
        <v/>
      </c>
    </row>
    <row r="628">
      <c r="A628" s="11">
        <f>IF(M628="","",IFERROR(INDEX(SK_B,MATCH(M628,SK_A,0))&amp;"",""))</f>
        <v/>
      </c>
      <c r="B628" s="24">
        <f>IF(M628="","",IFERROR(INDEX(SK_C,MATCH(M628,SK_A,0)),""))</f>
        <v/>
      </c>
      <c r="C628" s="25">
        <f>IF(O628="","",IF(O628=0,"D",IF(O628&lt;0,"D"&amp;O628,"D+"&amp;O628)))</f>
        <v/>
      </c>
      <c r="D628" s="13" t="n"/>
      <c r="E628" s="11" t="n"/>
      <c r="F628" s="26" t="n"/>
      <c r="G628" s="13" t="n"/>
      <c r="H628" s="12">
        <f>IF(OR(B628="",O628=""),"",IF(O628&gt;0,IF(P628="Làm việc",WORKDAY(IFERROR(IF(INDEX(SK_D,MATCH(M628,SK_A,0))="",B628,INDEX(SK_D,MATCH(M628,SK_A,0))),B628),O628,HOLI),IFERROR(IF(INDEX(SK_D,MATCH(M628,SK_A,0))="",B628,INDEX(SK_D,MATCH(M628,SK_A,0))),B628)+O628),B628+O628))</f>
        <v/>
      </c>
      <c r="I628" s="13" t="n"/>
      <c r="J628" s="12" t="n"/>
      <c r="K628" s="11" t="n"/>
      <c r="L628" s="27">
        <f>IF(E628="","",IF(I628="Bỏ qua","—",IF(I628="Xong",IF(AND(ISNUMBER(J628),ISNUMBER(H628),J628&gt;H628),"Xong trễ","Xong"),IF(F628="","CHƯA GIAO","")&amp;IF(NOT(ISNUMBER(H628)),"",IF(TODAY()&gt;H628,IF(F628=""," · ","")&amp;"QUÁ HẠN "&amp;(TODAY()-H628)&amp;" ngày",IF(H628-TODAY()&lt;=3,IF(F628=""," · ","")&amp;"Đến hạn "&amp;IF(H628=TODAY(),"hôm nay","trong "&amp;(H628-TODAY())&amp;" ngày"),""))))))</f>
        <v/>
      </c>
      <c r="Q628">
        <f>IF(AND(E628&lt;&gt;"",R628="Có",I628&lt;&gt;"Xong",I628&lt;&gt;"Bỏ qua",ISNUMBER(H628)),H628+ROW()/100000,"")</f>
        <v/>
      </c>
      <c r="R628">
        <f>IF(M628="","",IFERROR(INDEX(SK_L,MATCH(M628,SK_A,0)),""))</f>
        <v/>
      </c>
    </row>
    <row r="629">
      <c r="A629" s="11">
        <f>IF(M629="","",IFERROR(INDEX(SK_B,MATCH(M629,SK_A,0))&amp;"",""))</f>
        <v/>
      </c>
      <c r="B629" s="24">
        <f>IF(M629="","",IFERROR(INDEX(SK_C,MATCH(M629,SK_A,0)),""))</f>
        <v/>
      </c>
      <c r="C629" s="25">
        <f>IF(O629="","",IF(O629=0,"D",IF(O629&lt;0,"D"&amp;O629,"D+"&amp;O629)))</f>
        <v/>
      </c>
      <c r="D629" s="13" t="n"/>
      <c r="E629" s="11" t="n"/>
      <c r="F629" s="26" t="n"/>
      <c r="G629" s="13" t="n"/>
      <c r="H629" s="12">
        <f>IF(OR(B629="",O629=""),"",IF(O629&gt;0,IF(P629="Làm việc",WORKDAY(IFERROR(IF(INDEX(SK_D,MATCH(M629,SK_A,0))="",B629,INDEX(SK_D,MATCH(M629,SK_A,0))),B629),O629,HOLI),IFERROR(IF(INDEX(SK_D,MATCH(M629,SK_A,0))="",B629,INDEX(SK_D,MATCH(M629,SK_A,0))),B629)+O629),B629+O629))</f>
        <v/>
      </c>
      <c r="I629" s="13" t="n"/>
      <c r="J629" s="12" t="n"/>
      <c r="K629" s="11" t="n"/>
      <c r="L629" s="27">
        <f>IF(E629="","",IF(I629="Bỏ qua","—",IF(I629="Xong",IF(AND(ISNUMBER(J629),ISNUMBER(H629),J629&gt;H629),"Xong trễ","Xong"),IF(F629="","CHƯA GIAO","")&amp;IF(NOT(ISNUMBER(H629)),"",IF(TODAY()&gt;H629,IF(F629=""," · ","")&amp;"QUÁ HẠN "&amp;(TODAY()-H629)&amp;" ngày",IF(H629-TODAY()&lt;=3,IF(F629=""," · ","")&amp;"Đến hạn "&amp;IF(H629=TODAY(),"hôm nay","trong "&amp;(H629-TODAY())&amp;" ngày"),""))))))</f>
        <v/>
      </c>
      <c r="Q629">
        <f>IF(AND(E629&lt;&gt;"",R629="Có",I629&lt;&gt;"Xong",I629&lt;&gt;"Bỏ qua",ISNUMBER(H629)),H629+ROW()/100000,"")</f>
        <v/>
      </c>
      <c r="R629">
        <f>IF(M629="","",IFERROR(INDEX(SK_L,MATCH(M629,SK_A,0)),""))</f>
        <v/>
      </c>
    </row>
    <row r="630">
      <c r="A630" s="11">
        <f>IF(M630="","",IFERROR(INDEX(SK_B,MATCH(M630,SK_A,0))&amp;"",""))</f>
        <v/>
      </c>
      <c r="B630" s="24">
        <f>IF(M630="","",IFERROR(INDEX(SK_C,MATCH(M630,SK_A,0)),""))</f>
        <v/>
      </c>
      <c r="C630" s="25">
        <f>IF(O630="","",IF(O630=0,"D",IF(O630&lt;0,"D"&amp;O630,"D+"&amp;O630)))</f>
        <v/>
      </c>
      <c r="D630" s="13" t="n"/>
      <c r="E630" s="11" t="n"/>
      <c r="F630" s="26" t="n"/>
      <c r="G630" s="13" t="n"/>
      <c r="H630" s="12">
        <f>IF(OR(B630="",O630=""),"",IF(O630&gt;0,IF(P630="Làm việc",WORKDAY(IFERROR(IF(INDEX(SK_D,MATCH(M630,SK_A,0))="",B630,INDEX(SK_D,MATCH(M630,SK_A,0))),B630),O630,HOLI),IFERROR(IF(INDEX(SK_D,MATCH(M630,SK_A,0))="",B630,INDEX(SK_D,MATCH(M630,SK_A,0))),B630)+O630),B630+O630))</f>
        <v/>
      </c>
      <c r="I630" s="13" t="n"/>
      <c r="J630" s="12" t="n"/>
      <c r="K630" s="11" t="n"/>
      <c r="L630" s="27">
        <f>IF(E630="","",IF(I630="Bỏ qua","—",IF(I630="Xong",IF(AND(ISNUMBER(J630),ISNUMBER(H630),J630&gt;H630),"Xong trễ","Xong"),IF(F630="","CHƯA GIAO","")&amp;IF(NOT(ISNUMBER(H630)),"",IF(TODAY()&gt;H630,IF(F630=""," · ","")&amp;"QUÁ HẠN "&amp;(TODAY()-H630)&amp;" ngày",IF(H630-TODAY()&lt;=3,IF(F630=""," · ","")&amp;"Đến hạn "&amp;IF(H630=TODAY(),"hôm nay","trong "&amp;(H630-TODAY())&amp;" ngày"),""))))))</f>
        <v/>
      </c>
      <c r="Q630">
        <f>IF(AND(E630&lt;&gt;"",R630="Có",I630&lt;&gt;"Xong",I630&lt;&gt;"Bỏ qua",ISNUMBER(H630)),H630+ROW()/100000,"")</f>
        <v/>
      </c>
      <c r="R630">
        <f>IF(M630="","",IFERROR(INDEX(SK_L,MATCH(M630,SK_A,0)),""))</f>
        <v/>
      </c>
    </row>
    <row r="631">
      <c r="A631" s="11">
        <f>IF(M631="","",IFERROR(INDEX(SK_B,MATCH(M631,SK_A,0))&amp;"",""))</f>
        <v/>
      </c>
      <c r="B631" s="24">
        <f>IF(M631="","",IFERROR(INDEX(SK_C,MATCH(M631,SK_A,0)),""))</f>
        <v/>
      </c>
      <c r="C631" s="25">
        <f>IF(O631="","",IF(O631=0,"D",IF(O631&lt;0,"D"&amp;O631,"D+"&amp;O631)))</f>
        <v/>
      </c>
      <c r="D631" s="13" t="n"/>
      <c r="E631" s="11" t="n"/>
      <c r="F631" s="26" t="n"/>
      <c r="G631" s="13" t="n"/>
      <c r="H631" s="12">
        <f>IF(OR(B631="",O631=""),"",IF(O631&gt;0,IF(P631="Làm việc",WORKDAY(IFERROR(IF(INDEX(SK_D,MATCH(M631,SK_A,0))="",B631,INDEX(SK_D,MATCH(M631,SK_A,0))),B631),O631,HOLI),IFERROR(IF(INDEX(SK_D,MATCH(M631,SK_A,0))="",B631,INDEX(SK_D,MATCH(M631,SK_A,0))),B631)+O631),B631+O631))</f>
        <v/>
      </c>
      <c r="I631" s="13" t="n"/>
      <c r="J631" s="12" t="n"/>
      <c r="K631" s="11" t="n"/>
      <c r="L631" s="27">
        <f>IF(E631="","",IF(I631="Bỏ qua","—",IF(I631="Xong",IF(AND(ISNUMBER(J631),ISNUMBER(H631),J631&gt;H631),"Xong trễ","Xong"),IF(F631="","CHƯA GIAO","")&amp;IF(NOT(ISNUMBER(H631)),"",IF(TODAY()&gt;H631,IF(F631=""," · ","")&amp;"QUÁ HẠN "&amp;(TODAY()-H631)&amp;" ngày",IF(H631-TODAY()&lt;=3,IF(F631=""," · ","")&amp;"Đến hạn "&amp;IF(H631=TODAY(),"hôm nay","trong "&amp;(H631-TODAY())&amp;" ngày"),""))))))</f>
        <v/>
      </c>
      <c r="Q631">
        <f>IF(AND(E631&lt;&gt;"",R631="Có",I631&lt;&gt;"Xong",I631&lt;&gt;"Bỏ qua",ISNUMBER(H631)),H631+ROW()/100000,"")</f>
        <v/>
      </c>
      <c r="R631">
        <f>IF(M631="","",IFERROR(INDEX(SK_L,MATCH(M631,SK_A,0)),""))</f>
        <v/>
      </c>
    </row>
    <row r="632">
      <c r="A632" s="11">
        <f>IF(M632="","",IFERROR(INDEX(SK_B,MATCH(M632,SK_A,0))&amp;"",""))</f>
        <v/>
      </c>
      <c r="B632" s="24">
        <f>IF(M632="","",IFERROR(INDEX(SK_C,MATCH(M632,SK_A,0)),""))</f>
        <v/>
      </c>
      <c r="C632" s="25">
        <f>IF(O632="","",IF(O632=0,"D",IF(O632&lt;0,"D"&amp;O632,"D+"&amp;O632)))</f>
        <v/>
      </c>
      <c r="D632" s="13" t="n"/>
      <c r="E632" s="11" t="n"/>
      <c r="F632" s="26" t="n"/>
      <c r="G632" s="13" t="n"/>
      <c r="H632" s="12">
        <f>IF(OR(B632="",O632=""),"",IF(O632&gt;0,IF(P632="Làm việc",WORKDAY(IFERROR(IF(INDEX(SK_D,MATCH(M632,SK_A,0))="",B632,INDEX(SK_D,MATCH(M632,SK_A,0))),B632),O632,HOLI),IFERROR(IF(INDEX(SK_D,MATCH(M632,SK_A,0))="",B632,INDEX(SK_D,MATCH(M632,SK_A,0))),B632)+O632),B632+O632))</f>
        <v/>
      </c>
      <c r="I632" s="13" t="n"/>
      <c r="J632" s="12" t="n"/>
      <c r="K632" s="11" t="n"/>
      <c r="L632" s="27">
        <f>IF(E632="","",IF(I632="Bỏ qua","—",IF(I632="Xong",IF(AND(ISNUMBER(J632),ISNUMBER(H632),J632&gt;H632),"Xong trễ","Xong"),IF(F632="","CHƯA GIAO","")&amp;IF(NOT(ISNUMBER(H632)),"",IF(TODAY()&gt;H632,IF(F632=""," · ","")&amp;"QUÁ HẠN "&amp;(TODAY()-H632)&amp;" ngày",IF(H632-TODAY()&lt;=3,IF(F632=""," · ","")&amp;"Đến hạn "&amp;IF(H632=TODAY(),"hôm nay","trong "&amp;(H632-TODAY())&amp;" ngày"),""))))))</f>
        <v/>
      </c>
      <c r="Q632">
        <f>IF(AND(E632&lt;&gt;"",R632="Có",I632&lt;&gt;"Xong",I632&lt;&gt;"Bỏ qua",ISNUMBER(H632)),H632+ROW()/100000,"")</f>
        <v/>
      </c>
      <c r="R632">
        <f>IF(M632="","",IFERROR(INDEX(SK_L,MATCH(M632,SK_A,0)),""))</f>
        <v/>
      </c>
    </row>
    <row r="633">
      <c r="A633" s="11">
        <f>IF(M633="","",IFERROR(INDEX(SK_B,MATCH(M633,SK_A,0))&amp;"",""))</f>
        <v/>
      </c>
      <c r="B633" s="24">
        <f>IF(M633="","",IFERROR(INDEX(SK_C,MATCH(M633,SK_A,0)),""))</f>
        <v/>
      </c>
      <c r="C633" s="25">
        <f>IF(O633="","",IF(O633=0,"D",IF(O633&lt;0,"D"&amp;O633,"D+"&amp;O633)))</f>
        <v/>
      </c>
      <c r="D633" s="13" t="n"/>
      <c r="E633" s="11" t="n"/>
      <c r="F633" s="26" t="n"/>
      <c r="G633" s="13" t="n"/>
      <c r="H633" s="12">
        <f>IF(OR(B633="",O633=""),"",IF(O633&gt;0,IF(P633="Làm việc",WORKDAY(IFERROR(IF(INDEX(SK_D,MATCH(M633,SK_A,0))="",B633,INDEX(SK_D,MATCH(M633,SK_A,0))),B633),O633,HOLI),IFERROR(IF(INDEX(SK_D,MATCH(M633,SK_A,0))="",B633,INDEX(SK_D,MATCH(M633,SK_A,0))),B633)+O633),B633+O633))</f>
        <v/>
      </c>
      <c r="I633" s="13" t="n"/>
      <c r="J633" s="12" t="n"/>
      <c r="K633" s="11" t="n"/>
      <c r="L633" s="27">
        <f>IF(E633="","",IF(I633="Bỏ qua","—",IF(I633="Xong",IF(AND(ISNUMBER(J633),ISNUMBER(H633),J633&gt;H633),"Xong trễ","Xong"),IF(F633="","CHƯA GIAO","")&amp;IF(NOT(ISNUMBER(H633)),"",IF(TODAY()&gt;H633,IF(F633=""," · ","")&amp;"QUÁ HẠN "&amp;(TODAY()-H633)&amp;" ngày",IF(H633-TODAY()&lt;=3,IF(F633=""," · ","")&amp;"Đến hạn "&amp;IF(H633=TODAY(),"hôm nay","trong "&amp;(H633-TODAY())&amp;" ngày"),""))))))</f>
        <v/>
      </c>
      <c r="Q633">
        <f>IF(AND(E633&lt;&gt;"",R633="Có",I633&lt;&gt;"Xong",I633&lt;&gt;"Bỏ qua",ISNUMBER(H633)),H633+ROW()/100000,"")</f>
        <v/>
      </c>
      <c r="R633">
        <f>IF(M633="","",IFERROR(INDEX(SK_L,MATCH(M633,SK_A,0)),""))</f>
        <v/>
      </c>
    </row>
    <row r="634">
      <c r="A634" s="11">
        <f>IF(M634="","",IFERROR(INDEX(SK_B,MATCH(M634,SK_A,0))&amp;"",""))</f>
        <v/>
      </c>
      <c r="B634" s="24">
        <f>IF(M634="","",IFERROR(INDEX(SK_C,MATCH(M634,SK_A,0)),""))</f>
        <v/>
      </c>
      <c r="C634" s="25">
        <f>IF(O634="","",IF(O634=0,"D",IF(O634&lt;0,"D"&amp;O634,"D+"&amp;O634)))</f>
        <v/>
      </c>
      <c r="D634" s="13" t="n"/>
      <c r="E634" s="11" t="n"/>
      <c r="F634" s="26" t="n"/>
      <c r="G634" s="13" t="n"/>
      <c r="H634" s="12">
        <f>IF(OR(B634="",O634=""),"",IF(O634&gt;0,IF(P634="Làm việc",WORKDAY(IFERROR(IF(INDEX(SK_D,MATCH(M634,SK_A,0))="",B634,INDEX(SK_D,MATCH(M634,SK_A,0))),B634),O634,HOLI),IFERROR(IF(INDEX(SK_D,MATCH(M634,SK_A,0))="",B634,INDEX(SK_D,MATCH(M634,SK_A,0))),B634)+O634),B634+O634))</f>
        <v/>
      </c>
      <c r="I634" s="13" t="n"/>
      <c r="J634" s="12" t="n"/>
      <c r="K634" s="11" t="n"/>
      <c r="L634" s="27">
        <f>IF(E634="","",IF(I634="Bỏ qua","—",IF(I634="Xong",IF(AND(ISNUMBER(J634),ISNUMBER(H634),J634&gt;H634),"Xong trễ","Xong"),IF(F634="","CHƯA GIAO","")&amp;IF(NOT(ISNUMBER(H634)),"",IF(TODAY()&gt;H634,IF(F634=""," · ","")&amp;"QUÁ HẠN "&amp;(TODAY()-H634)&amp;" ngày",IF(H634-TODAY()&lt;=3,IF(F634=""," · ","")&amp;"Đến hạn "&amp;IF(H634=TODAY(),"hôm nay","trong "&amp;(H634-TODAY())&amp;" ngày"),""))))))</f>
        <v/>
      </c>
      <c r="Q634">
        <f>IF(AND(E634&lt;&gt;"",R634="Có",I634&lt;&gt;"Xong",I634&lt;&gt;"Bỏ qua",ISNUMBER(H634)),H634+ROW()/100000,"")</f>
        <v/>
      </c>
      <c r="R634">
        <f>IF(M634="","",IFERROR(INDEX(SK_L,MATCH(M634,SK_A,0)),""))</f>
        <v/>
      </c>
    </row>
    <row r="635">
      <c r="A635" s="11">
        <f>IF(M635="","",IFERROR(INDEX(SK_B,MATCH(M635,SK_A,0))&amp;"",""))</f>
        <v/>
      </c>
      <c r="B635" s="24">
        <f>IF(M635="","",IFERROR(INDEX(SK_C,MATCH(M635,SK_A,0)),""))</f>
        <v/>
      </c>
      <c r="C635" s="25">
        <f>IF(O635="","",IF(O635=0,"D",IF(O635&lt;0,"D"&amp;O635,"D+"&amp;O635)))</f>
        <v/>
      </c>
      <c r="D635" s="13" t="n"/>
      <c r="E635" s="11" t="n"/>
      <c r="F635" s="26" t="n"/>
      <c r="G635" s="13" t="n"/>
      <c r="H635" s="12">
        <f>IF(OR(B635="",O635=""),"",IF(O635&gt;0,IF(P635="Làm việc",WORKDAY(IFERROR(IF(INDEX(SK_D,MATCH(M635,SK_A,0))="",B635,INDEX(SK_D,MATCH(M635,SK_A,0))),B635),O635,HOLI),IFERROR(IF(INDEX(SK_D,MATCH(M635,SK_A,0))="",B635,INDEX(SK_D,MATCH(M635,SK_A,0))),B635)+O635),B635+O635))</f>
        <v/>
      </c>
      <c r="I635" s="13" t="n"/>
      <c r="J635" s="12" t="n"/>
      <c r="K635" s="11" t="n"/>
      <c r="L635" s="27">
        <f>IF(E635="","",IF(I635="Bỏ qua","—",IF(I635="Xong",IF(AND(ISNUMBER(J635),ISNUMBER(H635),J635&gt;H635),"Xong trễ","Xong"),IF(F635="","CHƯA GIAO","")&amp;IF(NOT(ISNUMBER(H635)),"",IF(TODAY()&gt;H635,IF(F635=""," · ","")&amp;"QUÁ HẠN "&amp;(TODAY()-H635)&amp;" ngày",IF(H635-TODAY()&lt;=3,IF(F635=""," · ","")&amp;"Đến hạn "&amp;IF(H635=TODAY(),"hôm nay","trong "&amp;(H635-TODAY())&amp;" ngày"),""))))))</f>
        <v/>
      </c>
      <c r="Q635">
        <f>IF(AND(E635&lt;&gt;"",R635="Có",I635&lt;&gt;"Xong",I635&lt;&gt;"Bỏ qua",ISNUMBER(H635)),H635+ROW()/100000,"")</f>
        <v/>
      </c>
      <c r="R635">
        <f>IF(M635="","",IFERROR(INDEX(SK_L,MATCH(M635,SK_A,0)),""))</f>
        <v/>
      </c>
    </row>
    <row r="636">
      <c r="A636" s="11">
        <f>IF(M636="","",IFERROR(INDEX(SK_B,MATCH(M636,SK_A,0))&amp;"",""))</f>
        <v/>
      </c>
      <c r="B636" s="24">
        <f>IF(M636="","",IFERROR(INDEX(SK_C,MATCH(M636,SK_A,0)),""))</f>
        <v/>
      </c>
      <c r="C636" s="25">
        <f>IF(O636="","",IF(O636=0,"D",IF(O636&lt;0,"D"&amp;O636,"D+"&amp;O636)))</f>
        <v/>
      </c>
      <c r="D636" s="13" t="n"/>
      <c r="E636" s="11" t="n"/>
      <c r="F636" s="26" t="n"/>
      <c r="G636" s="13" t="n"/>
      <c r="H636" s="12">
        <f>IF(OR(B636="",O636=""),"",IF(O636&gt;0,IF(P636="Làm việc",WORKDAY(IFERROR(IF(INDEX(SK_D,MATCH(M636,SK_A,0))="",B636,INDEX(SK_D,MATCH(M636,SK_A,0))),B636),O636,HOLI),IFERROR(IF(INDEX(SK_D,MATCH(M636,SK_A,0))="",B636,INDEX(SK_D,MATCH(M636,SK_A,0))),B636)+O636),B636+O636))</f>
        <v/>
      </c>
      <c r="I636" s="13" t="n"/>
      <c r="J636" s="12" t="n"/>
      <c r="K636" s="11" t="n"/>
      <c r="L636" s="27">
        <f>IF(E636="","",IF(I636="Bỏ qua","—",IF(I636="Xong",IF(AND(ISNUMBER(J636),ISNUMBER(H636),J636&gt;H636),"Xong trễ","Xong"),IF(F636="","CHƯA GIAO","")&amp;IF(NOT(ISNUMBER(H636)),"",IF(TODAY()&gt;H636,IF(F636=""," · ","")&amp;"QUÁ HẠN "&amp;(TODAY()-H636)&amp;" ngày",IF(H636-TODAY()&lt;=3,IF(F636=""," · ","")&amp;"Đến hạn "&amp;IF(H636=TODAY(),"hôm nay","trong "&amp;(H636-TODAY())&amp;" ngày"),""))))))</f>
        <v/>
      </c>
      <c r="Q636">
        <f>IF(AND(E636&lt;&gt;"",R636="Có",I636&lt;&gt;"Xong",I636&lt;&gt;"Bỏ qua",ISNUMBER(H636)),H636+ROW()/100000,"")</f>
        <v/>
      </c>
      <c r="R636">
        <f>IF(M636="","",IFERROR(INDEX(SK_L,MATCH(M636,SK_A,0)),""))</f>
        <v/>
      </c>
    </row>
    <row r="637">
      <c r="A637" s="11">
        <f>IF(M637="","",IFERROR(INDEX(SK_B,MATCH(M637,SK_A,0))&amp;"",""))</f>
        <v/>
      </c>
      <c r="B637" s="24">
        <f>IF(M637="","",IFERROR(INDEX(SK_C,MATCH(M637,SK_A,0)),""))</f>
        <v/>
      </c>
      <c r="C637" s="25">
        <f>IF(O637="","",IF(O637=0,"D",IF(O637&lt;0,"D"&amp;O637,"D+"&amp;O637)))</f>
        <v/>
      </c>
      <c r="D637" s="13" t="n"/>
      <c r="E637" s="11" t="n"/>
      <c r="F637" s="26" t="n"/>
      <c r="G637" s="13" t="n"/>
      <c r="H637" s="12">
        <f>IF(OR(B637="",O637=""),"",IF(O637&gt;0,IF(P637="Làm việc",WORKDAY(IFERROR(IF(INDEX(SK_D,MATCH(M637,SK_A,0))="",B637,INDEX(SK_D,MATCH(M637,SK_A,0))),B637),O637,HOLI),IFERROR(IF(INDEX(SK_D,MATCH(M637,SK_A,0))="",B637,INDEX(SK_D,MATCH(M637,SK_A,0))),B637)+O637),B637+O637))</f>
        <v/>
      </c>
      <c r="I637" s="13" t="n"/>
      <c r="J637" s="12" t="n"/>
      <c r="K637" s="11" t="n"/>
      <c r="L637" s="27">
        <f>IF(E637="","",IF(I637="Bỏ qua","—",IF(I637="Xong",IF(AND(ISNUMBER(J637),ISNUMBER(H637),J637&gt;H637),"Xong trễ","Xong"),IF(F637="","CHƯA GIAO","")&amp;IF(NOT(ISNUMBER(H637)),"",IF(TODAY()&gt;H637,IF(F637=""," · ","")&amp;"QUÁ HẠN "&amp;(TODAY()-H637)&amp;" ngày",IF(H637-TODAY()&lt;=3,IF(F637=""," · ","")&amp;"Đến hạn "&amp;IF(H637=TODAY(),"hôm nay","trong "&amp;(H637-TODAY())&amp;" ngày"),""))))))</f>
        <v/>
      </c>
      <c r="Q637">
        <f>IF(AND(E637&lt;&gt;"",R637="Có",I637&lt;&gt;"Xong",I637&lt;&gt;"Bỏ qua",ISNUMBER(H637)),H637+ROW()/100000,"")</f>
        <v/>
      </c>
      <c r="R637">
        <f>IF(M637="","",IFERROR(INDEX(SK_L,MATCH(M637,SK_A,0)),""))</f>
        <v/>
      </c>
    </row>
    <row r="638">
      <c r="A638" s="11">
        <f>IF(M638="","",IFERROR(INDEX(SK_B,MATCH(M638,SK_A,0))&amp;"",""))</f>
        <v/>
      </c>
      <c r="B638" s="24">
        <f>IF(M638="","",IFERROR(INDEX(SK_C,MATCH(M638,SK_A,0)),""))</f>
        <v/>
      </c>
      <c r="C638" s="25">
        <f>IF(O638="","",IF(O638=0,"D",IF(O638&lt;0,"D"&amp;O638,"D+"&amp;O638)))</f>
        <v/>
      </c>
      <c r="D638" s="13" t="n"/>
      <c r="E638" s="11" t="n"/>
      <c r="F638" s="26" t="n"/>
      <c r="G638" s="13" t="n"/>
      <c r="H638" s="12">
        <f>IF(OR(B638="",O638=""),"",IF(O638&gt;0,IF(P638="Làm việc",WORKDAY(IFERROR(IF(INDEX(SK_D,MATCH(M638,SK_A,0))="",B638,INDEX(SK_D,MATCH(M638,SK_A,0))),B638),O638,HOLI),IFERROR(IF(INDEX(SK_D,MATCH(M638,SK_A,0))="",B638,INDEX(SK_D,MATCH(M638,SK_A,0))),B638)+O638),B638+O638))</f>
        <v/>
      </c>
      <c r="I638" s="13" t="n"/>
      <c r="J638" s="12" t="n"/>
      <c r="K638" s="11" t="n"/>
      <c r="L638" s="27">
        <f>IF(E638="","",IF(I638="Bỏ qua","—",IF(I638="Xong",IF(AND(ISNUMBER(J638),ISNUMBER(H638),J638&gt;H638),"Xong trễ","Xong"),IF(F638="","CHƯA GIAO","")&amp;IF(NOT(ISNUMBER(H638)),"",IF(TODAY()&gt;H638,IF(F638=""," · ","")&amp;"QUÁ HẠN "&amp;(TODAY()-H638)&amp;" ngày",IF(H638-TODAY()&lt;=3,IF(F638=""," · ","")&amp;"Đến hạn "&amp;IF(H638=TODAY(),"hôm nay","trong "&amp;(H638-TODAY())&amp;" ngày"),""))))))</f>
        <v/>
      </c>
      <c r="Q638">
        <f>IF(AND(E638&lt;&gt;"",R638="Có",I638&lt;&gt;"Xong",I638&lt;&gt;"Bỏ qua",ISNUMBER(H638)),H638+ROW()/100000,"")</f>
        <v/>
      </c>
      <c r="R638">
        <f>IF(M638="","",IFERROR(INDEX(SK_L,MATCH(M638,SK_A,0)),""))</f>
        <v/>
      </c>
    </row>
    <row r="639">
      <c r="A639" s="11">
        <f>IF(M639="","",IFERROR(INDEX(SK_B,MATCH(M639,SK_A,0))&amp;"",""))</f>
        <v/>
      </c>
      <c r="B639" s="24">
        <f>IF(M639="","",IFERROR(INDEX(SK_C,MATCH(M639,SK_A,0)),""))</f>
        <v/>
      </c>
      <c r="C639" s="25">
        <f>IF(O639="","",IF(O639=0,"D",IF(O639&lt;0,"D"&amp;O639,"D+"&amp;O639)))</f>
        <v/>
      </c>
      <c r="D639" s="13" t="n"/>
      <c r="E639" s="11" t="n"/>
      <c r="F639" s="26" t="n"/>
      <c r="G639" s="13" t="n"/>
      <c r="H639" s="12">
        <f>IF(OR(B639="",O639=""),"",IF(O639&gt;0,IF(P639="Làm việc",WORKDAY(IFERROR(IF(INDEX(SK_D,MATCH(M639,SK_A,0))="",B639,INDEX(SK_D,MATCH(M639,SK_A,0))),B639),O639,HOLI),IFERROR(IF(INDEX(SK_D,MATCH(M639,SK_A,0))="",B639,INDEX(SK_D,MATCH(M639,SK_A,0))),B639)+O639),B639+O639))</f>
        <v/>
      </c>
      <c r="I639" s="13" t="n"/>
      <c r="J639" s="12" t="n"/>
      <c r="K639" s="11" t="n"/>
      <c r="L639" s="27">
        <f>IF(E639="","",IF(I639="Bỏ qua","—",IF(I639="Xong",IF(AND(ISNUMBER(J639),ISNUMBER(H639),J639&gt;H639),"Xong trễ","Xong"),IF(F639="","CHƯA GIAO","")&amp;IF(NOT(ISNUMBER(H639)),"",IF(TODAY()&gt;H639,IF(F639=""," · ","")&amp;"QUÁ HẠN "&amp;(TODAY()-H639)&amp;" ngày",IF(H639-TODAY()&lt;=3,IF(F639=""," · ","")&amp;"Đến hạn "&amp;IF(H639=TODAY(),"hôm nay","trong "&amp;(H639-TODAY())&amp;" ngày"),""))))))</f>
        <v/>
      </c>
      <c r="Q639">
        <f>IF(AND(E639&lt;&gt;"",R639="Có",I639&lt;&gt;"Xong",I639&lt;&gt;"Bỏ qua",ISNUMBER(H639)),H639+ROW()/100000,"")</f>
        <v/>
      </c>
      <c r="R639">
        <f>IF(M639="","",IFERROR(INDEX(SK_L,MATCH(M639,SK_A,0)),""))</f>
        <v/>
      </c>
    </row>
    <row r="640">
      <c r="A640" s="11">
        <f>IF(M640="","",IFERROR(INDEX(SK_B,MATCH(M640,SK_A,0))&amp;"",""))</f>
        <v/>
      </c>
      <c r="B640" s="24">
        <f>IF(M640="","",IFERROR(INDEX(SK_C,MATCH(M640,SK_A,0)),""))</f>
        <v/>
      </c>
      <c r="C640" s="25">
        <f>IF(O640="","",IF(O640=0,"D",IF(O640&lt;0,"D"&amp;O640,"D+"&amp;O640)))</f>
        <v/>
      </c>
      <c r="D640" s="13" t="n"/>
      <c r="E640" s="11" t="n"/>
      <c r="F640" s="26" t="n"/>
      <c r="G640" s="13" t="n"/>
      <c r="H640" s="12">
        <f>IF(OR(B640="",O640=""),"",IF(O640&gt;0,IF(P640="Làm việc",WORKDAY(IFERROR(IF(INDEX(SK_D,MATCH(M640,SK_A,0))="",B640,INDEX(SK_D,MATCH(M640,SK_A,0))),B640),O640,HOLI),IFERROR(IF(INDEX(SK_D,MATCH(M640,SK_A,0))="",B640,INDEX(SK_D,MATCH(M640,SK_A,0))),B640)+O640),B640+O640))</f>
        <v/>
      </c>
      <c r="I640" s="13" t="n"/>
      <c r="J640" s="12" t="n"/>
      <c r="K640" s="11" t="n"/>
      <c r="L640" s="27">
        <f>IF(E640="","",IF(I640="Bỏ qua","—",IF(I640="Xong",IF(AND(ISNUMBER(J640),ISNUMBER(H640),J640&gt;H640),"Xong trễ","Xong"),IF(F640="","CHƯA GIAO","")&amp;IF(NOT(ISNUMBER(H640)),"",IF(TODAY()&gt;H640,IF(F640=""," · ","")&amp;"QUÁ HẠN "&amp;(TODAY()-H640)&amp;" ngày",IF(H640-TODAY()&lt;=3,IF(F640=""," · ","")&amp;"Đến hạn "&amp;IF(H640=TODAY(),"hôm nay","trong "&amp;(H640-TODAY())&amp;" ngày"),""))))))</f>
        <v/>
      </c>
      <c r="Q640">
        <f>IF(AND(E640&lt;&gt;"",R640="Có",I640&lt;&gt;"Xong",I640&lt;&gt;"Bỏ qua",ISNUMBER(H640)),H640+ROW()/100000,"")</f>
        <v/>
      </c>
      <c r="R640">
        <f>IF(M640="","",IFERROR(INDEX(SK_L,MATCH(M640,SK_A,0)),""))</f>
        <v/>
      </c>
    </row>
    <row r="641">
      <c r="A641" s="11">
        <f>IF(M641="","",IFERROR(INDEX(SK_B,MATCH(M641,SK_A,0))&amp;"",""))</f>
        <v/>
      </c>
      <c r="B641" s="24">
        <f>IF(M641="","",IFERROR(INDEX(SK_C,MATCH(M641,SK_A,0)),""))</f>
        <v/>
      </c>
      <c r="C641" s="25">
        <f>IF(O641="","",IF(O641=0,"D",IF(O641&lt;0,"D"&amp;O641,"D+"&amp;O641)))</f>
        <v/>
      </c>
      <c r="D641" s="13" t="n"/>
      <c r="E641" s="11" t="n"/>
      <c r="F641" s="26" t="n"/>
      <c r="G641" s="13" t="n"/>
      <c r="H641" s="12">
        <f>IF(OR(B641="",O641=""),"",IF(O641&gt;0,IF(P641="Làm việc",WORKDAY(IFERROR(IF(INDEX(SK_D,MATCH(M641,SK_A,0))="",B641,INDEX(SK_D,MATCH(M641,SK_A,0))),B641),O641,HOLI),IFERROR(IF(INDEX(SK_D,MATCH(M641,SK_A,0))="",B641,INDEX(SK_D,MATCH(M641,SK_A,0))),B641)+O641),B641+O641))</f>
        <v/>
      </c>
      <c r="I641" s="13" t="n"/>
      <c r="J641" s="12" t="n"/>
      <c r="K641" s="11" t="n"/>
      <c r="L641" s="27">
        <f>IF(E641="","",IF(I641="Bỏ qua","—",IF(I641="Xong",IF(AND(ISNUMBER(J641),ISNUMBER(H641),J641&gt;H641),"Xong trễ","Xong"),IF(F641="","CHƯA GIAO","")&amp;IF(NOT(ISNUMBER(H641)),"",IF(TODAY()&gt;H641,IF(F641=""," · ","")&amp;"QUÁ HẠN "&amp;(TODAY()-H641)&amp;" ngày",IF(H641-TODAY()&lt;=3,IF(F641=""," · ","")&amp;"Đến hạn "&amp;IF(H641=TODAY(),"hôm nay","trong "&amp;(H641-TODAY())&amp;" ngày"),""))))))</f>
        <v/>
      </c>
      <c r="Q641">
        <f>IF(AND(E641&lt;&gt;"",R641="Có",I641&lt;&gt;"Xong",I641&lt;&gt;"Bỏ qua",ISNUMBER(H641)),H641+ROW()/100000,"")</f>
        <v/>
      </c>
      <c r="R641">
        <f>IF(M641="","",IFERROR(INDEX(SK_L,MATCH(M641,SK_A,0)),""))</f>
        <v/>
      </c>
    </row>
    <row r="642">
      <c r="A642" s="11">
        <f>IF(M642="","",IFERROR(INDEX(SK_B,MATCH(M642,SK_A,0))&amp;"",""))</f>
        <v/>
      </c>
      <c r="B642" s="24">
        <f>IF(M642="","",IFERROR(INDEX(SK_C,MATCH(M642,SK_A,0)),""))</f>
        <v/>
      </c>
      <c r="C642" s="25">
        <f>IF(O642="","",IF(O642=0,"D",IF(O642&lt;0,"D"&amp;O642,"D+"&amp;O642)))</f>
        <v/>
      </c>
      <c r="D642" s="13" t="n"/>
      <c r="E642" s="11" t="n"/>
      <c r="F642" s="26" t="n"/>
      <c r="G642" s="13" t="n"/>
      <c r="H642" s="12">
        <f>IF(OR(B642="",O642=""),"",IF(O642&gt;0,IF(P642="Làm việc",WORKDAY(IFERROR(IF(INDEX(SK_D,MATCH(M642,SK_A,0))="",B642,INDEX(SK_D,MATCH(M642,SK_A,0))),B642),O642,HOLI),IFERROR(IF(INDEX(SK_D,MATCH(M642,SK_A,0))="",B642,INDEX(SK_D,MATCH(M642,SK_A,0))),B642)+O642),B642+O642))</f>
        <v/>
      </c>
      <c r="I642" s="13" t="n"/>
      <c r="J642" s="12" t="n"/>
      <c r="K642" s="11" t="n"/>
      <c r="L642" s="27">
        <f>IF(E642="","",IF(I642="Bỏ qua","—",IF(I642="Xong",IF(AND(ISNUMBER(J642),ISNUMBER(H642),J642&gt;H642),"Xong trễ","Xong"),IF(F642="","CHƯA GIAO","")&amp;IF(NOT(ISNUMBER(H642)),"",IF(TODAY()&gt;H642,IF(F642=""," · ","")&amp;"QUÁ HẠN "&amp;(TODAY()-H642)&amp;" ngày",IF(H642-TODAY()&lt;=3,IF(F642=""," · ","")&amp;"Đến hạn "&amp;IF(H642=TODAY(),"hôm nay","trong "&amp;(H642-TODAY())&amp;" ngày"),""))))))</f>
        <v/>
      </c>
      <c r="Q642">
        <f>IF(AND(E642&lt;&gt;"",R642="Có",I642&lt;&gt;"Xong",I642&lt;&gt;"Bỏ qua",ISNUMBER(H642)),H642+ROW()/100000,"")</f>
        <v/>
      </c>
      <c r="R642">
        <f>IF(M642="","",IFERROR(INDEX(SK_L,MATCH(M642,SK_A,0)),""))</f>
        <v/>
      </c>
    </row>
    <row r="643">
      <c r="A643" s="11">
        <f>IF(M643="","",IFERROR(INDEX(SK_B,MATCH(M643,SK_A,0))&amp;"",""))</f>
        <v/>
      </c>
      <c r="B643" s="24">
        <f>IF(M643="","",IFERROR(INDEX(SK_C,MATCH(M643,SK_A,0)),""))</f>
        <v/>
      </c>
      <c r="C643" s="25">
        <f>IF(O643="","",IF(O643=0,"D",IF(O643&lt;0,"D"&amp;O643,"D+"&amp;O643)))</f>
        <v/>
      </c>
      <c r="D643" s="13" t="n"/>
      <c r="E643" s="11" t="n"/>
      <c r="F643" s="26" t="n"/>
      <c r="G643" s="13" t="n"/>
      <c r="H643" s="12">
        <f>IF(OR(B643="",O643=""),"",IF(O643&gt;0,IF(P643="Làm việc",WORKDAY(IFERROR(IF(INDEX(SK_D,MATCH(M643,SK_A,0))="",B643,INDEX(SK_D,MATCH(M643,SK_A,0))),B643),O643,HOLI),IFERROR(IF(INDEX(SK_D,MATCH(M643,SK_A,0))="",B643,INDEX(SK_D,MATCH(M643,SK_A,0))),B643)+O643),B643+O643))</f>
        <v/>
      </c>
      <c r="I643" s="13" t="n"/>
      <c r="J643" s="12" t="n"/>
      <c r="K643" s="11" t="n"/>
      <c r="L643" s="27">
        <f>IF(E643="","",IF(I643="Bỏ qua","—",IF(I643="Xong",IF(AND(ISNUMBER(J643),ISNUMBER(H643),J643&gt;H643),"Xong trễ","Xong"),IF(F643="","CHƯA GIAO","")&amp;IF(NOT(ISNUMBER(H643)),"",IF(TODAY()&gt;H643,IF(F643=""," · ","")&amp;"QUÁ HẠN "&amp;(TODAY()-H643)&amp;" ngày",IF(H643-TODAY()&lt;=3,IF(F643=""," · ","")&amp;"Đến hạn "&amp;IF(H643=TODAY(),"hôm nay","trong "&amp;(H643-TODAY())&amp;" ngày"),""))))))</f>
        <v/>
      </c>
      <c r="Q643">
        <f>IF(AND(E643&lt;&gt;"",R643="Có",I643&lt;&gt;"Xong",I643&lt;&gt;"Bỏ qua",ISNUMBER(H643)),H643+ROW()/100000,"")</f>
        <v/>
      </c>
      <c r="R643">
        <f>IF(M643="","",IFERROR(INDEX(SK_L,MATCH(M643,SK_A,0)),""))</f>
        <v/>
      </c>
    </row>
    <row r="644">
      <c r="A644" s="11">
        <f>IF(M644="","",IFERROR(INDEX(SK_B,MATCH(M644,SK_A,0))&amp;"",""))</f>
        <v/>
      </c>
      <c r="B644" s="24">
        <f>IF(M644="","",IFERROR(INDEX(SK_C,MATCH(M644,SK_A,0)),""))</f>
        <v/>
      </c>
      <c r="C644" s="25">
        <f>IF(O644="","",IF(O644=0,"D",IF(O644&lt;0,"D"&amp;O644,"D+"&amp;O644)))</f>
        <v/>
      </c>
      <c r="D644" s="13" t="n"/>
      <c r="E644" s="11" t="n"/>
      <c r="F644" s="26" t="n"/>
      <c r="G644" s="13" t="n"/>
      <c r="H644" s="12">
        <f>IF(OR(B644="",O644=""),"",IF(O644&gt;0,IF(P644="Làm việc",WORKDAY(IFERROR(IF(INDEX(SK_D,MATCH(M644,SK_A,0))="",B644,INDEX(SK_D,MATCH(M644,SK_A,0))),B644),O644,HOLI),IFERROR(IF(INDEX(SK_D,MATCH(M644,SK_A,0))="",B644,INDEX(SK_D,MATCH(M644,SK_A,0))),B644)+O644),B644+O644))</f>
        <v/>
      </c>
      <c r="I644" s="13" t="n"/>
      <c r="J644" s="12" t="n"/>
      <c r="K644" s="11" t="n"/>
      <c r="L644" s="27">
        <f>IF(E644="","",IF(I644="Bỏ qua","—",IF(I644="Xong",IF(AND(ISNUMBER(J644),ISNUMBER(H644),J644&gt;H644),"Xong trễ","Xong"),IF(F644="","CHƯA GIAO","")&amp;IF(NOT(ISNUMBER(H644)),"",IF(TODAY()&gt;H644,IF(F644=""," · ","")&amp;"QUÁ HẠN "&amp;(TODAY()-H644)&amp;" ngày",IF(H644-TODAY()&lt;=3,IF(F644=""," · ","")&amp;"Đến hạn "&amp;IF(H644=TODAY(),"hôm nay","trong "&amp;(H644-TODAY())&amp;" ngày"),""))))))</f>
        <v/>
      </c>
      <c r="Q644">
        <f>IF(AND(E644&lt;&gt;"",R644="Có",I644&lt;&gt;"Xong",I644&lt;&gt;"Bỏ qua",ISNUMBER(H644)),H644+ROW()/100000,"")</f>
        <v/>
      </c>
      <c r="R644">
        <f>IF(M644="","",IFERROR(INDEX(SK_L,MATCH(M644,SK_A,0)),""))</f>
        <v/>
      </c>
    </row>
    <row r="645">
      <c r="A645" s="11">
        <f>IF(M645="","",IFERROR(INDEX(SK_B,MATCH(M645,SK_A,0))&amp;"",""))</f>
        <v/>
      </c>
      <c r="B645" s="24">
        <f>IF(M645="","",IFERROR(INDEX(SK_C,MATCH(M645,SK_A,0)),""))</f>
        <v/>
      </c>
      <c r="C645" s="25">
        <f>IF(O645="","",IF(O645=0,"D",IF(O645&lt;0,"D"&amp;O645,"D+"&amp;O645)))</f>
        <v/>
      </c>
      <c r="D645" s="13" t="n"/>
      <c r="E645" s="11" t="n"/>
      <c r="F645" s="26" t="n"/>
      <c r="G645" s="13" t="n"/>
      <c r="H645" s="12">
        <f>IF(OR(B645="",O645=""),"",IF(O645&gt;0,IF(P645="Làm việc",WORKDAY(IFERROR(IF(INDEX(SK_D,MATCH(M645,SK_A,0))="",B645,INDEX(SK_D,MATCH(M645,SK_A,0))),B645),O645,HOLI),IFERROR(IF(INDEX(SK_D,MATCH(M645,SK_A,0))="",B645,INDEX(SK_D,MATCH(M645,SK_A,0))),B645)+O645),B645+O645))</f>
        <v/>
      </c>
      <c r="I645" s="13" t="n"/>
      <c r="J645" s="12" t="n"/>
      <c r="K645" s="11" t="n"/>
      <c r="L645" s="27">
        <f>IF(E645="","",IF(I645="Bỏ qua","—",IF(I645="Xong",IF(AND(ISNUMBER(J645),ISNUMBER(H645),J645&gt;H645),"Xong trễ","Xong"),IF(F645="","CHƯA GIAO","")&amp;IF(NOT(ISNUMBER(H645)),"",IF(TODAY()&gt;H645,IF(F645=""," · ","")&amp;"QUÁ HẠN "&amp;(TODAY()-H645)&amp;" ngày",IF(H645-TODAY()&lt;=3,IF(F645=""," · ","")&amp;"Đến hạn "&amp;IF(H645=TODAY(),"hôm nay","trong "&amp;(H645-TODAY())&amp;" ngày"),""))))))</f>
        <v/>
      </c>
      <c r="Q645">
        <f>IF(AND(E645&lt;&gt;"",R645="Có",I645&lt;&gt;"Xong",I645&lt;&gt;"Bỏ qua",ISNUMBER(H645)),H645+ROW()/100000,"")</f>
        <v/>
      </c>
      <c r="R645">
        <f>IF(M645="","",IFERROR(INDEX(SK_L,MATCH(M645,SK_A,0)),""))</f>
        <v/>
      </c>
    </row>
    <row r="646">
      <c r="A646" s="11">
        <f>IF(M646="","",IFERROR(INDEX(SK_B,MATCH(M646,SK_A,0))&amp;"",""))</f>
        <v/>
      </c>
      <c r="B646" s="24">
        <f>IF(M646="","",IFERROR(INDEX(SK_C,MATCH(M646,SK_A,0)),""))</f>
        <v/>
      </c>
      <c r="C646" s="25">
        <f>IF(O646="","",IF(O646=0,"D",IF(O646&lt;0,"D"&amp;O646,"D+"&amp;O646)))</f>
        <v/>
      </c>
      <c r="D646" s="13" t="n"/>
      <c r="E646" s="11" t="n"/>
      <c r="F646" s="26" t="n"/>
      <c r="G646" s="13" t="n"/>
      <c r="H646" s="12">
        <f>IF(OR(B646="",O646=""),"",IF(O646&gt;0,IF(P646="Làm việc",WORKDAY(IFERROR(IF(INDEX(SK_D,MATCH(M646,SK_A,0))="",B646,INDEX(SK_D,MATCH(M646,SK_A,0))),B646),O646,HOLI),IFERROR(IF(INDEX(SK_D,MATCH(M646,SK_A,0))="",B646,INDEX(SK_D,MATCH(M646,SK_A,0))),B646)+O646),B646+O646))</f>
        <v/>
      </c>
      <c r="I646" s="13" t="n"/>
      <c r="J646" s="12" t="n"/>
      <c r="K646" s="11" t="n"/>
      <c r="L646" s="27">
        <f>IF(E646="","",IF(I646="Bỏ qua","—",IF(I646="Xong",IF(AND(ISNUMBER(J646),ISNUMBER(H646),J646&gt;H646),"Xong trễ","Xong"),IF(F646="","CHƯA GIAO","")&amp;IF(NOT(ISNUMBER(H646)),"",IF(TODAY()&gt;H646,IF(F646=""," · ","")&amp;"QUÁ HẠN "&amp;(TODAY()-H646)&amp;" ngày",IF(H646-TODAY()&lt;=3,IF(F646=""," · ","")&amp;"Đến hạn "&amp;IF(H646=TODAY(),"hôm nay","trong "&amp;(H646-TODAY())&amp;" ngày"),""))))))</f>
        <v/>
      </c>
      <c r="Q646">
        <f>IF(AND(E646&lt;&gt;"",R646="Có",I646&lt;&gt;"Xong",I646&lt;&gt;"Bỏ qua",ISNUMBER(H646)),H646+ROW()/100000,"")</f>
        <v/>
      </c>
      <c r="R646">
        <f>IF(M646="","",IFERROR(INDEX(SK_L,MATCH(M646,SK_A,0)),""))</f>
        <v/>
      </c>
    </row>
    <row r="647">
      <c r="A647" s="11">
        <f>IF(M647="","",IFERROR(INDEX(SK_B,MATCH(M647,SK_A,0))&amp;"",""))</f>
        <v/>
      </c>
      <c r="B647" s="24">
        <f>IF(M647="","",IFERROR(INDEX(SK_C,MATCH(M647,SK_A,0)),""))</f>
        <v/>
      </c>
      <c r="C647" s="25">
        <f>IF(O647="","",IF(O647=0,"D",IF(O647&lt;0,"D"&amp;O647,"D+"&amp;O647)))</f>
        <v/>
      </c>
      <c r="D647" s="13" t="n"/>
      <c r="E647" s="11" t="n"/>
      <c r="F647" s="26" t="n"/>
      <c r="G647" s="13" t="n"/>
      <c r="H647" s="12">
        <f>IF(OR(B647="",O647=""),"",IF(O647&gt;0,IF(P647="Làm việc",WORKDAY(IFERROR(IF(INDEX(SK_D,MATCH(M647,SK_A,0))="",B647,INDEX(SK_D,MATCH(M647,SK_A,0))),B647),O647,HOLI),IFERROR(IF(INDEX(SK_D,MATCH(M647,SK_A,0))="",B647,INDEX(SK_D,MATCH(M647,SK_A,0))),B647)+O647),B647+O647))</f>
        <v/>
      </c>
      <c r="I647" s="13" t="n"/>
      <c r="J647" s="12" t="n"/>
      <c r="K647" s="11" t="n"/>
      <c r="L647" s="27">
        <f>IF(E647="","",IF(I647="Bỏ qua","—",IF(I647="Xong",IF(AND(ISNUMBER(J647),ISNUMBER(H647),J647&gt;H647),"Xong trễ","Xong"),IF(F647="","CHƯA GIAO","")&amp;IF(NOT(ISNUMBER(H647)),"",IF(TODAY()&gt;H647,IF(F647=""," · ","")&amp;"QUÁ HẠN "&amp;(TODAY()-H647)&amp;" ngày",IF(H647-TODAY()&lt;=3,IF(F647=""," · ","")&amp;"Đến hạn "&amp;IF(H647=TODAY(),"hôm nay","trong "&amp;(H647-TODAY())&amp;" ngày"),""))))))</f>
        <v/>
      </c>
      <c r="Q647">
        <f>IF(AND(E647&lt;&gt;"",R647="Có",I647&lt;&gt;"Xong",I647&lt;&gt;"Bỏ qua",ISNUMBER(H647)),H647+ROW()/100000,"")</f>
        <v/>
      </c>
      <c r="R647">
        <f>IF(M647="","",IFERROR(INDEX(SK_L,MATCH(M647,SK_A,0)),""))</f>
        <v/>
      </c>
    </row>
    <row r="648">
      <c r="A648" s="11">
        <f>IF(M648="","",IFERROR(INDEX(SK_B,MATCH(M648,SK_A,0))&amp;"",""))</f>
        <v/>
      </c>
      <c r="B648" s="24">
        <f>IF(M648="","",IFERROR(INDEX(SK_C,MATCH(M648,SK_A,0)),""))</f>
        <v/>
      </c>
      <c r="C648" s="25">
        <f>IF(O648="","",IF(O648=0,"D",IF(O648&lt;0,"D"&amp;O648,"D+"&amp;O648)))</f>
        <v/>
      </c>
      <c r="D648" s="13" t="n"/>
      <c r="E648" s="11" t="n"/>
      <c r="F648" s="26" t="n"/>
      <c r="G648" s="13" t="n"/>
      <c r="H648" s="12">
        <f>IF(OR(B648="",O648=""),"",IF(O648&gt;0,IF(P648="Làm việc",WORKDAY(IFERROR(IF(INDEX(SK_D,MATCH(M648,SK_A,0))="",B648,INDEX(SK_D,MATCH(M648,SK_A,0))),B648),O648,HOLI),IFERROR(IF(INDEX(SK_D,MATCH(M648,SK_A,0))="",B648,INDEX(SK_D,MATCH(M648,SK_A,0))),B648)+O648),B648+O648))</f>
        <v/>
      </c>
      <c r="I648" s="13" t="n"/>
      <c r="J648" s="12" t="n"/>
      <c r="K648" s="11" t="n"/>
      <c r="L648" s="27">
        <f>IF(E648="","",IF(I648="Bỏ qua","—",IF(I648="Xong",IF(AND(ISNUMBER(J648),ISNUMBER(H648),J648&gt;H648),"Xong trễ","Xong"),IF(F648="","CHƯA GIAO","")&amp;IF(NOT(ISNUMBER(H648)),"",IF(TODAY()&gt;H648,IF(F648=""," · ","")&amp;"QUÁ HẠN "&amp;(TODAY()-H648)&amp;" ngày",IF(H648-TODAY()&lt;=3,IF(F648=""," · ","")&amp;"Đến hạn "&amp;IF(H648=TODAY(),"hôm nay","trong "&amp;(H648-TODAY())&amp;" ngày"),""))))))</f>
        <v/>
      </c>
      <c r="Q648">
        <f>IF(AND(E648&lt;&gt;"",R648="Có",I648&lt;&gt;"Xong",I648&lt;&gt;"Bỏ qua",ISNUMBER(H648)),H648+ROW()/100000,"")</f>
        <v/>
      </c>
      <c r="R648">
        <f>IF(M648="","",IFERROR(INDEX(SK_L,MATCH(M648,SK_A,0)),""))</f>
        <v/>
      </c>
    </row>
    <row r="649">
      <c r="A649" s="11">
        <f>IF(M649="","",IFERROR(INDEX(SK_B,MATCH(M649,SK_A,0))&amp;"",""))</f>
        <v/>
      </c>
      <c r="B649" s="24">
        <f>IF(M649="","",IFERROR(INDEX(SK_C,MATCH(M649,SK_A,0)),""))</f>
        <v/>
      </c>
      <c r="C649" s="25">
        <f>IF(O649="","",IF(O649=0,"D",IF(O649&lt;0,"D"&amp;O649,"D+"&amp;O649)))</f>
        <v/>
      </c>
      <c r="D649" s="13" t="n"/>
      <c r="E649" s="11" t="n"/>
      <c r="F649" s="26" t="n"/>
      <c r="G649" s="13" t="n"/>
      <c r="H649" s="12">
        <f>IF(OR(B649="",O649=""),"",IF(O649&gt;0,IF(P649="Làm việc",WORKDAY(IFERROR(IF(INDEX(SK_D,MATCH(M649,SK_A,0))="",B649,INDEX(SK_D,MATCH(M649,SK_A,0))),B649),O649,HOLI),IFERROR(IF(INDEX(SK_D,MATCH(M649,SK_A,0))="",B649,INDEX(SK_D,MATCH(M649,SK_A,0))),B649)+O649),B649+O649))</f>
        <v/>
      </c>
      <c r="I649" s="13" t="n"/>
      <c r="J649" s="12" t="n"/>
      <c r="K649" s="11" t="n"/>
      <c r="L649" s="27">
        <f>IF(E649="","",IF(I649="Bỏ qua","—",IF(I649="Xong",IF(AND(ISNUMBER(J649),ISNUMBER(H649),J649&gt;H649),"Xong trễ","Xong"),IF(F649="","CHƯA GIAO","")&amp;IF(NOT(ISNUMBER(H649)),"",IF(TODAY()&gt;H649,IF(F649=""," · ","")&amp;"QUÁ HẠN "&amp;(TODAY()-H649)&amp;" ngày",IF(H649-TODAY()&lt;=3,IF(F649=""," · ","")&amp;"Đến hạn "&amp;IF(H649=TODAY(),"hôm nay","trong "&amp;(H649-TODAY())&amp;" ngày"),""))))))</f>
        <v/>
      </c>
      <c r="Q649">
        <f>IF(AND(E649&lt;&gt;"",R649="Có",I649&lt;&gt;"Xong",I649&lt;&gt;"Bỏ qua",ISNUMBER(H649)),H649+ROW()/100000,"")</f>
        <v/>
      </c>
      <c r="R649">
        <f>IF(M649="","",IFERROR(INDEX(SK_L,MATCH(M649,SK_A,0)),""))</f>
        <v/>
      </c>
    </row>
    <row r="650">
      <c r="A650" s="11">
        <f>IF(M650="","",IFERROR(INDEX(SK_B,MATCH(M650,SK_A,0))&amp;"",""))</f>
        <v/>
      </c>
      <c r="B650" s="24">
        <f>IF(M650="","",IFERROR(INDEX(SK_C,MATCH(M650,SK_A,0)),""))</f>
        <v/>
      </c>
      <c r="C650" s="25">
        <f>IF(O650="","",IF(O650=0,"D",IF(O650&lt;0,"D"&amp;O650,"D+"&amp;O650)))</f>
        <v/>
      </c>
      <c r="D650" s="13" t="n"/>
      <c r="E650" s="11" t="n"/>
      <c r="F650" s="26" t="n"/>
      <c r="G650" s="13" t="n"/>
      <c r="H650" s="12">
        <f>IF(OR(B650="",O650=""),"",IF(O650&gt;0,IF(P650="Làm việc",WORKDAY(IFERROR(IF(INDEX(SK_D,MATCH(M650,SK_A,0))="",B650,INDEX(SK_D,MATCH(M650,SK_A,0))),B650),O650,HOLI),IFERROR(IF(INDEX(SK_D,MATCH(M650,SK_A,0))="",B650,INDEX(SK_D,MATCH(M650,SK_A,0))),B650)+O650),B650+O650))</f>
        <v/>
      </c>
      <c r="I650" s="13" t="n"/>
      <c r="J650" s="12" t="n"/>
      <c r="K650" s="11" t="n"/>
      <c r="L650" s="27">
        <f>IF(E650="","",IF(I650="Bỏ qua","—",IF(I650="Xong",IF(AND(ISNUMBER(J650),ISNUMBER(H650),J650&gt;H650),"Xong trễ","Xong"),IF(F650="","CHƯA GIAO","")&amp;IF(NOT(ISNUMBER(H650)),"",IF(TODAY()&gt;H650,IF(F650=""," · ","")&amp;"QUÁ HẠN "&amp;(TODAY()-H650)&amp;" ngày",IF(H650-TODAY()&lt;=3,IF(F650=""," · ","")&amp;"Đến hạn "&amp;IF(H650=TODAY(),"hôm nay","trong "&amp;(H650-TODAY())&amp;" ngày"),""))))))</f>
        <v/>
      </c>
      <c r="Q650">
        <f>IF(AND(E650&lt;&gt;"",R650="Có",I650&lt;&gt;"Xong",I650&lt;&gt;"Bỏ qua",ISNUMBER(H650)),H650+ROW()/100000,"")</f>
        <v/>
      </c>
      <c r="R650">
        <f>IF(M650="","",IFERROR(INDEX(SK_L,MATCH(M650,SK_A,0)),""))</f>
        <v/>
      </c>
    </row>
    <row r="651">
      <c r="A651" s="11">
        <f>IF(M651="","",IFERROR(INDEX(SK_B,MATCH(M651,SK_A,0))&amp;"",""))</f>
        <v/>
      </c>
      <c r="B651" s="24">
        <f>IF(M651="","",IFERROR(INDEX(SK_C,MATCH(M651,SK_A,0)),""))</f>
        <v/>
      </c>
      <c r="C651" s="25">
        <f>IF(O651="","",IF(O651=0,"D",IF(O651&lt;0,"D"&amp;O651,"D+"&amp;O651)))</f>
        <v/>
      </c>
      <c r="D651" s="13" t="n"/>
      <c r="E651" s="11" t="n"/>
      <c r="F651" s="26" t="n"/>
      <c r="G651" s="13" t="n"/>
      <c r="H651" s="12">
        <f>IF(OR(B651="",O651=""),"",IF(O651&gt;0,IF(P651="Làm việc",WORKDAY(IFERROR(IF(INDEX(SK_D,MATCH(M651,SK_A,0))="",B651,INDEX(SK_D,MATCH(M651,SK_A,0))),B651),O651,HOLI),IFERROR(IF(INDEX(SK_D,MATCH(M651,SK_A,0))="",B651,INDEX(SK_D,MATCH(M651,SK_A,0))),B651)+O651),B651+O651))</f>
        <v/>
      </c>
      <c r="I651" s="13" t="n"/>
      <c r="J651" s="12" t="n"/>
      <c r="K651" s="11" t="n"/>
      <c r="L651" s="27">
        <f>IF(E651="","",IF(I651="Bỏ qua","—",IF(I651="Xong",IF(AND(ISNUMBER(J651),ISNUMBER(H651),J651&gt;H651),"Xong trễ","Xong"),IF(F651="","CHƯA GIAO","")&amp;IF(NOT(ISNUMBER(H651)),"",IF(TODAY()&gt;H651,IF(F651=""," · ","")&amp;"QUÁ HẠN "&amp;(TODAY()-H651)&amp;" ngày",IF(H651-TODAY()&lt;=3,IF(F651=""," · ","")&amp;"Đến hạn "&amp;IF(H651=TODAY(),"hôm nay","trong "&amp;(H651-TODAY())&amp;" ngày"),""))))))</f>
        <v/>
      </c>
      <c r="Q651">
        <f>IF(AND(E651&lt;&gt;"",R651="Có",I651&lt;&gt;"Xong",I651&lt;&gt;"Bỏ qua",ISNUMBER(H651)),H651+ROW()/100000,"")</f>
        <v/>
      </c>
      <c r="R651">
        <f>IF(M651="","",IFERROR(INDEX(SK_L,MATCH(M651,SK_A,0)),""))</f>
        <v/>
      </c>
    </row>
    <row r="652">
      <c r="A652" s="11">
        <f>IF(M652="","",IFERROR(INDEX(SK_B,MATCH(M652,SK_A,0))&amp;"",""))</f>
        <v/>
      </c>
      <c r="B652" s="24">
        <f>IF(M652="","",IFERROR(INDEX(SK_C,MATCH(M652,SK_A,0)),""))</f>
        <v/>
      </c>
      <c r="C652" s="25">
        <f>IF(O652="","",IF(O652=0,"D",IF(O652&lt;0,"D"&amp;O652,"D+"&amp;O652)))</f>
        <v/>
      </c>
      <c r="D652" s="13" t="n"/>
      <c r="E652" s="11" t="n"/>
      <c r="F652" s="26" t="n"/>
      <c r="G652" s="13" t="n"/>
      <c r="H652" s="12">
        <f>IF(OR(B652="",O652=""),"",IF(O652&gt;0,IF(P652="Làm việc",WORKDAY(IFERROR(IF(INDEX(SK_D,MATCH(M652,SK_A,0))="",B652,INDEX(SK_D,MATCH(M652,SK_A,0))),B652),O652,HOLI),IFERROR(IF(INDEX(SK_D,MATCH(M652,SK_A,0))="",B652,INDEX(SK_D,MATCH(M652,SK_A,0))),B652)+O652),B652+O652))</f>
        <v/>
      </c>
      <c r="I652" s="13" t="n"/>
      <c r="J652" s="12" t="n"/>
      <c r="K652" s="11" t="n"/>
      <c r="L652" s="27">
        <f>IF(E652="","",IF(I652="Bỏ qua","—",IF(I652="Xong",IF(AND(ISNUMBER(J652),ISNUMBER(H652),J652&gt;H652),"Xong trễ","Xong"),IF(F652="","CHƯA GIAO","")&amp;IF(NOT(ISNUMBER(H652)),"",IF(TODAY()&gt;H652,IF(F652=""," · ","")&amp;"QUÁ HẠN "&amp;(TODAY()-H652)&amp;" ngày",IF(H652-TODAY()&lt;=3,IF(F652=""," · ","")&amp;"Đến hạn "&amp;IF(H652=TODAY(),"hôm nay","trong "&amp;(H652-TODAY())&amp;" ngày"),""))))))</f>
        <v/>
      </c>
      <c r="Q652">
        <f>IF(AND(E652&lt;&gt;"",R652="Có",I652&lt;&gt;"Xong",I652&lt;&gt;"Bỏ qua",ISNUMBER(H652)),H652+ROW()/100000,"")</f>
        <v/>
      </c>
      <c r="R652">
        <f>IF(M652="","",IFERROR(INDEX(SK_L,MATCH(M652,SK_A,0)),""))</f>
        <v/>
      </c>
    </row>
    <row r="653">
      <c r="A653" s="11">
        <f>IF(M653="","",IFERROR(INDEX(SK_B,MATCH(M653,SK_A,0))&amp;"",""))</f>
        <v/>
      </c>
      <c r="B653" s="24">
        <f>IF(M653="","",IFERROR(INDEX(SK_C,MATCH(M653,SK_A,0)),""))</f>
        <v/>
      </c>
      <c r="C653" s="25">
        <f>IF(O653="","",IF(O653=0,"D",IF(O653&lt;0,"D"&amp;O653,"D+"&amp;O653)))</f>
        <v/>
      </c>
      <c r="D653" s="13" t="n"/>
      <c r="E653" s="11" t="n"/>
      <c r="F653" s="26" t="n"/>
      <c r="G653" s="13" t="n"/>
      <c r="H653" s="12">
        <f>IF(OR(B653="",O653=""),"",IF(O653&gt;0,IF(P653="Làm việc",WORKDAY(IFERROR(IF(INDEX(SK_D,MATCH(M653,SK_A,0))="",B653,INDEX(SK_D,MATCH(M653,SK_A,0))),B653),O653,HOLI),IFERROR(IF(INDEX(SK_D,MATCH(M653,SK_A,0))="",B653,INDEX(SK_D,MATCH(M653,SK_A,0))),B653)+O653),B653+O653))</f>
        <v/>
      </c>
      <c r="I653" s="13" t="n"/>
      <c r="J653" s="12" t="n"/>
      <c r="K653" s="11" t="n"/>
      <c r="L653" s="27">
        <f>IF(E653="","",IF(I653="Bỏ qua","—",IF(I653="Xong",IF(AND(ISNUMBER(J653),ISNUMBER(H653),J653&gt;H653),"Xong trễ","Xong"),IF(F653="","CHƯA GIAO","")&amp;IF(NOT(ISNUMBER(H653)),"",IF(TODAY()&gt;H653,IF(F653=""," · ","")&amp;"QUÁ HẠN "&amp;(TODAY()-H653)&amp;" ngày",IF(H653-TODAY()&lt;=3,IF(F653=""," · ","")&amp;"Đến hạn "&amp;IF(H653=TODAY(),"hôm nay","trong "&amp;(H653-TODAY())&amp;" ngày"),""))))))</f>
        <v/>
      </c>
      <c r="Q653">
        <f>IF(AND(E653&lt;&gt;"",R653="Có",I653&lt;&gt;"Xong",I653&lt;&gt;"Bỏ qua",ISNUMBER(H653)),H653+ROW()/100000,"")</f>
        <v/>
      </c>
      <c r="R653">
        <f>IF(M653="","",IFERROR(INDEX(SK_L,MATCH(M653,SK_A,0)),""))</f>
        <v/>
      </c>
    </row>
    <row r="654">
      <c r="A654" s="11">
        <f>IF(M654="","",IFERROR(INDEX(SK_B,MATCH(M654,SK_A,0))&amp;"",""))</f>
        <v/>
      </c>
      <c r="B654" s="24">
        <f>IF(M654="","",IFERROR(INDEX(SK_C,MATCH(M654,SK_A,0)),""))</f>
        <v/>
      </c>
      <c r="C654" s="25">
        <f>IF(O654="","",IF(O654=0,"D",IF(O654&lt;0,"D"&amp;O654,"D+"&amp;O654)))</f>
        <v/>
      </c>
      <c r="D654" s="13" t="n"/>
      <c r="E654" s="11" t="n"/>
      <c r="F654" s="26" t="n"/>
      <c r="G654" s="13" t="n"/>
      <c r="H654" s="12">
        <f>IF(OR(B654="",O654=""),"",IF(O654&gt;0,IF(P654="Làm việc",WORKDAY(IFERROR(IF(INDEX(SK_D,MATCH(M654,SK_A,0))="",B654,INDEX(SK_D,MATCH(M654,SK_A,0))),B654),O654,HOLI),IFERROR(IF(INDEX(SK_D,MATCH(M654,SK_A,0))="",B654,INDEX(SK_D,MATCH(M654,SK_A,0))),B654)+O654),B654+O654))</f>
        <v/>
      </c>
      <c r="I654" s="13" t="n"/>
      <c r="J654" s="12" t="n"/>
      <c r="K654" s="11" t="n"/>
      <c r="L654" s="27">
        <f>IF(E654="","",IF(I654="Bỏ qua","—",IF(I654="Xong",IF(AND(ISNUMBER(J654),ISNUMBER(H654),J654&gt;H654),"Xong trễ","Xong"),IF(F654="","CHƯA GIAO","")&amp;IF(NOT(ISNUMBER(H654)),"",IF(TODAY()&gt;H654,IF(F654=""," · ","")&amp;"QUÁ HẠN "&amp;(TODAY()-H654)&amp;" ngày",IF(H654-TODAY()&lt;=3,IF(F654=""," · ","")&amp;"Đến hạn "&amp;IF(H654=TODAY(),"hôm nay","trong "&amp;(H654-TODAY())&amp;" ngày"),""))))))</f>
        <v/>
      </c>
      <c r="Q654">
        <f>IF(AND(E654&lt;&gt;"",R654="Có",I654&lt;&gt;"Xong",I654&lt;&gt;"Bỏ qua",ISNUMBER(H654)),H654+ROW()/100000,"")</f>
        <v/>
      </c>
      <c r="R654">
        <f>IF(M654="","",IFERROR(INDEX(SK_L,MATCH(M654,SK_A,0)),""))</f>
        <v/>
      </c>
    </row>
    <row r="655">
      <c r="A655" s="11">
        <f>IF(M655="","",IFERROR(INDEX(SK_B,MATCH(M655,SK_A,0))&amp;"",""))</f>
        <v/>
      </c>
      <c r="B655" s="24">
        <f>IF(M655="","",IFERROR(INDEX(SK_C,MATCH(M655,SK_A,0)),""))</f>
        <v/>
      </c>
      <c r="C655" s="25">
        <f>IF(O655="","",IF(O655=0,"D",IF(O655&lt;0,"D"&amp;O655,"D+"&amp;O655)))</f>
        <v/>
      </c>
      <c r="D655" s="13" t="n"/>
      <c r="E655" s="11" t="n"/>
      <c r="F655" s="26" t="n"/>
      <c r="G655" s="13" t="n"/>
      <c r="H655" s="12">
        <f>IF(OR(B655="",O655=""),"",IF(O655&gt;0,IF(P655="Làm việc",WORKDAY(IFERROR(IF(INDEX(SK_D,MATCH(M655,SK_A,0))="",B655,INDEX(SK_D,MATCH(M655,SK_A,0))),B655),O655,HOLI),IFERROR(IF(INDEX(SK_D,MATCH(M655,SK_A,0))="",B655,INDEX(SK_D,MATCH(M655,SK_A,0))),B655)+O655),B655+O655))</f>
        <v/>
      </c>
      <c r="I655" s="13" t="n"/>
      <c r="J655" s="12" t="n"/>
      <c r="K655" s="11" t="n"/>
      <c r="L655" s="27">
        <f>IF(E655="","",IF(I655="Bỏ qua","—",IF(I655="Xong",IF(AND(ISNUMBER(J655),ISNUMBER(H655),J655&gt;H655),"Xong trễ","Xong"),IF(F655="","CHƯA GIAO","")&amp;IF(NOT(ISNUMBER(H655)),"",IF(TODAY()&gt;H655,IF(F655=""," · ","")&amp;"QUÁ HẠN "&amp;(TODAY()-H655)&amp;" ngày",IF(H655-TODAY()&lt;=3,IF(F655=""," · ","")&amp;"Đến hạn "&amp;IF(H655=TODAY(),"hôm nay","trong "&amp;(H655-TODAY())&amp;" ngày"),""))))))</f>
        <v/>
      </c>
      <c r="Q655">
        <f>IF(AND(E655&lt;&gt;"",R655="Có",I655&lt;&gt;"Xong",I655&lt;&gt;"Bỏ qua",ISNUMBER(H655)),H655+ROW()/100000,"")</f>
        <v/>
      </c>
      <c r="R655">
        <f>IF(M655="","",IFERROR(INDEX(SK_L,MATCH(M655,SK_A,0)),""))</f>
        <v/>
      </c>
    </row>
    <row r="656">
      <c r="A656" s="11">
        <f>IF(M656="","",IFERROR(INDEX(SK_B,MATCH(M656,SK_A,0))&amp;"",""))</f>
        <v/>
      </c>
      <c r="B656" s="24">
        <f>IF(M656="","",IFERROR(INDEX(SK_C,MATCH(M656,SK_A,0)),""))</f>
        <v/>
      </c>
      <c r="C656" s="25">
        <f>IF(O656="","",IF(O656=0,"D",IF(O656&lt;0,"D"&amp;O656,"D+"&amp;O656)))</f>
        <v/>
      </c>
      <c r="D656" s="13" t="n"/>
      <c r="E656" s="11" t="n"/>
      <c r="F656" s="26" t="n"/>
      <c r="G656" s="13" t="n"/>
      <c r="H656" s="12">
        <f>IF(OR(B656="",O656=""),"",IF(O656&gt;0,IF(P656="Làm việc",WORKDAY(IFERROR(IF(INDEX(SK_D,MATCH(M656,SK_A,0))="",B656,INDEX(SK_D,MATCH(M656,SK_A,0))),B656),O656,HOLI),IFERROR(IF(INDEX(SK_D,MATCH(M656,SK_A,0))="",B656,INDEX(SK_D,MATCH(M656,SK_A,0))),B656)+O656),B656+O656))</f>
        <v/>
      </c>
      <c r="I656" s="13" t="n"/>
      <c r="J656" s="12" t="n"/>
      <c r="K656" s="11" t="n"/>
      <c r="L656" s="27">
        <f>IF(E656="","",IF(I656="Bỏ qua","—",IF(I656="Xong",IF(AND(ISNUMBER(J656),ISNUMBER(H656),J656&gt;H656),"Xong trễ","Xong"),IF(F656="","CHƯA GIAO","")&amp;IF(NOT(ISNUMBER(H656)),"",IF(TODAY()&gt;H656,IF(F656=""," · ","")&amp;"QUÁ HẠN "&amp;(TODAY()-H656)&amp;" ngày",IF(H656-TODAY()&lt;=3,IF(F656=""," · ","")&amp;"Đến hạn "&amp;IF(H656=TODAY(),"hôm nay","trong "&amp;(H656-TODAY())&amp;" ngày"),""))))))</f>
        <v/>
      </c>
      <c r="Q656">
        <f>IF(AND(E656&lt;&gt;"",R656="Có",I656&lt;&gt;"Xong",I656&lt;&gt;"Bỏ qua",ISNUMBER(H656)),H656+ROW()/100000,"")</f>
        <v/>
      </c>
      <c r="R656">
        <f>IF(M656="","",IFERROR(INDEX(SK_L,MATCH(M656,SK_A,0)),""))</f>
        <v/>
      </c>
    </row>
    <row r="657">
      <c r="A657" s="11">
        <f>IF(M657="","",IFERROR(INDEX(SK_B,MATCH(M657,SK_A,0))&amp;"",""))</f>
        <v/>
      </c>
      <c r="B657" s="24">
        <f>IF(M657="","",IFERROR(INDEX(SK_C,MATCH(M657,SK_A,0)),""))</f>
        <v/>
      </c>
      <c r="C657" s="25">
        <f>IF(O657="","",IF(O657=0,"D",IF(O657&lt;0,"D"&amp;O657,"D+"&amp;O657)))</f>
        <v/>
      </c>
      <c r="D657" s="13" t="n"/>
      <c r="E657" s="11" t="n"/>
      <c r="F657" s="26" t="n"/>
      <c r="G657" s="13" t="n"/>
      <c r="H657" s="12">
        <f>IF(OR(B657="",O657=""),"",IF(O657&gt;0,IF(P657="Làm việc",WORKDAY(IFERROR(IF(INDEX(SK_D,MATCH(M657,SK_A,0))="",B657,INDEX(SK_D,MATCH(M657,SK_A,0))),B657),O657,HOLI),IFERROR(IF(INDEX(SK_D,MATCH(M657,SK_A,0))="",B657,INDEX(SK_D,MATCH(M657,SK_A,0))),B657)+O657),B657+O657))</f>
        <v/>
      </c>
      <c r="I657" s="13" t="n"/>
      <c r="J657" s="12" t="n"/>
      <c r="K657" s="11" t="n"/>
      <c r="L657" s="27">
        <f>IF(E657="","",IF(I657="Bỏ qua","—",IF(I657="Xong",IF(AND(ISNUMBER(J657),ISNUMBER(H657),J657&gt;H657),"Xong trễ","Xong"),IF(F657="","CHƯA GIAO","")&amp;IF(NOT(ISNUMBER(H657)),"",IF(TODAY()&gt;H657,IF(F657=""," · ","")&amp;"QUÁ HẠN "&amp;(TODAY()-H657)&amp;" ngày",IF(H657-TODAY()&lt;=3,IF(F657=""," · ","")&amp;"Đến hạn "&amp;IF(H657=TODAY(),"hôm nay","trong "&amp;(H657-TODAY())&amp;" ngày"),""))))))</f>
        <v/>
      </c>
      <c r="Q657">
        <f>IF(AND(E657&lt;&gt;"",R657="Có",I657&lt;&gt;"Xong",I657&lt;&gt;"Bỏ qua",ISNUMBER(H657)),H657+ROW()/100000,"")</f>
        <v/>
      </c>
      <c r="R657">
        <f>IF(M657="","",IFERROR(INDEX(SK_L,MATCH(M657,SK_A,0)),""))</f>
        <v/>
      </c>
    </row>
    <row r="658">
      <c r="A658" s="11">
        <f>IF(M658="","",IFERROR(INDEX(SK_B,MATCH(M658,SK_A,0))&amp;"",""))</f>
        <v/>
      </c>
      <c r="B658" s="24">
        <f>IF(M658="","",IFERROR(INDEX(SK_C,MATCH(M658,SK_A,0)),""))</f>
        <v/>
      </c>
      <c r="C658" s="25">
        <f>IF(O658="","",IF(O658=0,"D",IF(O658&lt;0,"D"&amp;O658,"D+"&amp;O658)))</f>
        <v/>
      </c>
      <c r="D658" s="13" t="n"/>
      <c r="E658" s="11" t="n"/>
      <c r="F658" s="26" t="n"/>
      <c r="G658" s="13" t="n"/>
      <c r="H658" s="12">
        <f>IF(OR(B658="",O658=""),"",IF(O658&gt;0,IF(P658="Làm việc",WORKDAY(IFERROR(IF(INDEX(SK_D,MATCH(M658,SK_A,0))="",B658,INDEX(SK_D,MATCH(M658,SK_A,0))),B658),O658,HOLI),IFERROR(IF(INDEX(SK_D,MATCH(M658,SK_A,0))="",B658,INDEX(SK_D,MATCH(M658,SK_A,0))),B658)+O658),B658+O658))</f>
        <v/>
      </c>
      <c r="I658" s="13" t="n"/>
      <c r="J658" s="12" t="n"/>
      <c r="K658" s="11" t="n"/>
      <c r="L658" s="27">
        <f>IF(E658="","",IF(I658="Bỏ qua","—",IF(I658="Xong",IF(AND(ISNUMBER(J658),ISNUMBER(H658),J658&gt;H658),"Xong trễ","Xong"),IF(F658="","CHƯA GIAO","")&amp;IF(NOT(ISNUMBER(H658)),"",IF(TODAY()&gt;H658,IF(F658=""," · ","")&amp;"QUÁ HẠN "&amp;(TODAY()-H658)&amp;" ngày",IF(H658-TODAY()&lt;=3,IF(F658=""," · ","")&amp;"Đến hạn "&amp;IF(H658=TODAY(),"hôm nay","trong "&amp;(H658-TODAY())&amp;" ngày"),""))))))</f>
        <v/>
      </c>
      <c r="Q658">
        <f>IF(AND(E658&lt;&gt;"",R658="Có",I658&lt;&gt;"Xong",I658&lt;&gt;"Bỏ qua",ISNUMBER(H658)),H658+ROW()/100000,"")</f>
        <v/>
      </c>
      <c r="R658">
        <f>IF(M658="","",IFERROR(INDEX(SK_L,MATCH(M658,SK_A,0)),""))</f>
        <v/>
      </c>
    </row>
    <row r="659">
      <c r="A659" s="11">
        <f>IF(M659="","",IFERROR(INDEX(SK_B,MATCH(M659,SK_A,0))&amp;"",""))</f>
        <v/>
      </c>
      <c r="B659" s="24">
        <f>IF(M659="","",IFERROR(INDEX(SK_C,MATCH(M659,SK_A,0)),""))</f>
        <v/>
      </c>
      <c r="C659" s="25">
        <f>IF(O659="","",IF(O659=0,"D",IF(O659&lt;0,"D"&amp;O659,"D+"&amp;O659)))</f>
        <v/>
      </c>
      <c r="D659" s="13" t="n"/>
      <c r="E659" s="11" t="n"/>
      <c r="F659" s="26" t="n"/>
      <c r="G659" s="13" t="n"/>
      <c r="H659" s="12">
        <f>IF(OR(B659="",O659=""),"",IF(O659&gt;0,IF(P659="Làm việc",WORKDAY(IFERROR(IF(INDEX(SK_D,MATCH(M659,SK_A,0))="",B659,INDEX(SK_D,MATCH(M659,SK_A,0))),B659),O659,HOLI),IFERROR(IF(INDEX(SK_D,MATCH(M659,SK_A,0))="",B659,INDEX(SK_D,MATCH(M659,SK_A,0))),B659)+O659),B659+O659))</f>
        <v/>
      </c>
      <c r="I659" s="13" t="n"/>
      <c r="J659" s="12" t="n"/>
      <c r="K659" s="11" t="n"/>
      <c r="L659" s="27">
        <f>IF(E659="","",IF(I659="Bỏ qua","—",IF(I659="Xong",IF(AND(ISNUMBER(J659),ISNUMBER(H659),J659&gt;H659),"Xong trễ","Xong"),IF(F659="","CHƯA GIAO","")&amp;IF(NOT(ISNUMBER(H659)),"",IF(TODAY()&gt;H659,IF(F659=""," · ","")&amp;"QUÁ HẠN "&amp;(TODAY()-H659)&amp;" ngày",IF(H659-TODAY()&lt;=3,IF(F659=""," · ","")&amp;"Đến hạn "&amp;IF(H659=TODAY(),"hôm nay","trong "&amp;(H659-TODAY())&amp;" ngày"),""))))))</f>
        <v/>
      </c>
      <c r="Q659">
        <f>IF(AND(E659&lt;&gt;"",R659="Có",I659&lt;&gt;"Xong",I659&lt;&gt;"Bỏ qua",ISNUMBER(H659)),H659+ROW()/100000,"")</f>
        <v/>
      </c>
      <c r="R659">
        <f>IF(M659="","",IFERROR(INDEX(SK_L,MATCH(M659,SK_A,0)),""))</f>
        <v/>
      </c>
    </row>
    <row r="660">
      <c r="A660" s="11">
        <f>IF(M660="","",IFERROR(INDEX(SK_B,MATCH(M660,SK_A,0))&amp;"",""))</f>
        <v/>
      </c>
      <c r="B660" s="24">
        <f>IF(M660="","",IFERROR(INDEX(SK_C,MATCH(M660,SK_A,0)),""))</f>
        <v/>
      </c>
      <c r="C660" s="25">
        <f>IF(O660="","",IF(O660=0,"D",IF(O660&lt;0,"D"&amp;O660,"D+"&amp;O660)))</f>
        <v/>
      </c>
      <c r="D660" s="13" t="n"/>
      <c r="E660" s="11" t="n"/>
      <c r="F660" s="26" t="n"/>
      <c r="G660" s="13" t="n"/>
      <c r="H660" s="12">
        <f>IF(OR(B660="",O660=""),"",IF(O660&gt;0,IF(P660="Làm việc",WORKDAY(IFERROR(IF(INDEX(SK_D,MATCH(M660,SK_A,0))="",B660,INDEX(SK_D,MATCH(M660,SK_A,0))),B660),O660,HOLI),IFERROR(IF(INDEX(SK_D,MATCH(M660,SK_A,0))="",B660,INDEX(SK_D,MATCH(M660,SK_A,0))),B660)+O660),B660+O660))</f>
        <v/>
      </c>
      <c r="I660" s="13" t="n"/>
      <c r="J660" s="12" t="n"/>
      <c r="K660" s="11" t="n"/>
      <c r="L660" s="27">
        <f>IF(E660="","",IF(I660="Bỏ qua","—",IF(I660="Xong",IF(AND(ISNUMBER(J660),ISNUMBER(H660),J660&gt;H660),"Xong trễ","Xong"),IF(F660="","CHƯA GIAO","")&amp;IF(NOT(ISNUMBER(H660)),"",IF(TODAY()&gt;H660,IF(F660=""," · ","")&amp;"QUÁ HẠN "&amp;(TODAY()-H660)&amp;" ngày",IF(H660-TODAY()&lt;=3,IF(F660=""," · ","")&amp;"Đến hạn "&amp;IF(H660=TODAY(),"hôm nay","trong "&amp;(H660-TODAY())&amp;" ngày"),""))))))</f>
        <v/>
      </c>
      <c r="Q660">
        <f>IF(AND(E660&lt;&gt;"",R660="Có",I660&lt;&gt;"Xong",I660&lt;&gt;"Bỏ qua",ISNUMBER(H660)),H660+ROW()/100000,"")</f>
        <v/>
      </c>
      <c r="R660">
        <f>IF(M660="","",IFERROR(INDEX(SK_L,MATCH(M660,SK_A,0)),""))</f>
        <v/>
      </c>
    </row>
    <row r="661">
      <c r="A661" s="11">
        <f>IF(M661="","",IFERROR(INDEX(SK_B,MATCH(M661,SK_A,0))&amp;"",""))</f>
        <v/>
      </c>
      <c r="B661" s="24">
        <f>IF(M661="","",IFERROR(INDEX(SK_C,MATCH(M661,SK_A,0)),""))</f>
        <v/>
      </c>
      <c r="C661" s="25">
        <f>IF(O661="","",IF(O661=0,"D",IF(O661&lt;0,"D"&amp;O661,"D+"&amp;O661)))</f>
        <v/>
      </c>
      <c r="D661" s="13" t="n"/>
      <c r="E661" s="11" t="n"/>
      <c r="F661" s="26" t="n"/>
      <c r="G661" s="13" t="n"/>
      <c r="H661" s="12">
        <f>IF(OR(B661="",O661=""),"",IF(O661&gt;0,IF(P661="Làm việc",WORKDAY(IFERROR(IF(INDEX(SK_D,MATCH(M661,SK_A,0))="",B661,INDEX(SK_D,MATCH(M661,SK_A,0))),B661),O661,HOLI),IFERROR(IF(INDEX(SK_D,MATCH(M661,SK_A,0))="",B661,INDEX(SK_D,MATCH(M661,SK_A,0))),B661)+O661),B661+O661))</f>
        <v/>
      </c>
      <c r="I661" s="13" t="n"/>
      <c r="J661" s="12" t="n"/>
      <c r="K661" s="11" t="n"/>
      <c r="L661" s="27">
        <f>IF(E661="","",IF(I661="Bỏ qua","—",IF(I661="Xong",IF(AND(ISNUMBER(J661),ISNUMBER(H661),J661&gt;H661),"Xong trễ","Xong"),IF(F661="","CHƯA GIAO","")&amp;IF(NOT(ISNUMBER(H661)),"",IF(TODAY()&gt;H661,IF(F661=""," · ","")&amp;"QUÁ HẠN "&amp;(TODAY()-H661)&amp;" ngày",IF(H661-TODAY()&lt;=3,IF(F661=""," · ","")&amp;"Đến hạn "&amp;IF(H661=TODAY(),"hôm nay","trong "&amp;(H661-TODAY())&amp;" ngày"),""))))))</f>
        <v/>
      </c>
      <c r="Q661">
        <f>IF(AND(E661&lt;&gt;"",R661="Có",I661&lt;&gt;"Xong",I661&lt;&gt;"Bỏ qua",ISNUMBER(H661)),H661+ROW()/100000,"")</f>
        <v/>
      </c>
      <c r="R661">
        <f>IF(M661="","",IFERROR(INDEX(SK_L,MATCH(M661,SK_A,0)),""))</f>
        <v/>
      </c>
    </row>
    <row r="662">
      <c r="A662" s="11">
        <f>IF(M662="","",IFERROR(INDEX(SK_B,MATCH(M662,SK_A,0))&amp;"",""))</f>
        <v/>
      </c>
      <c r="B662" s="24">
        <f>IF(M662="","",IFERROR(INDEX(SK_C,MATCH(M662,SK_A,0)),""))</f>
        <v/>
      </c>
      <c r="C662" s="25">
        <f>IF(O662="","",IF(O662=0,"D",IF(O662&lt;0,"D"&amp;O662,"D+"&amp;O662)))</f>
        <v/>
      </c>
      <c r="D662" s="13" t="n"/>
      <c r="E662" s="11" t="n"/>
      <c r="F662" s="26" t="n"/>
      <c r="G662" s="13" t="n"/>
      <c r="H662" s="12">
        <f>IF(OR(B662="",O662=""),"",IF(O662&gt;0,IF(P662="Làm việc",WORKDAY(IFERROR(IF(INDEX(SK_D,MATCH(M662,SK_A,0))="",B662,INDEX(SK_D,MATCH(M662,SK_A,0))),B662),O662,HOLI),IFERROR(IF(INDEX(SK_D,MATCH(M662,SK_A,0))="",B662,INDEX(SK_D,MATCH(M662,SK_A,0))),B662)+O662),B662+O662))</f>
        <v/>
      </c>
      <c r="I662" s="13" t="n"/>
      <c r="J662" s="12" t="n"/>
      <c r="K662" s="11" t="n"/>
      <c r="L662" s="27">
        <f>IF(E662="","",IF(I662="Bỏ qua","—",IF(I662="Xong",IF(AND(ISNUMBER(J662),ISNUMBER(H662),J662&gt;H662),"Xong trễ","Xong"),IF(F662="","CHƯA GIAO","")&amp;IF(NOT(ISNUMBER(H662)),"",IF(TODAY()&gt;H662,IF(F662=""," · ","")&amp;"QUÁ HẠN "&amp;(TODAY()-H662)&amp;" ngày",IF(H662-TODAY()&lt;=3,IF(F662=""," · ","")&amp;"Đến hạn "&amp;IF(H662=TODAY(),"hôm nay","trong "&amp;(H662-TODAY())&amp;" ngày"),""))))))</f>
        <v/>
      </c>
      <c r="Q662">
        <f>IF(AND(E662&lt;&gt;"",R662="Có",I662&lt;&gt;"Xong",I662&lt;&gt;"Bỏ qua",ISNUMBER(H662)),H662+ROW()/100000,"")</f>
        <v/>
      </c>
      <c r="R662">
        <f>IF(M662="","",IFERROR(INDEX(SK_L,MATCH(M662,SK_A,0)),""))</f>
        <v/>
      </c>
    </row>
    <row r="663">
      <c r="A663" s="11">
        <f>IF(M663="","",IFERROR(INDEX(SK_B,MATCH(M663,SK_A,0))&amp;"",""))</f>
        <v/>
      </c>
      <c r="B663" s="24">
        <f>IF(M663="","",IFERROR(INDEX(SK_C,MATCH(M663,SK_A,0)),""))</f>
        <v/>
      </c>
      <c r="C663" s="25">
        <f>IF(O663="","",IF(O663=0,"D",IF(O663&lt;0,"D"&amp;O663,"D+"&amp;O663)))</f>
        <v/>
      </c>
      <c r="D663" s="13" t="n"/>
      <c r="E663" s="11" t="n"/>
      <c r="F663" s="26" t="n"/>
      <c r="G663" s="13" t="n"/>
      <c r="H663" s="12">
        <f>IF(OR(B663="",O663=""),"",IF(O663&gt;0,IF(P663="Làm việc",WORKDAY(IFERROR(IF(INDEX(SK_D,MATCH(M663,SK_A,0))="",B663,INDEX(SK_D,MATCH(M663,SK_A,0))),B663),O663,HOLI),IFERROR(IF(INDEX(SK_D,MATCH(M663,SK_A,0))="",B663,INDEX(SK_D,MATCH(M663,SK_A,0))),B663)+O663),B663+O663))</f>
        <v/>
      </c>
      <c r="I663" s="13" t="n"/>
      <c r="J663" s="12" t="n"/>
      <c r="K663" s="11" t="n"/>
      <c r="L663" s="27">
        <f>IF(E663="","",IF(I663="Bỏ qua","—",IF(I663="Xong",IF(AND(ISNUMBER(J663),ISNUMBER(H663),J663&gt;H663),"Xong trễ","Xong"),IF(F663="","CHƯA GIAO","")&amp;IF(NOT(ISNUMBER(H663)),"",IF(TODAY()&gt;H663,IF(F663=""," · ","")&amp;"QUÁ HẠN "&amp;(TODAY()-H663)&amp;" ngày",IF(H663-TODAY()&lt;=3,IF(F663=""," · ","")&amp;"Đến hạn "&amp;IF(H663=TODAY(),"hôm nay","trong "&amp;(H663-TODAY())&amp;" ngày"),""))))))</f>
        <v/>
      </c>
      <c r="Q663">
        <f>IF(AND(E663&lt;&gt;"",R663="Có",I663&lt;&gt;"Xong",I663&lt;&gt;"Bỏ qua",ISNUMBER(H663)),H663+ROW()/100000,"")</f>
        <v/>
      </c>
      <c r="R663">
        <f>IF(M663="","",IFERROR(INDEX(SK_L,MATCH(M663,SK_A,0)),""))</f>
        <v/>
      </c>
    </row>
    <row r="664">
      <c r="A664" s="11">
        <f>IF(M664="","",IFERROR(INDEX(SK_B,MATCH(M664,SK_A,0))&amp;"",""))</f>
        <v/>
      </c>
      <c r="B664" s="24">
        <f>IF(M664="","",IFERROR(INDEX(SK_C,MATCH(M664,SK_A,0)),""))</f>
        <v/>
      </c>
      <c r="C664" s="25">
        <f>IF(O664="","",IF(O664=0,"D",IF(O664&lt;0,"D"&amp;O664,"D+"&amp;O664)))</f>
        <v/>
      </c>
      <c r="D664" s="13" t="n"/>
      <c r="E664" s="11" t="n"/>
      <c r="F664" s="26" t="n"/>
      <c r="G664" s="13" t="n"/>
      <c r="H664" s="12">
        <f>IF(OR(B664="",O664=""),"",IF(O664&gt;0,IF(P664="Làm việc",WORKDAY(IFERROR(IF(INDEX(SK_D,MATCH(M664,SK_A,0))="",B664,INDEX(SK_D,MATCH(M664,SK_A,0))),B664),O664,HOLI),IFERROR(IF(INDEX(SK_D,MATCH(M664,SK_A,0))="",B664,INDEX(SK_D,MATCH(M664,SK_A,0))),B664)+O664),B664+O664))</f>
        <v/>
      </c>
      <c r="I664" s="13" t="n"/>
      <c r="J664" s="12" t="n"/>
      <c r="K664" s="11" t="n"/>
      <c r="L664" s="27">
        <f>IF(E664="","",IF(I664="Bỏ qua","—",IF(I664="Xong",IF(AND(ISNUMBER(J664),ISNUMBER(H664),J664&gt;H664),"Xong trễ","Xong"),IF(F664="","CHƯA GIAO","")&amp;IF(NOT(ISNUMBER(H664)),"",IF(TODAY()&gt;H664,IF(F664=""," · ","")&amp;"QUÁ HẠN "&amp;(TODAY()-H664)&amp;" ngày",IF(H664-TODAY()&lt;=3,IF(F664=""," · ","")&amp;"Đến hạn "&amp;IF(H664=TODAY(),"hôm nay","trong "&amp;(H664-TODAY())&amp;" ngày"),""))))))</f>
        <v/>
      </c>
      <c r="Q664">
        <f>IF(AND(E664&lt;&gt;"",R664="Có",I664&lt;&gt;"Xong",I664&lt;&gt;"Bỏ qua",ISNUMBER(H664)),H664+ROW()/100000,"")</f>
        <v/>
      </c>
      <c r="R664">
        <f>IF(M664="","",IFERROR(INDEX(SK_L,MATCH(M664,SK_A,0)),""))</f>
        <v/>
      </c>
    </row>
    <row r="665">
      <c r="A665" s="11">
        <f>IF(M665="","",IFERROR(INDEX(SK_B,MATCH(M665,SK_A,0))&amp;"",""))</f>
        <v/>
      </c>
      <c r="B665" s="24">
        <f>IF(M665="","",IFERROR(INDEX(SK_C,MATCH(M665,SK_A,0)),""))</f>
        <v/>
      </c>
      <c r="C665" s="25">
        <f>IF(O665="","",IF(O665=0,"D",IF(O665&lt;0,"D"&amp;O665,"D+"&amp;O665)))</f>
        <v/>
      </c>
      <c r="D665" s="13" t="n"/>
      <c r="E665" s="11" t="n"/>
      <c r="F665" s="26" t="n"/>
      <c r="G665" s="13" t="n"/>
      <c r="H665" s="12">
        <f>IF(OR(B665="",O665=""),"",IF(O665&gt;0,IF(P665="Làm việc",WORKDAY(IFERROR(IF(INDEX(SK_D,MATCH(M665,SK_A,0))="",B665,INDEX(SK_D,MATCH(M665,SK_A,0))),B665),O665,HOLI),IFERROR(IF(INDEX(SK_D,MATCH(M665,SK_A,0))="",B665,INDEX(SK_D,MATCH(M665,SK_A,0))),B665)+O665),B665+O665))</f>
        <v/>
      </c>
      <c r="I665" s="13" t="n"/>
      <c r="J665" s="12" t="n"/>
      <c r="K665" s="11" t="n"/>
      <c r="L665" s="27">
        <f>IF(E665="","",IF(I665="Bỏ qua","—",IF(I665="Xong",IF(AND(ISNUMBER(J665),ISNUMBER(H665),J665&gt;H665),"Xong trễ","Xong"),IF(F665="","CHƯA GIAO","")&amp;IF(NOT(ISNUMBER(H665)),"",IF(TODAY()&gt;H665,IF(F665=""," · ","")&amp;"QUÁ HẠN "&amp;(TODAY()-H665)&amp;" ngày",IF(H665-TODAY()&lt;=3,IF(F665=""," · ","")&amp;"Đến hạn "&amp;IF(H665=TODAY(),"hôm nay","trong "&amp;(H665-TODAY())&amp;" ngày"),""))))))</f>
        <v/>
      </c>
      <c r="Q665">
        <f>IF(AND(E665&lt;&gt;"",R665="Có",I665&lt;&gt;"Xong",I665&lt;&gt;"Bỏ qua",ISNUMBER(H665)),H665+ROW()/100000,"")</f>
        <v/>
      </c>
      <c r="R665">
        <f>IF(M665="","",IFERROR(INDEX(SK_L,MATCH(M665,SK_A,0)),""))</f>
        <v/>
      </c>
    </row>
    <row r="666">
      <c r="A666" s="11">
        <f>IF(M666="","",IFERROR(INDEX(SK_B,MATCH(M666,SK_A,0))&amp;"",""))</f>
        <v/>
      </c>
      <c r="B666" s="24">
        <f>IF(M666="","",IFERROR(INDEX(SK_C,MATCH(M666,SK_A,0)),""))</f>
        <v/>
      </c>
      <c r="C666" s="25">
        <f>IF(O666="","",IF(O666=0,"D",IF(O666&lt;0,"D"&amp;O666,"D+"&amp;O666)))</f>
        <v/>
      </c>
      <c r="D666" s="13" t="n"/>
      <c r="E666" s="11" t="n"/>
      <c r="F666" s="26" t="n"/>
      <c r="G666" s="13" t="n"/>
      <c r="H666" s="12">
        <f>IF(OR(B666="",O666=""),"",IF(O666&gt;0,IF(P666="Làm việc",WORKDAY(IFERROR(IF(INDEX(SK_D,MATCH(M666,SK_A,0))="",B666,INDEX(SK_D,MATCH(M666,SK_A,0))),B666),O666,HOLI),IFERROR(IF(INDEX(SK_D,MATCH(M666,SK_A,0))="",B666,INDEX(SK_D,MATCH(M666,SK_A,0))),B666)+O666),B666+O666))</f>
        <v/>
      </c>
      <c r="I666" s="13" t="n"/>
      <c r="J666" s="12" t="n"/>
      <c r="K666" s="11" t="n"/>
      <c r="L666" s="27">
        <f>IF(E666="","",IF(I666="Bỏ qua","—",IF(I666="Xong",IF(AND(ISNUMBER(J666),ISNUMBER(H666),J666&gt;H666),"Xong trễ","Xong"),IF(F666="","CHƯA GIAO","")&amp;IF(NOT(ISNUMBER(H666)),"",IF(TODAY()&gt;H666,IF(F666=""," · ","")&amp;"QUÁ HẠN "&amp;(TODAY()-H666)&amp;" ngày",IF(H666-TODAY()&lt;=3,IF(F666=""," · ","")&amp;"Đến hạn "&amp;IF(H666=TODAY(),"hôm nay","trong "&amp;(H666-TODAY())&amp;" ngày"),""))))))</f>
        <v/>
      </c>
      <c r="Q666">
        <f>IF(AND(E666&lt;&gt;"",R666="Có",I666&lt;&gt;"Xong",I666&lt;&gt;"Bỏ qua",ISNUMBER(H666)),H666+ROW()/100000,"")</f>
        <v/>
      </c>
      <c r="R666">
        <f>IF(M666="","",IFERROR(INDEX(SK_L,MATCH(M666,SK_A,0)),""))</f>
        <v/>
      </c>
    </row>
    <row r="667">
      <c r="A667" s="11">
        <f>IF(M667="","",IFERROR(INDEX(SK_B,MATCH(M667,SK_A,0))&amp;"",""))</f>
        <v/>
      </c>
      <c r="B667" s="24">
        <f>IF(M667="","",IFERROR(INDEX(SK_C,MATCH(M667,SK_A,0)),""))</f>
        <v/>
      </c>
      <c r="C667" s="25">
        <f>IF(O667="","",IF(O667=0,"D",IF(O667&lt;0,"D"&amp;O667,"D+"&amp;O667)))</f>
        <v/>
      </c>
      <c r="D667" s="13" t="n"/>
      <c r="E667" s="11" t="n"/>
      <c r="F667" s="26" t="n"/>
      <c r="G667" s="13" t="n"/>
      <c r="H667" s="12">
        <f>IF(OR(B667="",O667=""),"",IF(O667&gt;0,IF(P667="Làm việc",WORKDAY(IFERROR(IF(INDEX(SK_D,MATCH(M667,SK_A,0))="",B667,INDEX(SK_D,MATCH(M667,SK_A,0))),B667),O667,HOLI),IFERROR(IF(INDEX(SK_D,MATCH(M667,SK_A,0))="",B667,INDEX(SK_D,MATCH(M667,SK_A,0))),B667)+O667),B667+O667))</f>
        <v/>
      </c>
      <c r="I667" s="13" t="n"/>
      <c r="J667" s="12" t="n"/>
      <c r="K667" s="11" t="n"/>
      <c r="L667" s="27">
        <f>IF(E667="","",IF(I667="Bỏ qua","—",IF(I667="Xong",IF(AND(ISNUMBER(J667),ISNUMBER(H667),J667&gt;H667),"Xong trễ","Xong"),IF(F667="","CHƯA GIAO","")&amp;IF(NOT(ISNUMBER(H667)),"",IF(TODAY()&gt;H667,IF(F667=""," · ","")&amp;"QUÁ HẠN "&amp;(TODAY()-H667)&amp;" ngày",IF(H667-TODAY()&lt;=3,IF(F667=""," · ","")&amp;"Đến hạn "&amp;IF(H667=TODAY(),"hôm nay","trong "&amp;(H667-TODAY())&amp;" ngày"),""))))))</f>
        <v/>
      </c>
      <c r="Q667">
        <f>IF(AND(E667&lt;&gt;"",R667="Có",I667&lt;&gt;"Xong",I667&lt;&gt;"Bỏ qua",ISNUMBER(H667)),H667+ROW()/100000,"")</f>
        <v/>
      </c>
      <c r="R667">
        <f>IF(M667="","",IFERROR(INDEX(SK_L,MATCH(M667,SK_A,0)),""))</f>
        <v/>
      </c>
    </row>
    <row r="668">
      <c r="A668" s="11">
        <f>IF(M668="","",IFERROR(INDEX(SK_B,MATCH(M668,SK_A,0))&amp;"",""))</f>
        <v/>
      </c>
      <c r="B668" s="24">
        <f>IF(M668="","",IFERROR(INDEX(SK_C,MATCH(M668,SK_A,0)),""))</f>
        <v/>
      </c>
      <c r="C668" s="25">
        <f>IF(O668="","",IF(O668=0,"D",IF(O668&lt;0,"D"&amp;O668,"D+"&amp;O668)))</f>
        <v/>
      </c>
      <c r="D668" s="13" t="n"/>
      <c r="E668" s="11" t="n"/>
      <c r="F668" s="26" t="n"/>
      <c r="G668" s="13" t="n"/>
      <c r="H668" s="12">
        <f>IF(OR(B668="",O668=""),"",IF(O668&gt;0,IF(P668="Làm việc",WORKDAY(IFERROR(IF(INDEX(SK_D,MATCH(M668,SK_A,0))="",B668,INDEX(SK_D,MATCH(M668,SK_A,0))),B668),O668,HOLI),IFERROR(IF(INDEX(SK_D,MATCH(M668,SK_A,0))="",B668,INDEX(SK_D,MATCH(M668,SK_A,0))),B668)+O668),B668+O668))</f>
        <v/>
      </c>
      <c r="I668" s="13" t="n"/>
      <c r="J668" s="12" t="n"/>
      <c r="K668" s="11" t="n"/>
      <c r="L668" s="27">
        <f>IF(E668="","",IF(I668="Bỏ qua","—",IF(I668="Xong",IF(AND(ISNUMBER(J668),ISNUMBER(H668),J668&gt;H668),"Xong trễ","Xong"),IF(F668="","CHƯA GIAO","")&amp;IF(NOT(ISNUMBER(H668)),"",IF(TODAY()&gt;H668,IF(F668=""," · ","")&amp;"QUÁ HẠN "&amp;(TODAY()-H668)&amp;" ngày",IF(H668-TODAY()&lt;=3,IF(F668=""," · ","")&amp;"Đến hạn "&amp;IF(H668=TODAY(),"hôm nay","trong "&amp;(H668-TODAY())&amp;" ngày"),""))))))</f>
        <v/>
      </c>
      <c r="Q668">
        <f>IF(AND(E668&lt;&gt;"",R668="Có",I668&lt;&gt;"Xong",I668&lt;&gt;"Bỏ qua",ISNUMBER(H668)),H668+ROW()/100000,"")</f>
        <v/>
      </c>
      <c r="R668">
        <f>IF(M668="","",IFERROR(INDEX(SK_L,MATCH(M668,SK_A,0)),""))</f>
        <v/>
      </c>
    </row>
    <row r="669">
      <c r="A669" s="11">
        <f>IF(M669="","",IFERROR(INDEX(SK_B,MATCH(M669,SK_A,0))&amp;"",""))</f>
        <v/>
      </c>
      <c r="B669" s="24">
        <f>IF(M669="","",IFERROR(INDEX(SK_C,MATCH(M669,SK_A,0)),""))</f>
        <v/>
      </c>
      <c r="C669" s="25">
        <f>IF(O669="","",IF(O669=0,"D",IF(O669&lt;0,"D"&amp;O669,"D+"&amp;O669)))</f>
        <v/>
      </c>
      <c r="D669" s="13" t="n"/>
      <c r="E669" s="11" t="n"/>
      <c r="F669" s="26" t="n"/>
      <c r="G669" s="13" t="n"/>
      <c r="H669" s="12">
        <f>IF(OR(B669="",O669=""),"",IF(O669&gt;0,IF(P669="Làm việc",WORKDAY(IFERROR(IF(INDEX(SK_D,MATCH(M669,SK_A,0))="",B669,INDEX(SK_D,MATCH(M669,SK_A,0))),B669),O669,HOLI),IFERROR(IF(INDEX(SK_D,MATCH(M669,SK_A,0))="",B669,INDEX(SK_D,MATCH(M669,SK_A,0))),B669)+O669),B669+O669))</f>
        <v/>
      </c>
      <c r="I669" s="13" t="n"/>
      <c r="J669" s="12" t="n"/>
      <c r="K669" s="11" t="n"/>
      <c r="L669" s="27">
        <f>IF(E669="","",IF(I669="Bỏ qua","—",IF(I669="Xong",IF(AND(ISNUMBER(J669),ISNUMBER(H669),J669&gt;H669),"Xong trễ","Xong"),IF(F669="","CHƯA GIAO","")&amp;IF(NOT(ISNUMBER(H669)),"",IF(TODAY()&gt;H669,IF(F669=""," · ","")&amp;"QUÁ HẠN "&amp;(TODAY()-H669)&amp;" ngày",IF(H669-TODAY()&lt;=3,IF(F669=""," · ","")&amp;"Đến hạn "&amp;IF(H669=TODAY(),"hôm nay","trong "&amp;(H669-TODAY())&amp;" ngày"),""))))))</f>
        <v/>
      </c>
      <c r="Q669">
        <f>IF(AND(E669&lt;&gt;"",R669="Có",I669&lt;&gt;"Xong",I669&lt;&gt;"Bỏ qua",ISNUMBER(H669)),H669+ROW()/100000,"")</f>
        <v/>
      </c>
      <c r="R669">
        <f>IF(M669="","",IFERROR(INDEX(SK_L,MATCH(M669,SK_A,0)),""))</f>
        <v/>
      </c>
    </row>
    <row r="670">
      <c r="A670" s="11">
        <f>IF(M670="","",IFERROR(INDEX(SK_B,MATCH(M670,SK_A,0))&amp;"",""))</f>
        <v/>
      </c>
      <c r="B670" s="24">
        <f>IF(M670="","",IFERROR(INDEX(SK_C,MATCH(M670,SK_A,0)),""))</f>
        <v/>
      </c>
      <c r="C670" s="25">
        <f>IF(O670="","",IF(O670=0,"D",IF(O670&lt;0,"D"&amp;O670,"D+"&amp;O670)))</f>
        <v/>
      </c>
      <c r="D670" s="13" t="n"/>
      <c r="E670" s="11" t="n"/>
      <c r="F670" s="26" t="n"/>
      <c r="G670" s="13" t="n"/>
      <c r="H670" s="12">
        <f>IF(OR(B670="",O670=""),"",IF(O670&gt;0,IF(P670="Làm việc",WORKDAY(IFERROR(IF(INDEX(SK_D,MATCH(M670,SK_A,0))="",B670,INDEX(SK_D,MATCH(M670,SK_A,0))),B670),O670,HOLI),IFERROR(IF(INDEX(SK_D,MATCH(M670,SK_A,0))="",B670,INDEX(SK_D,MATCH(M670,SK_A,0))),B670)+O670),B670+O670))</f>
        <v/>
      </c>
      <c r="I670" s="13" t="n"/>
      <c r="J670" s="12" t="n"/>
      <c r="K670" s="11" t="n"/>
      <c r="L670" s="27">
        <f>IF(E670="","",IF(I670="Bỏ qua","—",IF(I670="Xong",IF(AND(ISNUMBER(J670),ISNUMBER(H670),J670&gt;H670),"Xong trễ","Xong"),IF(F670="","CHƯA GIAO","")&amp;IF(NOT(ISNUMBER(H670)),"",IF(TODAY()&gt;H670,IF(F670=""," · ","")&amp;"QUÁ HẠN "&amp;(TODAY()-H670)&amp;" ngày",IF(H670-TODAY()&lt;=3,IF(F670=""," · ","")&amp;"Đến hạn "&amp;IF(H670=TODAY(),"hôm nay","trong "&amp;(H670-TODAY())&amp;" ngày"),""))))))</f>
        <v/>
      </c>
      <c r="Q670">
        <f>IF(AND(E670&lt;&gt;"",R670="Có",I670&lt;&gt;"Xong",I670&lt;&gt;"Bỏ qua",ISNUMBER(H670)),H670+ROW()/100000,"")</f>
        <v/>
      </c>
      <c r="R670">
        <f>IF(M670="","",IFERROR(INDEX(SK_L,MATCH(M670,SK_A,0)),""))</f>
        <v/>
      </c>
    </row>
    <row r="671">
      <c r="A671" s="11">
        <f>IF(M671="","",IFERROR(INDEX(SK_B,MATCH(M671,SK_A,0))&amp;"",""))</f>
        <v/>
      </c>
      <c r="B671" s="24">
        <f>IF(M671="","",IFERROR(INDEX(SK_C,MATCH(M671,SK_A,0)),""))</f>
        <v/>
      </c>
      <c r="C671" s="25">
        <f>IF(O671="","",IF(O671=0,"D",IF(O671&lt;0,"D"&amp;O671,"D+"&amp;O671)))</f>
        <v/>
      </c>
      <c r="D671" s="13" t="n"/>
      <c r="E671" s="11" t="n"/>
      <c r="F671" s="26" t="n"/>
      <c r="G671" s="13" t="n"/>
      <c r="H671" s="12">
        <f>IF(OR(B671="",O671=""),"",IF(O671&gt;0,IF(P671="Làm việc",WORKDAY(IFERROR(IF(INDEX(SK_D,MATCH(M671,SK_A,0))="",B671,INDEX(SK_D,MATCH(M671,SK_A,0))),B671),O671,HOLI),IFERROR(IF(INDEX(SK_D,MATCH(M671,SK_A,0))="",B671,INDEX(SK_D,MATCH(M671,SK_A,0))),B671)+O671),B671+O671))</f>
        <v/>
      </c>
      <c r="I671" s="13" t="n"/>
      <c r="J671" s="12" t="n"/>
      <c r="K671" s="11" t="n"/>
      <c r="L671" s="27">
        <f>IF(E671="","",IF(I671="Bỏ qua","—",IF(I671="Xong",IF(AND(ISNUMBER(J671),ISNUMBER(H671),J671&gt;H671),"Xong trễ","Xong"),IF(F671="","CHƯA GIAO","")&amp;IF(NOT(ISNUMBER(H671)),"",IF(TODAY()&gt;H671,IF(F671=""," · ","")&amp;"QUÁ HẠN "&amp;(TODAY()-H671)&amp;" ngày",IF(H671-TODAY()&lt;=3,IF(F671=""," · ","")&amp;"Đến hạn "&amp;IF(H671=TODAY(),"hôm nay","trong "&amp;(H671-TODAY())&amp;" ngày"),""))))))</f>
        <v/>
      </c>
      <c r="Q671">
        <f>IF(AND(E671&lt;&gt;"",R671="Có",I671&lt;&gt;"Xong",I671&lt;&gt;"Bỏ qua",ISNUMBER(H671)),H671+ROW()/100000,"")</f>
        <v/>
      </c>
      <c r="R671">
        <f>IF(M671="","",IFERROR(INDEX(SK_L,MATCH(M671,SK_A,0)),""))</f>
        <v/>
      </c>
    </row>
    <row r="672">
      <c r="A672" s="11">
        <f>IF(M672="","",IFERROR(INDEX(SK_B,MATCH(M672,SK_A,0))&amp;"",""))</f>
        <v/>
      </c>
      <c r="B672" s="24">
        <f>IF(M672="","",IFERROR(INDEX(SK_C,MATCH(M672,SK_A,0)),""))</f>
        <v/>
      </c>
      <c r="C672" s="25">
        <f>IF(O672="","",IF(O672=0,"D",IF(O672&lt;0,"D"&amp;O672,"D+"&amp;O672)))</f>
        <v/>
      </c>
      <c r="D672" s="13" t="n"/>
      <c r="E672" s="11" t="n"/>
      <c r="F672" s="26" t="n"/>
      <c r="G672" s="13" t="n"/>
      <c r="H672" s="12">
        <f>IF(OR(B672="",O672=""),"",IF(O672&gt;0,IF(P672="Làm việc",WORKDAY(IFERROR(IF(INDEX(SK_D,MATCH(M672,SK_A,0))="",B672,INDEX(SK_D,MATCH(M672,SK_A,0))),B672),O672,HOLI),IFERROR(IF(INDEX(SK_D,MATCH(M672,SK_A,0))="",B672,INDEX(SK_D,MATCH(M672,SK_A,0))),B672)+O672),B672+O672))</f>
        <v/>
      </c>
      <c r="I672" s="13" t="n"/>
      <c r="J672" s="12" t="n"/>
      <c r="K672" s="11" t="n"/>
      <c r="L672" s="27">
        <f>IF(E672="","",IF(I672="Bỏ qua","—",IF(I672="Xong",IF(AND(ISNUMBER(J672),ISNUMBER(H672),J672&gt;H672),"Xong trễ","Xong"),IF(F672="","CHƯA GIAO","")&amp;IF(NOT(ISNUMBER(H672)),"",IF(TODAY()&gt;H672,IF(F672=""," · ","")&amp;"QUÁ HẠN "&amp;(TODAY()-H672)&amp;" ngày",IF(H672-TODAY()&lt;=3,IF(F672=""," · ","")&amp;"Đến hạn "&amp;IF(H672=TODAY(),"hôm nay","trong "&amp;(H672-TODAY())&amp;" ngày"),""))))))</f>
        <v/>
      </c>
      <c r="Q672">
        <f>IF(AND(E672&lt;&gt;"",R672="Có",I672&lt;&gt;"Xong",I672&lt;&gt;"Bỏ qua",ISNUMBER(H672)),H672+ROW()/100000,"")</f>
        <v/>
      </c>
      <c r="R672">
        <f>IF(M672="","",IFERROR(INDEX(SK_L,MATCH(M672,SK_A,0)),""))</f>
        <v/>
      </c>
    </row>
    <row r="673">
      <c r="A673" s="11">
        <f>IF(M673="","",IFERROR(INDEX(SK_B,MATCH(M673,SK_A,0))&amp;"",""))</f>
        <v/>
      </c>
      <c r="B673" s="24">
        <f>IF(M673="","",IFERROR(INDEX(SK_C,MATCH(M673,SK_A,0)),""))</f>
        <v/>
      </c>
      <c r="C673" s="25">
        <f>IF(O673="","",IF(O673=0,"D",IF(O673&lt;0,"D"&amp;O673,"D+"&amp;O673)))</f>
        <v/>
      </c>
      <c r="D673" s="13" t="n"/>
      <c r="E673" s="11" t="n"/>
      <c r="F673" s="26" t="n"/>
      <c r="G673" s="13" t="n"/>
      <c r="H673" s="12">
        <f>IF(OR(B673="",O673=""),"",IF(O673&gt;0,IF(P673="Làm việc",WORKDAY(IFERROR(IF(INDEX(SK_D,MATCH(M673,SK_A,0))="",B673,INDEX(SK_D,MATCH(M673,SK_A,0))),B673),O673,HOLI),IFERROR(IF(INDEX(SK_D,MATCH(M673,SK_A,0))="",B673,INDEX(SK_D,MATCH(M673,SK_A,0))),B673)+O673),B673+O673))</f>
        <v/>
      </c>
      <c r="I673" s="13" t="n"/>
      <c r="J673" s="12" t="n"/>
      <c r="K673" s="11" t="n"/>
      <c r="L673" s="27">
        <f>IF(E673="","",IF(I673="Bỏ qua","—",IF(I673="Xong",IF(AND(ISNUMBER(J673),ISNUMBER(H673),J673&gt;H673),"Xong trễ","Xong"),IF(F673="","CHƯA GIAO","")&amp;IF(NOT(ISNUMBER(H673)),"",IF(TODAY()&gt;H673,IF(F673=""," · ","")&amp;"QUÁ HẠN "&amp;(TODAY()-H673)&amp;" ngày",IF(H673-TODAY()&lt;=3,IF(F673=""," · ","")&amp;"Đến hạn "&amp;IF(H673=TODAY(),"hôm nay","trong "&amp;(H673-TODAY())&amp;" ngày"),""))))))</f>
        <v/>
      </c>
      <c r="Q673">
        <f>IF(AND(E673&lt;&gt;"",R673="Có",I673&lt;&gt;"Xong",I673&lt;&gt;"Bỏ qua",ISNUMBER(H673)),H673+ROW()/100000,"")</f>
        <v/>
      </c>
      <c r="R673">
        <f>IF(M673="","",IFERROR(INDEX(SK_L,MATCH(M673,SK_A,0)),""))</f>
        <v/>
      </c>
    </row>
    <row r="674">
      <c r="A674" s="11">
        <f>IF(M674="","",IFERROR(INDEX(SK_B,MATCH(M674,SK_A,0))&amp;"",""))</f>
        <v/>
      </c>
      <c r="B674" s="24">
        <f>IF(M674="","",IFERROR(INDEX(SK_C,MATCH(M674,SK_A,0)),""))</f>
        <v/>
      </c>
      <c r="C674" s="25">
        <f>IF(O674="","",IF(O674=0,"D",IF(O674&lt;0,"D"&amp;O674,"D+"&amp;O674)))</f>
        <v/>
      </c>
      <c r="D674" s="13" t="n"/>
      <c r="E674" s="11" t="n"/>
      <c r="F674" s="26" t="n"/>
      <c r="G674" s="13" t="n"/>
      <c r="H674" s="12">
        <f>IF(OR(B674="",O674=""),"",IF(O674&gt;0,IF(P674="Làm việc",WORKDAY(IFERROR(IF(INDEX(SK_D,MATCH(M674,SK_A,0))="",B674,INDEX(SK_D,MATCH(M674,SK_A,0))),B674),O674,HOLI),IFERROR(IF(INDEX(SK_D,MATCH(M674,SK_A,0))="",B674,INDEX(SK_D,MATCH(M674,SK_A,0))),B674)+O674),B674+O674))</f>
        <v/>
      </c>
      <c r="I674" s="13" t="n"/>
      <c r="J674" s="12" t="n"/>
      <c r="K674" s="11" t="n"/>
      <c r="L674" s="27">
        <f>IF(E674="","",IF(I674="Bỏ qua","—",IF(I674="Xong",IF(AND(ISNUMBER(J674),ISNUMBER(H674),J674&gt;H674),"Xong trễ","Xong"),IF(F674="","CHƯA GIAO","")&amp;IF(NOT(ISNUMBER(H674)),"",IF(TODAY()&gt;H674,IF(F674=""," · ","")&amp;"QUÁ HẠN "&amp;(TODAY()-H674)&amp;" ngày",IF(H674-TODAY()&lt;=3,IF(F674=""," · ","")&amp;"Đến hạn "&amp;IF(H674=TODAY(),"hôm nay","trong "&amp;(H674-TODAY())&amp;" ngày"),""))))))</f>
        <v/>
      </c>
      <c r="Q674">
        <f>IF(AND(E674&lt;&gt;"",R674="Có",I674&lt;&gt;"Xong",I674&lt;&gt;"Bỏ qua",ISNUMBER(H674)),H674+ROW()/100000,"")</f>
        <v/>
      </c>
      <c r="R674">
        <f>IF(M674="","",IFERROR(INDEX(SK_L,MATCH(M674,SK_A,0)),""))</f>
        <v/>
      </c>
    </row>
    <row r="675">
      <c r="A675" s="11">
        <f>IF(M675="","",IFERROR(INDEX(SK_B,MATCH(M675,SK_A,0))&amp;"",""))</f>
        <v/>
      </c>
      <c r="B675" s="24">
        <f>IF(M675="","",IFERROR(INDEX(SK_C,MATCH(M675,SK_A,0)),""))</f>
        <v/>
      </c>
      <c r="C675" s="25">
        <f>IF(O675="","",IF(O675=0,"D",IF(O675&lt;0,"D"&amp;O675,"D+"&amp;O675)))</f>
        <v/>
      </c>
      <c r="D675" s="13" t="n"/>
      <c r="E675" s="11" t="n"/>
      <c r="F675" s="26" t="n"/>
      <c r="G675" s="13" t="n"/>
      <c r="H675" s="12">
        <f>IF(OR(B675="",O675=""),"",IF(O675&gt;0,IF(P675="Làm việc",WORKDAY(IFERROR(IF(INDEX(SK_D,MATCH(M675,SK_A,0))="",B675,INDEX(SK_D,MATCH(M675,SK_A,0))),B675),O675,HOLI),IFERROR(IF(INDEX(SK_D,MATCH(M675,SK_A,0))="",B675,INDEX(SK_D,MATCH(M675,SK_A,0))),B675)+O675),B675+O675))</f>
        <v/>
      </c>
      <c r="I675" s="13" t="n"/>
      <c r="J675" s="12" t="n"/>
      <c r="K675" s="11" t="n"/>
      <c r="L675" s="27">
        <f>IF(E675="","",IF(I675="Bỏ qua","—",IF(I675="Xong",IF(AND(ISNUMBER(J675),ISNUMBER(H675),J675&gt;H675),"Xong trễ","Xong"),IF(F675="","CHƯA GIAO","")&amp;IF(NOT(ISNUMBER(H675)),"",IF(TODAY()&gt;H675,IF(F675=""," · ","")&amp;"QUÁ HẠN "&amp;(TODAY()-H675)&amp;" ngày",IF(H675-TODAY()&lt;=3,IF(F675=""," · ","")&amp;"Đến hạn "&amp;IF(H675=TODAY(),"hôm nay","trong "&amp;(H675-TODAY())&amp;" ngày"),""))))))</f>
        <v/>
      </c>
      <c r="Q675">
        <f>IF(AND(E675&lt;&gt;"",R675="Có",I675&lt;&gt;"Xong",I675&lt;&gt;"Bỏ qua",ISNUMBER(H675)),H675+ROW()/100000,"")</f>
        <v/>
      </c>
      <c r="R675">
        <f>IF(M675="","",IFERROR(INDEX(SK_L,MATCH(M675,SK_A,0)),""))</f>
        <v/>
      </c>
    </row>
    <row r="676">
      <c r="A676" s="11">
        <f>IF(M676="","",IFERROR(INDEX(SK_B,MATCH(M676,SK_A,0))&amp;"",""))</f>
        <v/>
      </c>
      <c r="B676" s="24">
        <f>IF(M676="","",IFERROR(INDEX(SK_C,MATCH(M676,SK_A,0)),""))</f>
        <v/>
      </c>
      <c r="C676" s="25">
        <f>IF(O676="","",IF(O676=0,"D",IF(O676&lt;0,"D"&amp;O676,"D+"&amp;O676)))</f>
        <v/>
      </c>
      <c r="D676" s="13" t="n"/>
      <c r="E676" s="11" t="n"/>
      <c r="F676" s="26" t="n"/>
      <c r="G676" s="13" t="n"/>
      <c r="H676" s="12">
        <f>IF(OR(B676="",O676=""),"",IF(O676&gt;0,IF(P676="Làm việc",WORKDAY(IFERROR(IF(INDEX(SK_D,MATCH(M676,SK_A,0))="",B676,INDEX(SK_D,MATCH(M676,SK_A,0))),B676),O676,HOLI),IFERROR(IF(INDEX(SK_D,MATCH(M676,SK_A,0))="",B676,INDEX(SK_D,MATCH(M676,SK_A,0))),B676)+O676),B676+O676))</f>
        <v/>
      </c>
      <c r="I676" s="13" t="n"/>
      <c r="J676" s="12" t="n"/>
      <c r="K676" s="11" t="n"/>
      <c r="L676" s="27">
        <f>IF(E676="","",IF(I676="Bỏ qua","—",IF(I676="Xong",IF(AND(ISNUMBER(J676),ISNUMBER(H676),J676&gt;H676),"Xong trễ","Xong"),IF(F676="","CHƯA GIAO","")&amp;IF(NOT(ISNUMBER(H676)),"",IF(TODAY()&gt;H676,IF(F676=""," · ","")&amp;"QUÁ HẠN "&amp;(TODAY()-H676)&amp;" ngày",IF(H676-TODAY()&lt;=3,IF(F676=""," · ","")&amp;"Đến hạn "&amp;IF(H676=TODAY(),"hôm nay","trong "&amp;(H676-TODAY())&amp;" ngày"),""))))))</f>
        <v/>
      </c>
      <c r="Q676">
        <f>IF(AND(E676&lt;&gt;"",R676="Có",I676&lt;&gt;"Xong",I676&lt;&gt;"Bỏ qua",ISNUMBER(H676)),H676+ROW()/100000,"")</f>
        <v/>
      </c>
      <c r="R676">
        <f>IF(M676="","",IFERROR(INDEX(SK_L,MATCH(M676,SK_A,0)),""))</f>
        <v/>
      </c>
    </row>
    <row r="677">
      <c r="A677" s="11">
        <f>IF(M677="","",IFERROR(INDEX(SK_B,MATCH(M677,SK_A,0))&amp;"",""))</f>
        <v/>
      </c>
      <c r="B677" s="24">
        <f>IF(M677="","",IFERROR(INDEX(SK_C,MATCH(M677,SK_A,0)),""))</f>
        <v/>
      </c>
      <c r="C677" s="25">
        <f>IF(O677="","",IF(O677=0,"D",IF(O677&lt;0,"D"&amp;O677,"D+"&amp;O677)))</f>
        <v/>
      </c>
      <c r="D677" s="13" t="n"/>
      <c r="E677" s="11" t="n"/>
      <c r="F677" s="26" t="n"/>
      <c r="G677" s="13" t="n"/>
      <c r="H677" s="12">
        <f>IF(OR(B677="",O677=""),"",IF(O677&gt;0,IF(P677="Làm việc",WORKDAY(IFERROR(IF(INDEX(SK_D,MATCH(M677,SK_A,0))="",B677,INDEX(SK_D,MATCH(M677,SK_A,0))),B677),O677,HOLI),IFERROR(IF(INDEX(SK_D,MATCH(M677,SK_A,0))="",B677,INDEX(SK_D,MATCH(M677,SK_A,0))),B677)+O677),B677+O677))</f>
        <v/>
      </c>
      <c r="I677" s="13" t="n"/>
      <c r="J677" s="12" t="n"/>
      <c r="K677" s="11" t="n"/>
      <c r="L677" s="27">
        <f>IF(E677="","",IF(I677="Bỏ qua","—",IF(I677="Xong",IF(AND(ISNUMBER(J677),ISNUMBER(H677),J677&gt;H677),"Xong trễ","Xong"),IF(F677="","CHƯA GIAO","")&amp;IF(NOT(ISNUMBER(H677)),"",IF(TODAY()&gt;H677,IF(F677=""," · ","")&amp;"QUÁ HẠN "&amp;(TODAY()-H677)&amp;" ngày",IF(H677-TODAY()&lt;=3,IF(F677=""," · ","")&amp;"Đến hạn "&amp;IF(H677=TODAY(),"hôm nay","trong "&amp;(H677-TODAY())&amp;" ngày"),""))))))</f>
        <v/>
      </c>
      <c r="Q677">
        <f>IF(AND(E677&lt;&gt;"",R677="Có",I677&lt;&gt;"Xong",I677&lt;&gt;"Bỏ qua",ISNUMBER(H677)),H677+ROW()/100000,"")</f>
        <v/>
      </c>
      <c r="R677">
        <f>IF(M677="","",IFERROR(INDEX(SK_L,MATCH(M677,SK_A,0)),""))</f>
        <v/>
      </c>
    </row>
    <row r="678">
      <c r="A678" s="11">
        <f>IF(M678="","",IFERROR(INDEX(SK_B,MATCH(M678,SK_A,0))&amp;"",""))</f>
        <v/>
      </c>
      <c r="B678" s="24">
        <f>IF(M678="","",IFERROR(INDEX(SK_C,MATCH(M678,SK_A,0)),""))</f>
        <v/>
      </c>
      <c r="C678" s="25">
        <f>IF(O678="","",IF(O678=0,"D",IF(O678&lt;0,"D"&amp;O678,"D+"&amp;O678)))</f>
        <v/>
      </c>
      <c r="D678" s="13" t="n"/>
      <c r="E678" s="11" t="n"/>
      <c r="F678" s="26" t="n"/>
      <c r="G678" s="13" t="n"/>
      <c r="H678" s="12">
        <f>IF(OR(B678="",O678=""),"",IF(O678&gt;0,IF(P678="Làm việc",WORKDAY(IFERROR(IF(INDEX(SK_D,MATCH(M678,SK_A,0))="",B678,INDEX(SK_D,MATCH(M678,SK_A,0))),B678),O678,HOLI),IFERROR(IF(INDEX(SK_D,MATCH(M678,SK_A,0))="",B678,INDEX(SK_D,MATCH(M678,SK_A,0))),B678)+O678),B678+O678))</f>
        <v/>
      </c>
      <c r="I678" s="13" t="n"/>
      <c r="J678" s="12" t="n"/>
      <c r="K678" s="11" t="n"/>
      <c r="L678" s="27">
        <f>IF(E678="","",IF(I678="Bỏ qua","—",IF(I678="Xong",IF(AND(ISNUMBER(J678),ISNUMBER(H678),J678&gt;H678),"Xong trễ","Xong"),IF(F678="","CHƯA GIAO","")&amp;IF(NOT(ISNUMBER(H678)),"",IF(TODAY()&gt;H678,IF(F678=""," · ","")&amp;"QUÁ HẠN "&amp;(TODAY()-H678)&amp;" ngày",IF(H678-TODAY()&lt;=3,IF(F678=""," · ","")&amp;"Đến hạn "&amp;IF(H678=TODAY(),"hôm nay","trong "&amp;(H678-TODAY())&amp;" ngày"),""))))))</f>
        <v/>
      </c>
      <c r="Q678">
        <f>IF(AND(E678&lt;&gt;"",R678="Có",I678&lt;&gt;"Xong",I678&lt;&gt;"Bỏ qua",ISNUMBER(H678)),H678+ROW()/100000,"")</f>
        <v/>
      </c>
      <c r="R678">
        <f>IF(M678="","",IFERROR(INDEX(SK_L,MATCH(M678,SK_A,0)),""))</f>
        <v/>
      </c>
    </row>
    <row r="679">
      <c r="A679" s="11">
        <f>IF(M679="","",IFERROR(INDEX(SK_B,MATCH(M679,SK_A,0))&amp;"",""))</f>
        <v/>
      </c>
      <c r="B679" s="24">
        <f>IF(M679="","",IFERROR(INDEX(SK_C,MATCH(M679,SK_A,0)),""))</f>
        <v/>
      </c>
      <c r="C679" s="25">
        <f>IF(O679="","",IF(O679=0,"D",IF(O679&lt;0,"D"&amp;O679,"D+"&amp;O679)))</f>
        <v/>
      </c>
      <c r="D679" s="13" t="n"/>
      <c r="E679" s="11" t="n"/>
      <c r="F679" s="26" t="n"/>
      <c r="G679" s="13" t="n"/>
      <c r="H679" s="12">
        <f>IF(OR(B679="",O679=""),"",IF(O679&gt;0,IF(P679="Làm việc",WORKDAY(IFERROR(IF(INDEX(SK_D,MATCH(M679,SK_A,0))="",B679,INDEX(SK_D,MATCH(M679,SK_A,0))),B679),O679,HOLI),IFERROR(IF(INDEX(SK_D,MATCH(M679,SK_A,0))="",B679,INDEX(SK_D,MATCH(M679,SK_A,0))),B679)+O679),B679+O679))</f>
        <v/>
      </c>
      <c r="I679" s="13" t="n"/>
      <c r="J679" s="12" t="n"/>
      <c r="K679" s="11" t="n"/>
      <c r="L679" s="27">
        <f>IF(E679="","",IF(I679="Bỏ qua","—",IF(I679="Xong",IF(AND(ISNUMBER(J679),ISNUMBER(H679),J679&gt;H679),"Xong trễ","Xong"),IF(F679="","CHƯA GIAO","")&amp;IF(NOT(ISNUMBER(H679)),"",IF(TODAY()&gt;H679,IF(F679=""," · ","")&amp;"QUÁ HẠN "&amp;(TODAY()-H679)&amp;" ngày",IF(H679-TODAY()&lt;=3,IF(F679=""," · ","")&amp;"Đến hạn "&amp;IF(H679=TODAY(),"hôm nay","trong "&amp;(H679-TODAY())&amp;" ngày"),""))))))</f>
        <v/>
      </c>
      <c r="Q679">
        <f>IF(AND(E679&lt;&gt;"",R679="Có",I679&lt;&gt;"Xong",I679&lt;&gt;"Bỏ qua",ISNUMBER(H679)),H679+ROW()/100000,"")</f>
        <v/>
      </c>
      <c r="R679">
        <f>IF(M679="","",IFERROR(INDEX(SK_L,MATCH(M679,SK_A,0)),""))</f>
        <v/>
      </c>
    </row>
    <row r="680">
      <c r="A680" s="11">
        <f>IF(M680="","",IFERROR(INDEX(SK_B,MATCH(M680,SK_A,0))&amp;"",""))</f>
        <v/>
      </c>
      <c r="B680" s="24">
        <f>IF(M680="","",IFERROR(INDEX(SK_C,MATCH(M680,SK_A,0)),""))</f>
        <v/>
      </c>
      <c r="C680" s="25">
        <f>IF(O680="","",IF(O680=0,"D",IF(O680&lt;0,"D"&amp;O680,"D+"&amp;O680)))</f>
        <v/>
      </c>
      <c r="D680" s="13" t="n"/>
      <c r="E680" s="11" t="n"/>
      <c r="F680" s="26" t="n"/>
      <c r="G680" s="13" t="n"/>
      <c r="H680" s="12">
        <f>IF(OR(B680="",O680=""),"",IF(O680&gt;0,IF(P680="Làm việc",WORKDAY(IFERROR(IF(INDEX(SK_D,MATCH(M680,SK_A,0))="",B680,INDEX(SK_D,MATCH(M680,SK_A,0))),B680),O680,HOLI),IFERROR(IF(INDEX(SK_D,MATCH(M680,SK_A,0))="",B680,INDEX(SK_D,MATCH(M680,SK_A,0))),B680)+O680),B680+O680))</f>
        <v/>
      </c>
      <c r="I680" s="13" t="n"/>
      <c r="J680" s="12" t="n"/>
      <c r="K680" s="11" t="n"/>
      <c r="L680" s="27">
        <f>IF(E680="","",IF(I680="Bỏ qua","—",IF(I680="Xong",IF(AND(ISNUMBER(J680),ISNUMBER(H680),J680&gt;H680),"Xong trễ","Xong"),IF(F680="","CHƯA GIAO","")&amp;IF(NOT(ISNUMBER(H680)),"",IF(TODAY()&gt;H680,IF(F680=""," · ","")&amp;"QUÁ HẠN "&amp;(TODAY()-H680)&amp;" ngày",IF(H680-TODAY()&lt;=3,IF(F680=""," · ","")&amp;"Đến hạn "&amp;IF(H680=TODAY(),"hôm nay","trong "&amp;(H680-TODAY())&amp;" ngày"),""))))))</f>
        <v/>
      </c>
      <c r="Q680">
        <f>IF(AND(E680&lt;&gt;"",R680="Có",I680&lt;&gt;"Xong",I680&lt;&gt;"Bỏ qua",ISNUMBER(H680)),H680+ROW()/100000,"")</f>
        <v/>
      </c>
      <c r="R680">
        <f>IF(M680="","",IFERROR(INDEX(SK_L,MATCH(M680,SK_A,0)),""))</f>
        <v/>
      </c>
    </row>
    <row r="681">
      <c r="A681" s="11">
        <f>IF(M681="","",IFERROR(INDEX(SK_B,MATCH(M681,SK_A,0))&amp;"",""))</f>
        <v/>
      </c>
      <c r="B681" s="24">
        <f>IF(M681="","",IFERROR(INDEX(SK_C,MATCH(M681,SK_A,0)),""))</f>
        <v/>
      </c>
      <c r="C681" s="25">
        <f>IF(O681="","",IF(O681=0,"D",IF(O681&lt;0,"D"&amp;O681,"D+"&amp;O681)))</f>
        <v/>
      </c>
      <c r="D681" s="13" t="n"/>
      <c r="E681" s="11" t="n"/>
      <c r="F681" s="26" t="n"/>
      <c r="G681" s="13" t="n"/>
      <c r="H681" s="12">
        <f>IF(OR(B681="",O681=""),"",IF(O681&gt;0,IF(P681="Làm việc",WORKDAY(IFERROR(IF(INDEX(SK_D,MATCH(M681,SK_A,0))="",B681,INDEX(SK_D,MATCH(M681,SK_A,0))),B681),O681,HOLI),IFERROR(IF(INDEX(SK_D,MATCH(M681,SK_A,0))="",B681,INDEX(SK_D,MATCH(M681,SK_A,0))),B681)+O681),B681+O681))</f>
        <v/>
      </c>
      <c r="I681" s="13" t="n"/>
      <c r="J681" s="12" t="n"/>
      <c r="K681" s="11" t="n"/>
      <c r="L681" s="27">
        <f>IF(E681="","",IF(I681="Bỏ qua","—",IF(I681="Xong",IF(AND(ISNUMBER(J681),ISNUMBER(H681),J681&gt;H681),"Xong trễ","Xong"),IF(F681="","CHƯA GIAO","")&amp;IF(NOT(ISNUMBER(H681)),"",IF(TODAY()&gt;H681,IF(F681=""," · ","")&amp;"QUÁ HẠN "&amp;(TODAY()-H681)&amp;" ngày",IF(H681-TODAY()&lt;=3,IF(F681=""," · ","")&amp;"Đến hạn "&amp;IF(H681=TODAY(),"hôm nay","trong "&amp;(H681-TODAY())&amp;" ngày"),""))))))</f>
        <v/>
      </c>
      <c r="Q681">
        <f>IF(AND(E681&lt;&gt;"",R681="Có",I681&lt;&gt;"Xong",I681&lt;&gt;"Bỏ qua",ISNUMBER(H681)),H681+ROW()/100000,"")</f>
        <v/>
      </c>
      <c r="R681">
        <f>IF(M681="","",IFERROR(INDEX(SK_L,MATCH(M681,SK_A,0)),""))</f>
        <v/>
      </c>
    </row>
    <row r="682">
      <c r="A682" s="11">
        <f>IF(M682="","",IFERROR(INDEX(SK_B,MATCH(M682,SK_A,0))&amp;"",""))</f>
        <v/>
      </c>
      <c r="B682" s="24">
        <f>IF(M682="","",IFERROR(INDEX(SK_C,MATCH(M682,SK_A,0)),""))</f>
        <v/>
      </c>
      <c r="C682" s="25">
        <f>IF(O682="","",IF(O682=0,"D",IF(O682&lt;0,"D"&amp;O682,"D+"&amp;O682)))</f>
        <v/>
      </c>
      <c r="D682" s="13" t="n"/>
      <c r="E682" s="11" t="n"/>
      <c r="F682" s="26" t="n"/>
      <c r="G682" s="13" t="n"/>
      <c r="H682" s="12">
        <f>IF(OR(B682="",O682=""),"",IF(O682&gt;0,IF(P682="Làm việc",WORKDAY(IFERROR(IF(INDEX(SK_D,MATCH(M682,SK_A,0))="",B682,INDEX(SK_D,MATCH(M682,SK_A,0))),B682),O682,HOLI),IFERROR(IF(INDEX(SK_D,MATCH(M682,SK_A,0))="",B682,INDEX(SK_D,MATCH(M682,SK_A,0))),B682)+O682),B682+O682))</f>
        <v/>
      </c>
      <c r="I682" s="13" t="n"/>
      <c r="J682" s="12" t="n"/>
      <c r="K682" s="11" t="n"/>
      <c r="L682" s="27">
        <f>IF(E682="","",IF(I682="Bỏ qua","—",IF(I682="Xong",IF(AND(ISNUMBER(J682),ISNUMBER(H682),J682&gt;H682),"Xong trễ","Xong"),IF(F682="","CHƯA GIAO","")&amp;IF(NOT(ISNUMBER(H682)),"",IF(TODAY()&gt;H682,IF(F682=""," · ","")&amp;"QUÁ HẠN "&amp;(TODAY()-H682)&amp;" ngày",IF(H682-TODAY()&lt;=3,IF(F682=""," · ","")&amp;"Đến hạn "&amp;IF(H682=TODAY(),"hôm nay","trong "&amp;(H682-TODAY())&amp;" ngày"),""))))))</f>
        <v/>
      </c>
      <c r="Q682">
        <f>IF(AND(E682&lt;&gt;"",R682="Có",I682&lt;&gt;"Xong",I682&lt;&gt;"Bỏ qua",ISNUMBER(H682)),H682+ROW()/100000,"")</f>
        <v/>
      </c>
      <c r="R682">
        <f>IF(M682="","",IFERROR(INDEX(SK_L,MATCH(M682,SK_A,0)),""))</f>
        <v/>
      </c>
    </row>
    <row r="683">
      <c r="A683" s="11">
        <f>IF(M683="","",IFERROR(INDEX(SK_B,MATCH(M683,SK_A,0))&amp;"",""))</f>
        <v/>
      </c>
      <c r="B683" s="24">
        <f>IF(M683="","",IFERROR(INDEX(SK_C,MATCH(M683,SK_A,0)),""))</f>
        <v/>
      </c>
      <c r="C683" s="25">
        <f>IF(O683="","",IF(O683=0,"D",IF(O683&lt;0,"D"&amp;O683,"D+"&amp;O683)))</f>
        <v/>
      </c>
      <c r="D683" s="13" t="n"/>
      <c r="E683" s="11" t="n"/>
      <c r="F683" s="26" t="n"/>
      <c r="G683" s="13" t="n"/>
      <c r="H683" s="12">
        <f>IF(OR(B683="",O683=""),"",IF(O683&gt;0,IF(P683="Làm việc",WORKDAY(IFERROR(IF(INDEX(SK_D,MATCH(M683,SK_A,0))="",B683,INDEX(SK_D,MATCH(M683,SK_A,0))),B683),O683,HOLI),IFERROR(IF(INDEX(SK_D,MATCH(M683,SK_A,0))="",B683,INDEX(SK_D,MATCH(M683,SK_A,0))),B683)+O683),B683+O683))</f>
        <v/>
      </c>
      <c r="I683" s="13" t="n"/>
      <c r="J683" s="12" t="n"/>
      <c r="K683" s="11" t="n"/>
      <c r="L683" s="27">
        <f>IF(E683="","",IF(I683="Bỏ qua","—",IF(I683="Xong",IF(AND(ISNUMBER(J683),ISNUMBER(H683),J683&gt;H683),"Xong trễ","Xong"),IF(F683="","CHƯA GIAO","")&amp;IF(NOT(ISNUMBER(H683)),"",IF(TODAY()&gt;H683,IF(F683=""," · ","")&amp;"QUÁ HẠN "&amp;(TODAY()-H683)&amp;" ngày",IF(H683-TODAY()&lt;=3,IF(F683=""," · ","")&amp;"Đến hạn "&amp;IF(H683=TODAY(),"hôm nay","trong "&amp;(H683-TODAY())&amp;" ngày"),""))))))</f>
        <v/>
      </c>
      <c r="Q683">
        <f>IF(AND(E683&lt;&gt;"",R683="Có",I683&lt;&gt;"Xong",I683&lt;&gt;"Bỏ qua",ISNUMBER(H683)),H683+ROW()/100000,"")</f>
        <v/>
      </c>
      <c r="R683">
        <f>IF(M683="","",IFERROR(INDEX(SK_L,MATCH(M683,SK_A,0)),""))</f>
        <v/>
      </c>
    </row>
    <row r="684">
      <c r="A684" s="11">
        <f>IF(M684="","",IFERROR(INDEX(SK_B,MATCH(M684,SK_A,0))&amp;"",""))</f>
        <v/>
      </c>
      <c r="B684" s="24">
        <f>IF(M684="","",IFERROR(INDEX(SK_C,MATCH(M684,SK_A,0)),""))</f>
        <v/>
      </c>
      <c r="C684" s="25">
        <f>IF(O684="","",IF(O684=0,"D",IF(O684&lt;0,"D"&amp;O684,"D+"&amp;O684)))</f>
        <v/>
      </c>
      <c r="D684" s="13" t="n"/>
      <c r="E684" s="11" t="n"/>
      <c r="F684" s="26" t="n"/>
      <c r="G684" s="13" t="n"/>
      <c r="H684" s="12">
        <f>IF(OR(B684="",O684=""),"",IF(O684&gt;0,IF(P684="Làm việc",WORKDAY(IFERROR(IF(INDEX(SK_D,MATCH(M684,SK_A,0))="",B684,INDEX(SK_D,MATCH(M684,SK_A,0))),B684),O684,HOLI),IFERROR(IF(INDEX(SK_D,MATCH(M684,SK_A,0))="",B684,INDEX(SK_D,MATCH(M684,SK_A,0))),B684)+O684),B684+O684))</f>
        <v/>
      </c>
      <c r="I684" s="13" t="n"/>
      <c r="J684" s="12" t="n"/>
      <c r="K684" s="11" t="n"/>
      <c r="L684" s="27">
        <f>IF(E684="","",IF(I684="Bỏ qua","—",IF(I684="Xong",IF(AND(ISNUMBER(J684),ISNUMBER(H684),J684&gt;H684),"Xong trễ","Xong"),IF(F684="","CHƯA GIAO","")&amp;IF(NOT(ISNUMBER(H684)),"",IF(TODAY()&gt;H684,IF(F684=""," · ","")&amp;"QUÁ HẠN "&amp;(TODAY()-H684)&amp;" ngày",IF(H684-TODAY()&lt;=3,IF(F684=""," · ","")&amp;"Đến hạn "&amp;IF(H684=TODAY(),"hôm nay","trong "&amp;(H684-TODAY())&amp;" ngày"),""))))))</f>
        <v/>
      </c>
      <c r="Q684">
        <f>IF(AND(E684&lt;&gt;"",R684="Có",I684&lt;&gt;"Xong",I684&lt;&gt;"Bỏ qua",ISNUMBER(H684)),H684+ROW()/100000,"")</f>
        <v/>
      </c>
      <c r="R684">
        <f>IF(M684="","",IFERROR(INDEX(SK_L,MATCH(M684,SK_A,0)),""))</f>
        <v/>
      </c>
    </row>
    <row r="685">
      <c r="A685" s="11">
        <f>IF(M685="","",IFERROR(INDEX(SK_B,MATCH(M685,SK_A,0))&amp;"",""))</f>
        <v/>
      </c>
      <c r="B685" s="24">
        <f>IF(M685="","",IFERROR(INDEX(SK_C,MATCH(M685,SK_A,0)),""))</f>
        <v/>
      </c>
      <c r="C685" s="25">
        <f>IF(O685="","",IF(O685=0,"D",IF(O685&lt;0,"D"&amp;O685,"D+"&amp;O685)))</f>
        <v/>
      </c>
      <c r="D685" s="13" t="n"/>
      <c r="E685" s="11" t="n"/>
      <c r="F685" s="26" t="n"/>
      <c r="G685" s="13" t="n"/>
      <c r="H685" s="12">
        <f>IF(OR(B685="",O685=""),"",IF(O685&gt;0,IF(P685="Làm việc",WORKDAY(IFERROR(IF(INDEX(SK_D,MATCH(M685,SK_A,0))="",B685,INDEX(SK_D,MATCH(M685,SK_A,0))),B685),O685,HOLI),IFERROR(IF(INDEX(SK_D,MATCH(M685,SK_A,0))="",B685,INDEX(SK_D,MATCH(M685,SK_A,0))),B685)+O685),B685+O685))</f>
        <v/>
      </c>
      <c r="I685" s="13" t="n"/>
      <c r="J685" s="12" t="n"/>
      <c r="K685" s="11" t="n"/>
      <c r="L685" s="27">
        <f>IF(E685="","",IF(I685="Bỏ qua","—",IF(I685="Xong",IF(AND(ISNUMBER(J685),ISNUMBER(H685),J685&gt;H685),"Xong trễ","Xong"),IF(F685="","CHƯA GIAO","")&amp;IF(NOT(ISNUMBER(H685)),"",IF(TODAY()&gt;H685,IF(F685=""," · ","")&amp;"QUÁ HẠN "&amp;(TODAY()-H685)&amp;" ngày",IF(H685-TODAY()&lt;=3,IF(F685=""," · ","")&amp;"Đến hạn "&amp;IF(H685=TODAY(),"hôm nay","trong "&amp;(H685-TODAY())&amp;" ngày"),""))))))</f>
        <v/>
      </c>
      <c r="Q685">
        <f>IF(AND(E685&lt;&gt;"",R685="Có",I685&lt;&gt;"Xong",I685&lt;&gt;"Bỏ qua",ISNUMBER(H685)),H685+ROW()/100000,"")</f>
        <v/>
      </c>
      <c r="R685">
        <f>IF(M685="","",IFERROR(INDEX(SK_L,MATCH(M685,SK_A,0)),""))</f>
        <v/>
      </c>
    </row>
    <row r="686">
      <c r="A686" s="11">
        <f>IF(M686="","",IFERROR(INDEX(SK_B,MATCH(M686,SK_A,0))&amp;"",""))</f>
        <v/>
      </c>
      <c r="B686" s="24">
        <f>IF(M686="","",IFERROR(INDEX(SK_C,MATCH(M686,SK_A,0)),""))</f>
        <v/>
      </c>
      <c r="C686" s="25">
        <f>IF(O686="","",IF(O686=0,"D",IF(O686&lt;0,"D"&amp;O686,"D+"&amp;O686)))</f>
        <v/>
      </c>
      <c r="D686" s="13" t="n"/>
      <c r="E686" s="11" t="n"/>
      <c r="F686" s="26" t="n"/>
      <c r="G686" s="13" t="n"/>
      <c r="H686" s="12">
        <f>IF(OR(B686="",O686=""),"",IF(O686&gt;0,IF(P686="Làm việc",WORKDAY(IFERROR(IF(INDEX(SK_D,MATCH(M686,SK_A,0))="",B686,INDEX(SK_D,MATCH(M686,SK_A,0))),B686),O686,HOLI),IFERROR(IF(INDEX(SK_D,MATCH(M686,SK_A,0))="",B686,INDEX(SK_D,MATCH(M686,SK_A,0))),B686)+O686),B686+O686))</f>
        <v/>
      </c>
      <c r="I686" s="13" t="n"/>
      <c r="J686" s="12" t="n"/>
      <c r="K686" s="11" t="n"/>
      <c r="L686" s="27">
        <f>IF(E686="","",IF(I686="Bỏ qua","—",IF(I686="Xong",IF(AND(ISNUMBER(J686),ISNUMBER(H686),J686&gt;H686),"Xong trễ","Xong"),IF(F686="","CHƯA GIAO","")&amp;IF(NOT(ISNUMBER(H686)),"",IF(TODAY()&gt;H686,IF(F686=""," · ","")&amp;"QUÁ HẠN "&amp;(TODAY()-H686)&amp;" ngày",IF(H686-TODAY()&lt;=3,IF(F686=""," · ","")&amp;"Đến hạn "&amp;IF(H686=TODAY(),"hôm nay","trong "&amp;(H686-TODAY())&amp;" ngày"),""))))))</f>
        <v/>
      </c>
      <c r="Q686">
        <f>IF(AND(E686&lt;&gt;"",R686="Có",I686&lt;&gt;"Xong",I686&lt;&gt;"Bỏ qua",ISNUMBER(H686)),H686+ROW()/100000,"")</f>
        <v/>
      </c>
      <c r="R686">
        <f>IF(M686="","",IFERROR(INDEX(SK_L,MATCH(M686,SK_A,0)),""))</f>
        <v/>
      </c>
    </row>
    <row r="687">
      <c r="A687" s="11">
        <f>IF(M687="","",IFERROR(INDEX(SK_B,MATCH(M687,SK_A,0))&amp;"",""))</f>
        <v/>
      </c>
      <c r="B687" s="24">
        <f>IF(M687="","",IFERROR(INDEX(SK_C,MATCH(M687,SK_A,0)),""))</f>
        <v/>
      </c>
      <c r="C687" s="25">
        <f>IF(O687="","",IF(O687=0,"D",IF(O687&lt;0,"D"&amp;O687,"D+"&amp;O687)))</f>
        <v/>
      </c>
      <c r="D687" s="13" t="n"/>
      <c r="E687" s="11" t="n"/>
      <c r="F687" s="26" t="n"/>
      <c r="G687" s="13" t="n"/>
      <c r="H687" s="12">
        <f>IF(OR(B687="",O687=""),"",IF(O687&gt;0,IF(P687="Làm việc",WORKDAY(IFERROR(IF(INDEX(SK_D,MATCH(M687,SK_A,0))="",B687,INDEX(SK_D,MATCH(M687,SK_A,0))),B687),O687,HOLI),IFERROR(IF(INDEX(SK_D,MATCH(M687,SK_A,0))="",B687,INDEX(SK_D,MATCH(M687,SK_A,0))),B687)+O687),B687+O687))</f>
        <v/>
      </c>
      <c r="I687" s="13" t="n"/>
      <c r="J687" s="12" t="n"/>
      <c r="K687" s="11" t="n"/>
      <c r="L687" s="27">
        <f>IF(E687="","",IF(I687="Bỏ qua","—",IF(I687="Xong",IF(AND(ISNUMBER(J687),ISNUMBER(H687),J687&gt;H687),"Xong trễ","Xong"),IF(F687="","CHƯA GIAO","")&amp;IF(NOT(ISNUMBER(H687)),"",IF(TODAY()&gt;H687,IF(F687=""," · ","")&amp;"QUÁ HẠN "&amp;(TODAY()-H687)&amp;" ngày",IF(H687-TODAY()&lt;=3,IF(F687=""," · ","")&amp;"Đến hạn "&amp;IF(H687=TODAY(),"hôm nay","trong "&amp;(H687-TODAY())&amp;" ngày"),""))))))</f>
        <v/>
      </c>
      <c r="Q687">
        <f>IF(AND(E687&lt;&gt;"",R687="Có",I687&lt;&gt;"Xong",I687&lt;&gt;"Bỏ qua",ISNUMBER(H687)),H687+ROW()/100000,"")</f>
        <v/>
      </c>
      <c r="R687">
        <f>IF(M687="","",IFERROR(INDEX(SK_L,MATCH(M687,SK_A,0)),""))</f>
        <v/>
      </c>
    </row>
    <row r="688">
      <c r="A688" s="11">
        <f>IF(M688="","",IFERROR(INDEX(SK_B,MATCH(M688,SK_A,0))&amp;"",""))</f>
        <v/>
      </c>
      <c r="B688" s="24">
        <f>IF(M688="","",IFERROR(INDEX(SK_C,MATCH(M688,SK_A,0)),""))</f>
        <v/>
      </c>
      <c r="C688" s="25">
        <f>IF(O688="","",IF(O688=0,"D",IF(O688&lt;0,"D"&amp;O688,"D+"&amp;O688)))</f>
        <v/>
      </c>
      <c r="D688" s="13" t="n"/>
      <c r="E688" s="11" t="n"/>
      <c r="F688" s="26" t="n"/>
      <c r="G688" s="13" t="n"/>
      <c r="H688" s="12">
        <f>IF(OR(B688="",O688=""),"",IF(O688&gt;0,IF(P688="Làm việc",WORKDAY(IFERROR(IF(INDEX(SK_D,MATCH(M688,SK_A,0))="",B688,INDEX(SK_D,MATCH(M688,SK_A,0))),B688),O688,HOLI),IFERROR(IF(INDEX(SK_D,MATCH(M688,SK_A,0))="",B688,INDEX(SK_D,MATCH(M688,SK_A,0))),B688)+O688),B688+O688))</f>
        <v/>
      </c>
      <c r="I688" s="13" t="n"/>
      <c r="J688" s="12" t="n"/>
      <c r="K688" s="11" t="n"/>
      <c r="L688" s="27">
        <f>IF(E688="","",IF(I688="Bỏ qua","—",IF(I688="Xong",IF(AND(ISNUMBER(J688),ISNUMBER(H688),J688&gt;H688),"Xong trễ","Xong"),IF(F688="","CHƯA GIAO","")&amp;IF(NOT(ISNUMBER(H688)),"",IF(TODAY()&gt;H688,IF(F688=""," · ","")&amp;"QUÁ HẠN "&amp;(TODAY()-H688)&amp;" ngày",IF(H688-TODAY()&lt;=3,IF(F688=""," · ","")&amp;"Đến hạn "&amp;IF(H688=TODAY(),"hôm nay","trong "&amp;(H688-TODAY())&amp;" ngày"),""))))))</f>
        <v/>
      </c>
      <c r="Q688">
        <f>IF(AND(E688&lt;&gt;"",R688="Có",I688&lt;&gt;"Xong",I688&lt;&gt;"Bỏ qua",ISNUMBER(H688)),H688+ROW()/100000,"")</f>
        <v/>
      </c>
      <c r="R688">
        <f>IF(M688="","",IFERROR(INDEX(SK_L,MATCH(M688,SK_A,0)),""))</f>
        <v/>
      </c>
    </row>
    <row r="689">
      <c r="A689" s="11">
        <f>IF(M689="","",IFERROR(INDEX(SK_B,MATCH(M689,SK_A,0))&amp;"",""))</f>
        <v/>
      </c>
      <c r="B689" s="24">
        <f>IF(M689="","",IFERROR(INDEX(SK_C,MATCH(M689,SK_A,0)),""))</f>
        <v/>
      </c>
      <c r="C689" s="25">
        <f>IF(O689="","",IF(O689=0,"D",IF(O689&lt;0,"D"&amp;O689,"D+"&amp;O689)))</f>
        <v/>
      </c>
      <c r="D689" s="13" t="n"/>
      <c r="E689" s="11" t="n"/>
      <c r="F689" s="26" t="n"/>
      <c r="G689" s="13" t="n"/>
      <c r="H689" s="12">
        <f>IF(OR(B689="",O689=""),"",IF(O689&gt;0,IF(P689="Làm việc",WORKDAY(IFERROR(IF(INDEX(SK_D,MATCH(M689,SK_A,0))="",B689,INDEX(SK_D,MATCH(M689,SK_A,0))),B689),O689,HOLI),IFERROR(IF(INDEX(SK_D,MATCH(M689,SK_A,0))="",B689,INDEX(SK_D,MATCH(M689,SK_A,0))),B689)+O689),B689+O689))</f>
        <v/>
      </c>
      <c r="I689" s="13" t="n"/>
      <c r="J689" s="12" t="n"/>
      <c r="K689" s="11" t="n"/>
      <c r="L689" s="27">
        <f>IF(E689="","",IF(I689="Bỏ qua","—",IF(I689="Xong",IF(AND(ISNUMBER(J689),ISNUMBER(H689),J689&gt;H689),"Xong trễ","Xong"),IF(F689="","CHƯA GIAO","")&amp;IF(NOT(ISNUMBER(H689)),"",IF(TODAY()&gt;H689,IF(F689=""," · ","")&amp;"QUÁ HẠN "&amp;(TODAY()-H689)&amp;" ngày",IF(H689-TODAY()&lt;=3,IF(F689=""," · ","")&amp;"Đến hạn "&amp;IF(H689=TODAY(),"hôm nay","trong "&amp;(H689-TODAY())&amp;" ngày"),""))))))</f>
        <v/>
      </c>
      <c r="Q689">
        <f>IF(AND(E689&lt;&gt;"",R689="Có",I689&lt;&gt;"Xong",I689&lt;&gt;"Bỏ qua",ISNUMBER(H689)),H689+ROW()/100000,"")</f>
        <v/>
      </c>
      <c r="R689">
        <f>IF(M689="","",IFERROR(INDEX(SK_L,MATCH(M689,SK_A,0)),""))</f>
        <v/>
      </c>
    </row>
    <row r="690">
      <c r="A690" s="11">
        <f>IF(M690="","",IFERROR(INDEX(SK_B,MATCH(M690,SK_A,0))&amp;"",""))</f>
        <v/>
      </c>
      <c r="B690" s="24">
        <f>IF(M690="","",IFERROR(INDEX(SK_C,MATCH(M690,SK_A,0)),""))</f>
        <v/>
      </c>
      <c r="C690" s="25">
        <f>IF(O690="","",IF(O690=0,"D",IF(O690&lt;0,"D"&amp;O690,"D+"&amp;O690)))</f>
        <v/>
      </c>
      <c r="D690" s="13" t="n"/>
      <c r="E690" s="11" t="n"/>
      <c r="F690" s="26" t="n"/>
      <c r="G690" s="13" t="n"/>
      <c r="H690" s="12">
        <f>IF(OR(B690="",O690=""),"",IF(O690&gt;0,IF(P690="Làm việc",WORKDAY(IFERROR(IF(INDEX(SK_D,MATCH(M690,SK_A,0))="",B690,INDEX(SK_D,MATCH(M690,SK_A,0))),B690),O690,HOLI),IFERROR(IF(INDEX(SK_D,MATCH(M690,SK_A,0))="",B690,INDEX(SK_D,MATCH(M690,SK_A,0))),B690)+O690),B690+O690))</f>
        <v/>
      </c>
      <c r="I690" s="13" t="n"/>
      <c r="J690" s="12" t="n"/>
      <c r="K690" s="11" t="n"/>
      <c r="L690" s="27">
        <f>IF(E690="","",IF(I690="Bỏ qua","—",IF(I690="Xong",IF(AND(ISNUMBER(J690),ISNUMBER(H690),J690&gt;H690),"Xong trễ","Xong"),IF(F690="","CHƯA GIAO","")&amp;IF(NOT(ISNUMBER(H690)),"",IF(TODAY()&gt;H690,IF(F690=""," · ","")&amp;"QUÁ HẠN "&amp;(TODAY()-H690)&amp;" ngày",IF(H690-TODAY()&lt;=3,IF(F690=""," · ","")&amp;"Đến hạn "&amp;IF(H690=TODAY(),"hôm nay","trong "&amp;(H690-TODAY())&amp;" ngày"),""))))))</f>
        <v/>
      </c>
      <c r="Q690">
        <f>IF(AND(E690&lt;&gt;"",R690="Có",I690&lt;&gt;"Xong",I690&lt;&gt;"Bỏ qua",ISNUMBER(H690)),H690+ROW()/100000,"")</f>
        <v/>
      </c>
      <c r="R690">
        <f>IF(M690="","",IFERROR(INDEX(SK_L,MATCH(M690,SK_A,0)),""))</f>
        <v/>
      </c>
    </row>
    <row r="691">
      <c r="A691" s="11">
        <f>IF(M691="","",IFERROR(INDEX(SK_B,MATCH(M691,SK_A,0))&amp;"",""))</f>
        <v/>
      </c>
      <c r="B691" s="24">
        <f>IF(M691="","",IFERROR(INDEX(SK_C,MATCH(M691,SK_A,0)),""))</f>
        <v/>
      </c>
      <c r="C691" s="25">
        <f>IF(O691="","",IF(O691=0,"D",IF(O691&lt;0,"D"&amp;O691,"D+"&amp;O691)))</f>
        <v/>
      </c>
      <c r="D691" s="13" t="n"/>
      <c r="E691" s="11" t="n"/>
      <c r="F691" s="26" t="n"/>
      <c r="G691" s="13" t="n"/>
      <c r="H691" s="12">
        <f>IF(OR(B691="",O691=""),"",IF(O691&gt;0,IF(P691="Làm việc",WORKDAY(IFERROR(IF(INDEX(SK_D,MATCH(M691,SK_A,0))="",B691,INDEX(SK_D,MATCH(M691,SK_A,0))),B691),O691,HOLI),IFERROR(IF(INDEX(SK_D,MATCH(M691,SK_A,0))="",B691,INDEX(SK_D,MATCH(M691,SK_A,0))),B691)+O691),B691+O691))</f>
        <v/>
      </c>
      <c r="I691" s="13" t="n"/>
      <c r="J691" s="12" t="n"/>
      <c r="K691" s="11" t="n"/>
      <c r="L691" s="27">
        <f>IF(E691="","",IF(I691="Bỏ qua","—",IF(I691="Xong",IF(AND(ISNUMBER(J691),ISNUMBER(H691),J691&gt;H691),"Xong trễ","Xong"),IF(F691="","CHƯA GIAO","")&amp;IF(NOT(ISNUMBER(H691)),"",IF(TODAY()&gt;H691,IF(F691=""," · ","")&amp;"QUÁ HẠN "&amp;(TODAY()-H691)&amp;" ngày",IF(H691-TODAY()&lt;=3,IF(F691=""," · ","")&amp;"Đến hạn "&amp;IF(H691=TODAY(),"hôm nay","trong "&amp;(H691-TODAY())&amp;" ngày"),""))))))</f>
        <v/>
      </c>
      <c r="Q691">
        <f>IF(AND(E691&lt;&gt;"",R691="Có",I691&lt;&gt;"Xong",I691&lt;&gt;"Bỏ qua",ISNUMBER(H691)),H691+ROW()/100000,"")</f>
        <v/>
      </c>
      <c r="R691">
        <f>IF(M691="","",IFERROR(INDEX(SK_L,MATCH(M691,SK_A,0)),""))</f>
        <v/>
      </c>
    </row>
    <row r="692">
      <c r="A692" s="11">
        <f>IF(M692="","",IFERROR(INDEX(SK_B,MATCH(M692,SK_A,0))&amp;"",""))</f>
        <v/>
      </c>
      <c r="B692" s="24">
        <f>IF(M692="","",IFERROR(INDEX(SK_C,MATCH(M692,SK_A,0)),""))</f>
        <v/>
      </c>
      <c r="C692" s="25">
        <f>IF(O692="","",IF(O692=0,"D",IF(O692&lt;0,"D"&amp;O692,"D+"&amp;O692)))</f>
        <v/>
      </c>
      <c r="D692" s="13" t="n"/>
      <c r="E692" s="11" t="n"/>
      <c r="F692" s="26" t="n"/>
      <c r="G692" s="13" t="n"/>
      <c r="H692" s="12">
        <f>IF(OR(B692="",O692=""),"",IF(O692&gt;0,IF(P692="Làm việc",WORKDAY(IFERROR(IF(INDEX(SK_D,MATCH(M692,SK_A,0))="",B692,INDEX(SK_D,MATCH(M692,SK_A,0))),B692),O692,HOLI),IFERROR(IF(INDEX(SK_D,MATCH(M692,SK_A,0))="",B692,INDEX(SK_D,MATCH(M692,SK_A,0))),B692)+O692),B692+O692))</f>
        <v/>
      </c>
      <c r="I692" s="13" t="n"/>
      <c r="J692" s="12" t="n"/>
      <c r="K692" s="11" t="n"/>
      <c r="L692" s="27">
        <f>IF(E692="","",IF(I692="Bỏ qua","—",IF(I692="Xong",IF(AND(ISNUMBER(J692),ISNUMBER(H692),J692&gt;H692),"Xong trễ","Xong"),IF(F692="","CHƯA GIAO","")&amp;IF(NOT(ISNUMBER(H692)),"",IF(TODAY()&gt;H692,IF(F692=""," · ","")&amp;"QUÁ HẠN "&amp;(TODAY()-H692)&amp;" ngày",IF(H692-TODAY()&lt;=3,IF(F692=""," · ","")&amp;"Đến hạn "&amp;IF(H692=TODAY(),"hôm nay","trong "&amp;(H692-TODAY())&amp;" ngày"),""))))))</f>
        <v/>
      </c>
      <c r="Q692">
        <f>IF(AND(E692&lt;&gt;"",R692="Có",I692&lt;&gt;"Xong",I692&lt;&gt;"Bỏ qua",ISNUMBER(H692)),H692+ROW()/100000,"")</f>
        <v/>
      </c>
      <c r="R692">
        <f>IF(M692="","",IFERROR(INDEX(SK_L,MATCH(M692,SK_A,0)),""))</f>
        <v/>
      </c>
    </row>
    <row r="693">
      <c r="A693" s="11">
        <f>IF(M693="","",IFERROR(INDEX(SK_B,MATCH(M693,SK_A,0))&amp;"",""))</f>
        <v/>
      </c>
      <c r="B693" s="24">
        <f>IF(M693="","",IFERROR(INDEX(SK_C,MATCH(M693,SK_A,0)),""))</f>
        <v/>
      </c>
      <c r="C693" s="25">
        <f>IF(O693="","",IF(O693=0,"D",IF(O693&lt;0,"D"&amp;O693,"D+"&amp;O693)))</f>
        <v/>
      </c>
      <c r="D693" s="13" t="n"/>
      <c r="E693" s="11" t="n"/>
      <c r="F693" s="26" t="n"/>
      <c r="G693" s="13" t="n"/>
      <c r="H693" s="12">
        <f>IF(OR(B693="",O693=""),"",IF(O693&gt;0,IF(P693="Làm việc",WORKDAY(IFERROR(IF(INDEX(SK_D,MATCH(M693,SK_A,0))="",B693,INDEX(SK_D,MATCH(M693,SK_A,0))),B693),O693,HOLI),IFERROR(IF(INDEX(SK_D,MATCH(M693,SK_A,0))="",B693,INDEX(SK_D,MATCH(M693,SK_A,0))),B693)+O693),B693+O693))</f>
        <v/>
      </c>
      <c r="I693" s="13" t="n"/>
      <c r="J693" s="12" t="n"/>
      <c r="K693" s="11" t="n"/>
      <c r="L693" s="27">
        <f>IF(E693="","",IF(I693="Bỏ qua","—",IF(I693="Xong",IF(AND(ISNUMBER(J693),ISNUMBER(H693),J693&gt;H693),"Xong trễ","Xong"),IF(F693="","CHƯA GIAO","")&amp;IF(NOT(ISNUMBER(H693)),"",IF(TODAY()&gt;H693,IF(F693=""," · ","")&amp;"QUÁ HẠN "&amp;(TODAY()-H693)&amp;" ngày",IF(H693-TODAY()&lt;=3,IF(F693=""," · ","")&amp;"Đến hạn "&amp;IF(H693=TODAY(),"hôm nay","trong "&amp;(H693-TODAY())&amp;" ngày"),""))))))</f>
        <v/>
      </c>
      <c r="Q693">
        <f>IF(AND(E693&lt;&gt;"",R693="Có",I693&lt;&gt;"Xong",I693&lt;&gt;"Bỏ qua",ISNUMBER(H693)),H693+ROW()/100000,"")</f>
        <v/>
      </c>
      <c r="R693">
        <f>IF(M693="","",IFERROR(INDEX(SK_L,MATCH(M693,SK_A,0)),""))</f>
        <v/>
      </c>
    </row>
    <row r="694">
      <c r="A694" s="11">
        <f>IF(M694="","",IFERROR(INDEX(SK_B,MATCH(M694,SK_A,0))&amp;"",""))</f>
        <v/>
      </c>
      <c r="B694" s="24">
        <f>IF(M694="","",IFERROR(INDEX(SK_C,MATCH(M694,SK_A,0)),""))</f>
        <v/>
      </c>
      <c r="C694" s="25">
        <f>IF(O694="","",IF(O694=0,"D",IF(O694&lt;0,"D"&amp;O694,"D+"&amp;O694)))</f>
        <v/>
      </c>
      <c r="D694" s="13" t="n"/>
      <c r="E694" s="11" t="n"/>
      <c r="F694" s="26" t="n"/>
      <c r="G694" s="13" t="n"/>
      <c r="H694" s="12">
        <f>IF(OR(B694="",O694=""),"",IF(O694&gt;0,IF(P694="Làm việc",WORKDAY(IFERROR(IF(INDEX(SK_D,MATCH(M694,SK_A,0))="",B694,INDEX(SK_D,MATCH(M694,SK_A,0))),B694),O694,HOLI),IFERROR(IF(INDEX(SK_D,MATCH(M694,SK_A,0))="",B694,INDEX(SK_D,MATCH(M694,SK_A,0))),B694)+O694),B694+O694))</f>
        <v/>
      </c>
      <c r="I694" s="13" t="n"/>
      <c r="J694" s="12" t="n"/>
      <c r="K694" s="11" t="n"/>
      <c r="L694" s="27">
        <f>IF(E694="","",IF(I694="Bỏ qua","—",IF(I694="Xong",IF(AND(ISNUMBER(J694),ISNUMBER(H694),J694&gt;H694),"Xong trễ","Xong"),IF(F694="","CHƯA GIAO","")&amp;IF(NOT(ISNUMBER(H694)),"",IF(TODAY()&gt;H694,IF(F694=""," · ","")&amp;"QUÁ HẠN "&amp;(TODAY()-H694)&amp;" ngày",IF(H694-TODAY()&lt;=3,IF(F694=""," · ","")&amp;"Đến hạn "&amp;IF(H694=TODAY(),"hôm nay","trong "&amp;(H694-TODAY())&amp;" ngày"),""))))))</f>
        <v/>
      </c>
      <c r="Q694">
        <f>IF(AND(E694&lt;&gt;"",R694="Có",I694&lt;&gt;"Xong",I694&lt;&gt;"Bỏ qua",ISNUMBER(H694)),H694+ROW()/100000,"")</f>
        <v/>
      </c>
      <c r="R694">
        <f>IF(M694="","",IFERROR(INDEX(SK_L,MATCH(M694,SK_A,0)),""))</f>
        <v/>
      </c>
    </row>
    <row r="695">
      <c r="A695" s="11">
        <f>IF(M695="","",IFERROR(INDEX(SK_B,MATCH(M695,SK_A,0))&amp;"",""))</f>
        <v/>
      </c>
      <c r="B695" s="24">
        <f>IF(M695="","",IFERROR(INDEX(SK_C,MATCH(M695,SK_A,0)),""))</f>
        <v/>
      </c>
      <c r="C695" s="25">
        <f>IF(O695="","",IF(O695=0,"D",IF(O695&lt;0,"D"&amp;O695,"D+"&amp;O695)))</f>
        <v/>
      </c>
      <c r="D695" s="13" t="n"/>
      <c r="E695" s="11" t="n"/>
      <c r="F695" s="26" t="n"/>
      <c r="G695" s="13" t="n"/>
      <c r="H695" s="12">
        <f>IF(OR(B695="",O695=""),"",IF(O695&gt;0,IF(P695="Làm việc",WORKDAY(IFERROR(IF(INDEX(SK_D,MATCH(M695,SK_A,0))="",B695,INDEX(SK_D,MATCH(M695,SK_A,0))),B695),O695,HOLI),IFERROR(IF(INDEX(SK_D,MATCH(M695,SK_A,0))="",B695,INDEX(SK_D,MATCH(M695,SK_A,0))),B695)+O695),B695+O695))</f>
        <v/>
      </c>
      <c r="I695" s="13" t="n"/>
      <c r="J695" s="12" t="n"/>
      <c r="K695" s="11" t="n"/>
      <c r="L695" s="27">
        <f>IF(E695="","",IF(I695="Bỏ qua","—",IF(I695="Xong",IF(AND(ISNUMBER(J695),ISNUMBER(H695),J695&gt;H695),"Xong trễ","Xong"),IF(F695="","CHƯA GIAO","")&amp;IF(NOT(ISNUMBER(H695)),"",IF(TODAY()&gt;H695,IF(F695=""," · ","")&amp;"QUÁ HẠN "&amp;(TODAY()-H695)&amp;" ngày",IF(H695-TODAY()&lt;=3,IF(F695=""," · ","")&amp;"Đến hạn "&amp;IF(H695=TODAY(),"hôm nay","trong "&amp;(H695-TODAY())&amp;" ngày"),""))))))</f>
        <v/>
      </c>
      <c r="Q695">
        <f>IF(AND(E695&lt;&gt;"",R695="Có",I695&lt;&gt;"Xong",I695&lt;&gt;"Bỏ qua",ISNUMBER(H695)),H695+ROW()/100000,"")</f>
        <v/>
      </c>
      <c r="R695">
        <f>IF(M695="","",IFERROR(INDEX(SK_L,MATCH(M695,SK_A,0)),""))</f>
        <v/>
      </c>
    </row>
    <row r="696">
      <c r="A696" s="11">
        <f>IF(M696="","",IFERROR(INDEX(SK_B,MATCH(M696,SK_A,0))&amp;"",""))</f>
        <v/>
      </c>
      <c r="B696" s="24">
        <f>IF(M696="","",IFERROR(INDEX(SK_C,MATCH(M696,SK_A,0)),""))</f>
        <v/>
      </c>
      <c r="C696" s="25">
        <f>IF(O696="","",IF(O696=0,"D",IF(O696&lt;0,"D"&amp;O696,"D+"&amp;O696)))</f>
        <v/>
      </c>
      <c r="D696" s="13" t="n"/>
      <c r="E696" s="11" t="n"/>
      <c r="F696" s="26" t="n"/>
      <c r="G696" s="13" t="n"/>
      <c r="H696" s="12">
        <f>IF(OR(B696="",O696=""),"",IF(O696&gt;0,IF(P696="Làm việc",WORKDAY(IFERROR(IF(INDEX(SK_D,MATCH(M696,SK_A,0))="",B696,INDEX(SK_D,MATCH(M696,SK_A,0))),B696),O696,HOLI),IFERROR(IF(INDEX(SK_D,MATCH(M696,SK_A,0))="",B696,INDEX(SK_D,MATCH(M696,SK_A,0))),B696)+O696),B696+O696))</f>
        <v/>
      </c>
      <c r="I696" s="13" t="n"/>
      <c r="J696" s="12" t="n"/>
      <c r="K696" s="11" t="n"/>
      <c r="L696" s="27">
        <f>IF(E696="","",IF(I696="Bỏ qua","—",IF(I696="Xong",IF(AND(ISNUMBER(J696),ISNUMBER(H696),J696&gt;H696),"Xong trễ","Xong"),IF(F696="","CHƯA GIAO","")&amp;IF(NOT(ISNUMBER(H696)),"",IF(TODAY()&gt;H696,IF(F696=""," · ","")&amp;"QUÁ HẠN "&amp;(TODAY()-H696)&amp;" ngày",IF(H696-TODAY()&lt;=3,IF(F696=""," · ","")&amp;"Đến hạn "&amp;IF(H696=TODAY(),"hôm nay","trong "&amp;(H696-TODAY())&amp;" ngày"),""))))))</f>
        <v/>
      </c>
      <c r="Q696">
        <f>IF(AND(E696&lt;&gt;"",R696="Có",I696&lt;&gt;"Xong",I696&lt;&gt;"Bỏ qua",ISNUMBER(H696)),H696+ROW()/100000,"")</f>
        <v/>
      </c>
      <c r="R696">
        <f>IF(M696="","",IFERROR(INDEX(SK_L,MATCH(M696,SK_A,0)),""))</f>
        <v/>
      </c>
    </row>
    <row r="697">
      <c r="A697" s="11">
        <f>IF(M697="","",IFERROR(INDEX(SK_B,MATCH(M697,SK_A,0))&amp;"",""))</f>
        <v/>
      </c>
      <c r="B697" s="24">
        <f>IF(M697="","",IFERROR(INDEX(SK_C,MATCH(M697,SK_A,0)),""))</f>
        <v/>
      </c>
      <c r="C697" s="25">
        <f>IF(O697="","",IF(O697=0,"D",IF(O697&lt;0,"D"&amp;O697,"D+"&amp;O697)))</f>
        <v/>
      </c>
      <c r="D697" s="13" t="n"/>
      <c r="E697" s="11" t="n"/>
      <c r="F697" s="26" t="n"/>
      <c r="G697" s="13" t="n"/>
      <c r="H697" s="12">
        <f>IF(OR(B697="",O697=""),"",IF(O697&gt;0,IF(P697="Làm việc",WORKDAY(IFERROR(IF(INDEX(SK_D,MATCH(M697,SK_A,0))="",B697,INDEX(SK_D,MATCH(M697,SK_A,0))),B697),O697,HOLI),IFERROR(IF(INDEX(SK_D,MATCH(M697,SK_A,0))="",B697,INDEX(SK_D,MATCH(M697,SK_A,0))),B697)+O697),B697+O697))</f>
        <v/>
      </c>
      <c r="I697" s="13" t="n"/>
      <c r="J697" s="12" t="n"/>
      <c r="K697" s="11" t="n"/>
      <c r="L697" s="27">
        <f>IF(E697="","",IF(I697="Bỏ qua","—",IF(I697="Xong",IF(AND(ISNUMBER(J697),ISNUMBER(H697),J697&gt;H697),"Xong trễ","Xong"),IF(F697="","CHƯA GIAO","")&amp;IF(NOT(ISNUMBER(H697)),"",IF(TODAY()&gt;H697,IF(F697=""," · ","")&amp;"QUÁ HẠN "&amp;(TODAY()-H697)&amp;" ngày",IF(H697-TODAY()&lt;=3,IF(F697=""," · ","")&amp;"Đến hạn "&amp;IF(H697=TODAY(),"hôm nay","trong "&amp;(H697-TODAY())&amp;" ngày"),""))))))</f>
        <v/>
      </c>
      <c r="Q697">
        <f>IF(AND(E697&lt;&gt;"",R697="Có",I697&lt;&gt;"Xong",I697&lt;&gt;"Bỏ qua",ISNUMBER(H697)),H697+ROW()/100000,"")</f>
        <v/>
      </c>
      <c r="R697">
        <f>IF(M697="","",IFERROR(INDEX(SK_L,MATCH(M697,SK_A,0)),""))</f>
        <v/>
      </c>
    </row>
    <row r="698">
      <c r="A698" s="11">
        <f>IF(M698="","",IFERROR(INDEX(SK_B,MATCH(M698,SK_A,0))&amp;"",""))</f>
        <v/>
      </c>
      <c r="B698" s="24">
        <f>IF(M698="","",IFERROR(INDEX(SK_C,MATCH(M698,SK_A,0)),""))</f>
        <v/>
      </c>
      <c r="C698" s="25">
        <f>IF(O698="","",IF(O698=0,"D",IF(O698&lt;0,"D"&amp;O698,"D+"&amp;O698)))</f>
        <v/>
      </c>
      <c r="D698" s="13" t="n"/>
      <c r="E698" s="11" t="n"/>
      <c r="F698" s="26" t="n"/>
      <c r="G698" s="13" t="n"/>
      <c r="H698" s="12">
        <f>IF(OR(B698="",O698=""),"",IF(O698&gt;0,IF(P698="Làm việc",WORKDAY(IFERROR(IF(INDEX(SK_D,MATCH(M698,SK_A,0))="",B698,INDEX(SK_D,MATCH(M698,SK_A,0))),B698),O698,HOLI),IFERROR(IF(INDEX(SK_D,MATCH(M698,SK_A,0))="",B698,INDEX(SK_D,MATCH(M698,SK_A,0))),B698)+O698),B698+O698))</f>
        <v/>
      </c>
      <c r="I698" s="13" t="n"/>
      <c r="J698" s="12" t="n"/>
      <c r="K698" s="11" t="n"/>
      <c r="L698" s="27">
        <f>IF(E698="","",IF(I698="Bỏ qua","—",IF(I698="Xong",IF(AND(ISNUMBER(J698),ISNUMBER(H698),J698&gt;H698),"Xong trễ","Xong"),IF(F698="","CHƯA GIAO","")&amp;IF(NOT(ISNUMBER(H698)),"",IF(TODAY()&gt;H698,IF(F698=""," · ","")&amp;"QUÁ HẠN "&amp;(TODAY()-H698)&amp;" ngày",IF(H698-TODAY()&lt;=3,IF(F698=""," · ","")&amp;"Đến hạn "&amp;IF(H698=TODAY(),"hôm nay","trong "&amp;(H698-TODAY())&amp;" ngày"),""))))))</f>
        <v/>
      </c>
      <c r="Q698">
        <f>IF(AND(E698&lt;&gt;"",R698="Có",I698&lt;&gt;"Xong",I698&lt;&gt;"Bỏ qua",ISNUMBER(H698)),H698+ROW()/100000,"")</f>
        <v/>
      </c>
      <c r="R698">
        <f>IF(M698="","",IFERROR(INDEX(SK_L,MATCH(M698,SK_A,0)),""))</f>
        <v/>
      </c>
    </row>
    <row r="699">
      <c r="A699" s="11">
        <f>IF(M699="","",IFERROR(INDEX(SK_B,MATCH(M699,SK_A,0))&amp;"",""))</f>
        <v/>
      </c>
      <c r="B699" s="24">
        <f>IF(M699="","",IFERROR(INDEX(SK_C,MATCH(M699,SK_A,0)),""))</f>
        <v/>
      </c>
      <c r="C699" s="25">
        <f>IF(O699="","",IF(O699=0,"D",IF(O699&lt;0,"D"&amp;O699,"D+"&amp;O699)))</f>
        <v/>
      </c>
      <c r="D699" s="13" t="n"/>
      <c r="E699" s="11" t="n"/>
      <c r="F699" s="26" t="n"/>
      <c r="G699" s="13" t="n"/>
      <c r="H699" s="12">
        <f>IF(OR(B699="",O699=""),"",IF(O699&gt;0,IF(P699="Làm việc",WORKDAY(IFERROR(IF(INDEX(SK_D,MATCH(M699,SK_A,0))="",B699,INDEX(SK_D,MATCH(M699,SK_A,0))),B699),O699,HOLI),IFERROR(IF(INDEX(SK_D,MATCH(M699,SK_A,0))="",B699,INDEX(SK_D,MATCH(M699,SK_A,0))),B699)+O699),B699+O699))</f>
        <v/>
      </c>
      <c r="I699" s="13" t="n"/>
      <c r="J699" s="12" t="n"/>
      <c r="K699" s="11" t="n"/>
      <c r="L699" s="27">
        <f>IF(E699="","",IF(I699="Bỏ qua","—",IF(I699="Xong",IF(AND(ISNUMBER(J699),ISNUMBER(H699),J699&gt;H699),"Xong trễ","Xong"),IF(F699="","CHƯA GIAO","")&amp;IF(NOT(ISNUMBER(H699)),"",IF(TODAY()&gt;H699,IF(F699=""," · ","")&amp;"QUÁ HẠN "&amp;(TODAY()-H699)&amp;" ngày",IF(H699-TODAY()&lt;=3,IF(F699=""," · ","")&amp;"Đến hạn "&amp;IF(H699=TODAY(),"hôm nay","trong "&amp;(H699-TODAY())&amp;" ngày"),""))))))</f>
        <v/>
      </c>
      <c r="Q699">
        <f>IF(AND(E699&lt;&gt;"",R699="Có",I699&lt;&gt;"Xong",I699&lt;&gt;"Bỏ qua",ISNUMBER(H699)),H699+ROW()/100000,"")</f>
        <v/>
      </c>
      <c r="R699">
        <f>IF(M699="","",IFERROR(INDEX(SK_L,MATCH(M699,SK_A,0)),""))</f>
        <v/>
      </c>
    </row>
    <row r="700">
      <c r="A700" s="11">
        <f>IF(M700="","",IFERROR(INDEX(SK_B,MATCH(M700,SK_A,0))&amp;"",""))</f>
        <v/>
      </c>
      <c r="B700" s="24">
        <f>IF(M700="","",IFERROR(INDEX(SK_C,MATCH(M700,SK_A,0)),""))</f>
        <v/>
      </c>
      <c r="C700" s="25">
        <f>IF(O700="","",IF(O700=0,"D",IF(O700&lt;0,"D"&amp;O700,"D+"&amp;O700)))</f>
        <v/>
      </c>
      <c r="D700" s="13" t="n"/>
      <c r="E700" s="11" t="n"/>
      <c r="F700" s="26" t="n"/>
      <c r="G700" s="13" t="n"/>
      <c r="H700" s="12">
        <f>IF(OR(B700="",O700=""),"",IF(O700&gt;0,IF(P700="Làm việc",WORKDAY(IFERROR(IF(INDEX(SK_D,MATCH(M700,SK_A,0))="",B700,INDEX(SK_D,MATCH(M700,SK_A,0))),B700),O700,HOLI),IFERROR(IF(INDEX(SK_D,MATCH(M700,SK_A,0))="",B700,INDEX(SK_D,MATCH(M700,SK_A,0))),B700)+O700),B700+O700))</f>
        <v/>
      </c>
      <c r="I700" s="13" t="n"/>
      <c r="J700" s="12" t="n"/>
      <c r="K700" s="11" t="n"/>
      <c r="L700" s="27">
        <f>IF(E700="","",IF(I700="Bỏ qua","—",IF(I700="Xong",IF(AND(ISNUMBER(J700),ISNUMBER(H700),J700&gt;H700),"Xong trễ","Xong"),IF(F700="","CHƯA GIAO","")&amp;IF(NOT(ISNUMBER(H700)),"",IF(TODAY()&gt;H700,IF(F700=""," · ","")&amp;"QUÁ HẠN "&amp;(TODAY()-H700)&amp;" ngày",IF(H700-TODAY()&lt;=3,IF(F700=""," · ","")&amp;"Đến hạn "&amp;IF(H700=TODAY(),"hôm nay","trong "&amp;(H700-TODAY())&amp;" ngày"),""))))))</f>
        <v/>
      </c>
      <c r="Q700">
        <f>IF(AND(E700&lt;&gt;"",R700="Có",I700&lt;&gt;"Xong",I700&lt;&gt;"Bỏ qua",ISNUMBER(H700)),H700+ROW()/100000,"")</f>
        <v/>
      </c>
      <c r="R700">
        <f>IF(M700="","",IFERROR(INDEX(SK_L,MATCH(M700,SK_A,0)),""))</f>
        <v/>
      </c>
    </row>
    <row r="701">
      <c r="A701" s="11">
        <f>IF(M701="","",IFERROR(INDEX(SK_B,MATCH(M701,SK_A,0))&amp;"",""))</f>
        <v/>
      </c>
      <c r="B701" s="24">
        <f>IF(M701="","",IFERROR(INDEX(SK_C,MATCH(M701,SK_A,0)),""))</f>
        <v/>
      </c>
      <c r="C701" s="25">
        <f>IF(O701="","",IF(O701=0,"D",IF(O701&lt;0,"D"&amp;O701,"D+"&amp;O701)))</f>
        <v/>
      </c>
      <c r="D701" s="13" t="n"/>
      <c r="E701" s="11" t="n"/>
      <c r="F701" s="26" t="n"/>
      <c r="G701" s="13" t="n"/>
      <c r="H701" s="12">
        <f>IF(OR(B701="",O701=""),"",IF(O701&gt;0,IF(P701="Làm việc",WORKDAY(IFERROR(IF(INDEX(SK_D,MATCH(M701,SK_A,0))="",B701,INDEX(SK_D,MATCH(M701,SK_A,0))),B701),O701,HOLI),IFERROR(IF(INDEX(SK_D,MATCH(M701,SK_A,0))="",B701,INDEX(SK_D,MATCH(M701,SK_A,0))),B701)+O701),B701+O701))</f>
        <v/>
      </c>
      <c r="I701" s="13" t="n"/>
      <c r="J701" s="12" t="n"/>
      <c r="K701" s="11" t="n"/>
      <c r="L701" s="27">
        <f>IF(E701="","",IF(I701="Bỏ qua","—",IF(I701="Xong",IF(AND(ISNUMBER(J701),ISNUMBER(H701),J701&gt;H701),"Xong trễ","Xong"),IF(F701="","CHƯA GIAO","")&amp;IF(NOT(ISNUMBER(H701)),"",IF(TODAY()&gt;H701,IF(F701=""," · ","")&amp;"QUÁ HẠN "&amp;(TODAY()-H701)&amp;" ngày",IF(H701-TODAY()&lt;=3,IF(F701=""," · ","")&amp;"Đến hạn "&amp;IF(H701=TODAY(),"hôm nay","trong "&amp;(H701-TODAY())&amp;" ngày"),""))))))</f>
        <v/>
      </c>
      <c r="Q701">
        <f>IF(AND(E701&lt;&gt;"",R701="Có",I701&lt;&gt;"Xong",I701&lt;&gt;"Bỏ qua",ISNUMBER(H701)),H701+ROW()/100000,"")</f>
        <v/>
      </c>
      <c r="R701">
        <f>IF(M701="","",IFERROR(INDEX(SK_L,MATCH(M701,SK_A,0)),""))</f>
        <v/>
      </c>
    </row>
    <row r="702">
      <c r="A702" s="11">
        <f>IF(M702="","",IFERROR(INDEX(SK_B,MATCH(M702,SK_A,0))&amp;"",""))</f>
        <v/>
      </c>
      <c r="B702" s="24">
        <f>IF(M702="","",IFERROR(INDEX(SK_C,MATCH(M702,SK_A,0)),""))</f>
        <v/>
      </c>
      <c r="C702" s="25">
        <f>IF(O702="","",IF(O702=0,"D",IF(O702&lt;0,"D"&amp;O702,"D+"&amp;O702)))</f>
        <v/>
      </c>
      <c r="D702" s="13" t="n"/>
      <c r="E702" s="11" t="n"/>
      <c r="F702" s="26" t="n"/>
      <c r="G702" s="13" t="n"/>
      <c r="H702" s="12">
        <f>IF(OR(B702="",O702=""),"",IF(O702&gt;0,IF(P702="Làm việc",WORKDAY(IFERROR(IF(INDEX(SK_D,MATCH(M702,SK_A,0))="",B702,INDEX(SK_D,MATCH(M702,SK_A,0))),B702),O702,HOLI),IFERROR(IF(INDEX(SK_D,MATCH(M702,SK_A,0))="",B702,INDEX(SK_D,MATCH(M702,SK_A,0))),B702)+O702),B702+O702))</f>
        <v/>
      </c>
      <c r="I702" s="13" t="n"/>
      <c r="J702" s="12" t="n"/>
      <c r="K702" s="11" t="n"/>
      <c r="L702" s="27">
        <f>IF(E702="","",IF(I702="Bỏ qua","—",IF(I702="Xong",IF(AND(ISNUMBER(J702),ISNUMBER(H702),J702&gt;H702),"Xong trễ","Xong"),IF(F702="","CHƯA GIAO","")&amp;IF(NOT(ISNUMBER(H702)),"",IF(TODAY()&gt;H702,IF(F702=""," · ","")&amp;"QUÁ HẠN "&amp;(TODAY()-H702)&amp;" ngày",IF(H702-TODAY()&lt;=3,IF(F702=""," · ","")&amp;"Đến hạn "&amp;IF(H702=TODAY(),"hôm nay","trong "&amp;(H702-TODAY())&amp;" ngày"),""))))))</f>
        <v/>
      </c>
      <c r="Q702">
        <f>IF(AND(E702&lt;&gt;"",R702="Có",I702&lt;&gt;"Xong",I702&lt;&gt;"Bỏ qua",ISNUMBER(H702)),H702+ROW()/100000,"")</f>
        <v/>
      </c>
      <c r="R702">
        <f>IF(M702="","",IFERROR(INDEX(SK_L,MATCH(M702,SK_A,0)),""))</f>
        <v/>
      </c>
    </row>
    <row r="703">
      <c r="A703" s="11">
        <f>IF(M703="","",IFERROR(INDEX(SK_B,MATCH(M703,SK_A,0))&amp;"",""))</f>
        <v/>
      </c>
      <c r="B703" s="24">
        <f>IF(M703="","",IFERROR(INDEX(SK_C,MATCH(M703,SK_A,0)),""))</f>
        <v/>
      </c>
      <c r="C703" s="25">
        <f>IF(O703="","",IF(O703=0,"D",IF(O703&lt;0,"D"&amp;O703,"D+"&amp;O703)))</f>
        <v/>
      </c>
      <c r="D703" s="13" t="n"/>
      <c r="E703" s="11" t="n"/>
      <c r="F703" s="26" t="n"/>
      <c r="G703" s="13" t="n"/>
      <c r="H703" s="12">
        <f>IF(OR(B703="",O703=""),"",IF(O703&gt;0,IF(P703="Làm việc",WORKDAY(IFERROR(IF(INDEX(SK_D,MATCH(M703,SK_A,0))="",B703,INDEX(SK_D,MATCH(M703,SK_A,0))),B703),O703,HOLI),IFERROR(IF(INDEX(SK_D,MATCH(M703,SK_A,0))="",B703,INDEX(SK_D,MATCH(M703,SK_A,0))),B703)+O703),B703+O703))</f>
        <v/>
      </c>
      <c r="I703" s="13" t="n"/>
      <c r="J703" s="12" t="n"/>
      <c r="K703" s="11" t="n"/>
      <c r="L703" s="27">
        <f>IF(E703="","",IF(I703="Bỏ qua","—",IF(I703="Xong",IF(AND(ISNUMBER(J703),ISNUMBER(H703),J703&gt;H703),"Xong trễ","Xong"),IF(F703="","CHƯA GIAO","")&amp;IF(NOT(ISNUMBER(H703)),"",IF(TODAY()&gt;H703,IF(F703=""," · ","")&amp;"QUÁ HẠN "&amp;(TODAY()-H703)&amp;" ngày",IF(H703-TODAY()&lt;=3,IF(F703=""," · ","")&amp;"Đến hạn "&amp;IF(H703=TODAY(),"hôm nay","trong "&amp;(H703-TODAY())&amp;" ngày"),""))))))</f>
        <v/>
      </c>
      <c r="Q703">
        <f>IF(AND(E703&lt;&gt;"",R703="Có",I703&lt;&gt;"Xong",I703&lt;&gt;"Bỏ qua",ISNUMBER(H703)),H703+ROW()/100000,"")</f>
        <v/>
      </c>
      <c r="R703">
        <f>IF(M703="","",IFERROR(INDEX(SK_L,MATCH(M703,SK_A,0)),""))</f>
        <v/>
      </c>
    </row>
    <row r="704">
      <c r="A704" s="11">
        <f>IF(M704="","",IFERROR(INDEX(SK_B,MATCH(M704,SK_A,0))&amp;"",""))</f>
        <v/>
      </c>
      <c r="B704" s="24">
        <f>IF(M704="","",IFERROR(INDEX(SK_C,MATCH(M704,SK_A,0)),""))</f>
        <v/>
      </c>
      <c r="C704" s="25">
        <f>IF(O704="","",IF(O704=0,"D",IF(O704&lt;0,"D"&amp;O704,"D+"&amp;O704)))</f>
        <v/>
      </c>
      <c r="D704" s="13" t="n"/>
      <c r="E704" s="11" t="n"/>
      <c r="F704" s="26" t="n"/>
      <c r="G704" s="13" t="n"/>
      <c r="H704" s="12">
        <f>IF(OR(B704="",O704=""),"",IF(O704&gt;0,IF(P704="Làm việc",WORKDAY(IFERROR(IF(INDEX(SK_D,MATCH(M704,SK_A,0))="",B704,INDEX(SK_D,MATCH(M704,SK_A,0))),B704),O704,HOLI),IFERROR(IF(INDEX(SK_D,MATCH(M704,SK_A,0))="",B704,INDEX(SK_D,MATCH(M704,SK_A,0))),B704)+O704),B704+O704))</f>
        <v/>
      </c>
      <c r="I704" s="13" t="n"/>
      <c r="J704" s="12" t="n"/>
      <c r="K704" s="11" t="n"/>
      <c r="L704" s="27">
        <f>IF(E704="","",IF(I704="Bỏ qua","—",IF(I704="Xong",IF(AND(ISNUMBER(J704),ISNUMBER(H704),J704&gt;H704),"Xong trễ","Xong"),IF(F704="","CHƯA GIAO","")&amp;IF(NOT(ISNUMBER(H704)),"",IF(TODAY()&gt;H704,IF(F704=""," · ","")&amp;"QUÁ HẠN "&amp;(TODAY()-H704)&amp;" ngày",IF(H704-TODAY()&lt;=3,IF(F704=""," · ","")&amp;"Đến hạn "&amp;IF(H704=TODAY(),"hôm nay","trong "&amp;(H704-TODAY())&amp;" ngày"),""))))))</f>
        <v/>
      </c>
      <c r="Q704">
        <f>IF(AND(E704&lt;&gt;"",R704="Có",I704&lt;&gt;"Xong",I704&lt;&gt;"Bỏ qua",ISNUMBER(H704)),H704+ROW()/100000,"")</f>
        <v/>
      </c>
      <c r="R704">
        <f>IF(M704="","",IFERROR(INDEX(SK_L,MATCH(M704,SK_A,0)),""))</f>
        <v/>
      </c>
    </row>
  </sheetData>
  <autoFilter ref="A4:L3004"/>
  <conditionalFormatting sqref="A5:L3004">
    <cfRule type="expression" priority="1" dxfId="6">
      <formula>$I5="Bỏ qua"</formula>
    </cfRule>
    <cfRule type="expression" priority="2" dxfId="3">
      <formula>ISNUMBER(SEARCH("QUÁ HẠN",$L5))</formula>
    </cfRule>
    <cfRule type="expression" priority="3" dxfId="4">
      <formula>ISNUMBER(SEARCH("Đến hạn",$L5))</formula>
    </cfRule>
    <cfRule type="expression" priority="4" dxfId="7">
      <formula>LEFT($L5,4)="Xong"</formula>
    </cfRule>
  </conditionalFormatting>
  <conditionalFormatting sqref="F5:F3004">
    <cfRule type="expression" priority="5" dxfId="5">
      <formula>AND($E5&lt;&gt;"",$F5="")</formula>
    </cfRule>
  </conditionalFormatting>
  <conditionalFormatting sqref="A5:A3004">
    <cfRule type="expression" priority="6" dxfId="8">
      <formula>$A5&lt;&gt;$A4</formula>
    </cfRule>
  </conditionalFormatting>
  <conditionalFormatting sqref="L5:L3004">
    <cfRule type="expression" priority="7" dxfId="9">
      <formula>ISNUMBER(SEARCH("QUÁ HẠN",$L5))</formula>
    </cfRule>
  </conditionalFormatting>
  <dataValidations count="3">
    <dataValidation sqref="F5:F3004" showDropDown="0" showInputMessage="0" showErrorMessage="0" allowBlank="1" type="list">
      <formula1>PEOPLE</formula1>
    </dataValidation>
    <dataValidation sqref="I5:I3004" showDropDown="0" showInputMessage="0" showErrorMessage="0" allowBlank="1" type="list">
      <formula1>"Chưa làm,Đang làm,Chờ đối tác,Xong,Bỏ qua"</formula1>
    </dataValidation>
    <dataValidation sqref="J5:J3004" showDropDown="0" showInputMessage="0" showErrorMessage="0" allowBlank="1" type="date" operator="greaterThan">
      <formula1>40000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E9B5F"/>
    <outlinePr summaryBelow="1" summaryRight="1"/>
    <pageSetUpPr/>
  </sheetPr>
  <dimension ref="A1:T3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8" customWidth="1" min="2" max="2"/>
    <col width="11" customWidth="1" min="3" max="3"/>
    <col width="11" customWidth="1" min="4" max="4"/>
    <col width="14" customWidth="1" min="5" max="5"/>
    <col width="10" customWidth="1" min="6" max="6"/>
    <col width="14" customWidth="1" min="7" max="7"/>
    <col width="16" customWidth="1" min="8" max="8"/>
    <col width="8" customWidth="1" min="9" max="9"/>
    <col width="13" customWidth="1" min="10" max="10"/>
    <col width="18" customWidth="1" min="11" max="11"/>
    <col width="8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14" customWidth="1" min="18" max="18"/>
    <col width="14" customWidth="1" min="19" max="19"/>
    <col hidden="1" width="3" customWidth="1" min="20" max="20"/>
  </cols>
  <sheetData>
    <row r="1" ht="26" customHeight="1">
      <c r="A1" s="1" t="inlineStr">
        <is>
          <t>DANH SÁCH SỰ KIỆN</t>
        </is>
      </c>
    </row>
    <row r="2">
      <c r="A2" s="2" t="inlineStr">
        <is>
          <t>Cột xám TỰ ĐỒNG BỘ từ file "2. Vietnam - Marketing Offline FY68" (PLAN_EVENT + REPORT_EVENT, 10 phút / lần) — sửa tên / ngày ở file Offline. Cột xanh do Owner nhập.</t>
        </is>
      </c>
    </row>
    <row r="4" ht="32" customHeight="1">
      <c r="A4" s="10" t="inlineStr">
        <is>
          <t>Mã SK</t>
        </is>
      </c>
      <c r="B4" s="10" t="inlineStr">
        <is>
          <t>Tên sự kiện</t>
        </is>
      </c>
      <c r="C4" s="10" t="inlineStr">
        <is>
          <t>Ngày D</t>
        </is>
      </c>
      <c r="D4" s="10" t="inlineStr">
        <is>
          <t>Ngày kết thúc</t>
        </is>
      </c>
      <c r="E4" s="10" t="inlineStr">
        <is>
          <t>Loại sự kiện</t>
        </is>
      </c>
      <c r="F4" s="10" t="inlineStr">
        <is>
          <t>Hình thức</t>
        </is>
      </c>
      <c r="G4" s="10" t="inlineStr">
        <is>
          <t>Địa điểm</t>
        </is>
      </c>
      <c r="H4" s="10" t="inlineStr">
        <is>
          <t>KOL</t>
        </is>
      </c>
      <c r="I4" s="10" t="inlineStr">
        <is>
          <t>Nguồn</t>
        </is>
      </c>
      <c r="J4" s="10" t="inlineStr">
        <is>
          <t>Trạng thái (file Offline)</t>
        </is>
      </c>
      <c r="K4" s="23" t="inlineStr">
        <is>
          <t>Owner</t>
        </is>
      </c>
      <c r="L4" s="23" t="inlineStr">
        <is>
          <t>Theo dõi</t>
        </is>
      </c>
      <c r="M4" s="10" t="inlineStr">
        <is>
          <t>Việc</t>
        </is>
      </c>
      <c r="N4" s="10" t="inlineStr">
        <is>
          <t>Xong</t>
        </is>
      </c>
      <c r="O4" s="10" t="inlineStr">
        <is>
          <t>Quá hạn</t>
        </is>
      </c>
      <c r="P4" s="10" t="inlineStr">
        <is>
          <t>Chưa giao</t>
        </is>
      </c>
      <c r="Q4" s="10" t="inlineStr">
        <is>
          <t>%</t>
        </is>
      </c>
      <c r="R4" s="10" t="inlineStr">
        <is>
          <t>Tiến độ</t>
        </is>
      </c>
      <c r="S4" s="10" t="inlineStr">
        <is>
          <t>Thời gian</t>
        </is>
      </c>
      <c r="T4" s="10" t="inlineStr">
        <is>
          <t>_k</t>
        </is>
      </c>
    </row>
    <row r="5">
      <c r="A5" s="25" t="inlineStr">
        <is>
          <t>VD-1</t>
        </is>
      </c>
      <c r="B5" s="11" t="inlineStr">
        <is>
          <t>Hội thảo nha khoa tháng 10 (ví dụ)</t>
        </is>
      </c>
      <c r="C5" s="12" t="n">
        <v>46312</v>
      </c>
      <c r="D5" s="12" t="n"/>
      <c r="E5" s="13" t="inlineStr">
        <is>
          <t>Hội thảo</t>
        </is>
      </c>
      <c r="F5" s="13" t="inlineStr">
        <is>
          <t>Trực tiếp</t>
        </is>
      </c>
      <c r="G5" s="13" t="inlineStr">
        <is>
          <t>Hà Nội</t>
        </is>
      </c>
      <c r="H5" s="13" t="inlineStr">
        <is>
          <t>KOL A</t>
        </is>
      </c>
      <c r="I5" s="25" t="inlineStr">
        <is>
          <t>REPORT</t>
        </is>
      </c>
      <c r="J5" s="25" t="inlineStr">
        <is>
          <t>Done</t>
        </is>
      </c>
      <c r="K5" s="26" t="inlineStr">
        <is>
          <t>Leader MKT (ví dụ)</t>
        </is>
      </c>
      <c r="L5" s="26" t="inlineStr">
        <is>
          <t>Có</t>
        </is>
      </c>
      <c r="M5" s="13">
        <f>IF(A5="","",COUNTIFS('Giao việc'!$M$5:$M$3004,A5,'Giao việc'!$I$5:$I$3004,"&lt;&gt;Bỏ qua"))</f>
        <v/>
      </c>
      <c r="N5" s="13">
        <f>IF(A5="","",COUNTIFS('Giao việc'!$M$5:$M$3004,A5,'Giao việc'!$I$5:$I$3004,"Xong"))</f>
        <v/>
      </c>
      <c r="O5" s="13">
        <f>IF(A5="","",COUNTIFS('Giao việc'!$M$5:$M$3004,A5,'Giao việc'!$L$5:$L$3004,"*QUÁ HẠN*"))</f>
        <v/>
      </c>
      <c r="P5" s="13">
        <f>IF(A5="","",COUNTIFS('Giao việc'!$M$5:$M$3004,A5,'Giao việc'!$L$5:$L$3004,"CHƯA GIAO*"))</f>
        <v/>
      </c>
      <c r="Q5" s="14">
        <f>IF(OR(A5="",N(M5)=0),"",N5/M5)</f>
        <v/>
      </c>
      <c r="R5" s="15">
        <f>IF(Q5="","",REPT("█",ROUND(Q5*10,0))&amp;REPT("░",10-ROUND(Q5*10,0)))</f>
        <v/>
      </c>
      <c r="S5" s="13">
        <f>IF(C5="","Chưa có ngày",IF(C5&gt;TODAY(),"Còn "&amp;(C5-TODAY())&amp;" ngày",IF(IF(D5="",C5,D5)&gt;=TODAY(),"Đang diễn ra","Đã qua "&amp;(TODAY()-IF(D5="",C5,D5))&amp;" ngày")))</f>
        <v/>
      </c>
      <c r="T5" s="13">
        <f>IF(AND(A5&lt;&gt;"",L5="Có",ISNUMBER(C5)),IF(IF(D5="",C5,D5)&gt;=TODAY()-35,C5+ROW()/100000,""),"")</f>
        <v/>
      </c>
    </row>
    <row r="6">
      <c r="A6" s="25" t="inlineStr">
        <is>
          <t>VD-2</t>
        </is>
      </c>
      <c r="B6" s="11" t="inlineStr">
        <is>
          <t>Khoá học nội nha thực hành – Hà Nội (ví dụ)</t>
        </is>
      </c>
      <c r="C6" s="12" t="n">
        <v>46334</v>
      </c>
      <c r="D6" s="12" t="n"/>
      <c r="E6" s="13" t="inlineStr">
        <is>
          <t>Workshop</t>
        </is>
      </c>
      <c r="F6" s="13" t="inlineStr">
        <is>
          <t>Trực tiếp</t>
        </is>
      </c>
      <c r="G6" s="13" t="inlineStr">
        <is>
          <t>Hà Nội</t>
        </is>
      </c>
      <c r="H6" s="13" t="inlineStr">
        <is>
          <t>KOL B</t>
        </is>
      </c>
      <c r="I6" s="25" t="inlineStr">
        <is>
          <t>PLAN</t>
        </is>
      </c>
      <c r="J6" s="25" t="inlineStr">
        <is>
          <t>Confirmed</t>
        </is>
      </c>
      <c r="K6" s="26" t="inlineStr">
        <is>
          <t>Leader MKT (ví dụ)</t>
        </is>
      </c>
      <c r="L6" s="26" t="inlineStr">
        <is>
          <t>Có</t>
        </is>
      </c>
      <c r="M6" s="13">
        <f>IF(A6="","",COUNTIFS('Giao việc'!$M$5:$M$3004,A6,'Giao việc'!$I$5:$I$3004,"&lt;&gt;Bỏ qua"))</f>
        <v/>
      </c>
      <c r="N6" s="13">
        <f>IF(A6="","",COUNTIFS('Giao việc'!$M$5:$M$3004,A6,'Giao việc'!$I$5:$I$3004,"Xong"))</f>
        <v/>
      </c>
      <c r="O6" s="13">
        <f>IF(A6="","",COUNTIFS('Giao việc'!$M$5:$M$3004,A6,'Giao việc'!$L$5:$L$3004,"*QUÁ HẠN*"))</f>
        <v/>
      </c>
      <c r="P6" s="13">
        <f>IF(A6="","",COUNTIFS('Giao việc'!$M$5:$M$3004,A6,'Giao việc'!$L$5:$L$3004,"CHƯA GIAO*"))</f>
        <v/>
      </c>
      <c r="Q6" s="14">
        <f>IF(OR(A6="",N(M6)=0),"",N6/M6)</f>
        <v/>
      </c>
      <c r="R6" s="15">
        <f>IF(Q6="","",REPT("█",ROUND(Q6*10,0))&amp;REPT("░",10-ROUND(Q6*10,0)))</f>
        <v/>
      </c>
      <c r="S6" s="13">
        <f>IF(C6="","Chưa có ngày",IF(C6&gt;TODAY(),"Còn "&amp;(C6-TODAY())&amp;" ngày",IF(IF(D6="",C6,D6)&gt;=TODAY(),"Đang diễn ra","Đã qua "&amp;(TODAY()-IF(D6="",C6,D6))&amp;" ngày")))</f>
        <v/>
      </c>
      <c r="T6" s="13">
        <f>IF(AND(A6&lt;&gt;"",L6="Có",ISNUMBER(C6)),IF(IF(D6="",C6,D6)&gt;=TODAY()-35,C6+ROW()/100000,""),"")</f>
        <v/>
      </c>
    </row>
    <row r="7">
      <c r="A7" s="25" t="inlineStr">
        <is>
          <t>VD-3</t>
        </is>
      </c>
      <c r="B7" s="11" t="inlineStr">
        <is>
          <t>Webinar phục hồi Composite (ví dụ)</t>
        </is>
      </c>
      <c r="C7" s="12" t="n">
        <v>46346</v>
      </c>
      <c r="D7" s="12" t="n"/>
      <c r="E7" s="13" t="inlineStr">
        <is>
          <t>Webinar</t>
        </is>
      </c>
      <c r="F7" s="13" t="inlineStr">
        <is>
          <t>Webinar</t>
        </is>
      </c>
      <c r="G7" s="13" t="inlineStr">
        <is>
          <t>Zoom</t>
        </is>
      </c>
      <c r="H7" s="13" t="inlineStr">
        <is>
          <t>KOL C</t>
        </is>
      </c>
      <c r="I7" s="25" t="inlineStr">
        <is>
          <t>PLAN</t>
        </is>
      </c>
      <c r="J7" s="25" t="inlineStr">
        <is>
          <t>Confirmed</t>
        </is>
      </c>
      <c r="K7" s="26" t="inlineStr">
        <is>
          <t>Leader MKT (ví dụ)</t>
        </is>
      </c>
      <c r="L7" s="26" t="inlineStr">
        <is>
          <t>Có</t>
        </is>
      </c>
      <c r="M7" s="13">
        <f>IF(A7="","",COUNTIFS('Giao việc'!$M$5:$M$3004,A7,'Giao việc'!$I$5:$I$3004,"&lt;&gt;Bỏ qua"))</f>
        <v/>
      </c>
      <c r="N7" s="13">
        <f>IF(A7="","",COUNTIFS('Giao việc'!$M$5:$M$3004,A7,'Giao việc'!$I$5:$I$3004,"Xong"))</f>
        <v/>
      </c>
      <c r="O7" s="13">
        <f>IF(A7="","",COUNTIFS('Giao việc'!$M$5:$M$3004,A7,'Giao việc'!$L$5:$L$3004,"*QUÁ HẠN*"))</f>
        <v/>
      </c>
      <c r="P7" s="13">
        <f>IF(A7="","",COUNTIFS('Giao việc'!$M$5:$M$3004,A7,'Giao việc'!$L$5:$L$3004,"CHƯA GIAO*"))</f>
        <v/>
      </c>
      <c r="Q7" s="14">
        <f>IF(OR(A7="",N(M7)=0),"",N7/M7)</f>
        <v/>
      </c>
      <c r="R7" s="15">
        <f>IF(Q7="","",REPT("█",ROUND(Q7*10,0))&amp;REPT("░",10-ROUND(Q7*10,0)))</f>
        <v/>
      </c>
      <c r="S7" s="13">
        <f>IF(C7="","Chưa có ngày",IF(C7&gt;TODAY(),"Còn "&amp;(C7-TODAY())&amp;" ngày",IF(IF(D7="",C7,D7)&gt;=TODAY(),"Đang diễn ra","Đã qua "&amp;(TODAY()-IF(D7="",C7,D7))&amp;" ngày")))</f>
        <v/>
      </c>
      <c r="T7" s="13">
        <f>IF(AND(A7&lt;&gt;"",L7="Có",ISNUMBER(C7)),IF(IF(D7="",C7,D7)&gt;=TODAY()-35,C7+ROW()/100000,""),"")</f>
        <v/>
      </c>
    </row>
    <row r="8">
      <c r="A8" s="25" t="inlineStr">
        <is>
          <t>VD-4</t>
        </is>
      </c>
      <c r="B8" s="11" t="inlineStr">
        <is>
          <t>Hội thảo nhãn khoa – Đà Nẵng (ví dụ)</t>
        </is>
      </c>
      <c r="C8" s="12" t="n">
        <v>46368</v>
      </c>
      <c r="D8" s="12" t="n">
        <v>46369</v>
      </c>
      <c r="E8" s="13" t="inlineStr">
        <is>
          <t>Hội thảo</t>
        </is>
      </c>
      <c r="F8" s="13" t="inlineStr">
        <is>
          <t>Trực tiếp</t>
        </is>
      </c>
      <c r="G8" s="13" t="inlineStr">
        <is>
          <t>Đà Nẵng</t>
        </is>
      </c>
      <c r="H8" s="13" t="inlineStr">
        <is>
          <t>KOL D</t>
        </is>
      </c>
      <c r="I8" s="25" t="inlineStr">
        <is>
          <t>PLAN</t>
        </is>
      </c>
      <c r="J8" s="25" t="inlineStr">
        <is>
          <t>Planning</t>
        </is>
      </c>
      <c r="K8" s="26" t="inlineStr">
        <is>
          <t>Leader MKT (ví dụ)</t>
        </is>
      </c>
      <c r="L8" s="26" t="inlineStr">
        <is>
          <t>Có</t>
        </is>
      </c>
      <c r="M8" s="13">
        <f>IF(A8="","",COUNTIFS('Giao việc'!$M$5:$M$3004,A8,'Giao việc'!$I$5:$I$3004,"&lt;&gt;Bỏ qua"))</f>
        <v/>
      </c>
      <c r="N8" s="13">
        <f>IF(A8="","",COUNTIFS('Giao việc'!$M$5:$M$3004,A8,'Giao việc'!$I$5:$I$3004,"Xong"))</f>
        <v/>
      </c>
      <c r="O8" s="13">
        <f>IF(A8="","",COUNTIFS('Giao việc'!$M$5:$M$3004,A8,'Giao việc'!$L$5:$L$3004,"*QUÁ HẠN*"))</f>
        <v/>
      </c>
      <c r="P8" s="13">
        <f>IF(A8="","",COUNTIFS('Giao việc'!$M$5:$M$3004,A8,'Giao việc'!$L$5:$L$3004,"CHƯA GIAO*"))</f>
        <v/>
      </c>
      <c r="Q8" s="14">
        <f>IF(OR(A8="",N(M8)=0),"",N8/M8)</f>
        <v/>
      </c>
      <c r="R8" s="15">
        <f>IF(Q8="","",REPT("█",ROUND(Q8*10,0))&amp;REPT("░",10-ROUND(Q8*10,0)))</f>
        <v/>
      </c>
      <c r="S8" s="13">
        <f>IF(C8="","Chưa có ngày",IF(C8&gt;TODAY(),"Còn "&amp;(C8-TODAY())&amp;" ngày",IF(IF(D8="",C8,D8)&gt;=TODAY(),"Đang diễn ra","Đã qua "&amp;(TODAY()-IF(D8="",C8,D8))&amp;" ngày")))</f>
        <v/>
      </c>
      <c r="T8" s="13">
        <f>IF(AND(A8&lt;&gt;"",L8="Có",ISNUMBER(C8)),IF(IF(D8="",C8,D8)&gt;=TODAY()-35,C8+ROW()/100000,""),"")</f>
        <v/>
      </c>
    </row>
    <row r="9">
      <c r="A9" s="25" t="inlineStr">
        <is>
          <t>VD-5</t>
        </is>
      </c>
      <c r="B9" s="11" t="inlineStr">
        <is>
          <t>Workshop phẫu thuật – TP.HCM (ví dụ)</t>
        </is>
      </c>
      <c r="C9" s="12" t="n">
        <v>46403</v>
      </c>
      <c r="D9" s="12" t="n"/>
      <c r="E9" s="13" t="inlineStr">
        <is>
          <t>Workshop</t>
        </is>
      </c>
      <c r="F9" s="13" t="inlineStr">
        <is>
          <t>Trực tiếp</t>
        </is>
      </c>
      <c r="G9" s="13" t="inlineStr">
        <is>
          <t>TP.HCM</t>
        </is>
      </c>
      <c r="H9" s="13" t="inlineStr">
        <is>
          <t>KOL E</t>
        </is>
      </c>
      <c r="I9" s="25" t="inlineStr">
        <is>
          <t>PLAN</t>
        </is>
      </c>
      <c r="J9" s="25" t="inlineStr">
        <is>
          <t>Planning</t>
        </is>
      </c>
      <c r="K9" s="26" t="inlineStr">
        <is>
          <t>Leader MKT (ví dụ)</t>
        </is>
      </c>
      <c r="L9" s="26" t="inlineStr">
        <is>
          <t>Có</t>
        </is>
      </c>
      <c r="M9" s="13">
        <f>IF(A9="","",COUNTIFS('Giao việc'!$M$5:$M$3004,A9,'Giao việc'!$I$5:$I$3004,"&lt;&gt;Bỏ qua"))</f>
        <v/>
      </c>
      <c r="N9" s="13">
        <f>IF(A9="","",COUNTIFS('Giao việc'!$M$5:$M$3004,A9,'Giao việc'!$I$5:$I$3004,"Xong"))</f>
        <v/>
      </c>
      <c r="O9" s="13">
        <f>IF(A9="","",COUNTIFS('Giao việc'!$M$5:$M$3004,A9,'Giao việc'!$L$5:$L$3004,"*QUÁ HẠN*"))</f>
        <v/>
      </c>
      <c r="P9" s="13">
        <f>IF(A9="","",COUNTIFS('Giao việc'!$M$5:$M$3004,A9,'Giao việc'!$L$5:$L$3004,"CHƯA GIAO*"))</f>
        <v/>
      </c>
      <c r="Q9" s="14">
        <f>IF(OR(A9="",N(M9)=0),"",N9/M9)</f>
        <v/>
      </c>
      <c r="R9" s="15">
        <f>IF(Q9="","",REPT("█",ROUND(Q9*10,0))&amp;REPT("░",10-ROUND(Q9*10,0)))</f>
        <v/>
      </c>
      <c r="S9" s="13">
        <f>IF(C9="","Chưa có ngày",IF(C9&gt;TODAY(),"Còn "&amp;(C9-TODAY())&amp;" ngày",IF(IF(D9="",C9,D9)&gt;=TODAY(),"Đang diễn ra","Đã qua "&amp;(TODAY()-IF(D9="",C9,D9))&amp;" ngày")))</f>
        <v/>
      </c>
      <c r="T9" s="13">
        <f>IF(AND(A9&lt;&gt;"",L9="Có",ISNUMBER(C9)),IF(IF(D9="",C9,D9)&gt;=TODAY()-35,C9+ROW()/100000,""),"")</f>
        <v/>
      </c>
    </row>
    <row r="10">
      <c r="A10" s="25" t="n"/>
      <c r="B10" s="11" t="n"/>
      <c r="C10" s="12" t="n"/>
      <c r="D10" s="12" t="n"/>
      <c r="E10" s="13" t="n"/>
      <c r="F10" s="13" t="n"/>
      <c r="G10" s="13" t="n"/>
      <c r="H10" s="13" t="n"/>
      <c r="I10" s="25" t="n"/>
      <c r="J10" s="25" t="n"/>
      <c r="K10" s="26" t="n"/>
      <c r="L10" s="26" t="n"/>
      <c r="M10" s="13">
        <f>IF(A10="","",COUNTIFS('Giao việc'!$M$5:$M$3004,A10,'Giao việc'!$I$5:$I$3004,"&lt;&gt;Bỏ qua"))</f>
        <v/>
      </c>
      <c r="N10" s="13">
        <f>IF(A10="","",COUNTIFS('Giao việc'!$M$5:$M$3004,A10,'Giao việc'!$I$5:$I$3004,"Xong"))</f>
        <v/>
      </c>
      <c r="O10" s="13">
        <f>IF(A10="","",COUNTIFS('Giao việc'!$M$5:$M$3004,A10,'Giao việc'!$L$5:$L$3004,"*QUÁ HẠN*"))</f>
        <v/>
      </c>
      <c r="P10" s="13">
        <f>IF(A10="","",COUNTIFS('Giao việc'!$M$5:$M$3004,A10,'Giao việc'!$L$5:$L$3004,"CHƯA GIAO*"))</f>
        <v/>
      </c>
      <c r="Q10" s="14">
        <f>IF(OR(A10="",N(M10)=0),"",N10/M10)</f>
        <v/>
      </c>
      <c r="R10" s="15">
        <f>IF(Q10="","",REPT("█",ROUND(Q10*10,0))&amp;REPT("░",10-ROUND(Q10*10,0)))</f>
        <v/>
      </c>
      <c r="S10" s="13">
        <f>IF(C10="","Chưa có ngày",IF(C10&gt;TODAY(),"Còn "&amp;(C10-TODAY())&amp;" ngày",IF(IF(D10="",C10,D10)&gt;=TODAY(),"Đang diễn ra","Đã qua "&amp;(TODAY()-IF(D10="",C10,D10))&amp;" ngày")))</f>
        <v/>
      </c>
      <c r="T10" s="13">
        <f>IF(AND(A10&lt;&gt;"",L10="Có",ISNUMBER(C10)),IF(IF(D10="",C10,D10)&gt;=TODAY()-35,C10+ROW()/100000,""),"")</f>
        <v/>
      </c>
    </row>
    <row r="11">
      <c r="A11" s="25" t="n"/>
      <c r="B11" s="11" t="n"/>
      <c r="C11" s="12" t="n"/>
      <c r="D11" s="12" t="n"/>
      <c r="E11" s="13" t="n"/>
      <c r="F11" s="13" t="n"/>
      <c r="G11" s="13" t="n"/>
      <c r="H11" s="13" t="n"/>
      <c r="I11" s="25" t="n"/>
      <c r="J11" s="25" t="n"/>
      <c r="K11" s="26" t="n"/>
      <c r="L11" s="26" t="n"/>
      <c r="M11" s="13">
        <f>IF(A11="","",COUNTIFS('Giao việc'!$M$5:$M$3004,A11,'Giao việc'!$I$5:$I$3004,"&lt;&gt;Bỏ qua"))</f>
        <v/>
      </c>
      <c r="N11" s="13">
        <f>IF(A11="","",COUNTIFS('Giao việc'!$M$5:$M$3004,A11,'Giao việc'!$I$5:$I$3004,"Xong"))</f>
        <v/>
      </c>
      <c r="O11" s="13">
        <f>IF(A11="","",COUNTIFS('Giao việc'!$M$5:$M$3004,A11,'Giao việc'!$L$5:$L$3004,"*QUÁ HẠN*"))</f>
        <v/>
      </c>
      <c r="P11" s="13">
        <f>IF(A11="","",COUNTIFS('Giao việc'!$M$5:$M$3004,A11,'Giao việc'!$L$5:$L$3004,"CHƯA GIAO*"))</f>
        <v/>
      </c>
      <c r="Q11" s="14">
        <f>IF(OR(A11="",N(M11)=0),"",N11/M11)</f>
        <v/>
      </c>
      <c r="R11" s="15">
        <f>IF(Q11="","",REPT("█",ROUND(Q11*10,0))&amp;REPT("░",10-ROUND(Q11*10,0)))</f>
        <v/>
      </c>
      <c r="S11" s="13">
        <f>IF(C11="","Chưa có ngày",IF(C11&gt;TODAY(),"Còn "&amp;(C11-TODAY())&amp;" ngày",IF(IF(D11="",C11,D11)&gt;=TODAY(),"Đang diễn ra","Đã qua "&amp;(TODAY()-IF(D11="",C11,D11))&amp;" ngày")))</f>
        <v/>
      </c>
      <c r="T11" s="13">
        <f>IF(AND(A11&lt;&gt;"",L11="Có",ISNUMBER(C11)),IF(IF(D11="",C11,D11)&gt;=TODAY()-35,C11+ROW()/100000,""),"")</f>
        <v/>
      </c>
    </row>
    <row r="12">
      <c r="A12" s="25" t="n"/>
      <c r="B12" s="11" t="n"/>
      <c r="C12" s="12" t="n"/>
      <c r="D12" s="12" t="n"/>
      <c r="E12" s="13" t="n"/>
      <c r="F12" s="13" t="n"/>
      <c r="G12" s="13" t="n"/>
      <c r="H12" s="13" t="n"/>
      <c r="I12" s="25" t="n"/>
      <c r="J12" s="25" t="n"/>
      <c r="K12" s="26" t="n"/>
      <c r="L12" s="26" t="n"/>
      <c r="M12" s="13">
        <f>IF(A12="","",COUNTIFS('Giao việc'!$M$5:$M$3004,A12,'Giao việc'!$I$5:$I$3004,"&lt;&gt;Bỏ qua"))</f>
        <v/>
      </c>
      <c r="N12" s="13">
        <f>IF(A12="","",COUNTIFS('Giao việc'!$M$5:$M$3004,A12,'Giao việc'!$I$5:$I$3004,"Xong"))</f>
        <v/>
      </c>
      <c r="O12" s="13">
        <f>IF(A12="","",COUNTIFS('Giao việc'!$M$5:$M$3004,A12,'Giao việc'!$L$5:$L$3004,"*QUÁ HẠN*"))</f>
        <v/>
      </c>
      <c r="P12" s="13">
        <f>IF(A12="","",COUNTIFS('Giao việc'!$M$5:$M$3004,A12,'Giao việc'!$L$5:$L$3004,"CHƯA GIAO*"))</f>
        <v/>
      </c>
      <c r="Q12" s="14">
        <f>IF(OR(A12="",N(M12)=0),"",N12/M12)</f>
        <v/>
      </c>
      <c r="R12" s="15">
        <f>IF(Q12="","",REPT("█",ROUND(Q12*10,0))&amp;REPT("░",10-ROUND(Q12*10,0)))</f>
        <v/>
      </c>
      <c r="S12" s="13">
        <f>IF(C12="","Chưa có ngày",IF(C12&gt;TODAY(),"Còn "&amp;(C12-TODAY())&amp;" ngày",IF(IF(D12="",C12,D12)&gt;=TODAY(),"Đang diễn ra","Đã qua "&amp;(TODAY()-IF(D12="",C12,D12))&amp;" ngày")))</f>
        <v/>
      </c>
      <c r="T12" s="13">
        <f>IF(AND(A12&lt;&gt;"",L12="Có",ISNUMBER(C12)),IF(IF(D12="",C12,D12)&gt;=TODAY()-35,C12+ROW()/100000,""),"")</f>
        <v/>
      </c>
    </row>
    <row r="13">
      <c r="A13" s="25" t="n"/>
      <c r="B13" s="11" t="n"/>
      <c r="C13" s="12" t="n"/>
      <c r="D13" s="12" t="n"/>
      <c r="E13" s="13" t="n"/>
      <c r="F13" s="13" t="n"/>
      <c r="G13" s="13" t="n"/>
      <c r="H13" s="13" t="n"/>
      <c r="I13" s="25" t="n"/>
      <c r="J13" s="25" t="n"/>
      <c r="K13" s="26" t="n"/>
      <c r="L13" s="26" t="n"/>
      <c r="M13" s="13">
        <f>IF(A13="","",COUNTIFS('Giao việc'!$M$5:$M$3004,A13,'Giao việc'!$I$5:$I$3004,"&lt;&gt;Bỏ qua"))</f>
        <v/>
      </c>
      <c r="N13" s="13">
        <f>IF(A13="","",COUNTIFS('Giao việc'!$M$5:$M$3004,A13,'Giao việc'!$I$5:$I$3004,"Xong"))</f>
        <v/>
      </c>
      <c r="O13" s="13">
        <f>IF(A13="","",COUNTIFS('Giao việc'!$M$5:$M$3004,A13,'Giao việc'!$L$5:$L$3004,"*QUÁ HẠN*"))</f>
        <v/>
      </c>
      <c r="P13" s="13">
        <f>IF(A13="","",COUNTIFS('Giao việc'!$M$5:$M$3004,A13,'Giao việc'!$L$5:$L$3004,"CHƯA GIAO*"))</f>
        <v/>
      </c>
      <c r="Q13" s="14">
        <f>IF(OR(A13="",N(M13)=0),"",N13/M13)</f>
        <v/>
      </c>
      <c r="R13" s="15">
        <f>IF(Q13="","",REPT("█",ROUND(Q13*10,0))&amp;REPT("░",10-ROUND(Q13*10,0)))</f>
        <v/>
      </c>
      <c r="S13" s="13">
        <f>IF(C13="","Chưa có ngày",IF(C13&gt;TODAY(),"Còn "&amp;(C13-TODAY())&amp;" ngày",IF(IF(D13="",C13,D13)&gt;=TODAY(),"Đang diễn ra","Đã qua "&amp;(TODAY()-IF(D13="",C13,D13))&amp;" ngày")))</f>
        <v/>
      </c>
      <c r="T13" s="13">
        <f>IF(AND(A13&lt;&gt;"",L13="Có",ISNUMBER(C13)),IF(IF(D13="",C13,D13)&gt;=TODAY()-35,C13+ROW()/100000,""),"")</f>
        <v/>
      </c>
    </row>
    <row r="14">
      <c r="A14" s="25" t="n"/>
      <c r="B14" s="11" t="n"/>
      <c r="C14" s="12" t="n"/>
      <c r="D14" s="12" t="n"/>
      <c r="E14" s="13" t="n"/>
      <c r="F14" s="13" t="n"/>
      <c r="G14" s="13" t="n"/>
      <c r="H14" s="13" t="n"/>
      <c r="I14" s="25" t="n"/>
      <c r="J14" s="25" t="n"/>
      <c r="K14" s="26" t="n"/>
      <c r="L14" s="26" t="n"/>
      <c r="M14" s="13">
        <f>IF(A14="","",COUNTIFS('Giao việc'!$M$5:$M$3004,A14,'Giao việc'!$I$5:$I$3004,"&lt;&gt;Bỏ qua"))</f>
        <v/>
      </c>
      <c r="N14" s="13">
        <f>IF(A14="","",COUNTIFS('Giao việc'!$M$5:$M$3004,A14,'Giao việc'!$I$5:$I$3004,"Xong"))</f>
        <v/>
      </c>
      <c r="O14" s="13">
        <f>IF(A14="","",COUNTIFS('Giao việc'!$M$5:$M$3004,A14,'Giao việc'!$L$5:$L$3004,"*QUÁ HẠN*"))</f>
        <v/>
      </c>
      <c r="P14" s="13">
        <f>IF(A14="","",COUNTIFS('Giao việc'!$M$5:$M$3004,A14,'Giao việc'!$L$5:$L$3004,"CHƯA GIAO*"))</f>
        <v/>
      </c>
      <c r="Q14" s="14">
        <f>IF(OR(A14="",N(M14)=0),"",N14/M14)</f>
        <v/>
      </c>
      <c r="R14" s="15">
        <f>IF(Q14="","",REPT("█",ROUND(Q14*10,0))&amp;REPT("░",10-ROUND(Q14*10,0)))</f>
        <v/>
      </c>
      <c r="S14" s="13">
        <f>IF(C14="","Chưa có ngày",IF(C14&gt;TODAY(),"Còn "&amp;(C14-TODAY())&amp;" ngày",IF(IF(D14="",C14,D14)&gt;=TODAY(),"Đang diễn ra","Đã qua "&amp;(TODAY()-IF(D14="",C14,D14))&amp;" ngày")))</f>
        <v/>
      </c>
      <c r="T14" s="13">
        <f>IF(AND(A14&lt;&gt;"",L14="Có",ISNUMBER(C14)),IF(IF(D14="",C14,D14)&gt;=TODAY()-35,C14+ROW()/100000,""),"")</f>
        <v/>
      </c>
    </row>
    <row r="15">
      <c r="A15" s="25" t="n"/>
      <c r="B15" s="11" t="n"/>
      <c r="C15" s="12" t="n"/>
      <c r="D15" s="12" t="n"/>
      <c r="E15" s="13" t="n"/>
      <c r="F15" s="13" t="n"/>
      <c r="G15" s="13" t="n"/>
      <c r="H15" s="13" t="n"/>
      <c r="I15" s="25" t="n"/>
      <c r="J15" s="25" t="n"/>
      <c r="K15" s="26" t="n"/>
      <c r="L15" s="26" t="n"/>
      <c r="M15" s="13">
        <f>IF(A15="","",COUNTIFS('Giao việc'!$M$5:$M$3004,A15,'Giao việc'!$I$5:$I$3004,"&lt;&gt;Bỏ qua"))</f>
        <v/>
      </c>
      <c r="N15" s="13">
        <f>IF(A15="","",COUNTIFS('Giao việc'!$M$5:$M$3004,A15,'Giao việc'!$I$5:$I$3004,"Xong"))</f>
        <v/>
      </c>
      <c r="O15" s="13">
        <f>IF(A15="","",COUNTIFS('Giao việc'!$M$5:$M$3004,A15,'Giao việc'!$L$5:$L$3004,"*QUÁ HẠN*"))</f>
        <v/>
      </c>
      <c r="P15" s="13">
        <f>IF(A15="","",COUNTIFS('Giao việc'!$M$5:$M$3004,A15,'Giao việc'!$L$5:$L$3004,"CHƯA GIAO*"))</f>
        <v/>
      </c>
      <c r="Q15" s="14">
        <f>IF(OR(A15="",N(M15)=0),"",N15/M15)</f>
        <v/>
      </c>
      <c r="R15" s="15">
        <f>IF(Q15="","",REPT("█",ROUND(Q15*10,0))&amp;REPT("░",10-ROUND(Q15*10,0)))</f>
        <v/>
      </c>
      <c r="S15" s="13">
        <f>IF(C15="","Chưa có ngày",IF(C15&gt;TODAY(),"Còn "&amp;(C15-TODAY())&amp;" ngày",IF(IF(D15="",C15,D15)&gt;=TODAY(),"Đang diễn ra","Đã qua "&amp;(TODAY()-IF(D15="",C15,D15))&amp;" ngày")))</f>
        <v/>
      </c>
      <c r="T15" s="13">
        <f>IF(AND(A15&lt;&gt;"",L15="Có",ISNUMBER(C15)),IF(IF(D15="",C15,D15)&gt;=TODAY()-35,C15+ROW()/100000,""),"")</f>
        <v/>
      </c>
    </row>
    <row r="16">
      <c r="A16" s="25" t="n"/>
      <c r="B16" s="11" t="n"/>
      <c r="C16" s="12" t="n"/>
      <c r="D16" s="12" t="n"/>
      <c r="E16" s="13" t="n"/>
      <c r="F16" s="13" t="n"/>
      <c r="G16" s="13" t="n"/>
      <c r="H16" s="13" t="n"/>
      <c r="I16" s="25" t="n"/>
      <c r="J16" s="25" t="n"/>
      <c r="K16" s="26" t="n"/>
      <c r="L16" s="26" t="n"/>
      <c r="M16" s="13">
        <f>IF(A16="","",COUNTIFS('Giao việc'!$M$5:$M$3004,A16,'Giao việc'!$I$5:$I$3004,"&lt;&gt;Bỏ qua"))</f>
        <v/>
      </c>
      <c r="N16" s="13">
        <f>IF(A16="","",COUNTIFS('Giao việc'!$M$5:$M$3004,A16,'Giao việc'!$I$5:$I$3004,"Xong"))</f>
        <v/>
      </c>
      <c r="O16" s="13">
        <f>IF(A16="","",COUNTIFS('Giao việc'!$M$5:$M$3004,A16,'Giao việc'!$L$5:$L$3004,"*QUÁ HẠN*"))</f>
        <v/>
      </c>
      <c r="P16" s="13">
        <f>IF(A16="","",COUNTIFS('Giao việc'!$M$5:$M$3004,A16,'Giao việc'!$L$5:$L$3004,"CHƯA GIAO*"))</f>
        <v/>
      </c>
      <c r="Q16" s="14">
        <f>IF(OR(A16="",N(M16)=0),"",N16/M16)</f>
        <v/>
      </c>
      <c r="R16" s="15">
        <f>IF(Q16="","",REPT("█",ROUND(Q16*10,0))&amp;REPT("░",10-ROUND(Q16*10,0)))</f>
        <v/>
      </c>
      <c r="S16" s="13">
        <f>IF(C16="","Chưa có ngày",IF(C16&gt;TODAY(),"Còn "&amp;(C16-TODAY())&amp;" ngày",IF(IF(D16="",C16,D16)&gt;=TODAY(),"Đang diễn ra","Đã qua "&amp;(TODAY()-IF(D16="",C16,D16))&amp;" ngày")))</f>
        <v/>
      </c>
      <c r="T16" s="13">
        <f>IF(AND(A16&lt;&gt;"",L16="Có",ISNUMBER(C16)),IF(IF(D16="",C16,D16)&gt;=TODAY()-35,C16+ROW()/100000,""),"")</f>
        <v/>
      </c>
    </row>
    <row r="17">
      <c r="A17" s="25" t="n"/>
      <c r="B17" s="11" t="n"/>
      <c r="C17" s="12" t="n"/>
      <c r="D17" s="12" t="n"/>
      <c r="E17" s="13" t="n"/>
      <c r="F17" s="13" t="n"/>
      <c r="G17" s="13" t="n"/>
      <c r="H17" s="13" t="n"/>
      <c r="I17" s="25" t="n"/>
      <c r="J17" s="25" t="n"/>
      <c r="K17" s="26" t="n"/>
      <c r="L17" s="26" t="n"/>
      <c r="M17" s="13">
        <f>IF(A17="","",COUNTIFS('Giao việc'!$M$5:$M$3004,A17,'Giao việc'!$I$5:$I$3004,"&lt;&gt;Bỏ qua"))</f>
        <v/>
      </c>
      <c r="N17" s="13">
        <f>IF(A17="","",COUNTIFS('Giao việc'!$M$5:$M$3004,A17,'Giao việc'!$I$5:$I$3004,"Xong"))</f>
        <v/>
      </c>
      <c r="O17" s="13">
        <f>IF(A17="","",COUNTIFS('Giao việc'!$M$5:$M$3004,A17,'Giao việc'!$L$5:$L$3004,"*QUÁ HẠN*"))</f>
        <v/>
      </c>
      <c r="P17" s="13">
        <f>IF(A17="","",COUNTIFS('Giao việc'!$M$5:$M$3004,A17,'Giao việc'!$L$5:$L$3004,"CHƯA GIAO*"))</f>
        <v/>
      </c>
      <c r="Q17" s="14">
        <f>IF(OR(A17="",N(M17)=0),"",N17/M17)</f>
        <v/>
      </c>
      <c r="R17" s="15">
        <f>IF(Q17="","",REPT("█",ROUND(Q17*10,0))&amp;REPT("░",10-ROUND(Q17*10,0)))</f>
        <v/>
      </c>
      <c r="S17" s="13">
        <f>IF(C17="","Chưa có ngày",IF(C17&gt;TODAY(),"Còn "&amp;(C17-TODAY())&amp;" ngày",IF(IF(D17="",C17,D17)&gt;=TODAY(),"Đang diễn ra","Đã qua "&amp;(TODAY()-IF(D17="",C17,D17))&amp;" ngày")))</f>
        <v/>
      </c>
      <c r="T17" s="13">
        <f>IF(AND(A17&lt;&gt;"",L17="Có",ISNUMBER(C17)),IF(IF(D17="",C17,D17)&gt;=TODAY()-35,C17+ROW()/100000,""),"")</f>
        <v/>
      </c>
    </row>
    <row r="18">
      <c r="A18" s="25" t="n"/>
      <c r="B18" s="11" t="n"/>
      <c r="C18" s="12" t="n"/>
      <c r="D18" s="12" t="n"/>
      <c r="E18" s="13" t="n"/>
      <c r="F18" s="13" t="n"/>
      <c r="G18" s="13" t="n"/>
      <c r="H18" s="13" t="n"/>
      <c r="I18" s="25" t="n"/>
      <c r="J18" s="25" t="n"/>
      <c r="K18" s="26" t="n"/>
      <c r="L18" s="26" t="n"/>
      <c r="M18" s="13">
        <f>IF(A18="","",COUNTIFS('Giao việc'!$M$5:$M$3004,A18,'Giao việc'!$I$5:$I$3004,"&lt;&gt;Bỏ qua"))</f>
        <v/>
      </c>
      <c r="N18" s="13">
        <f>IF(A18="","",COUNTIFS('Giao việc'!$M$5:$M$3004,A18,'Giao việc'!$I$5:$I$3004,"Xong"))</f>
        <v/>
      </c>
      <c r="O18" s="13">
        <f>IF(A18="","",COUNTIFS('Giao việc'!$M$5:$M$3004,A18,'Giao việc'!$L$5:$L$3004,"*QUÁ HẠN*"))</f>
        <v/>
      </c>
      <c r="P18" s="13">
        <f>IF(A18="","",COUNTIFS('Giao việc'!$M$5:$M$3004,A18,'Giao việc'!$L$5:$L$3004,"CHƯA GIAO*"))</f>
        <v/>
      </c>
      <c r="Q18" s="14">
        <f>IF(OR(A18="",N(M18)=0),"",N18/M18)</f>
        <v/>
      </c>
      <c r="R18" s="15">
        <f>IF(Q18="","",REPT("█",ROUND(Q18*10,0))&amp;REPT("░",10-ROUND(Q18*10,0)))</f>
        <v/>
      </c>
      <c r="S18" s="13">
        <f>IF(C18="","Chưa có ngày",IF(C18&gt;TODAY(),"Còn "&amp;(C18-TODAY())&amp;" ngày",IF(IF(D18="",C18,D18)&gt;=TODAY(),"Đang diễn ra","Đã qua "&amp;(TODAY()-IF(D18="",C18,D18))&amp;" ngày")))</f>
        <v/>
      </c>
      <c r="T18" s="13">
        <f>IF(AND(A18&lt;&gt;"",L18="Có",ISNUMBER(C18)),IF(IF(D18="",C18,D18)&gt;=TODAY()-35,C18+ROW()/100000,""),"")</f>
        <v/>
      </c>
    </row>
    <row r="19">
      <c r="A19" s="25" t="n"/>
      <c r="B19" s="11" t="n"/>
      <c r="C19" s="12" t="n"/>
      <c r="D19" s="12" t="n"/>
      <c r="E19" s="13" t="n"/>
      <c r="F19" s="13" t="n"/>
      <c r="G19" s="13" t="n"/>
      <c r="H19" s="13" t="n"/>
      <c r="I19" s="25" t="n"/>
      <c r="J19" s="25" t="n"/>
      <c r="K19" s="26" t="n"/>
      <c r="L19" s="26" t="n"/>
      <c r="M19" s="13">
        <f>IF(A19="","",COUNTIFS('Giao việc'!$M$5:$M$3004,A19,'Giao việc'!$I$5:$I$3004,"&lt;&gt;Bỏ qua"))</f>
        <v/>
      </c>
      <c r="N19" s="13">
        <f>IF(A19="","",COUNTIFS('Giao việc'!$M$5:$M$3004,A19,'Giao việc'!$I$5:$I$3004,"Xong"))</f>
        <v/>
      </c>
      <c r="O19" s="13">
        <f>IF(A19="","",COUNTIFS('Giao việc'!$M$5:$M$3004,A19,'Giao việc'!$L$5:$L$3004,"*QUÁ HẠN*"))</f>
        <v/>
      </c>
      <c r="P19" s="13">
        <f>IF(A19="","",COUNTIFS('Giao việc'!$M$5:$M$3004,A19,'Giao việc'!$L$5:$L$3004,"CHƯA GIAO*"))</f>
        <v/>
      </c>
      <c r="Q19" s="14">
        <f>IF(OR(A19="",N(M19)=0),"",N19/M19)</f>
        <v/>
      </c>
      <c r="R19" s="15">
        <f>IF(Q19="","",REPT("█",ROUND(Q19*10,0))&amp;REPT("░",10-ROUND(Q19*10,0)))</f>
        <v/>
      </c>
      <c r="S19" s="13">
        <f>IF(C19="","Chưa có ngày",IF(C19&gt;TODAY(),"Còn "&amp;(C19-TODAY())&amp;" ngày",IF(IF(D19="",C19,D19)&gt;=TODAY(),"Đang diễn ra","Đã qua "&amp;(TODAY()-IF(D19="",C19,D19))&amp;" ngày")))</f>
        <v/>
      </c>
      <c r="T19" s="13">
        <f>IF(AND(A19&lt;&gt;"",L19="Có",ISNUMBER(C19)),IF(IF(D19="",C19,D19)&gt;=TODAY()-35,C19+ROW()/100000,""),"")</f>
        <v/>
      </c>
    </row>
    <row r="20">
      <c r="A20" s="25" t="n"/>
      <c r="B20" s="11" t="n"/>
      <c r="C20" s="12" t="n"/>
      <c r="D20" s="12" t="n"/>
      <c r="E20" s="13" t="n"/>
      <c r="F20" s="13" t="n"/>
      <c r="G20" s="13" t="n"/>
      <c r="H20" s="13" t="n"/>
      <c r="I20" s="25" t="n"/>
      <c r="J20" s="25" t="n"/>
      <c r="K20" s="26" t="n"/>
      <c r="L20" s="26" t="n"/>
      <c r="M20" s="13">
        <f>IF(A20="","",COUNTIFS('Giao việc'!$M$5:$M$3004,A20,'Giao việc'!$I$5:$I$3004,"&lt;&gt;Bỏ qua"))</f>
        <v/>
      </c>
      <c r="N20" s="13">
        <f>IF(A20="","",COUNTIFS('Giao việc'!$M$5:$M$3004,A20,'Giao việc'!$I$5:$I$3004,"Xong"))</f>
        <v/>
      </c>
      <c r="O20" s="13">
        <f>IF(A20="","",COUNTIFS('Giao việc'!$M$5:$M$3004,A20,'Giao việc'!$L$5:$L$3004,"*QUÁ HẠN*"))</f>
        <v/>
      </c>
      <c r="P20" s="13">
        <f>IF(A20="","",COUNTIFS('Giao việc'!$M$5:$M$3004,A20,'Giao việc'!$L$5:$L$3004,"CHƯA GIAO*"))</f>
        <v/>
      </c>
      <c r="Q20" s="14">
        <f>IF(OR(A20="",N(M20)=0),"",N20/M20)</f>
        <v/>
      </c>
      <c r="R20" s="15">
        <f>IF(Q20="","",REPT("█",ROUND(Q20*10,0))&amp;REPT("░",10-ROUND(Q20*10,0)))</f>
        <v/>
      </c>
      <c r="S20" s="13">
        <f>IF(C20="","Chưa có ngày",IF(C20&gt;TODAY(),"Còn "&amp;(C20-TODAY())&amp;" ngày",IF(IF(D20="",C20,D20)&gt;=TODAY(),"Đang diễn ra","Đã qua "&amp;(TODAY()-IF(D20="",C20,D20))&amp;" ngày")))</f>
        <v/>
      </c>
      <c r="T20" s="13">
        <f>IF(AND(A20&lt;&gt;"",L20="Có",ISNUMBER(C20)),IF(IF(D20="",C20,D20)&gt;=TODAY()-35,C20+ROW()/100000,""),"")</f>
        <v/>
      </c>
    </row>
    <row r="21">
      <c r="A21" s="25" t="n"/>
      <c r="B21" s="11" t="n"/>
      <c r="C21" s="12" t="n"/>
      <c r="D21" s="12" t="n"/>
      <c r="E21" s="13" t="n"/>
      <c r="F21" s="13" t="n"/>
      <c r="G21" s="13" t="n"/>
      <c r="H21" s="13" t="n"/>
      <c r="I21" s="25" t="n"/>
      <c r="J21" s="25" t="n"/>
      <c r="K21" s="26" t="n"/>
      <c r="L21" s="26" t="n"/>
      <c r="M21" s="13">
        <f>IF(A21="","",COUNTIFS('Giao việc'!$M$5:$M$3004,A21,'Giao việc'!$I$5:$I$3004,"&lt;&gt;Bỏ qua"))</f>
        <v/>
      </c>
      <c r="N21" s="13">
        <f>IF(A21="","",COUNTIFS('Giao việc'!$M$5:$M$3004,A21,'Giao việc'!$I$5:$I$3004,"Xong"))</f>
        <v/>
      </c>
      <c r="O21" s="13">
        <f>IF(A21="","",COUNTIFS('Giao việc'!$M$5:$M$3004,A21,'Giao việc'!$L$5:$L$3004,"*QUÁ HẠN*"))</f>
        <v/>
      </c>
      <c r="P21" s="13">
        <f>IF(A21="","",COUNTIFS('Giao việc'!$M$5:$M$3004,A21,'Giao việc'!$L$5:$L$3004,"CHƯA GIAO*"))</f>
        <v/>
      </c>
      <c r="Q21" s="14">
        <f>IF(OR(A21="",N(M21)=0),"",N21/M21)</f>
        <v/>
      </c>
      <c r="R21" s="15">
        <f>IF(Q21="","",REPT("█",ROUND(Q21*10,0))&amp;REPT("░",10-ROUND(Q21*10,0)))</f>
        <v/>
      </c>
      <c r="S21" s="13">
        <f>IF(C21="","Chưa có ngày",IF(C21&gt;TODAY(),"Còn "&amp;(C21-TODAY())&amp;" ngày",IF(IF(D21="",C21,D21)&gt;=TODAY(),"Đang diễn ra","Đã qua "&amp;(TODAY()-IF(D21="",C21,D21))&amp;" ngày")))</f>
        <v/>
      </c>
      <c r="T21" s="13">
        <f>IF(AND(A21&lt;&gt;"",L21="Có",ISNUMBER(C21)),IF(IF(D21="",C21,D21)&gt;=TODAY()-35,C21+ROW()/100000,""),"")</f>
        <v/>
      </c>
    </row>
    <row r="22">
      <c r="A22" s="25" t="n"/>
      <c r="B22" s="11" t="n"/>
      <c r="C22" s="12" t="n"/>
      <c r="D22" s="12" t="n"/>
      <c r="E22" s="13" t="n"/>
      <c r="F22" s="13" t="n"/>
      <c r="G22" s="13" t="n"/>
      <c r="H22" s="13" t="n"/>
      <c r="I22" s="25" t="n"/>
      <c r="J22" s="25" t="n"/>
      <c r="K22" s="26" t="n"/>
      <c r="L22" s="26" t="n"/>
      <c r="M22" s="13">
        <f>IF(A22="","",COUNTIFS('Giao việc'!$M$5:$M$3004,A22,'Giao việc'!$I$5:$I$3004,"&lt;&gt;Bỏ qua"))</f>
        <v/>
      </c>
      <c r="N22" s="13">
        <f>IF(A22="","",COUNTIFS('Giao việc'!$M$5:$M$3004,A22,'Giao việc'!$I$5:$I$3004,"Xong"))</f>
        <v/>
      </c>
      <c r="O22" s="13">
        <f>IF(A22="","",COUNTIFS('Giao việc'!$M$5:$M$3004,A22,'Giao việc'!$L$5:$L$3004,"*QUÁ HẠN*"))</f>
        <v/>
      </c>
      <c r="P22" s="13">
        <f>IF(A22="","",COUNTIFS('Giao việc'!$M$5:$M$3004,A22,'Giao việc'!$L$5:$L$3004,"CHƯA GIAO*"))</f>
        <v/>
      </c>
      <c r="Q22" s="14">
        <f>IF(OR(A22="",N(M22)=0),"",N22/M22)</f>
        <v/>
      </c>
      <c r="R22" s="15">
        <f>IF(Q22="","",REPT("█",ROUND(Q22*10,0))&amp;REPT("░",10-ROUND(Q22*10,0)))</f>
        <v/>
      </c>
      <c r="S22" s="13">
        <f>IF(C22="","Chưa có ngày",IF(C22&gt;TODAY(),"Còn "&amp;(C22-TODAY())&amp;" ngày",IF(IF(D22="",C22,D22)&gt;=TODAY(),"Đang diễn ra","Đã qua "&amp;(TODAY()-IF(D22="",C22,D22))&amp;" ngày")))</f>
        <v/>
      </c>
      <c r="T22" s="13">
        <f>IF(AND(A22&lt;&gt;"",L22="Có",ISNUMBER(C22)),IF(IF(D22="",C22,D22)&gt;=TODAY()-35,C22+ROW()/100000,""),"")</f>
        <v/>
      </c>
    </row>
    <row r="23">
      <c r="A23" s="25" t="n"/>
      <c r="B23" s="11" t="n"/>
      <c r="C23" s="12" t="n"/>
      <c r="D23" s="12" t="n"/>
      <c r="E23" s="13" t="n"/>
      <c r="F23" s="13" t="n"/>
      <c r="G23" s="13" t="n"/>
      <c r="H23" s="13" t="n"/>
      <c r="I23" s="25" t="n"/>
      <c r="J23" s="25" t="n"/>
      <c r="K23" s="26" t="n"/>
      <c r="L23" s="26" t="n"/>
      <c r="M23" s="13">
        <f>IF(A23="","",COUNTIFS('Giao việc'!$M$5:$M$3004,A23,'Giao việc'!$I$5:$I$3004,"&lt;&gt;Bỏ qua"))</f>
        <v/>
      </c>
      <c r="N23" s="13">
        <f>IF(A23="","",COUNTIFS('Giao việc'!$M$5:$M$3004,A23,'Giao việc'!$I$5:$I$3004,"Xong"))</f>
        <v/>
      </c>
      <c r="O23" s="13">
        <f>IF(A23="","",COUNTIFS('Giao việc'!$M$5:$M$3004,A23,'Giao việc'!$L$5:$L$3004,"*QUÁ HẠN*"))</f>
        <v/>
      </c>
      <c r="P23" s="13">
        <f>IF(A23="","",COUNTIFS('Giao việc'!$M$5:$M$3004,A23,'Giao việc'!$L$5:$L$3004,"CHƯA GIAO*"))</f>
        <v/>
      </c>
      <c r="Q23" s="14">
        <f>IF(OR(A23="",N(M23)=0),"",N23/M23)</f>
        <v/>
      </c>
      <c r="R23" s="15">
        <f>IF(Q23="","",REPT("█",ROUND(Q23*10,0))&amp;REPT("░",10-ROUND(Q23*10,0)))</f>
        <v/>
      </c>
      <c r="S23" s="13">
        <f>IF(C23="","Chưa có ngày",IF(C23&gt;TODAY(),"Còn "&amp;(C23-TODAY())&amp;" ngày",IF(IF(D23="",C23,D23)&gt;=TODAY(),"Đang diễn ra","Đã qua "&amp;(TODAY()-IF(D23="",C23,D23))&amp;" ngày")))</f>
        <v/>
      </c>
      <c r="T23" s="13">
        <f>IF(AND(A23&lt;&gt;"",L23="Có",ISNUMBER(C23)),IF(IF(D23="",C23,D23)&gt;=TODAY()-35,C23+ROW()/100000,""),"")</f>
        <v/>
      </c>
    </row>
    <row r="24">
      <c r="A24" s="25" t="n"/>
      <c r="B24" s="11" t="n"/>
      <c r="C24" s="12" t="n"/>
      <c r="D24" s="12" t="n"/>
      <c r="E24" s="13" t="n"/>
      <c r="F24" s="13" t="n"/>
      <c r="G24" s="13" t="n"/>
      <c r="H24" s="13" t="n"/>
      <c r="I24" s="25" t="n"/>
      <c r="J24" s="25" t="n"/>
      <c r="K24" s="26" t="n"/>
      <c r="L24" s="26" t="n"/>
      <c r="M24" s="13">
        <f>IF(A24="","",COUNTIFS('Giao việc'!$M$5:$M$3004,A24,'Giao việc'!$I$5:$I$3004,"&lt;&gt;Bỏ qua"))</f>
        <v/>
      </c>
      <c r="N24" s="13">
        <f>IF(A24="","",COUNTIFS('Giao việc'!$M$5:$M$3004,A24,'Giao việc'!$I$5:$I$3004,"Xong"))</f>
        <v/>
      </c>
      <c r="O24" s="13">
        <f>IF(A24="","",COUNTIFS('Giao việc'!$M$5:$M$3004,A24,'Giao việc'!$L$5:$L$3004,"*QUÁ HẠN*"))</f>
        <v/>
      </c>
      <c r="P24" s="13">
        <f>IF(A24="","",COUNTIFS('Giao việc'!$M$5:$M$3004,A24,'Giao việc'!$L$5:$L$3004,"CHƯA GIAO*"))</f>
        <v/>
      </c>
      <c r="Q24" s="14">
        <f>IF(OR(A24="",N(M24)=0),"",N24/M24)</f>
        <v/>
      </c>
      <c r="R24" s="15">
        <f>IF(Q24="","",REPT("█",ROUND(Q24*10,0))&amp;REPT("░",10-ROUND(Q24*10,0)))</f>
        <v/>
      </c>
      <c r="S24" s="13">
        <f>IF(C24="","Chưa có ngày",IF(C24&gt;TODAY(),"Còn "&amp;(C24-TODAY())&amp;" ngày",IF(IF(D24="",C24,D24)&gt;=TODAY(),"Đang diễn ra","Đã qua "&amp;(TODAY()-IF(D24="",C24,D24))&amp;" ngày")))</f>
        <v/>
      </c>
      <c r="T24" s="13">
        <f>IF(AND(A24&lt;&gt;"",L24="Có",ISNUMBER(C24)),IF(IF(D24="",C24,D24)&gt;=TODAY()-35,C24+ROW()/100000,""),"")</f>
        <v/>
      </c>
    </row>
    <row r="25">
      <c r="A25" s="25" t="n"/>
      <c r="B25" s="11" t="n"/>
      <c r="C25" s="12" t="n"/>
      <c r="D25" s="12" t="n"/>
      <c r="E25" s="13" t="n"/>
      <c r="F25" s="13" t="n"/>
      <c r="G25" s="13" t="n"/>
      <c r="H25" s="13" t="n"/>
      <c r="I25" s="25" t="n"/>
      <c r="J25" s="25" t="n"/>
      <c r="K25" s="26" t="n"/>
      <c r="L25" s="26" t="n"/>
      <c r="M25" s="13">
        <f>IF(A25="","",COUNTIFS('Giao việc'!$M$5:$M$3004,A25,'Giao việc'!$I$5:$I$3004,"&lt;&gt;Bỏ qua"))</f>
        <v/>
      </c>
      <c r="N25" s="13">
        <f>IF(A25="","",COUNTIFS('Giao việc'!$M$5:$M$3004,A25,'Giao việc'!$I$5:$I$3004,"Xong"))</f>
        <v/>
      </c>
      <c r="O25" s="13">
        <f>IF(A25="","",COUNTIFS('Giao việc'!$M$5:$M$3004,A25,'Giao việc'!$L$5:$L$3004,"*QUÁ HẠN*"))</f>
        <v/>
      </c>
      <c r="P25" s="13">
        <f>IF(A25="","",COUNTIFS('Giao việc'!$M$5:$M$3004,A25,'Giao việc'!$L$5:$L$3004,"CHƯA GIAO*"))</f>
        <v/>
      </c>
      <c r="Q25" s="14">
        <f>IF(OR(A25="",N(M25)=0),"",N25/M25)</f>
        <v/>
      </c>
      <c r="R25" s="15">
        <f>IF(Q25="","",REPT("█",ROUND(Q25*10,0))&amp;REPT("░",10-ROUND(Q25*10,0)))</f>
        <v/>
      </c>
      <c r="S25" s="13">
        <f>IF(C25="","Chưa có ngày",IF(C25&gt;TODAY(),"Còn "&amp;(C25-TODAY())&amp;" ngày",IF(IF(D25="",C25,D25)&gt;=TODAY(),"Đang diễn ra","Đã qua "&amp;(TODAY()-IF(D25="",C25,D25))&amp;" ngày")))</f>
        <v/>
      </c>
      <c r="T25" s="13">
        <f>IF(AND(A25&lt;&gt;"",L25="Có",ISNUMBER(C25)),IF(IF(D25="",C25,D25)&gt;=TODAY()-35,C25+ROW()/100000,""),"")</f>
        <v/>
      </c>
    </row>
    <row r="26">
      <c r="A26" s="25" t="n"/>
      <c r="B26" s="11" t="n"/>
      <c r="C26" s="12" t="n"/>
      <c r="D26" s="12" t="n"/>
      <c r="E26" s="13" t="n"/>
      <c r="F26" s="13" t="n"/>
      <c r="G26" s="13" t="n"/>
      <c r="H26" s="13" t="n"/>
      <c r="I26" s="25" t="n"/>
      <c r="J26" s="25" t="n"/>
      <c r="K26" s="26" t="n"/>
      <c r="L26" s="26" t="n"/>
      <c r="M26" s="13">
        <f>IF(A26="","",COUNTIFS('Giao việc'!$M$5:$M$3004,A26,'Giao việc'!$I$5:$I$3004,"&lt;&gt;Bỏ qua"))</f>
        <v/>
      </c>
      <c r="N26" s="13">
        <f>IF(A26="","",COUNTIFS('Giao việc'!$M$5:$M$3004,A26,'Giao việc'!$I$5:$I$3004,"Xong"))</f>
        <v/>
      </c>
      <c r="O26" s="13">
        <f>IF(A26="","",COUNTIFS('Giao việc'!$M$5:$M$3004,A26,'Giao việc'!$L$5:$L$3004,"*QUÁ HẠN*"))</f>
        <v/>
      </c>
      <c r="P26" s="13">
        <f>IF(A26="","",COUNTIFS('Giao việc'!$M$5:$M$3004,A26,'Giao việc'!$L$5:$L$3004,"CHƯA GIAO*"))</f>
        <v/>
      </c>
      <c r="Q26" s="14">
        <f>IF(OR(A26="",N(M26)=0),"",N26/M26)</f>
        <v/>
      </c>
      <c r="R26" s="15">
        <f>IF(Q26="","",REPT("█",ROUND(Q26*10,0))&amp;REPT("░",10-ROUND(Q26*10,0)))</f>
        <v/>
      </c>
      <c r="S26" s="13">
        <f>IF(C26="","Chưa có ngày",IF(C26&gt;TODAY(),"Còn "&amp;(C26-TODAY())&amp;" ngày",IF(IF(D26="",C26,D26)&gt;=TODAY(),"Đang diễn ra","Đã qua "&amp;(TODAY()-IF(D26="",C26,D26))&amp;" ngày")))</f>
        <v/>
      </c>
      <c r="T26" s="13">
        <f>IF(AND(A26&lt;&gt;"",L26="Có",ISNUMBER(C26)),IF(IF(D26="",C26,D26)&gt;=TODAY()-35,C26+ROW()/100000,""),"")</f>
        <v/>
      </c>
    </row>
    <row r="27">
      <c r="A27" s="25" t="n"/>
      <c r="B27" s="11" t="n"/>
      <c r="C27" s="12" t="n"/>
      <c r="D27" s="12" t="n"/>
      <c r="E27" s="13" t="n"/>
      <c r="F27" s="13" t="n"/>
      <c r="G27" s="13" t="n"/>
      <c r="H27" s="13" t="n"/>
      <c r="I27" s="25" t="n"/>
      <c r="J27" s="25" t="n"/>
      <c r="K27" s="26" t="n"/>
      <c r="L27" s="26" t="n"/>
      <c r="M27" s="13">
        <f>IF(A27="","",COUNTIFS('Giao việc'!$M$5:$M$3004,A27,'Giao việc'!$I$5:$I$3004,"&lt;&gt;Bỏ qua"))</f>
        <v/>
      </c>
      <c r="N27" s="13">
        <f>IF(A27="","",COUNTIFS('Giao việc'!$M$5:$M$3004,A27,'Giao việc'!$I$5:$I$3004,"Xong"))</f>
        <v/>
      </c>
      <c r="O27" s="13">
        <f>IF(A27="","",COUNTIFS('Giao việc'!$M$5:$M$3004,A27,'Giao việc'!$L$5:$L$3004,"*QUÁ HẠN*"))</f>
        <v/>
      </c>
      <c r="P27" s="13">
        <f>IF(A27="","",COUNTIFS('Giao việc'!$M$5:$M$3004,A27,'Giao việc'!$L$5:$L$3004,"CHƯA GIAO*"))</f>
        <v/>
      </c>
      <c r="Q27" s="14">
        <f>IF(OR(A27="",N(M27)=0),"",N27/M27)</f>
        <v/>
      </c>
      <c r="R27" s="15">
        <f>IF(Q27="","",REPT("█",ROUND(Q27*10,0))&amp;REPT("░",10-ROUND(Q27*10,0)))</f>
        <v/>
      </c>
      <c r="S27" s="13">
        <f>IF(C27="","Chưa có ngày",IF(C27&gt;TODAY(),"Còn "&amp;(C27-TODAY())&amp;" ngày",IF(IF(D27="",C27,D27)&gt;=TODAY(),"Đang diễn ra","Đã qua "&amp;(TODAY()-IF(D27="",C27,D27))&amp;" ngày")))</f>
        <v/>
      </c>
      <c r="T27" s="13">
        <f>IF(AND(A27&lt;&gt;"",L27="Có",ISNUMBER(C27)),IF(IF(D27="",C27,D27)&gt;=TODAY()-35,C27+ROW()/100000,""),"")</f>
        <v/>
      </c>
    </row>
    <row r="28">
      <c r="A28" s="25" t="n"/>
      <c r="B28" s="11" t="n"/>
      <c r="C28" s="12" t="n"/>
      <c r="D28" s="12" t="n"/>
      <c r="E28" s="13" t="n"/>
      <c r="F28" s="13" t="n"/>
      <c r="G28" s="13" t="n"/>
      <c r="H28" s="13" t="n"/>
      <c r="I28" s="25" t="n"/>
      <c r="J28" s="25" t="n"/>
      <c r="K28" s="26" t="n"/>
      <c r="L28" s="26" t="n"/>
      <c r="M28" s="13">
        <f>IF(A28="","",COUNTIFS('Giao việc'!$M$5:$M$3004,A28,'Giao việc'!$I$5:$I$3004,"&lt;&gt;Bỏ qua"))</f>
        <v/>
      </c>
      <c r="N28" s="13">
        <f>IF(A28="","",COUNTIFS('Giao việc'!$M$5:$M$3004,A28,'Giao việc'!$I$5:$I$3004,"Xong"))</f>
        <v/>
      </c>
      <c r="O28" s="13">
        <f>IF(A28="","",COUNTIFS('Giao việc'!$M$5:$M$3004,A28,'Giao việc'!$L$5:$L$3004,"*QUÁ HẠN*"))</f>
        <v/>
      </c>
      <c r="P28" s="13">
        <f>IF(A28="","",COUNTIFS('Giao việc'!$M$5:$M$3004,A28,'Giao việc'!$L$5:$L$3004,"CHƯA GIAO*"))</f>
        <v/>
      </c>
      <c r="Q28" s="14">
        <f>IF(OR(A28="",N(M28)=0),"",N28/M28)</f>
        <v/>
      </c>
      <c r="R28" s="15">
        <f>IF(Q28="","",REPT("█",ROUND(Q28*10,0))&amp;REPT("░",10-ROUND(Q28*10,0)))</f>
        <v/>
      </c>
      <c r="S28" s="13">
        <f>IF(C28="","Chưa có ngày",IF(C28&gt;TODAY(),"Còn "&amp;(C28-TODAY())&amp;" ngày",IF(IF(D28="",C28,D28)&gt;=TODAY(),"Đang diễn ra","Đã qua "&amp;(TODAY()-IF(D28="",C28,D28))&amp;" ngày")))</f>
        <v/>
      </c>
      <c r="T28" s="13">
        <f>IF(AND(A28&lt;&gt;"",L28="Có",ISNUMBER(C28)),IF(IF(D28="",C28,D28)&gt;=TODAY()-35,C28+ROW()/100000,""),"")</f>
        <v/>
      </c>
    </row>
    <row r="29">
      <c r="A29" s="25" t="n"/>
      <c r="B29" s="11" t="n"/>
      <c r="C29" s="12" t="n"/>
      <c r="D29" s="12" t="n"/>
      <c r="E29" s="13" t="n"/>
      <c r="F29" s="13" t="n"/>
      <c r="G29" s="13" t="n"/>
      <c r="H29" s="13" t="n"/>
      <c r="I29" s="25" t="n"/>
      <c r="J29" s="25" t="n"/>
      <c r="K29" s="26" t="n"/>
      <c r="L29" s="26" t="n"/>
      <c r="M29" s="13">
        <f>IF(A29="","",COUNTIFS('Giao việc'!$M$5:$M$3004,A29,'Giao việc'!$I$5:$I$3004,"&lt;&gt;Bỏ qua"))</f>
        <v/>
      </c>
      <c r="N29" s="13">
        <f>IF(A29="","",COUNTIFS('Giao việc'!$M$5:$M$3004,A29,'Giao việc'!$I$5:$I$3004,"Xong"))</f>
        <v/>
      </c>
      <c r="O29" s="13">
        <f>IF(A29="","",COUNTIFS('Giao việc'!$M$5:$M$3004,A29,'Giao việc'!$L$5:$L$3004,"*QUÁ HẠN*"))</f>
        <v/>
      </c>
      <c r="P29" s="13">
        <f>IF(A29="","",COUNTIFS('Giao việc'!$M$5:$M$3004,A29,'Giao việc'!$L$5:$L$3004,"CHƯA GIAO*"))</f>
        <v/>
      </c>
      <c r="Q29" s="14">
        <f>IF(OR(A29="",N(M29)=0),"",N29/M29)</f>
        <v/>
      </c>
      <c r="R29" s="15">
        <f>IF(Q29="","",REPT("█",ROUND(Q29*10,0))&amp;REPT("░",10-ROUND(Q29*10,0)))</f>
        <v/>
      </c>
      <c r="S29" s="13">
        <f>IF(C29="","Chưa có ngày",IF(C29&gt;TODAY(),"Còn "&amp;(C29-TODAY())&amp;" ngày",IF(IF(D29="",C29,D29)&gt;=TODAY(),"Đang diễn ra","Đã qua "&amp;(TODAY()-IF(D29="",C29,D29))&amp;" ngày")))</f>
        <v/>
      </c>
      <c r="T29" s="13">
        <f>IF(AND(A29&lt;&gt;"",L29="Có",ISNUMBER(C29)),IF(IF(D29="",C29,D29)&gt;=TODAY()-35,C29+ROW()/100000,""),"")</f>
        <v/>
      </c>
    </row>
    <row r="30">
      <c r="A30" s="25" t="n"/>
      <c r="B30" s="11" t="n"/>
      <c r="C30" s="12" t="n"/>
      <c r="D30" s="12" t="n"/>
      <c r="E30" s="13" t="n"/>
      <c r="F30" s="13" t="n"/>
      <c r="G30" s="13" t="n"/>
      <c r="H30" s="13" t="n"/>
      <c r="I30" s="25" t="n"/>
      <c r="J30" s="25" t="n"/>
      <c r="K30" s="26" t="n"/>
      <c r="L30" s="26" t="n"/>
      <c r="M30" s="13">
        <f>IF(A30="","",COUNTIFS('Giao việc'!$M$5:$M$3004,A30,'Giao việc'!$I$5:$I$3004,"&lt;&gt;Bỏ qua"))</f>
        <v/>
      </c>
      <c r="N30" s="13">
        <f>IF(A30="","",COUNTIFS('Giao việc'!$M$5:$M$3004,A30,'Giao việc'!$I$5:$I$3004,"Xong"))</f>
        <v/>
      </c>
      <c r="O30" s="13">
        <f>IF(A30="","",COUNTIFS('Giao việc'!$M$5:$M$3004,A30,'Giao việc'!$L$5:$L$3004,"*QUÁ HẠN*"))</f>
        <v/>
      </c>
      <c r="P30" s="13">
        <f>IF(A30="","",COUNTIFS('Giao việc'!$M$5:$M$3004,A30,'Giao việc'!$L$5:$L$3004,"CHƯA GIAO*"))</f>
        <v/>
      </c>
      <c r="Q30" s="14">
        <f>IF(OR(A30="",N(M30)=0),"",N30/M30)</f>
        <v/>
      </c>
      <c r="R30" s="15">
        <f>IF(Q30="","",REPT("█",ROUND(Q30*10,0))&amp;REPT("░",10-ROUND(Q30*10,0)))</f>
        <v/>
      </c>
      <c r="S30" s="13">
        <f>IF(C30="","Chưa có ngày",IF(C30&gt;TODAY(),"Còn "&amp;(C30-TODAY())&amp;" ngày",IF(IF(D30="",C30,D30)&gt;=TODAY(),"Đang diễn ra","Đã qua "&amp;(TODAY()-IF(D30="",C30,D30))&amp;" ngày")))</f>
        <v/>
      </c>
      <c r="T30" s="13">
        <f>IF(AND(A30&lt;&gt;"",L30="Có",ISNUMBER(C30)),IF(IF(D30="",C30,D30)&gt;=TODAY()-35,C30+ROW()/100000,""),"")</f>
        <v/>
      </c>
    </row>
    <row r="31">
      <c r="A31" s="25" t="n"/>
      <c r="B31" s="11" t="n"/>
      <c r="C31" s="12" t="n"/>
      <c r="D31" s="12" t="n"/>
      <c r="E31" s="13" t="n"/>
      <c r="F31" s="13" t="n"/>
      <c r="G31" s="13" t="n"/>
      <c r="H31" s="13" t="n"/>
      <c r="I31" s="25" t="n"/>
      <c r="J31" s="25" t="n"/>
      <c r="K31" s="26" t="n"/>
      <c r="L31" s="26" t="n"/>
      <c r="M31" s="13">
        <f>IF(A31="","",COUNTIFS('Giao việc'!$M$5:$M$3004,A31,'Giao việc'!$I$5:$I$3004,"&lt;&gt;Bỏ qua"))</f>
        <v/>
      </c>
      <c r="N31" s="13">
        <f>IF(A31="","",COUNTIFS('Giao việc'!$M$5:$M$3004,A31,'Giao việc'!$I$5:$I$3004,"Xong"))</f>
        <v/>
      </c>
      <c r="O31" s="13">
        <f>IF(A31="","",COUNTIFS('Giao việc'!$M$5:$M$3004,A31,'Giao việc'!$L$5:$L$3004,"*QUÁ HẠN*"))</f>
        <v/>
      </c>
      <c r="P31" s="13">
        <f>IF(A31="","",COUNTIFS('Giao việc'!$M$5:$M$3004,A31,'Giao việc'!$L$5:$L$3004,"CHƯA GIAO*"))</f>
        <v/>
      </c>
      <c r="Q31" s="14">
        <f>IF(OR(A31="",N(M31)=0),"",N31/M31)</f>
        <v/>
      </c>
      <c r="R31" s="15">
        <f>IF(Q31="","",REPT("█",ROUND(Q31*10,0))&amp;REPT("░",10-ROUND(Q31*10,0)))</f>
        <v/>
      </c>
      <c r="S31" s="13">
        <f>IF(C31="","Chưa có ngày",IF(C31&gt;TODAY(),"Còn "&amp;(C31-TODAY())&amp;" ngày",IF(IF(D31="",C31,D31)&gt;=TODAY(),"Đang diễn ra","Đã qua "&amp;(TODAY()-IF(D31="",C31,D31))&amp;" ngày")))</f>
        <v/>
      </c>
      <c r="T31" s="13">
        <f>IF(AND(A31&lt;&gt;"",L31="Có",ISNUMBER(C31)),IF(IF(D31="",C31,D31)&gt;=TODAY()-35,C31+ROW()/100000,""),"")</f>
        <v/>
      </c>
    </row>
    <row r="32">
      <c r="A32" s="25" t="n"/>
      <c r="B32" s="11" t="n"/>
      <c r="C32" s="12" t="n"/>
      <c r="D32" s="12" t="n"/>
      <c r="E32" s="13" t="n"/>
      <c r="F32" s="13" t="n"/>
      <c r="G32" s="13" t="n"/>
      <c r="H32" s="13" t="n"/>
      <c r="I32" s="25" t="n"/>
      <c r="J32" s="25" t="n"/>
      <c r="K32" s="26" t="n"/>
      <c r="L32" s="26" t="n"/>
      <c r="M32" s="13">
        <f>IF(A32="","",COUNTIFS('Giao việc'!$M$5:$M$3004,A32,'Giao việc'!$I$5:$I$3004,"&lt;&gt;Bỏ qua"))</f>
        <v/>
      </c>
      <c r="N32" s="13">
        <f>IF(A32="","",COUNTIFS('Giao việc'!$M$5:$M$3004,A32,'Giao việc'!$I$5:$I$3004,"Xong"))</f>
        <v/>
      </c>
      <c r="O32" s="13">
        <f>IF(A32="","",COUNTIFS('Giao việc'!$M$5:$M$3004,A32,'Giao việc'!$L$5:$L$3004,"*QUÁ HẠN*"))</f>
        <v/>
      </c>
      <c r="P32" s="13">
        <f>IF(A32="","",COUNTIFS('Giao việc'!$M$5:$M$3004,A32,'Giao việc'!$L$5:$L$3004,"CHƯA GIAO*"))</f>
        <v/>
      </c>
      <c r="Q32" s="14">
        <f>IF(OR(A32="",N(M32)=0),"",N32/M32)</f>
        <v/>
      </c>
      <c r="R32" s="15">
        <f>IF(Q32="","",REPT("█",ROUND(Q32*10,0))&amp;REPT("░",10-ROUND(Q32*10,0)))</f>
        <v/>
      </c>
      <c r="S32" s="13">
        <f>IF(C32="","Chưa có ngày",IF(C32&gt;TODAY(),"Còn "&amp;(C32-TODAY())&amp;" ngày",IF(IF(D32="",C32,D32)&gt;=TODAY(),"Đang diễn ra","Đã qua "&amp;(TODAY()-IF(D32="",C32,D32))&amp;" ngày")))</f>
        <v/>
      </c>
      <c r="T32" s="13">
        <f>IF(AND(A32&lt;&gt;"",L32="Có",ISNUMBER(C32)),IF(IF(D32="",C32,D32)&gt;=TODAY()-35,C32+ROW()/100000,""),"")</f>
        <v/>
      </c>
    </row>
    <row r="33">
      <c r="A33" s="25" t="n"/>
      <c r="B33" s="11" t="n"/>
      <c r="C33" s="12" t="n"/>
      <c r="D33" s="12" t="n"/>
      <c r="E33" s="13" t="n"/>
      <c r="F33" s="13" t="n"/>
      <c r="G33" s="13" t="n"/>
      <c r="H33" s="13" t="n"/>
      <c r="I33" s="25" t="n"/>
      <c r="J33" s="25" t="n"/>
      <c r="K33" s="26" t="n"/>
      <c r="L33" s="26" t="n"/>
      <c r="M33" s="13">
        <f>IF(A33="","",COUNTIFS('Giao việc'!$M$5:$M$3004,A33,'Giao việc'!$I$5:$I$3004,"&lt;&gt;Bỏ qua"))</f>
        <v/>
      </c>
      <c r="N33" s="13">
        <f>IF(A33="","",COUNTIFS('Giao việc'!$M$5:$M$3004,A33,'Giao việc'!$I$5:$I$3004,"Xong"))</f>
        <v/>
      </c>
      <c r="O33" s="13">
        <f>IF(A33="","",COUNTIFS('Giao việc'!$M$5:$M$3004,A33,'Giao việc'!$L$5:$L$3004,"*QUÁ HẠN*"))</f>
        <v/>
      </c>
      <c r="P33" s="13">
        <f>IF(A33="","",COUNTIFS('Giao việc'!$M$5:$M$3004,A33,'Giao việc'!$L$5:$L$3004,"CHƯA GIAO*"))</f>
        <v/>
      </c>
      <c r="Q33" s="14">
        <f>IF(OR(A33="",N(M33)=0),"",N33/M33)</f>
        <v/>
      </c>
      <c r="R33" s="15">
        <f>IF(Q33="","",REPT("█",ROUND(Q33*10,0))&amp;REPT("░",10-ROUND(Q33*10,0)))</f>
        <v/>
      </c>
      <c r="S33" s="13">
        <f>IF(C33="","Chưa có ngày",IF(C33&gt;TODAY(),"Còn "&amp;(C33-TODAY())&amp;" ngày",IF(IF(D33="",C33,D33)&gt;=TODAY(),"Đang diễn ra","Đã qua "&amp;(TODAY()-IF(D33="",C33,D33))&amp;" ngày")))</f>
        <v/>
      </c>
      <c r="T33" s="13">
        <f>IF(AND(A33&lt;&gt;"",L33="Có",ISNUMBER(C33)),IF(IF(D33="",C33,D33)&gt;=TODAY()-35,C33+ROW()/100000,""),"")</f>
        <v/>
      </c>
    </row>
    <row r="34">
      <c r="A34" s="25" t="n"/>
      <c r="B34" s="11" t="n"/>
      <c r="C34" s="12" t="n"/>
      <c r="D34" s="12" t="n"/>
      <c r="E34" s="13" t="n"/>
      <c r="F34" s="13" t="n"/>
      <c r="G34" s="13" t="n"/>
      <c r="H34" s="13" t="n"/>
      <c r="I34" s="25" t="n"/>
      <c r="J34" s="25" t="n"/>
      <c r="K34" s="26" t="n"/>
      <c r="L34" s="26" t="n"/>
      <c r="M34" s="13">
        <f>IF(A34="","",COUNTIFS('Giao việc'!$M$5:$M$3004,A34,'Giao việc'!$I$5:$I$3004,"&lt;&gt;Bỏ qua"))</f>
        <v/>
      </c>
      <c r="N34" s="13">
        <f>IF(A34="","",COUNTIFS('Giao việc'!$M$5:$M$3004,A34,'Giao việc'!$I$5:$I$3004,"Xong"))</f>
        <v/>
      </c>
      <c r="O34" s="13">
        <f>IF(A34="","",COUNTIFS('Giao việc'!$M$5:$M$3004,A34,'Giao việc'!$L$5:$L$3004,"*QUÁ HẠN*"))</f>
        <v/>
      </c>
      <c r="P34" s="13">
        <f>IF(A34="","",COUNTIFS('Giao việc'!$M$5:$M$3004,A34,'Giao việc'!$L$5:$L$3004,"CHƯA GIAO*"))</f>
        <v/>
      </c>
      <c r="Q34" s="14">
        <f>IF(OR(A34="",N(M34)=0),"",N34/M34)</f>
        <v/>
      </c>
      <c r="R34" s="15">
        <f>IF(Q34="","",REPT("█",ROUND(Q34*10,0))&amp;REPT("░",10-ROUND(Q34*10,0)))</f>
        <v/>
      </c>
      <c r="S34" s="13">
        <f>IF(C34="","Chưa có ngày",IF(C34&gt;TODAY(),"Còn "&amp;(C34-TODAY())&amp;" ngày",IF(IF(D34="",C34,D34)&gt;=TODAY(),"Đang diễn ra","Đã qua "&amp;(TODAY()-IF(D34="",C34,D34))&amp;" ngày")))</f>
        <v/>
      </c>
      <c r="T34" s="13">
        <f>IF(AND(A34&lt;&gt;"",L34="Có",ISNUMBER(C34)),IF(IF(D34="",C34,D34)&gt;=TODAY()-35,C34+ROW()/100000,""),"")</f>
        <v/>
      </c>
    </row>
    <row r="35">
      <c r="A35" s="25" t="n"/>
      <c r="B35" s="11" t="n"/>
      <c r="C35" s="12" t="n"/>
      <c r="D35" s="12" t="n"/>
      <c r="E35" s="13" t="n"/>
      <c r="F35" s="13" t="n"/>
      <c r="G35" s="13" t="n"/>
      <c r="H35" s="13" t="n"/>
      <c r="I35" s="25" t="n"/>
      <c r="J35" s="25" t="n"/>
      <c r="K35" s="26" t="n"/>
      <c r="L35" s="26" t="n"/>
      <c r="M35" s="13">
        <f>IF(A35="","",COUNTIFS('Giao việc'!$M$5:$M$3004,A35,'Giao việc'!$I$5:$I$3004,"&lt;&gt;Bỏ qua"))</f>
        <v/>
      </c>
      <c r="N35" s="13">
        <f>IF(A35="","",COUNTIFS('Giao việc'!$M$5:$M$3004,A35,'Giao việc'!$I$5:$I$3004,"Xong"))</f>
        <v/>
      </c>
      <c r="O35" s="13">
        <f>IF(A35="","",COUNTIFS('Giao việc'!$M$5:$M$3004,A35,'Giao việc'!$L$5:$L$3004,"*QUÁ HẠN*"))</f>
        <v/>
      </c>
      <c r="P35" s="13">
        <f>IF(A35="","",COUNTIFS('Giao việc'!$M$5:$M$3004,A35,'Giao việc'!$L$5:$L$3004,"CHƯA GIAO*"))</f>
        <v/>
      </c>
      <c r="Q35" s="14">
        <f>IF(OR(A35="",N(M35)=0),"",N35/M35)</f>
        <v/>
      </c>
      <c r="R35" s="15">
        <f>IF(Q35="","",REPT("█",ROUND(Q35*10,0))&amp;REPT("░",10-ROUND(Q35*10,0)))</f>
        <v/>
      </c>
      <c r="S35" s="13">
        <f>IF(C35="","Chưa có ngày",IF(C35&gt;TODAY(),"Còn "&amp;(C35-TODAY())&amp;" ngày",IF(IF(D35="",C35,D35)&gt;=TODAY(),"Đang diễn ra","Đã qua "&amp;(TODAY()-IF(D35="",C35,D35))&amp;" ngày")))</f>
        <v/>
      </c>
      <c r="T35" s="13">
        <f>IF(AND(A35&lt;&gt;"",L35="Có",ISNUMBER(C35)),IF(IF(D35="",C35,D35)&gt;=TODAY()-35,C35+ROW()/100000,""),"")</f>
        <v/>
      </c>
    </row>
    <row r="36">
      <c r="A36" s="25" t="n"/>
      <c r="B36" s="11" t="n"/>
      <c r="C36" s="12" t="n"/>
      <c r="D36" s="12" t="n"/>
      <c r="E36" s="13" t="n"/>
      <c r="F36" s="13" t="n"/>
      <c r="G36" s="13" t="n"/>
      <c r="H36" s="13" t="n"/>
      <c r="I36" s="25" t="n"/>
      <c r="J36" s="25" t="n"/>
      <c r="K36" s="26" t="n"/>
      <c r="L36" s="26" t="n"/>
      <c r="M36" s="13">
        <f>IF(A36="","",COUNTIFS('Giao việc'!$M$5:$M$3004,A36,'Giao việc'!$I$5:$I$3004,"&lt;&gt;Bỏ qua"))</f>
        <v/>
      </c>
      <c r="N36" s="13">
        <f>IF(A36="","",COUNTIFS('Giao việc'!$M$5:$M$3004,A36,'Giao việc'!$I$5:$I$3004,"Xong"))</f>
        <v/>
      </c>
      <c r="O36" s="13">
        <f>IF(A36="","",COUNTIFS('Giao việc'!$M$5:$M$3004,A36,'Giao việc'!$L$5:$L$3004,"*QUÁ HẠN*"))</f>
        <v/>
      </c>
      <c r="P36" s="13">
        <f>IF(A36="","",COUNTIFS('Giao việc'!$M$5:$M$3004,A36,'Giao việc'!$L$5:$L$3004,"CHƯA GIAO*"))</f>
        <v/>
      </c>
      <c r="Q36" s="14">
        <f>IF(OR(A36="",N(M36)=0),"",N36/M36)</f>
        <v/>
      </c>
      <c r="R36" s="15">
        <f>IF(Q36="","",REPT("█",ROUND(Q36*10,0))&amp;REPT("░",10-ROUND(Q36*10,0)))</f>
        <v/>
      </c>
      <c r="S36" s="13">
        <f>IF(C36="","Chưa có ngày",IF(C36&gt;TODAY(),"Còn "&amp;(C36-TODAY())&amp;" ngày",IF(IF(D36="",C36,D36)&gt;=TODAY(),"Đang diễn ra","Đã qua "&amp;(TODAY()-IF(D36="",C36,D36))&amp;" ngày")))</f>
        <v/>
      </c>
      <c r="T36" s="13">
        <f>IF(AND(A36&lt;&gt;"",L36="Có",ISNUMBER(C36)),IF(IF(D36="",C36,D36)&gt;=TODAY()-35,C36+ROW()/100000,""),"")</f>
        <v/>
      </c>
    </row>
    <row r="37">
      <c r="A37" s="25" t="n"/>
      <c r="B37" s="11" t="n"/>
      <c r="C37" s="12" t="n"/>
      <c r="D37" s="12" t="n"/>
      <c r="E37" s="13" t="n"/>
      <c r="F37" s="13" t="n"/>
      <c r="G37" s="13" t="n"/>
      <c r="H37" s="13" t="n"/>
      <c r="I37" s="25" t="n"/>
      <c r="J37" s="25" t="n"/>
      <c r="K37" s="26" t="n"/>
      <c r="L37" s="26" t="n"/>
      <c r="M37" s="13">
        <f>IF(A37="","",COUNTIFS('Giao việc'!$M$5:$M$3004,A37,'Giao việc'!$I$5:$I$3004,"&lt;&gt;Bỏ qua"))</f>
        <v/>
      </c>
      <c r="N37" s="13">
        <f>IF(A37="","",COUNTIFS('Giao việc'!$M$5:$M$3004,A37,'Giao việc'!$I$5:$I$3004,"Xong"))</f>
        <v/>
      </c>
      <c r="O37" s="13">
        <f>IF(A37="","",COUNTIFS('Giao việc'!$M$5:$M$3004,A37,'Giao việc'!$L$5:$L$3004,"*QUÁ HẠN*"))</f>
        <v/>
      </c>
      <c r="P37" s="13">
        <f>IF(A37="","",COUNTIFS('Giao việc'!$M$5:$M$3004,A37,'Giao việc'!$L$5:$L$3004,"CHƯA GIAO*"))</f>
        <v/>
      </c>
      <c r="Q37" s="14">
        <f>IF(OR(A37="",N(M37)=0),"",N37/M37)</f>
        <v/>
      </c>
      <c r="R37" s="15">
        <f>IF(Q37="","",REPT("█",ROUND(Q37*10,0))&amp;REPT("░",10-ROUND(Q37*10,0)))</f>
        <v/>
      </c>
      <c r="S37" s="13">
        <f>IF(C37="","Chưa có ngày",IF(C37&gt;TODAY(),"Còn "&amp;(C37-TODAY())&amp;" ngày",IF(IF(D37="",C37,D37)&gt;=TODAY(),"Đang diễn ra","Đã qua "&amp;(TODAY()-IF(D37="",C37,D37))&amp;" ngày")))</f>
        <v/>
      </c>
      <c r="T37" s="13">
        <f>IF(AND(A37&lt;&gt;"",L37="Có",ISNUMBER(C37)),IF(IF(D37="",C37,D37)&gt;=TODAY()-35,C37+ROW()/100000,""),"")</f>
        <v/>
      </c>
    </row>
    <row r="38">
      <c r="A38" s="25" t="n"/>
      <c r="B38" s="11" t="n"/>
      <c r="C38" s="12" t="n"/>
      <c r="D38" s="12" t="n"/>
      <c r="E38" s="13" t="n"/>
      <c r="F38" s="13" t="n"/>
      <c r="G38" s="13" t="n"/>
      <c r="H38" s="13" t="n"/>
      <c r="I38" s="25" t="n"/>
      <c r="J38" s="25" t="n"/>
      <c r="K38" s="26" t="n"/>
      <c r="L38" s="26" t="n"/>
      <c r="M38" s="13">
        <f>IF(A38="","",COUNTIFS('Giao việc'!$M$5:$M$3004,A38,'Giao việc'!$I$5:$I$3004,"&lt;&gt;Bỏ qua"))</f>
        <v/>
      </c>
      <c r="N38" s="13">
        <f>IF(A38="","",COUNTIFS('Giao việc'!$M$5:$M$3004,A38,'Giao việc'!$I$5:$I$3004,"Xong"))</f>
        <v/>
      </c>
      <c r="O38" s="13">
        <f>IF(A38="","",COUNTIFS('Giao việc'!$M$5:$M$3004,A38,'Giao việc'!$L$5:$L$3004,"*QUÁ HẠN*"))</f>
        <v/>
      </c>
      <c r="P38" s="13">
        <f>IF(A38="","",COUNTIFS('Giao việc'!$M$5:$M$3004,A38,'Giao việc'!$L$5:$L$3004,"CHƯA GIAO*"))</f>
        <v/>
      </c>
      <c r="Q38" s="14">
        <f>IF(OR(A38="",N(M38)=0),"",N38/M38)</f>
        <v/>
      </c>
      <c r="R38" s="15">
        <f>IF(Q38="","",REPT("█",ROUND(Q38*10,0))&amp;REPT("░",10-ROUND(Q38*10,0)))</f>
        <v/>
      </c>
      <c r="S38" s="13">
        <f>IF(C38="","Chưa có ngày",IF(C38&gt;TODAY(),"Còn "&amp;(C38-TODAY())&amp;" ngày",IF(IF(D38="",C38,D38)&gt;=TODAY(),"Đang diễn ra","Đã qua "&amp;(TODAY()-IF(D38="",C38,D38))&amp;" ngày")))</f>
        <v/>
      </c>
      <c r="T38" s="13">
        <f>IF(AND(A38&lt;&gt;"",L38="Có",ISNUMBER(C38)),IF(IF(D38="",C38,D38)&gt;=TODAY()-35,C38+ROW()/100000,""),"")</f>
        <v/>
      </c>
    </row>
    <row r="39">
      <c r="A39" s="25" t="n"/>
      <c r="B39" s="11" t="n"/>
      <c r="C39" s="12" t="n"/>
      <c r="D39" s="12" t="n"/>
      <c r="E39" s="13" t="n"/>
      <c r="F39" s="13" t="n"/>
      <c r="G39" s="13" t="n"/>
      <c r="H39" s="13" t="n"/>
      <c r="I39" s="25" t="n"/>
      <c r="J39" s="25" t="n"/>
      <c r="K39" s="26" t="n"/>
      <c r="L39" s="26" t="n"/>
      <c r="M39" s="13">
        <f>IF(A39="","",COUNTIFS('Giao việc'!$M$5:$M$3004,A39,'Giao việc'!$I$5:$I$3004,"&lt;&gt;Bỏ qua"))</f>
        <v/>
      </c>
      <c r="N39" s="13">
        <f>IF(A39="","",COUNTIFS('Giao việc'!$M$5:$M$3004,A39,'Giao việc'!$I$5:$I$3004,"Xong"))</f>
        <v/>
      </c>
      <c r="O39" s="13">
        <f>IF(A39="","",COUNTIFS('Giao việc'!$M$5:$M$3004,A39,'Giao việc'!$L$5:$L$3004,"*QUÁ HẠN*"))</f>
        <v/>
      </c>
      <c r="P39" s="13">
        <f>IF(A39="","",COUNTIFS('Giao việc'!$M$5:$M$3004,A39,'Giao việc'!$L$5:$L$3004,"CHƯA GIAO*"))</f>
        <v/>
      </c>
      <c r="Q39" s="14">
        <f>IF(OR(A39="",N(M39)=0),"",N39/M39)</f>
        <v/>
      </c>
      <c r="R39" s="15">
        <f>IF(Q39="","",REPT("█",ROUND(Q39*10,0))&amp;REPT("░",10-ROUND(Q39*10,0)))</f>
        <v/>
      </c>
      <c r="S39" s="13">
        <f>IF(C39="","Chưa có ngày",IF(C39&gt;TODAY(),"Còn "&amp;(C39-TODAY())&amp;" ngày",IF(IF(D39="",C39,D39)&gt;=TODAY(),"Đang diễn ra","Đã qua "&amp;(TODAY()-IF(D39="",C39,D39))&amp;" ngày")))</f>
        <v/>
      </c>
      <c r="T39" s="13">
        <f>IF(AND(A39&lt;&gt;"",L39="Có",ISNUMBER(C39)),IF(IF(D39="",C39,D39)&gt;=TODAY()-35,C39+ROW()/100000,""),"")</f>
        <v/>
      </c>
    </row>
    <row r="40">
      <c r="A40" s="25" t="n"/>
      <c r="B40" s="11" t="n"/>
      <c r="C40" s="12" t="n"/>
      <c r="D40" s="12" t="n"/>
      <c r="E40" s="13" t="n"/>
      <c r="F40" s="13" t="n"/>
      <c r="G40" s="13" t="n"/>
      <c r="H40" s="13" t="n"/>
      <c r="I40" s="25" t="n"/>
      <c r="J40" s="25" t="n"/>
      <c r="K40" s="26" t="n"/>
      <c r="L40" s="26" t="n"/>
      <c r="M40" s="13">
        <f>IF(A40="","",COUNTIFS('Giao việc'!$M$5:$M$3004,A40,'Giao việc'!$I$5:$I$3004,"&lt;&gt;Bỏ qua"))</f>
        <v/>
      </c>
      <c r="N40" s="13">
        <f>IF(A40="","",COUNTIFS('Giao việc'!$M$5:$M$3004,A40,'Giao việc'!$I$5:$I$3004,"Xong"))</f>
        <v/>
      </c>
      <c r="O40" s="13">
        <f>IF(A40="","",COUNTIFS('Giao việc'!$M$5:$M$3004,A40,'Giao việc'!$L$5:$L$3004,"*QUÁ HẠN*"))</f>
        <v/>
      </c>
      <c r="P40" s="13">
        <f>IF(A40="","",COUNTIFS('Giao việc'!$M$5:$M$3004,A40,'Giao việc'!$L$5:$L$3004,"CHƯA GIAO*"))</f>
        <v/>
      </c>
      <c r="Q40" s="14">
        <f>IF(OR(A40="",N(M40)=0),"",N40/M40)</f>
        <v/>
      </c>
      <c r="R40" s="15">
        <f>IF(Q40="","",REPT("█",ROUND(Q40*10,0))&amp;REPT("░",10-ROUND(Q40*10,0)))</f>
        <v/>
      </c>
      <c r="S40" s="13">
        <f>IF(C40="","Chưa có ngày",IF(C40&gt;TODAY(),"Còn "&amp;(C40-TODAY())&amp;" ngày",IF(IF(D40="",C40,D40)&gt;=TODAY(),"Đang diễn ra","Đã qua "&amp;(TODAY()-IF(D40="",C40,D40))&amp;" ngày")))</f>
        <v/>
      </c>
      <c r="T40" s="13">
        <f>IF(AND(A40&lt;&gt;"",L40="Có",ISNUMBER(C40)),IF(IF(D40="",C40,D40)&gt;=TODAY()-35,C40+ROW()/100000,""),"")</f>
        <v/>
      </c>
    </row>
    <row r="41">
      <c r="A41" s="25" t="n"/>
      <c r="B41" s="11" t="n"/>
      <c r="C41" s="12" t="n"/>
      <c r="D41" s="12" t="n"/>
      <c r="E41" s="13" t="n"/>
      <c r="F41" s="13" t="n"/>
      <c r="G41" s="13" t="n"/>
      <c r="H41" s="13" t="n"/>
      <c r="I41" s="25" t="n"/>
      <c r="J41" s="25" t="n"/>
      <c r="K41" s="26" t="n"/>
      <c r="L41" s="26" t="n"/>
      <c r="M41" s="13">
        <f>IF(A41="","",COUNTIFS('Giao việc'!$M$5:$M$3004,A41,'Giao việc'!$I$5:$I$3004,"&lt;&gt;Bỏ qua"))</f>
        <v/>
      </c>
      <c r="N41" s="13">
        <f>IF(A41="","",COUNTIFS('Giao việc'!$M$5:$M$3004,A41,'Giao việc'!$I$5:$I$3004,"Xong"))</f>
        <v/>
      </c>
      <c r="O41" s="13">
        <f>IF(A41="","",COUNTIFS('Giao việc'!$M$5:$M$3004,A41,'Giao việc'!$L$5:$L$3004,"*QUÁ HẠN*"))</f>
        <v/>
      </c>
      <c r="P41" s="13">
        <f>IF(A41="","",COUNTIFS('Giao việc'!$M$5:$M$3004,A41,'Giao việc'!$L$5:$L$3004,"CHƯA GIAO*"))</f>
        <v/>
      </c>
      <c r="Q41" s="14">
        <f>IF(OR(A41="",N(M41)=0),"",N41/M41)</f>
        <v/>
      </c>
      <c r="R41" s="15">
        <f>IF(Q41="","",REPT("█",ROUND(Q41*10,0))&amp;REPT("░",10-ROUND(Q41*10,0)))</f>
        <v/>
      </c>
      <c r="S41" s="13">
        <f>IF(C41="","Chưa có ngày",IF(C41&gt;TODAY(),"Còn "&amp;(C41-TODAY())&amp;" ngày",IF(IF(D41="",C41,D41)&gt;=TODAY(),"Đang diễn ra","Đã qua "&amp;(TODAY()-IF(D41="",C41,D41))&amp;" ngày")))</f>
        <v/>
      </c>
      <c r="T41" s="13">
        <f>IF(AND(A41&lt;&gt;"",L41="Có",ISNUMBER(C41)),IF(IF(D41="",C41,D41)&gt;=TODAY()-35,C41+ROW()/100000,""),"")</f>
        <v/>
      </c>
    </row>
    <row r="42">
      <c r="A42" s="25" t="n"/>
      <c r="B42" s="11" t="n"/>
      <c r="C42" s="12" t="n"/>
      <c r="D42" s="12" t="n"/>
      <c r="E42" s="13" t="n"/>
      <c r="F42" s="13" t="n"/>
      <c r="G42" s="13" t="n"/>
      <c r="H42" s="13" t="n"/>
      <c r="I42" s="25" t="n"/>
      <c r="J42" s="25" t="n"/>
      <c r="K42" s="26" t="n"/>
      <c r="L42" s="26" t="n"/>
      <c r="M42" s="13">
        <f>IF(A42="","",COUNTIFS('Giao việc'!$M$5:$M$3004,A42,'Giao việc'!$I$5:$I$3004,"&lt;&gt;Bỏ qua"))</f>
        <v/>
      </c>
      <c r="N42" s="13">
        <f>IF(A42="","",COUNTIFS('Giao việc'!$M$5:$M$3004,A42,'Giao việc'!$I$5:$I$3004,"Xong"))</f>
        <v/>
      </c>
      <c r="O42" s="13">
        <f>IF(A42="","",COUNTIFS('Giao việc'!$M$5:$M$3004,A42,'Giao việc'!$L$5:$L$3004,"*QUÁ HẠN*"))</f>
        <v/>
      </c>
      <c r="P42" s="13">
        <f>IF(A42="","",COUNTIFS('Giao việc'!$M$5:$M$3004,A42,'Giao việc'!$L$5:$L$3004,"CHƯA GIAO*"))</f>
        <v/>
      </c>
      <c r="Q42" s="14">
        <f>IF(OR(A42="",N(M42)=0),"",N42/M42)</f>
        <v/>
      </c>
      <c r="R42" s="15">
        <f>IF(Q42="","",REPT("█",ROUND(Q42*10,0))&amp;REPT("░",10-ROUND(Q42*10,0)))</f>
        <v/>
      </c>
      <c r="S42" s="13">
        <f>IF(C42="","Chưa có ngày",IF(C42&gt;TODAY(),"Còn "&amp;(C42-TODAY())&amp;" ngày",IF(IF(D42="",C42,D42)&gt;=TODAY(),"Đang diễn ra","Đã qua "&amp;(TODAY()-IF(D42="",C42,D42))&amp;" ngày")))</f>
        <v/>
      </c>
      <c r="T42" s="13">
        <f>IF(AND(A42&lt;&gt;"",L42="Có",ISNUMBER(C42)),IF(IF(D42="",C42,D42)&gt;=TODAY()-35,C42+ROW()/100000,""),"")</f>
        <v/>
      </c>
    </row>
    <row r="43">
      <c r="A43" s="25" t="n"/>
      <c r="B43" s="11" t="n"/>
      <c r="C43" s="12" t="n"/>
      <c r="D43" s="12" t="n"/>
      <c r="E43" s="13" t="n"/>
      <c r="F43" s="13" t="n"/>
      <c r="G43" s="13" t="n"/>
      <c r="H43" s="13" t="n"/>
      <c r="I43" s="25" t="n"/>
      <c r="J43" s="25" t="n"/>
      <c r="K43" s="26" t="n"/>
      <c r="L43" s="26" t="n"/>
      <c r="M43" s="13">
        <f>IF(A43="","",COUNTIFS('Giao việc'!$M$5:$M$3004,A43,'Giao việc'!$I$5:$I$3004,"&lt;&gt;Bỏ qua"))</f>
        <v/>
      </c>
      <c r="N43" s="13">
        <f>IF(A43="","",COUNTIFS('Giao việc'!$M$5:$M$3004,A43,'Giao việc'!$I$5:$I$3004,"Xong"))</f>
        <v/>
      </c>
      <c r="O43" s="13">
        <f>IF(A43="","",COUNTIFS('Giao việc'!$M$5:$M$3004,A43,'Giao việc'!$L$5:$L$3004,"*QUÁ HẠN*"))</f>
        <v/>
      </c>
      <c r="P43" s="13">
        <f>IF(A43="","",COUNTIFS('Giao việc'!$M$5:$M$3004,A43,'Giao việc'!$L$5:$L$3004,"CHƯA GIAO*"))</f>
        <v/>
      </c>
      <c r="Q43" s="14">
        <f>IF(OR(A43="",N(M43)=0),"",N43/M43)</f>
        <v/>
      </c>
      <c r="R43" s="15">
        <f>IF(Q43="","",REPT("█",ROUND(Q43*10,0))&amp;REPT("░",10-ROUND(Q43*10,0)))</f>
        <v/>
      </c>
      <c r="S43" s="13">
        <f>IF(C43="","Chưa có ngày",IF(C43&gt;TODAY(),"Còn "&amp;(C43-TODAY())&amp;" ngày",IF(IF(D43="",C43,D43)&gt;=TODAY(),"Đang diễn ra","Đã qua "&amp;(TODAY()-IF(D43="",C43,D43))&amp;" ngày")))</f>
        <v/>
      </c>
      <c r="T43" s="13">
        <f>IF(AND(A43&lt;&gt;"",L43="Có",ISNUMBER(C43)),IF(IF(D43="",C43,D43)&gt;=TODAY()-35,C43+ROW()/100000,""),"")</f>
        <v/>
      </c>
    </row>
    <row r="44">
      <c r="A44" s="25" t="n"/>
      <c r="B44" s="11" t="n"/>
      <c r="C44" s="12" t="n"/>
      <c r="D44" s="12" t="n"/>
      <c r="E44" s="13" t="n"/>
      <c r="F44" s="13" t="n"/>
      <c r="G44" s="13" t="n"/>
      <c r="H44" s="13" t="n"/>
      <c r="I44" s="25" t="n"/>
      <c r="J44" s="25" t="n"/>
      <c r="K44" s="26" t="n"/>
      <c r="L44" s="26" t="n"/>
      <c r="M44" s="13">
        <f>IF(A44="","",COUNTIFS('Giao việc'!$M$5:$M$3004,A44,'Giao việc'!$I$5:$I$3004,"&lt;&gt;Bỏ qua"))</f>
        <v/>
      </c>
      <c r="N44" s="13">
        <f>IF(A44="","",COUNTIFS('Giao việc'!$M$5:$M$3004,A44,'Giao việc'!$I$5:$I$3004,"Xong"))</f>
        <v/>
      </c>
      <c r="O44" s="13">
        <f>IF(A44="","",COUNTIFS('Giao việc'!$M$5:$M$3004,A44,'Giao việc'!$L$5:$L$3004,"*QUÁ HẠN*"))</f>
        <v/>
      </c>
      <c r="P44" s="13">
        <f>IF(A44="","",COUNTIFS('Giao việc'!$M$5:$M$3004,A44,'Giao việc'!$L$5:$L$3004,"CHƯA GIAO*"))</f>
        <v/>
      </c>
      <c r="Q44" s="14">
        <f>IF(OR(A44="",N(M44)=0),"",N44/M44)</f>
        <v/>
      </c>
      <c r="R44" s="15">
        <f>IF(Q44="","",REPT("█",ROUND(Q44*10,0))&amp;REPT("░",10-ROUND(Q44*10,0)))</f>
        <v/>
      </c>
      <c r="S44" s="13">
        <f>IF(C44="","Chưa có ngày",IF(C44&gt;TODAY(),"Còn "&amp;(C44-TODAY())&amp;" ngày",IF(IF(D44="",C44,D44)&gt;=TODAY(),"Đang diễn ra","Đã qua "&amp;(TODAY()-IF(D44="",C44,D44))&amp;" ngày")))</f>
        <v/>
      </c>
      <c r="T44" s="13">
        <f>IF(AND(A44&lt;&gt;"",L44="Có",ISNUMBER(C44)),IF(IF(D44="",C44,D44)&gt;=TODAY()-35,C44+ROW()/100000,""),"")</f>
        <v/>
      </c>
    </row>
    <row r="45">
      <c r="A45" s="25" t="n"/>
      <c r="B45" s="11" t="n"/>
      <c r="C45" s="12" t="n"/>
      <c r="D45" s="12" t="n"/>
      <c r="E45" s="13" t="n"/>
      <c r="F45" s="13" t="n"/>
      <c r="G45" s="13" t="n"/>
      <c r="H45" s="13" t="n"/>
      <c r="I45" s="25" t="n"/>
      <c r="J45" s="25" t="n"/>
      <c r="K45" s="26" t="n"/>
      <c r="L45" s="26" t="n"/>
      <c r="M45" s="13">
        <f>IF(A45="","",COUNTIFS('Giao việc'!$M$5:$M$3004,A45,'Giao việc'!$I$5:$I$3004,"&lt;&gt;Bỏ qua"))</f>
        <v/>
      </c>
      <c r="N45" s="13">
        <f>IF(A45="","",COUNTIFS('Giao việc'!$M$5:$M$3004,A45,'Giao việc'!$I$5:$I$3004,"Xong"))</f>
        <v/>
      </c>
      <c r="O45" s="13">
        <f>IF(A45="","",COUNTIFS('Giao việc'!$M$5:$M$3004,A45,'Giao việc'!$L$5:$L$3004,"*QUÁ HẠN*"))</f>
        <v/>
      </c>
      <c r="P45" s="13">
        <f>IF(A45="","",COUNTIFS('Giao việc'!$M$5:$M$3004,A45,'Giao việc'!$L$5:$L$3004,"CHƯA GIAO*"))</f>
        <v/>
      </c>
      <c r="Q45" s="14">
        <f>IF(OR(A45="",N(M45)=0),"",N45/M45)</f>
        <v/>
      </c>
      <c r="R45" s="15">
        <f>IF(Q45="","",REPT("█",ROUND(Q45*10,0))&amp;REPT("░",10-ROUND(Q45*10,0)))</f>
        <v/>
      </c>
      <c r="S45" s="13">
        <f>IF(C45="","Chưa có ngày",IF(C45&gt;TODAY(),"Còn "&amp;(C45-TODAY())&amp;" ngày",IF(IF(D45="",C45,D45)&gt;=TODAY(),"Đang diễn ra","Đã qua "&amp;(TODAY()-IF(D45="",C45,D45))&amp;" ngày")))</f>
        <v/>
      </c>
      <c r="T45" s="13">
        <f>IF(AND(A45&lt;&gt;"",L45="Có",ISNUMBER(C45)),IF(IF(D45="",C45,D45)&gt;=TODAY()-35,C45+ROW()/100000,""),"")</f>
        <v/>
      </c>
    </row>
    <row r="46">
      <c r="A46" s="25" t="n"/>
      <c r="B46" s="11" t="n"/>
      <c r="C46" s="12" t="n"/>
      <c r="D46" s="12" t="n"/>
      <c r="E46" s="13" t="n"/>
      <c r="F46" s="13" t="n"/>
      <c r="G46" s="13" t="n"/>
      <c r="H46" s="13" t="n"/>
      <c r="I46" s="25" t="n"/>
      <c r="J46" s="25" t="n"/>
      <c r="K46" s="26" t="n"/>
      <c r="L46" s="26" t="n"/>
      <c r="M46" s="13">
        <f>IF(A46="","",COUNTIFS('Giao việc'!$M$5:$M$3004,A46,'Giao việc'!$I$5:$I$3004,"&lt;&gt;Bỏ qua"))</f>
        <v/>
      </c>
      <c r="N46" s="13">
        <f>IF(A46="","",COUNTIFS('Giao việc'!$M$5:$M$3004,A46,'Giao việc'!$I$5:$I$3004,"Xong"))</f>
        <v/>
      </c>
      <c r="O46" s="13">
        <f>IF(A46="","",COUNTIFS('Giao việc'!$M$5:$M$3004,A46,'Giao việc'!$L$5:$L$3004,"*QUÁ HẠN*"))</f>
        <v/>
      </c>
      <c r="P46" s="13">
        <f>IF(A46="","",COUNTIFS('Giao việc'!$M$5:$M$3004,A46,'Giao việc'!$L$5:$L$3004,"CHƯA GIAO*"))</f>
        <v/>
      </c>
      <c r="Q46" s="14">
        <f>IF(OR(A46="",N(M46)=0),"",N46/M46)</f>
        <v/>
      </c>
      <c r="R46" s="15">
        <f>IF(Q46="","",REPT("█",ROUND(Q46*10,0))&amp;REPT("░",10-ROUND(Q46*10,0)))</f>
        <v/>
      </c>
      <c r="S46" s="13">
        <f>IF(C46="","Chưa có ngày",IF(C46&gt;TODAY(),"Còn "&amp;(C46-TODAY())&amp;" ngày",IF(IF(D46="",C46,D46)&gt;=TODAY(),"Đang diễn ra","Đã qua "&amp;(TODAY()-IF(D46="",C46,D46))&amp;" ngày")))</f>
        <v/>
      </c>
      <c r="T46" s="13">
        <f>IF(AND(A46&lt;&gt;"",L46="Có",ISNUMBER(C46)),IF(IF(D46="",C46,D46)&gt;=TODAY()-35,C46+ROW()/100000,""),"")</f>
        <v/>
      </c>
    </row>
    <row r="47">
      <c r="A47" s="25" t="n"/>
      <c r="B47" s="11" t="n"/>
      <c r="C47" s="12" t="n"/>
      <c r="D47" s="12" t="n"/>
      <c r="E47" s="13" t="n"/>
      <c r="F47" s="13" t="n"/>
      <c r="G47" s="13" t="n"/>
      <c r="H47" s="13" t="n"/>
      <c r="I47" s="25" t="n"/>
      <c r="J47" s="25" t="n"/>
      <c r="K47" s="26" t="n"/>
      <c r="L47" s="26" t="n"/>
      <c r="M47" s="13">
        <f>IF(A47="","",COUNTIFS('Giao việc'!$M$5:$M$3004,A47,'Giao việc'!$I$5:$I$3004,"&lt;&gt;Bỏ qua"))</f>
        <v/>
      </c>
      <c r="N47" s="13">
        <f>IF(A47="","",COUNTIFS('Giao việc'!$M$5:$M$3004,A47,'Giao việc'!$I$5:$I$3004,"Xong"))</f>
        <v/>
      </c>
      <c r="O47" s="13">
        <f>IF(A47="","",COUNTIFS('Giao việc'!$M$5:$M$3004,A47,'Giao việc'!$L$5:$L$3004,"*QUÁ HẠN*"))</f>
        <v/>
      </c>
      <c r="P47" s="13">
        <f>IF(A47="","",COUNTIFS('Giao việc'!$M$5:$M$3004,A47,'Giao việc'!$L$5:$L$3004,"CHƯA GIAO*"))</f>
        <v/>
      </c>
      <c r="Q47" s="14">
        <f>IF(OR(A47="",N(M47)=0),"",N47/M47)</f>
        <v/>
      </c>
      <c r="R47" s="15">
        <f>IF(Q47="","",REPT("█",ROUND(Q47*10,0))&amp;REPT("░",10-ROUND(Q47*10,0)))</f>
        <v/>
      </c>
      <c r="S47" s="13">
        <f>IF(C47="","Chưa có ngày",IF(C47&gt;TODAY(),"Còn "&amp;(C47-TODAY())&amp;" ngày",IF(IF(D47="",C47,D47)&gt;=TODAY(),"Đang diễn ra","Đã qua "&amp;(TODAY()-IF(D47="",C47,D47))&amp;" ngày")))</f>
        <v/>
      </c>
      <c r="T47" s="13">
        <f>IF(AND(A47&lt;&gt;"",L47="Có",ISNUMBER(C47)),IF(IF(D47="",C47,D47)&gt;=TODAY()-35,C47+ROW()/100000,""),"")</f>
        <v/>
      </c>
    </row>
    <row r="48">
      <c r="A48" s="25" t="n"/>
      <c r="B48" s="11" t="n"/>
      <c r="C48" s="12" t="n"/>
      <c r="D48" s="12" t="n"/>
      <c r="E48" s="13" t="n"/>
      <c r="F48" s="13" t="n"/>
      <c r="G48" s="13" t="n"/>
      <c r="H48" s="13" t="n"/>
      <c r="I48" s="25" t="n"/>
      <c r="J48" s="25" t="n"/>
      <c r="K48" s="26" t="n"/>
      <c r="L48" s="26" t="n"/>
      <c r="M48" s="13">
        <f>IF(A48="","",COUNTIFS('Giao việc'!$M$5:$M$3004,A48,'Giao việc'!$I$5:$I$3004,"&lt;&gt;Bỏ qua"))</f>
        <v/>
      </c>
      <c r="N48" s="13">
        <f>IF(A48="","",COUNTIFS('Giao việc'!$M$5:$M$3004,A48,'Giao việc'!$I$5:$I$3004,"Xong"))</f>
        <v/>
      </c>
      <c r="O48" s="13">
        <f>IF(A48="","",COUNTIFS('Giao việc'!$M$5:$M$3004,A48,'Giao việc'!$L$5:$L$3004,"*QUÁ HẠN*"))</f>
        <v/>
      </c>
      <c r="P48" s="13">
        <f>IF(A48="","",COUNTIFS('Giao việc'!$M$5:$M$3004,A48,'Giao việc'!$L$5:$L$3004,"CHƯA GIAO*"))</f>
        <v/>
      </c>
      <c r="Q48" s="14">
        <f>IF(OR(A48="",N(M48)=0),"",N48/M48)</f>
        <v/>
      </c>
      <c r="R48" s="15">
        <f>IF(Q48="","",REPT("█",ROUND(Q48*10,0))&amp;REPT("░",10-ROUND(Q48*10,0)))</f>
        <v/>
      </c>
      <c r="S48" s="13">
        <f>IF(C48="","Chưa có ngày",IF(C48&gt;TODAY(),"Còn "&amp;(C48-TODAY())&amp;" ngày",IF(IF(D48="",C48,D48)&gt;=TODAY(),"Đang diễn ra","Đã qua "&amp;(TODAY()-IF(D48="",C48,D48))&amp;" ngày")))</f>
        <v/>
      </c>
      <c r="T48" s="13">
        <f>IF(AND(A48&lt;&gt;"",L48="Có",ISNUMBER(C48)),IF(IF(D48="",C48,D48)&gt;=TODAY()-35,C48+ROW()/100000,""),"")</f>
        <v/>
      </c>
    </row>
    <row r="49">
      <c r="A49" s="25" t="n"/>
      <c r="B49" s="11" t="n"/>
      <c r="C49" s="12" t="n"/>
      <c r="D49" s="12" t="n"/>
      <c r="E49" s="13" t="n"/>
      <c r="F49" s="13" t="n"/>
      <c r="G49" s="13" t="n"/>
      <c r="H49" s="13" t="n"/>
      <c r="I49" s="25" t="n"/>
      <c r="J49" s="25" t="n"/>
      <c r="K49" s="26" t="n"/>
      <c r="L49" s="26" t="n"/>
      <c r="M49" s="13">
        <f>IF(A49="","",COUNTIFS('Giao việc'!$M$5:$M$3004,A49,'Giao việc'!$I$5:$I$3004,"&lt;&gt;Bỏ qua"))</f>
        <v/>
      </c>
      <c r="N49" s="13">
        <f>IF(A49="","",COUNTIFS('Giao việc'!$M$5:$M$3004,A49,'Giao việc'!$I$5:$I$3004,"Xong"))</f>
        <v/>
      </c>
      <c r="O49" s="13">
        <f>IF(A49="","",COUNTIFS('Giao việc'!$M$5:$M$3004,A49,'Giao việc'!$L$5:$L$3004,"*QUÁ HẠN*"))</f>
        <v/>
      </c>
      <c r="P49" s="13">
        <f>IF(A49="","",COUNTIFS('Giao việc'!$M$5:$M$3004,A49,'Giao việc'!$L$5:$L$3004,"CHƯA GIAO*"))</f>
        <v/>
      </c>
      <c r="Q49" s="14">
        <f>IF(OR(A49="",N(M49)=0),"",N49/M49)</f>
        <v/>
      </c>
      <c r="R49" s="15">
        <f>IF(Q49="","",REPT("█",ROUND(Q49*10,0))&amp;REPT("░",10-ROUND(Q49*10,0)))</f>
        <v/>
      </c>
      <c r="S49" s="13">
        <f>IF(C49="","Chưa có ngày",IF(C49&gt;TODAY(),"Còn "&amp;(C49-TODAY())&amp;" ngày",IF(IF(D49="",C49,D49)&gt;=TODAY(),"Đang diễn ra","Đã qua "&amp;(TODAY()-IF(D49="",C49,D49))&amp;" ngày")))</f>
        <v/>
      </c>
      <c r="T49" s="13">
        <f>IF(AND(A49&lt;&gt;"",L49="Có",ISNUMBER(C49)),IF(IF(D49="",C49,D49)&gt;=TODAY()-35,C49+ROW()/100000,""),"")</f>
        <v/>
      </c>
    </row>
    <row r="50">
      <c r="A50" s="25" t="n"/>
      <c r="B50" s="11" t="n"/>
      <c r="C50" s="12" t="n"/>
      <c r="D50" s="12" t="n"/>
      <c r="E50" s="13" t="n"/>
      <c r="F50" s="13" t="n"/>
      <c r="G50" s="13" t="n"/>
      <c r="H50" s="13" t="n"/>
      <c r="I50" s="25" t="n"/>
      <c r="J50" s="25" t="n"/>
      <c r="K50" s="26" t="n"/>
      <c r="L50" s="26" t="n"/>
      <c r="M50" s="13">
        <f>IF(A50="","",COUNTIFS('Giao việc'!$M$5:$M$3004,A50,'Giao việc'!$I$5:$I$3004,"&lt;&gt;Bỏ qua"))</f>
        <v/>
      </c>
      <c r="N50" s="13">
        <f>IF(A50="","",COUNTIFS('Giao việc'!$M$5:$M$3004,A50,'Giao việc'!$I$5:$I$3004,"Xong"))</f>
        <v/>
      </c>
      <c r="O50" s="13">
        <f>IF(A50="","",COUNTIFS('Giao việc'!$M$5:$M$3004,A50,'Giao việc'!$L$5:$L$3004,"*QUÁ HẠN*"))</f>
        <v/>
      </c>
      <c r="P50" s="13">
        <f>IF(A50="","",COUNTIFS('Giao việc'!$M$5:$M$3004,A50,'Giao việc'!$L$5:$L$3004,"CHƯA GIAO*"))</f>
        <v/>
      </c>
      <c r="Q50" s="14">
        <f>IF(OR(A50="",N(M50)=0),"",N50/M50)</f>
        <v/>
      </c>
      <c r="R50" s="15">
        <f>IF(Q50="","",REPT("█",ROUND(Q50*10,0))&amp;REPT("░",10-ROUND(Q50*10,0)))</f>
        <v/>
      </c>
      <c r="S50" s="13">
        <f>IF(C50="","Chưa có ngày",IF(C50&gt;TODAY(),"Còn "&amp;(C50-TODAY())&amp;" ngày",IF(IF(D50="",C50,D50)&gt;=TODAY(),"Đang diễn ra","Đã qua "&amp;(TODAY()-IF(D50="",C50,D50))&amp;" ngày")))</f>
        <v/>
      </c>
      <c r="T50" s="13">
        <f>IF(AND(A50&lt;&gt;"",L50="Có",ISNUMBER(C50)),IF(IF(D50="",C50,D50)&gt;=TODAY()-35,C50+ROW()/100000,""),"")</f>
        <v/>
      </c>
    </row>
    <row r="51">
      <c r="A51" s="25" t="n"/>
      <c r="B51" s="11" t="n"/>
      <c r="C51" s="12" t="n"/>
      <c r="D51" s="12" t="n"/>
      <c r="E51" s="13" t="n"/>
      <c r="F51" s="13" t="n"/>
      <c r="G51" s="13" t="n"/>
      <c r="H51" s="13" t="n"/>
      <c r="I51" s="25" t="n"/>
      <c r="J51" s="25" t="n"/>
      <c r="K51" s="26" t="n"/>
      <c r="L51" s="26" t="n"/>
      <c r="M51" s="13">
        <f>IF(A51="","",COUNTIFS('Giao việc'!$M$5:$M$3004,A51,'Giao việc'!$I$5:$I$3004,"&lt;&gt;Bỏ qua"))</f>
        <v/>
      </c>
      <c r="N51" s="13">
        <f>IF(A51="","",COUNTIFS('Giao việc'!$M$5:$M$3004,A51,'Giao việc'!$I$5:$I$3004,"Xong"))</f>
        <v/>
      </c>
      <c r="O51" s="13">
        <f>IF(A51="","",COUNTIFS('Giao việc'!$M$5:$M$3004,A51,'Giao việc'!$L$5:$L$3004,"*QUÁ HẠN*"))</f>
        <v/>
      </c>
      <c r="P51" s="13">
        <f>IF(A51="","",COUNTIFS('Giao việc'!$M$5:$M$3004,A51,'Giao việc'!$L$5:$L$3004,"CHƯA GIAO*"))</f>
        <v/>
      </c>
      <c r="Q51" s="14">
        <f>IF(OR(A51="",N(M51)=0),"",N51/M51)</f>
        <v/>
      </c>
      <c r="R51" s="15">
        <f>IF(Q51="","",REPT("█",ROUND(Q51*10,0))&amp;REPT("░",10-ROUND(Q51*10,0)))</f>
        <v/>
      </c>
      <c r="S51" s="13">
        <f>IF(C51="","Chưa có ngày",IF(C51&gt;TODAY(),"Còn "&amp;(C51-TODAY())&amp;" ngày",IF(IF(D51="",C51,D51)&gt;=TODAY(),"Đang diễn ra","Đã qua "&amp;(TODAY()-IF(D51="",C51,D51))&amp;" ngày")))</f>
        <v/>
      </c>
      <c r="T51" s="13">
        <f>IF(AND(A51&lt;&gt;"",L51="Có",ISNUMBER(C51)),IF(IF(D51="",C51,D51)&gt;=TODAY()-35,C51+ROW()/100000,""),"")</f>
        <v/>
      </c>
    </row>
    <row r="52">
      <c r="A52" s="25" t="n"/>
      <c r="B52" s="11" t="n"/>
      <c r="C52" s="12" t="n"/>
      <c r="D52" s="12" t="n"/>
      <c r="E52" s="13" t="n"/>
      <c r="F52" s="13" t="n"/>
      <c r="G52" s="13" t="n"/>
      <c r="H52" s="13" t="n"/>
      <c r="I52" s="25" t="n"/>
      <c r="J52" s="25" t="n"/>
      <c r="K52" s="26" t="n"/>
      <c r="L52" s="26" t="n"/>
      <c r="M52" s="13">
        <f>IF(A52="","",COUNTIFS('Giao việc'!$M$5:$M$3004,A52,'Giao việc'!$I$5:$I$3004,"&lt;&gt;Bỏ qua"))</f>
        <v/>
      </c>
      <c r="N52" s="13">
        <f>IF(A52="","",COUNTIFS('Giao việc'!$M$5:$M$3004,A52,'Giao việc'!$I$5:$I$3004,"Xong"))</f>
        <v/>
      </c>
      <c r="O52" s="13">
        <f>IF(A52="","",COUNTIFS('Giao việc'!$M$5:$M$3004,A52,'Giao việc'!$L$5:$L$3004,"*QUÁ HẠN*"))</f>
        <v/>
      </c>
      <c r="P52" s="13">
        <f>IF(A52="","",COUNTIFS('Giao việc'!$M$5:$M$3004,A52,'Giao việc'!$L$5:$L$3004,"CHƯA GIAO*"))</f>
        <v/>
      </c>
      <c r="Q52" s="14">
        <f>IF(OR(A52="",N(M52)=0),"",N52/M52)</f>
        <v/>
      </c>
      <c r="R52" s="15">
        <f>IF(Q52="","",REPT("█",ROUND(Q52*10,0))&amp;REPT("░",10-ROUND(Q52*10,0)))</f>
        <v/>
      </c>
      <c r="S52" s="13">
        <f>IF(C52="","Chưa có ngày",IF(C52&gt;TODAY(),"Còn "&amp;(C52-TODAY())&amp;" ngày",IF(IF(D52="",C52,D52)&gt;=TODAY(),"Đang diễn ra","Đã qua "&amp;(TODAY()-IF(D52="",C52,D52))&amp;" ngày")))</f>
        <v/>
      </c>
      <c r="T52" s="13">
        <f>IF(AND(A52&lt;&gt;"",L52="Có",ISNUMBER(C52)),IF(IF(D52="",C52,D52)&gt;=TODAY()-35,C52+ROW()/100000,""),"")</f>
        <v/>
      </c>
    </row>
    <row r="53">
      <c r="A53" s="25" t="n"/>
      <c r="B53" s="11" t="n"/>
      <c r="C53" s="12" t="n"/>
      <c r="D53" s="12" t="n"/>
      <c r="E53" s="13" t="n"/>
      <c r="F53" s="13" t="n"/>
      <c r="G53" s="13" t="n"/>
      <c r="H53" s="13" t="n"/>
      <c r="I53" s="25" t="n"/>
      <c r="J53" s="25" t="n"/>
      <c r="K53" s="26" t="n"/>
      <c r="L53" s="26" t="n"/>
      <c r="M53" s="13">
        <f>IF(A53="","",COUNTIFS('Giao việc'!$M$5:$M$3004,A53,'Giao việc'!$I$5:$I$3004,"&lt;&gt;Bỏ qua"))</f>
        <v/>
      </c>
      <c r="N53" s="13">
        <f>IF(A53="","",COUNTIFS('Giao việc'!$M$5:$M$3004,A53,'Giao việc'!$I$5:$I$3004,"Xong"))</f>
        <v/>
      </c>
      <c r="O53" s="13">
        <f>IF(A53="","",COUNTIFS('Giao việc'!$M$5:$M$3004,A53,'Giao việc'!$L$5:$L$3004,"*QUÁ HẠN*"))</f>
        <v/>
      </c>
      <c r="P53" s="13">
        <f>IF(A53="","",COUNTIFS('Giao việc'!$M$5:$M$3004,A53,'Giao việc'!$L$5:$L$3004,"CHƯA GIAO*"))</f>
        <v/>
      </c>
      <c r="Q53" s="14">
        <f>IF(OR(A53="",N(M53)=0),"",N53/M53)</f>
        <v/>
      </c>
      <c r="R53" s="15">
        <f>IF(Q53="","",REPT("█",ROUND(Q53*10,0))&amp;REPT("░",10-ROUND(Q53*10,0)))</f>
        <v/>
      </c>
      <c r="S53" s="13">
        <f>IF(C53="","Chưa có ngày",IF(C53&gt;TODAY(),"Còn "&amp;(C53-TODAY())&amp;" ngày",IF(IF(D53="",C53,D53)&gt;=TODAY(),"Đang diễn ra","Đã qua "&amp;(TODAY()-IF(D53="",C53,D53))&amp;" ngày")))</f>
        <v/>
      </c>
      <c r="T53" s="13">
        <f>IF(AND(A53&lt;&gt;"",L53="Có",ISNUMBER(C53)),IF(IF(D53="",C53,D53)&gt;=TODAY()-35,C53+ROW()/100000,""),"")</f>
        <v/>
      </c>
    </row>
    <row r="54">
      <c r="A54" s="25" t="n"/>
      <c r="B54" s="11" t="n"/>
      <c r="C54" s="12" t="n"/>
      <c r="D54" s="12" t="n"/>
      <c r="E54" s="13" t="n"/>
      <c r="F54" s="13" t="n"/>
      <c r="G54" s="13" t="n"/>
      <c r="H54" s="13" t="n"/>
      <c r="I54" s="25" t="n"/>
      <c r="J54" s="25" t="n"/>
      <c r="K54" s="26" t="n"/>
      <c r="L54" s="26" t="n"/>
      <c r="M54" s="13">
        <f>IF(A54="","",COUNTIFS('Giao việc'!$M$5:$M$3004,A54,'Giao việc'!$I$5:$I$3004,"&lt;&gt;Bỏ qua"))</f>
        <v/>
      </c>
      <c r="N54" s="13">
        <f>IF(A54="","",COUNTIFS('Giao việc'!$M$5:$M$3004,A54,'Giao việc'!$I$5:$I$3004,"Xong"))</f>
        <v/>
      </c>
      <c r="O54" s="13">
        <f>IF(A54="","",COUNTIFS('Giao việc'!$M$5:$M$3004,A54,'Giao việc'!$L$5:$L$3004,"*QUÁ HẠN*"))</f>
        <v/>
      </c>
      <c r="P54" s="13">
        <f>IF(A54="","",COUNTIFS('Giao việc'!$M$5:$M$3004,A54,'Giao việc'!$L$5:$L$3004,"CHƯA GIAO*"))</f>
        <v/>
      </c>
      <c r="Q54" s="14">
        <f>IF(OR(A54="",N(M54)=0),"",N54/M54)</f>
        <v/>
      </c>
      <c r="R54" s="15">
        <f>IF(Q54="","",REPT("█",ROUND(Q54*10,0))&amp;REPT("░",10-ROUND(Q54*10,0)))</f>
        <v/>
      </c>
      <c r="S54" s="13">
        <f>IF(C54="","Chưa có ngày",IF(C54&gt;TODAY(),"Còn "&amp;(C54-TODAY())&amp;" ngày",IF(IF(D54="",C54,D54)&gt;=TODAY(),"Đang diễn ra","Đã qua "&amp;(TODAY()-IF(D54="",C54,D54))&amp;" ngày")))</f>
        <v/>
      </c>
      <c r="T54" s="13">
        <f>IF(AND(A54&lt;&gt;"",L54="Có",ISNUMBER(C54)),IF(IF(D54="",C54,D54)&gt;=TODAY()-35,C54+ROW()/100000,""),"")</f>
        <v/>
      </c>
    </row>
    <row r="55">
      <c r="A55" s="25" t="n"/>
      <c r="B55" s="11" t="n"/>
      <c r="C55" s="12" t="n"/>
      <c r="D55" s="12" t="n"/>
      <c r="E55" s="13" t="n"/>
      <c r="F55" s="13" t="n"/>
      <c r="G55" s="13" t="n"/>
      <c r="H55" s="13" t="n"/>
      <c r="I55" s="25" t="n"/>
      <c r="J55" s="25" t="n"/>
      <c r="K55" s="26" t="n"/>
      <c r="L55" s="26" t="n"/>
      <c r="M55" s="13">
        <f>IF(A55="","",COUNTIFS('Giao việc'!$M$5:$M$3004,A55,'Giao việc'!$I$5:$I$3004,"&lt;&gt;Bỏ qua"))</f>
        <v/>
      </c>
      <c r="N55" s="13">
        <f>IF(A55="","",COUNTIFS('Giao việc'!$M$5:$M$3004,A55,'Giao việc'!$I$5:$I$3004,"Xong"))</f>
        <v/>
      </c>
      <c r="O55" s="13">
        <f>IF(A55="","",COUNTIFS('Giao việc'!$M$5:$M$3004,A55,'Giao việc'!$L$5:$L$3004,"*QUÁ HẠN*"))</f>
        <v/>
      </c>
      <c r="P55" s="13">
        <f>IF(A55="","",COUNTIFS('Giao việc'!$M$5:$M$3004,A55,'Giao việc'!$L$5:$L$3004,"CHƯA GIAO*"))</f>
        <v/>
      </c>
      <c r="Q55" s="14">
        <f>IF(OR(A55="",N(M55)=0),"",N55/M55)</f>
        <v/>
      </c>
      <c r="R55" s="15">
        <f>IF(Q55="","",REPT("█",ROUND(Q55*10,0))&amp;REPT("░",10-ROUND(Q55*10,0)))</f>
        <v/>
      </c>
      <c r="S55" s="13">
        <f>IF(C55="","Chưa có ngày",IF(C55&gt;TODAY(),"Còn "&amp;(C55-TODAY())&amp;" ngày",IF(IF(D55="",C55,D55)&gt;=TODAY(),"Đang diễn ra","Đã qua "&amp;(TODAY()-IF(D55="",C55,D55))&amp;" ngày")))</f>
        <v/>
      </c>
      <c r="T55" s="13">
        <f>IF(AND(A55&lt;&gt;"",L55="Có",ISNUMBER(C55)),IF(IF(D55="",C55,D55)&gt;=TODAY()-35,C55+ROW()/100000,""),"")</f>
        <v/>
      </c>
    </row>
    <row r="56">
      <c r="A56" s="25" t="n"/>
      <c r="B56" s="11" t="n"/>
      <c r="C56" s="12" t="n"/>
      <c r="D56" s="12" t="n"/>
      <c r="E56" s="13" t="n"/>
      <c r="F56" s="13" t="n"/>
      <c r="G56" s="13" t="n"/>
      <c r="H56" s="13" t="n"/>
      <c r="I56" s="25" t="n"/>
      <c r="J56" s="25" t="n"/>
      <c r="K56" s="26" t="n"/>
      <c r="L56" s="26" t="n"/>
      <c r="M56" s="13">
        <f>IF(A56="","",COUNTIFS('Giao việc'!$M$5:$M$3004,A56,'Giao việc'!$I$5:$I$3004,"&lt;&gt;Bỏ qua"))</f>
        <v/>
      </c>
      <c r="N56" s="13">
        <f>IF(A56="","",COUNTIFS('Giao việc'!$M$5:$M$3004,A56,'Giao việc'!$I$5:$I$3004,"Xong"))</f>
        <v/>
      </c>
      <c r="O56" s="13">
        <f>IF(A56="","",COUNTIFS('Giao việc'!$M$5:$M$3004,A56,'Giao việc'!$L$5:$L$3004,"*QUÁ HẠN*"))</f>
        <v/>
      </c>
      <c r="P56" s="13">
        <f>IF(A56="","",COUNTIFS('Giao việc'!$M$5:$M$3004,A56,'Giao việc'!$L$5:$L$3004,"CHƯA GIAO*"))</f>
        <v/>
      </c>
      <c r="Q56" s="14">
        <f>IF(OR(A56="",N(M56)=0),"",N56/M56)</f>
        <v/>
      </c>
      <c r="R56" s="15">
        <f>IF(Q56="","",REPT("█",ROUND(Q56*10,0))&amp;REPT("░",10-ROUND(Q56*10,0)))</f>
        <v/>
      </c>
      <c r="S56" s="13">
        <f>IF(C56="","Chưa có ngày",IF(C56&gt;TODAY(),"Còn "&amp;(C56-TODAY())&amp;" ngày",IF(IF(D56="",C56,D56)&gt;=TODAY(),"Đang diễn ra","Đã qua "&amp;(TODAY()-IF(D56="",C56,D56))&amp;" ngày")))</f>
        <v/>
      </c>
      <c r="T56" s="13">
        <f>IF(AND(A56&lt;&gt;"",L56="Có",ISNUMBER(C56)),IF(IF(D56="",C56,D56)&gt;=TODAY()-35,C56+ROW()/100000,""),"")</f>
        <v/>
      </c>
    </row>
    <row r="57">
      <c r="A57" s="25" t="n"/>
      <c r="B57" s="11" t="n"/>
      <c r="C57" s="12" t="n"/>
      <c r="D57" s="12" t="n"/>
      <c r="E57" s="13" t="n"/>
      <c r="F57" s="13" t="n"/>
      <c r="G57" s="13" t="n"/>
      <c r="H57" s="13" t="n"/>
      <c r="I57" s="25" t="n"/>
      <c r="J57" s="25" t="n"/>
      <c r="K57" s="26" t="n"/>
      <c r="L57" s="26" t="n"/>
      <c r="M57" s="13">
        <f>IF(A57="","",COUNTIFS('Giao việc'!$M$5:$M$3004,A57,'Giao việc'!$I$5:$I$3004,"&lt;&gt;Bỏ qua"))</f>
        <v/>
      </c>
      <c r="N57" s="13">
        <f>IF(A57="","",COUNTIFS('Giao việc'!$M$5:$M$3004,A57,'Giao việc'!$I$5:$I$3004,"Xong"))</f>
        <v/>
      </c>
      <c r="O57" s="13">
        <f>IF(A57="","",COUNTIFS('Giao việc'!$M$5:$M$3004,A57,'Giao việc'!$L$5:$L$3004,"*QUÁ HẠN*"))</f>
        <v/>
      </c>
      <c r="P57" s="13">
        <f>IF(A57="","",COUNTIFS('Giao việc'!$M$5:$M$3004,A57,'Giao việc'!$L$5:$L$3004,"CHƯA GIAO*"))</f>
        <v/>
      </c>
      <c r="Q57" s="14">
        <f>IF(OR(A57="",N(M57)=0),"",N57/M57)</f>
        <v/>
      </c>
      <c r="R57" s="15">
        <f>IF(Q57="","",REPT("█",ROUND(Q57*10,0))&amp;REPT("░",10-ROUND(Q57*10,0)))</f>
        <v/>
      </c>
      <c r="S57" s="13">
        <f>IF(C57="","Chưa có ngày",IF(C57&gt;TODAY(),"Còn "&amp;(C57-TODAY())&amp;" ngày",IF(IF(D57="",C57,D57)&gt;=TODAY(),"Đang diễn ra","Đã qua "&amp;(TODAY()-IF(D57="",C57,D57))&amp;" ngày")))</f>
        <v/>
      </c>
      <c r="T57" s="13">
        <f>IF(AND(A57&lt;&gt;"",L57="Có",ISNUMBER(C57)),IF(IF(D57="",C57,D57)&gt;=TODAY()-35,C57+ROW()/100000,""),"")</f>
        <v/>
      </c>
    </row>
    <row r="58">
      <c r="A58" s="25" t="n"/>
      <c r="B58" s="11" t="n"/>
      <c r="C58" s="12" t="n"/>
      <c r="D58" s="12" t="n"/>
      <c r="E58" s="13" t="n"/>
      <c r="F58" s="13" t="n"/>
      <c r="G58" s="13" t="n"/>
      <c r="H58" s="13" t="n"/>
      <c r="I58" s="25" t="n"/>
      <c r="J58" s="25" t="n"/>
      <c r="K58" s="26" t="n"/>
      <c r="L58" s="26" t="n"/>
      <c r="M58" s="13">
        <f>IF(A58="","",COUNTIFS('Giao việc'!$M$5:$M$3004,A58,'Giao việc'!$I$5:$I$3004,"&lt;&gt;Bỏ qua"))</f>
        <v/>
      </c>
      <c r="N58" s="13">
        <f>IF(A58="","",COUNTIFS('Giao việc'!$M$5:$M$3004,A58,'Giao việc'!$I$5:$I$3004,"Xong"))</f>
        <v/>
      </c>
      <c r="O58" s="13">
        <f>IF(A58="","",COUNTIFS('Giao việc'!$M$5:$M$3004,A58,'Giao việc'!$L$5:$L$3004,"*QUÁ HẠN*"))</f>
        <v/>
      </c>
      <c r="P58" s="13">
        <f>IF(A58="","",COUNTIFS('Giao việc'!$M$5:$M$3004,A58,'Giao việc'!$L$5:$L$3004,"CHƯA GIAO*"))</f>
        <v/>
      </c>
      <c r="Q58" s="14">
        <f>IF(OR(A58="",N(M58)=0),"",N58/M58)</f>
        <v/>
      </c>
      <c r="R58" s="15">
        <f>IF(Q58="","",REPT("█",ROUND(Q58*10,0))&amp;REPT("░",10-ROUND(Q58*10,0)))</f>
        <v/>
      </c>
      <c r="S58" s="13">
        <f>IF(C58="","Chưa có ngày",IF(C58&gt;TODAY(),"Còn "&amp;(C58-TODAY())&amp;" ngày",IF(IF(D58="",C58,D58)&gt;=TODAY(),"Đang diễn ra","Đã qua "&amp;(TODAY()-IF(D58="",C58,D58))&amp;" ngày")))</f>
        <v/>
      </c>
      <c r="T58" s="13">
        <f>IF(AND(A58&lt;&gt;"",L58="Có",ISNUMBER(C58)),IF(IF(D58="",C58,D58)&gt;=TODAY()-35,C58+ROW()/100000,""),"")</f>
        <v/>
      </c>
    </row>
    <row r="59">
      <c r="A59" s="25" t="n"/>
      <c r="B59" s="11" t="n"/>
      <c r="C59" s="12" t="n"/>
      <c r="D59" s="12" t="n"/>
      <c r="E59" s="13" t="n"/>
      <c r="F59" s="13" t="n"/>
      <c r="G59" s="13" t="n"/>
      <c r="H59" s="13" t="n"/>
      <c r="I59" s="25" t="n"/>
      <c r="J59" s="25" t="n"/>
      <c r="K59" s="26" t="n"/>
      <c r="L59" s="26" t="n"/>
      <c r="M59" s="13">
        <f>IF(A59="","",COUNTIFS('Giao việc'!$M$5:$M$3004,A59,'Giao việc'!$I$5:$I$3004,"&lt;&gt;Bỏ qua"))</f>
        <v/>
      </c>
      <c r="N59" s="13">
        <f>IF(A59="","",COUNTIFS('Giao việc'!$M$5:$M$3004,A59,'Giao việc'!$I$5:$I$3004,"Xong"))</f>
        <v/>
      </c>
      <c r="O59" s="13">
        <f>IF(A59="","",COUNTIFS('Giao việc'!$M$5:$M$3004,A59,'Giao việc'!$L$5:$L$3004,"*QUÁ HẠN*"))</f>
        <v/>
      </c>
      <c r="P59" s="13">
        <f>IF(A59="","",COUNTIFS('Giao việc'!$M$5:$M$3004,A59,'Giao việc'!$L$5:$L$3004,"CHƯA GIAO*"))</f>
        <v/>
      </c>
      <c r="Q59" s="14">
        <f>IF(OR(A59="",N(M59)=0),"",N59/M59)</f>
        <v/>
      </c>
      <c r="R59" s="15">
        <f>IF(Q59="","",REPT("█",ROUND(Q59*10,0))&amp;REPT("░",10-ROUND(Q59*10,0)))</f>
        <v/>
      </c>
      <c r="S59" s="13">
        <f>IF(C59="","Chưa có ngày",IF(C59&gt;TODAY(),"Còn "&amp;(C59-TODAY())&amp;" ngày",IF(IF(D59="",C59,D59)&gt;=TODAY(),"Đang diễn ra","Đã qua "&amp;(TODAY()-IF(D59="",C59,D59))&amp;" ngày")))</f>
        <v/>
      </c>
      <c r="T59" s="13">
        <f>IF(AND(A59&lt;&gt;"",L59="Có",ISNUMBER(C59)),IF(IF(D59="",C59,D59)&gt;=TODAY()-35,C59+ROW()/100000,""),"")</f>
        <v/>
      </c>
    </row>
    <row r="60">
      <c r="A60" s="25" t="n"/>
      <c r="B60" s="11" t="n"/>
      <c r="C60" s="12" t="n"/>
      <c r="D60" s="12" t="n"/>
      <c r="E60" s="13" t="n"/>
      <c r="F60" s="13" t="n"/>
      <c r="G60" s="13" t="n"/>
      <c r="H60" s="13" t="n"/>
      <c r="I60" s="25" t="n"/>
      <c r="J60" s="25" t="n"/>
      <c r="K60" s="26" t="n"/>
      <c r="L60" s="26" t="n"/>
      <c r="M60" s="13">
        <f>IF(A60="","",COUNTIFS('Giao việc'!$M$5:$M$3004,A60,'Giao việc'!$I$5:$I$3004,"&lt;&gt;Bỏ qua"))</f>
        <v/>
      </c>
      <c r="N60" s="13">
        <f>IF(A60="","",COUNTIFS('Giao việc'!$M$5:$M$3004,A60,'Giao việc'!$I$5:$I$3004,"Xong"))</f>
        <v/>
      </c>
      <c r="O60" s="13">
        <f>IF(A60="","",COUNTIFS('Giao việc'!$M$5:$M$3004,A60,'Giao việc'!$L$5:$L$3004,"*QUÁ HẠN*"))</f>
        <v/>
      </c>
      <c r="P60" s="13">
        <f>IF(A60="","",COUNTIFS('Giao việc'!$M$5:$M$3004,A60,'Giao việc'!$L$5:$L$3004,"CHƯA GIAO*"))</f>
        <v/>
      </c>
      <c r="Q60" s="14">
        <f>IF(OR(A60="",N(M60)=0),"",N60/M60)</f>
        <v/>
      </c>
      <c r="R60" s="15">
        <f>IF(Q60="","",REPT("█",ROUND(Q60*10,0))&amp;REPT("░",10-ROUND(Q60*10,0)))</f>
        <v/>
      </c>
      <c r="S60" s="13">
        <f>IF(C60="","Chưa có ngày",IF(C60&gt;TODAY(),"Còn "&amp;(C60-TODAY())&amp;" ngày",IF(IF(D60="",C60,D60)&gt;=TODAY(),"Đang diễn ra","Đã qua "&amp;(TODAY()-IF(D60="",C60,D60))&amp;" ngày")))</f>
        <v/>
      </c>
      <c r="T60" s="13">
        <f>IF(AND(A60&lt;&gt;"",L60="Có",ISNUMBER(C60)),IF(IF(D60="",C60,D60)&gt;=TODAY()-35,C60+ROW()/100000,""),"")</f>
        <v/>
      </c>
    </row>
    <row r="61">
      <c r="A61" s="25" t="n"/>
      <c r="B61" s="11" t="n"/>
      <c r="C61" s="12" t="n"/>
      <c r="D61" s="12" t="n"/>
      <c r="E61" s="13" t="n"/>
      <c r="F61" s="13" t="n"/>
      <c r="G61" s="13" t="n"/>
      <c r="H61" s="13" t="n"/>
      <c r="I61" s="25" t="n"/>
      <c r="J61" s="25" t="n"/>
      <c r="K61" s="26" t="n"/>
      <c r="L61" s="26" t="n"/>
      <c r="M61" s="13">
        <f>IF(A61="","",COUNTIFS('Giao việc'!$M$5:$M$3004,A61,'Giao việc'!$I$5:$I$3004,"&lt;&gt;Bỏ qua"))</f>
        <v/>
      </c>
      <c r="N61" s="13">
        <f>IF(A61="","",COUNTIFS('Giao việc'!$M$5:$M$3004,A61,'Giao việc'!$I$5:$I$3004,"Xong"))</f>
        <v/>
      </c>
      <c r="O61" s="13">
        <f>IF(A61="","",COUNTIFS('Giao việc'!$M$5:$M$3004,A61,'Giao việc'!$L$5:$L$3004,"*QUÁ HẠN*"))</f>
        <v/>
      </c>
      <c r="P61" s="13">
        <f>IF(A61="","",COUNTIFS('Giao việc'!$M$5:$M$3004,A61,'Giao việc'!$L$5:$L$3004,"CHƯA GIAO*"))</f>
        <v/>
      </c>
      <c r="Q61" s="14">
        <f>IF(OR(A61="",N(M61)=0),"",N61/M61)</f>
        <v/>
      </c>
      <c r="R61" s="15">
        <f>IF(Q61="","",REPT("█",ROUND(Q61*10,0))&amp;REPT("░",10-ROUND(Q61*10,0)))</f>
        <v/>
      </c>
      <c r="S61" s="13">
        <f>IF(C61="","Chưa có ngày",IF(C61&gt;TODAY(),"Còn "&amp;(C61-TODAY())&amp;" ngày",IF(IF(D61="",C61,D61)&gt;=TODAY(),"Đang diễn ra","Đã qua "&amp;(TODAY()-IF(D61="",C61,D61))&amp;" ngày")))</f>
        <v/>
      </c>
      <c r="T61" s="13">
        <f>IF(AND(A61&lt;&gt;"",L61="Có",ISNUMBER(C61)),IF(IF(D61="",C61,D61)&gt;=TODAY()-35,C61+ROW()/100000,""),"")</f>
        <v/>
      </c>
    </row>
    <row r="62">
      <c r="A62" s="25" t="n"/>
      <c r="B62" s="11" t="n"/>
      <c r="C62" s="12" t="n"/>
      <c r="D62" s="12" t="n"/>
      <c r="E62" s="13" t="n"/>
      <c r="F62" s="13" t="n"/>
      <c r="G62" s="13" t="n"/>
      <c r="H62" s="13" t="n"/>
      <c r="I62" s="25" t="n"/>
      <c r="J62" s="25" t="n"/>
      <c r="K62" s="26" t="n"/>
      <c r="L62" s="26" t="n"/>
      <c r="M62" s="13">
        <f>IF(A62="","",COUNTIFS('Giao việc'!$M$5:$M$3004,A62,'Giao việc'!$I$5:$I$3004,"&lt;&gt;Bỏ qua"))</f>
        <v/>
      </c>
      <c r="N62" s="13">
        <f>IF(A62="","",COUNTIFS('Giao việc'!$M$5:$M$3004,A62,'Giao việc'!$I$5:$I$3004,"Xong"))</f>
        <v/>
      </c>
      <c r="O62" s="13">
        <f>IF(A62="","",COUNTIFS('Giao việc'!$M$5:$M$3004,A62,'Giao việc'!$L$5:$L$3004,"*QUÁ HẠN*"))</f>
        <v/>
      </c>
      <c r="P62" s="13">
        <f>IF(A62="","",COUNTIFS('Giao việc'!$M$5:$M$3004,A62,'Giao việc'!$L$5:$L$3004,"CHƯA GIAO*"))</f>
        <v/>
      </c>
      <c r="Q62" s="14">
        <f>IF(OR(A62="",N(M62)=0),"",N62/M62)</f>
        <v/>
      </c>
      <c r="R62" s="15">
        <f>IF(Q62="","",REPT("█",ROUND(Q62*10,0))&amp;REPT("░",10-ROUND(Q62*10,0)))</f>
        <v/>
      </c>
      <c r="S62" s="13">
        <f>IF(C62="","Chưa có ngày",IF(C62&gt;TODAY(),"Còn "&amp;(C62-TODAY())&amp;" ngày",IF(IF(D62="",C62,D62)&gt;=TODAY(),"Đang diễn ra","Đã qua "&amp;(TODAY()-IF(D62="",C62,D62))&amp;" ngày")))</f>
        <v/>
      </c>
      <c r="T62" s="13">
        <f>IF(AND(A62&lt;&gt;"",L62="Có",ISNUMBER(C62)),IF(IF(D62="",C62,D62)&gt;=TODAY()-35,C62+ROW()/100000,""),"")</f>
        <v/>
      </c>
    </row>
    <row r="63">
      <c r="A63" s="25" t="n"/>
      <c r="B63" s="11" t="n"/>
      <c r="C63" s="12" t="n"/>
      <c r="D63" s="12" t="n"/>
      <c r="E63" s="13" t="n"/>
      <c r="F63" s="13" t="n"/>
      <c r="G63" s="13" t="n"/>
      <c r="H63" s="13" t="n"/>
      <c r="I63" s="25" t="n"/>
      <c r="J63" s="25" t="n"/>
      <c r="K63" s="26" t="n"/>
      <c r="L63" s="26" t="n"/>
      <c r="M63" s="13">
        <f>IF(A63="","",COUNTIFS('Giao việc'!$M$5:$M$3004,A63,'Giao việc'!$I$5:$I$3004,"&lt;&gt;Bỏ qua"))</f>
        <v/>
      </c>
      <c r="N63" s="13">
        <f>IF(A63="","",COUNTIFS('Giao việc'!$M$5:$M$3004,A63,'Giao việc'!$I$5:$I$3004,"Xong"))</f>
        <v/>
      </c>
      <c r="O63" s="13">
        <f>IF(A63="","",COUNTIFS('Giao việc'!$M$5:$M$3004,A63,'Giao việc'!$L$5:$L$3004,"*QUÁ HẠN*"))</f>
        <v/>
      </c>
      <c r="P63" s="13">
        <f>IF(A63="","",COUNTIFS('Giao việc'!$M$5:$M$3004,A63,'Giao việc'!$L$5:$L$3004,"CHƯA GIAO*"))</f>
        <v/>
      </c>
      <c r="Q63" s="14">
        <f>IF(OR(A63="",N(M63)=0),"",N63/M63)</f>
        <v/>
      </c>
      <c r="R63" s="15">
        <f>IF(Q63="","",REPT("█",ROUND(Q63*10,0))&amp;REPT("░",10-ROUND(Q63*10,0)))</f>
        <v/>
      </c>
      <c r="S63" s="13">
        <f>IF(C63="","Chưa có ngày",IF(C63&gt;TODAY(),"Còn "&amp;(C63-TODAY())&amp;" ngày",IF(IF(D63="",C63,D63)&gt;=TODAY(),"Đang diễn ra","Đã qua "&amp;(TODAY()-IF(D63="",C63,D63))&amp;" ngày")))</f>
        <v/>
      </c>
      <c r="T63" s="13">
        <f>IF(AND(A63&lt;&gt;"",L63="Có",ISNUMBER(C63)),IF(IF(D63="",C63,D63)&gt;=TODAY()-35,C63+ROW()/100000,""),"")</f>
        <v/>
      </c>
    </row>
    <row r="64">
      <c r="A64" s="25" t="n"/>
      <c r="B64" s="11" t="n"/>
      <c r="C64" s="12" t="n"/>
      <c r="D64" s="12" t="n"/>
      <c r="E64" s="13" t="n"/>
      <c r="F64" s="13" t="n"/>
      <c r="G64" s="13" t="n"/>
      <c r="H64" s="13" t="n"/>
      <c r="I64" s="25" t="n"/>
      <c r="J64" s="25" t="n"/>
      <c r="K64" s="26" t="n"/>
      <c r="L64" s="26" t="n"/>
      <c r="M64" s="13">
        <f>IF(A64="","",COUNTIFS('Giao việc'!$M$5:$M$3004,A64,'Giao việc'!$I$5:$I$3004,"&lt;&gt;Bỏ qua"))</f>
        <v/>
      </c>
      <c r="N64" s="13">
        <f>IF(A64="","",COUNTIFS('Giao việc'!$M$5:$M$3004,A64,'Giao việc'!$I$5:$I$3004,"Xong"))</f>
        <v/>
      </c>
      <c r="O64" s="13">
        <f>IF(A64="","",COUNTIFS('Giao việc'!$M$5:$M$3004,A64,'Giao việc'!$L$5:$L$3004,"*QUÁ HẠN*"))</f>
        <v/>
      </c>
      <c r="P64" s="13">
        <f>IF(A64="","",COUNTIFS('Giao việc'!$M$5:$M$3004,A64,'Giao việc'!$L$5:$L$3004,"CHƯA GIAO*"))</f>
        <v/>
      </c>
      <c r="Q64" s="14">
        <f>IF(OR(A64="",N(M64)=0),"",N64/M64)</f>
        <v/>
      </c>
      <c r="R64" s="15">
        <f>IF(Q64="","",REPT("█",ROUND(Q64*10,0))&amp;REPT("░",10-ROUND(Q64*10,0)))</f>
        <v/>
      </c>
      <c r="S64" s="13">
        <f>IF(C64="","Chưa có ngày",IF(C64&gt;TODAY(),"Còn "&amp;(C64-TODAY())&amp;" ngày",IF(IF(D64="",C64,D64)&gt;=TODAY(),"Đang diễn ra","Đã qua "&amp;(TODAY()-IF(D64="",C64,D64))&amp;" ngày")))</f>
        <v/>
      </c>
      <c r="T64" s="13">
        <f>IF(AND(A64&lt;&gt;"",L64="Có",ISNUMBER(C64)),IF(IF(D64="",C64,D64)&gt;=TODAY()-35,C64+ROW()/100000,""),"")</f>
        <v/>
      </c>
    </row>
    <row r="65">
      <c r="A65" s="25" t="n"/>
      <c r="B65" s="11" t="n"/>
      <c r="C65" s="12" t="n"/>
      <c r="D65" s="12" t="n"/>
      <c r="E65" s="13" t="n"/>
      <c r="F65" s="13" t="n"/>
      <c r="G65" s="13" t="n"/>
      <c r="H65" s="13" t="n"/>
      <c r="I65" s="25" t="n"/>
      <c r="J65" s="25" t="n"/>
      <c r="K65" s="26" t="n"/>
      <c r="L65" s="26" t="n"/>
      <c r="M65" s="13">
        <f>IF(A65="","",COUNTIFS('Giao việc'!$M$5:$M$3004,A65,'Giao việc'!$I$5:$I$3004,"&lt;&gt;Bỏ qua"))</f>
        <v/>
      </c>
      <c r="N65" s="13">
        <f>IF(A65="","",COUNTIFS('Giao việc'!$M$5:$M$3004,A65,'Giao việc'!$I$5:$I$3004,"Xong"))</f>
        <v/>
      </c>
      <c r="O65" s="13">
        <f>IF(A65="","",COUNTIFS('Giao việc'!$M$5:$M$3004,A65,'Giao việc'!$L$5:$L$3004,"*QUÁ HẠN*"))</f>
        <v/>
      </c>
      <c r="P65" s="13">
        <f>IF(A65="","",COUNTIFS('Giao việc'!$M$5:$M$3004,A65,'Giao việc'!$L$5:$L$3004,"CHƯA GIAO*"))</f>
        <v/>
      </c>
      <c r="Q65" s="14">
        <f>IF(OR(A65="",N(M65)=0),"",N65/M65)</f>
        <v/>
      </c>
      <c r="R65" s="15">
        <f>IF(Q65="","",REPT("█",ROUND(Q65*10,0))&amp;REPT("░",10-ROUND(Q65*10,0)))</f>
        <v/>
      </c>
      <c r="S65" s="13">
        <f>IF(C65="","Chưa có ngày",IF(C65&gt;TODAY(),"Còn "&amp;(C65-TODAY())&amp;" ngày",IF(IF(D65="",C65,D65)&gt;=TODAY(),"Đang diễn ra","Đã qua "&amp;(TODAY()-IF(D65="",C65,D65))&amp;" ngày")))</f>
        <v/>
      </c>
      <c r="T65" s="13">
        <f>IF(AND(A65&lt;&gt;"",L65="Có",ISNUMBER(C65)),IF(IF(D65="",C65,D65)&gt;=TODAY()-35,C65+ROW()/100000,""),"")</f>
        <v/>
      </c>
    </row>
    <row r="66">
      <c r="A66" s="25" t="n"/>
      <c r="B66" s="11" t="n"/>
      <c r="C66" s="12" t="n"/>
      <c r="D66" s="12" t="n"/>
      <c r="E66" s="13" t="n"/>
      <c r="F66" s="13" t="n"/>
      <c r="G66" s="13" t="n"/>
      <c r="H66" s="13" t="n"/>
      <c r="I66" s="25" t="n"/>
      <c r="J66" s="25" t="n"/>
      <c r="K66" s="26" t="n"/>
      <c r="L66" s="26" t="n"/>
      <c r="M66" s="13">
        <f>IF(A66="","",COUNTIFS('Giao việc'!$M$5:$M$3004,A66,'Giao việc'!$I$5:$I$3004,"&lt;&gt;Bỏ qua"))</f>
        <v/>
      </c>
      <c r="N66" s="13">
        <f>IF(A66="","",COUNTIFS('Giao việc'!$M$5:$M$3004,A66,'Giao việc'!$I$5:$I$3004,"Xong"))</f>
        <v/>
      </c>
      <c r="O66" s="13">
        <f>IF(A66="","",COUNTIFS('Giao việc'!$M$5:$M$3004,A66,'Giao việc'!$L$5:$L$3004,"*QUÁ HẠN*"))</f>
        <v/>
      </c>
      <c r="P66" s="13">
        <f>IF(A66="","",COUNTIFS('Giao việc'!$M$5:$M$3004,A66,'Giao việc'!$L$5:$L$3004,"CHƯA GIAO*"))</f>
        <v/>
      </c>
      <c r="Q66" s="14">
        <f>IF(OR(A66="",N(M66)=0),"",N66/M66)</f>
        <v/>
      </c>
      <c r="R66" s="15">
        <f>IF(Q66="","",REPT("█",ROUND(Q66*10,0))&amp;REPT("░",10-ROUND(Q66*10,0)))</f>
        <v/>
      </c>
      <c r="S66" s="13">
        <f>IF(C66="","Chưa có ngày",IF(C66&gt;TODAY(),"Còn "&amp;(C66-TODAY())&amp;" ngày",IF(IF(D66="",C66,D66)&gt;=TODAY(),"Đang diễn ra","Đã qua "&amp;(TODAY()-IF(D66="",C66,D66))&amp;" ngày")))</f>
        <v/>
      </c>
      <c r="T66" s="13">
        <f>IF(AND(A66&lt;&gt;"",L66="Có",ISNUMBER(C66)),IF(IF(D66="",C66,D66)&gt;=TODAY()-35,C66+ROW()/100000,""),"")</f>
        <v/>
      </c>
    </row>
    <row r="67">
      <c r="A67" s="25" t="n"/>
      <c r="B67" s="11" t="n"/>
      <c r="C67" s="12" t="n"/>
      <c r="D67" s="12" t="n"/>
      <c r="E67" s="13" t="n"/>
      <c r="F67" s="13" t="n"/>
      <c r="G67" s="13" t="n"/>
      <c r="H67" s="13" t="n"/>
      <c r="I67" s="25" t="n"/>
      <c r="J67" s="25" t="n"/>
      <c r="K67" s="26" t="n"/>
      <c r="L67" s="26" t="n"/>
      <c r="M67" s="13">
        <f>IF(A67="","",COUNTIFS('Giao việc'!$M$5:$M$3004,A67,'Giao việc'!$I$5:$I$3004,"&lt;&gt;Bỏ qua"))</f>
        <v/>
      </c>
      <c r="N67" s="13">
        <f>IF(A67="","",COUNTIFS('Giao việc'!$M$5:$M$3004,A67,'Giao việc'!$I$5:$I$3004,"Xong"))</f>
        <v/>
      </c>
      <c r="O67" s="13">
        <f>IF(A67="","",COUNTIFS('Giao việc'!$M$5:$M$3004,A67,'Giao việc'!$L$5:$L$3004,"*QUÁ HẠN*"))</f>
        <v/>
      </c>
      <c r="P67" s="13">
        <f>IF(A67="","",COUNTIFS('Giao việc'!$M$5:$M$3004,A67,'Giao việc'!$L$5:$L$3004,"CHƯA GIAO*"))</f>
        <v/>
      </c>
      <c r="Q67" s="14">
        <f>IF(OR(A67="",N(M67)=0),"",N67/M67)</f>
        <v/>
      </c>
      <c r="R67" s="15">
        <f>IF(Q67="","",REPT("█",ROUND(Q67*10,0))&amp;REPT("░",10-ROUND(Q67*10,0)))</f>
        <v/>
      </c>
      <c r="S67" s="13">
        <f>IF(C67="","Chưa có ngày",IF(C67&gt;TODAY(),"Còn "&amp;(C67-TODAY())&amp;" ngày",IF(IF(D67="",C67,D67)&gt;=TODAY(),"Đang diễn ra","Đã qua "&amp;(TODAY()-IF(D67="",C67,D67))&amp;" ngày")))</f>
        <v/>
      </c>
      <c r="T67" s="13">
        <f>IF(AND(A67&lt;&gt;"",L67="Có",ISNUMBER(C67)),IF(IF(D67="",C67,D67)&gt;=TODAY()-35,C67+ROW()/100000,""),"")</f>
        <v/>
      </c>
    </row>
    <row r="68">
      <c r="A68" s="25" t="n"/>
      <c r="B68" s="11" t="n"/>
      <c r="C68" s="12" t="n"/>
      <c r="D68" s="12" t="n"/>
      <c r="E68" s="13" t="n"/>
      <c r="F68" s="13" t="n"/>
      <c r="G68" s="13" t="n"/>
      <c r="H68" s="13" t="n"/>
      <c r="I68" s="25" t="n"/>
      <c r="J68" s="25" t="n"/>
      <c r="K68" s="26" t="n"/>
      <c r="L68" s="26" t="n"/>
      <c r="M68" s="13">
        <f>IF(A68="","",COUNTIFS('Giao việc'!$M$5:$M$3004,A68,'Giao việc'!$I$5:$I$3004,"&lt;&gt;Bỏ qua"))</f>
        <v/>
      </c>
      <c r="N68" s="13">
        <f>IF(A68="","",COUNTIFS('Giao việc'!$M$5:$M$3004,A68,'Giao việc'!$I$5:$I$3004,"Xong"))</f>
        <v/>
      </c>
      <c r="O68" s="13">
        <f>IF(A68="","",COUNTIFS('Giao việc'!$M$5:$M$3004,A68,'Giao việc'!$L$5:$L$3004,"*QUÁ HẠN*"))</f>
        <v/>
      </c>
      <c r="P68" s="13">
        <f>IF(A68="","",COUNTIFS('Giao việc'!$M$5:$M$3004,A68,'Giao việc'!$L$5:$L$3004,"CHƯA GIAO*"))</f>
        <v/>
      </c>
      <c r="Q68" s="14">
        <f>IF(OR(A68="",N(M68)=0),"",N68/M68)</f>
        <v/>
      </c>
      <c r="R68" s="15">
        <f>IF(Q68="","",REPT("█",ROUND(Q68*10,0))&amp;REPT("░",10-ROUND(Q68*10,0)))</f>
        <v/>
      </c>
      <c r="S68" s="13">
        <f>IF(C68="","Chưa có ngày",IF(C68&gt;TODAY(),"Còn "&amp;(C68-TODAY())&amp;" ngày",IF(IF(D68="",C68,D68)&gt;=TODAY(),"Đang diễn ra","Đã qua "&amp;(TODAY()-IF(D68="",C68,D68))&amp;" ngày")))</f>
        <v/>
      </c>
      <c r="T68" s="13">
        <f>IF(AND(A68&lt;&gt;"",L68="Có",ISNUMBER(C68)),IF(IF(D68="",C68,D68)&gt;=TODAY()-35,C68+ROW()/100000,""),"")</f>
        <v/>
      </c>
    </row>
    <row r="69">
      <c r="A69" s="25" t="n"/>
      <c r="B69" s="11" t="n"/>
      <c r="C69" s="12" t="n"/>
      <c r="D69" s="12" t="n"/>
      <c r="E69" s="13" t="n"/>
      <c r="F69" s="13" t="n"/>
      <c r="G69" s="13" t="n"/>
      <c r="H69" s="13" t="n"/>
      <c r="I69" s="25" t="n"/>
      <c r="J69" s="25" t="n"/>
      <c r="K69" s="26" t="n"/>
      <c r="L69" s="26" t="n"/>
      <c r="M69" s="13">
        <f>IF(A69="","",COUNTIFS('Giao việc'!$M$5:$M$3004,A69,'Giao việc'!$I$5:$I$3004,"&lt;&gt;Bỏ qua"))</f>
        <v/>
      </c>
      <c r="N69" s="13">
        <f>IF(A69="","",COUNTIFS('Giao việc'!$M$5:$M$3004,A69,'Giao việc'!$I$5:$I$3004,"Xong"))</f>
        <v/>
      </c>
      <c r="O69" s="13">
        <f>IF(A69="","",COUNTIFS('Giao việc'!$M$5:$M$3004,A69,'Giao việc'!$L$5:$L$3004,"*QUÁ HẠN*"))</f>
        <v/>
      </c>
      <c r="P69" s="13">
        <f>IF(A69="","",COUNTIFS('Giao việc'!$M$5:$M$3004,A69,'Giao việc'!$L$5:$L$3004,"CHƯA GIAO*"))</f>
        <v/>
      </c>
      <c r="Q69" s="14">
        <f>IF(OR(A69="",N(M69)=0),"",N69/M69)</f>
        <v/>
      </c>
      <c r="R69" s="15">
        <f>IF(Q69="","",REPT("█",ROUND(Q69*10,0))&amp;REPT("░",10-ROUND(Q69*10,0)))</f>
        <v/>
      </c>
      <c r="S69" s="13">
        <f>IF(C69="","Chưa có ngày",IF(C69&gt;TODAY(),"Còn "&amp;(C69-TODAY())&amp;" ngày",IF(IF(D69="",C69,D69)&gt;=TODAY(),"Đang diễn ra","Đã qua "&amp;(TODAY()-IF(D69="",C69,D69))&amp;" ngày")))</f>
        <v/>
      </c>
      <c r="T69" s="13">
        <f>IF(AND(A69&lt;&gt;"",L69="Có",ISNUMBER(C69)),IF(IF(D69="",C69,D69)&gt;=TODAY()-35,C69+ROW()/100000,""),"")</f>
        <v/>
      </c>
    </row>
    <row r="70">
      <c r="A70" s="25" t="n"/>
      <c r="B70" s="11" t="n"/>
      <c r="C70" s="12" t="n"/>
      <c r="D70" s="12" t="n"/>
      <c r="E70" s="13" t="n"/>
      <c r="F70" s="13" t="n"/>
      <c r="G70" s="13" t="n"/>
      <c r="H70" s="13" t="n"/>
      <c r="I70" s="25" t="n"/>
      <c r="J70" s="25" t="n"/>
      <c r="K70" s="26" t="n"/>
      <c r="L70" s="26" t="n"/>
      <c r="M70" s="13">
        <f>IF(A70="","",COUNTIFS('Giao việc'!$M$5:$M$3004,A70,'Giao việc'!$I$5:$I$3004,"&lt;&gt;Bỏ qua"))</f>
        <v/>
      </c>
      <c r="N70" s="13">
        <f>IF(A70="","",COUNTIFS('Giao việc'!$M$5:$M$3004,A70,'Giao việc'!$I$5:$I$3004,"Xong"))</f>
        <v/>
      </c>
      <c r="O70" s="13">
        <f>IF(A70="","",COUNTIFS('Giao việc'!$M$5:$M$3004,A70,'Giao việc'!$L$5:$L$3004,"*QUÁ HẠN*"))</f>
        <v/>
      </c>
      <c r="P70" s="13">
        <f>IF(A70="","",COUNTIFS('Giao việc'!$M$5:$M$3004,A70,'Giao việc'!$L$5:$L$3004,"CHƯA GIAO*"))</f>
        <v/>
      </c>
      <c r="Q70" s="14">
        <f>IF(OR(A70="",N(M70)=0),"",N70/M70)</f>
        <v/>
      </c>
      <c r="R70" s="15">
        <f>IF(Q70="","",REPT("█",ROUND(Q70*10,0))&amp;REPT("░",10-ROUND(Q70*10,0)))</f>
        <v/>
      </c>
      <c r="S70" s="13">
        <f>IF(C70="","Chưa có ngày",IF(C70&gt;TODAY(),"Còn "&amp;(C70-TODAY())&amp;" ngày",IF(IF(D70="",C70,D70)&gt;=TODAY(),"Đang diễn ra","Đã qua "&amp;(TODAY()-IF(D70="",C70,D70))&amp;" ngày")))</f>
        <v/>
      </c>
      <c r="T70" s="13">
        <f>IF(AND(A70&lt;&gt;"",L70="Có",ISNUMBER(C70)),IF(IF(D70="",C70,D70)&gt;=TODAY()-35,C70+ROW()/100000,""),"")</f>
        <v/>
      </c>
    </row>
    <row r="71">
      <c r="A71" s="25" t="n"/>
      <c r="B71" s="11" t="n"/>
      <c r="C71" s="12" t="n"/>
      <c r="D71" s="12" t="n"/>
      <c r="E71" s="13" t="n"/>
      <c r="F71" s="13" t="n"/>
      <c r="G71" s="13" t="n"/>
      <c r="H71" s="13" t="n"/>
      <c r="I71" s="25" t="n"/>
      <c r="J71" s="25" t="n"/>
      <c r="K71" s="26" t="n"/>
      <c r="L71" s="26" t="n"/>
      <c r="M71" s="13">
        <f>IF(A71="","",COUNTIFS('Giao việc'!$M$5:$M$3004,A71,'Giao việc'!$I$5:$I$3004,"&lt;&gt;Bỏ qua"))</f>
        <v/>
      </c>
      <c r="N71" s="13">
        <f>IF(A71="","",COUNTIFS('Giao việc'!$M$5:$M$3004,A71,'Giao việc'!$I$5:$I$3004,"Xong"))</f>
        <v/>
      </c>
      <c r="O71" s="13">
        <f>IF(A71="","",COUNTIFS('Giao việc'!$M$5:$M$3004,A71,'Giao việc'!$L$5:$L$3004,"*QUÁ HẠN*"))</f>
        <v/>
      </c>
      <c r="P71" s="13">
        <f>IF(A71="","",COUNTIFS('Giao việc'!$M$5:$M$3004,A71,'Giao việc'!$L$5:$L$3004,"CHƯA GIAO*"))</f>
        <v/>
      </c>
      <c r="Q71" s="14">
        <f>IF(OR(A71="",N(M71)=0),"",N71/M71)</f>
        <v/>
      </c>
      <c r="R71" s="15">
        <f>IF(Q71="","",REPT("█",ROUND(Q71*10,0))&amp;REPT("░",10-ROUND(Q71*10,0)))</f>
        <v/>
      </c>
      <c r="S71" s="13">
        <f>IF(C71="","Chưa có ngày",IF(C71&gt;TODAY(),"Còn "&amp;(C71-TODAY())&amp;" ngày",IF(IF(D71="",C71,D71)&gt;=TODAY(),"Đang diễn ra","Đã qua "&amp;(TODAY()-IF(D71="",C71,D71))&amp;" ngày")))</f>
        <v/>
      </c>
      <c r="T71" s="13">
        <f>IF(AND(A71&lt;&gt;"",L71="Có",ISNUMBER(C71)),IF(IF(D71="",C71,D71)&gt;=TODAY()-35,C71+ROW()/100000,""),"")</f>
        <v/>
      </c>
    </row>
    <row r="72">
      <c r="A72" s="25" t="n"/>
      <c r="B72" s="11" t="n"/>
      <c r="C72" s="12" t="n"/>
      <c r="D72" s="12" t="n"/>
      <c r="E72" s="13" t="n"/>
      <c r="F72" s="13" t="n"/>
      <c r="G72" s="13" t="n"/>
      <c r="H72" s="13" t="n"/>
      <c r="I72" s="25" t="n"/>
      <c r="J72" s="25" t="n"/>
      <c r="K72" s="26" t="n"/>
      <c r="L72" s="26" t="n"/>
      <c r="M72" s="13">
        <f>IF(A72="","",COUNTIFS('Giao việc'!$M$5:$M$3004,A72,'Giao việc'!$I$5:$I$3004,"&lt;&gt;Bỏ qua"))</f>
        <v/>
      </c>
      <c r="N72" s="13">
        <f>IF(A72="","",COUNTIFS('Giao việc'!$M$5:$M$3004,A72,'Giao việc'!$I$5:$I$3004,"Xong"))</f>
        <v/>
      </c>
      <c r="O72" s="13">
        <f>IF(A72="","",COUNTIFS('Giao việc'!$M$5:$M$3004,A72,'Giao việc'!$L$5:$L$3004,"*QUÁ HẠN*"))</f>
        <v/>
      </c>
      <c r="P72" s="13">
        <f>IF(A72="","",COUNTIFS('Giao việc'!$M$5:$M$3004,A72,'Giao việc'!$L$5:$L$3004,"CHƯA GIAO*"))</f>
        <v/>
      </c>
      <c r="Q72" s="14">
        <f>IF(OR(A72="",N(M72)=0),"",N72/M72)</f>
        <v/>
      </c>
      <c r="R72" s="15">
        <f>IF(Q72="","",REPT("█",ROUND(Q72*10,0))&amp;REPT("░",10-ROUND(Q72*10,0)))</f>
        <v/>
      </c>
      <c r="S72" s="13">
        <f>IF(C72="","Chưa có ngày",IF(C72&gt;TODAY(),"Còn "&amp;(C72-TODAY())&amp;" ngày",IF(IF(D72="",C72,D72)&gt;=TODAY(),"Đang diễn ra","Đã qua "&amp;(TODAY()-IF(D72="",C72,D72))&amp;" ngày")))</f>
        <v/>
      </c>
      <c r="T72" s="13">
        <f>IF(AND(A72&lt;&gt;"",L72="Có",ISNUMBER(C72)),IF(IF(D72="",C72,D72)&gt;=TODAY()-35,C72+ROW()/100000,""),"")</f>
        <v/>
      </c>
    </row>
    <row r="73">
      <c r="A73" s="25" t="n"/>
      <c r="B73" s="11" t="n"/>
      <c r="C73" s="12" t="n"/>
      <c r="D73" s="12" t="n"/>
      <c r="E73" s="13" t="n"/>
      <c r="F73" s="13" t="n"/>
      <c r="G73" s="13" t="n"/>
      <c r="H73" s="13" t="n"/>
      <c r="I73" s="25" t="n"/>
      <c r="J73" s="25" t="n"/>
      <c r="K73" s="26" t="n"/>
      <c r="L73" s="26" t="n"/>
      <c r="M73" s="13">
        <f>IF(A73="","",COUNTIFS('Giao việc'!$M$5:$M$3004,A73,'Giao việc'!$I$5:$I$3004,"&lt;&gt;Bỏ qua"))</f>
        <v/>
      </c>
      <c r="N73" s="13">
        <f>IF(A73="","",COUNTIFS('Giao việc'!$M$5:$M$3004,A73,'Giao việc'!$I$5:$I$3004,"Xong"))</f>
        <v/>
      </c>
      <c r="O73" s="13">
        <f>IF(A73="","",COUNTIFS('Giao việc'!$M$5:$M$3004,A73,'Giao việc'!$L$5:$L$3004,"*QUÁ HẠN*"))</f>
        <v/>
      </c>
      <c r="P73" s="13">
        <f>IF(A73="","",COUNTIFS('Giao việc'!$M$5:$M$3004,A73,'Giao việc'!$L$5:$L$3004,"CHƯA GIAO*"))</f>
        <v/>
      </c>
      <c r="Q73" s="14">
        <f>IF(OR(A73="",N(M73)=0),"",N73/M73)</f>
        <v/>
      </c>
      <c r="R73" s="15">
        <f>IF(Q73="","",REPT("█",ROUND(Q73*10,0))&amp;REPT("░",10-ROUND(Q73*10,0)))</f>
        <v/>
      </c>
      <c r="S73" s="13">
        <f>IF(C73="","Chưa có ngày",IF(C73&gt;TODAY(),"Còn "&amp;(C73-TODAY())&amp;" ngày",IF(IF(D73="",C73,D73)&gt;=TODAY(),"Đang diễn ra","Đã qua "&amp;(TODAY()-IF(D73="",C73,D73))&amp;" ngày")))</f>
        <v/>
      </c>
      <c r="T73" s="13">
        <f>IF(AND(A73&lt;&gt;"",L73="Có",ISNUMBER(C73)),IF(IF(D73="",C73,D73)&gt;=TODAY()-35,C73+ROW()/100000,""),"")</f>
        <v/>
      </c>
    </row>
    <row r="74">
      <c r="A74" s="25" t="n"/>
      <c r="B74" s="11" t="n"/>
      <c r="C74" s="12" t="n"/>
      <c r="D74" s="12" t="n"/>
      <c r="E74" s="13" t="n"/>
      <c r="F74" s="13" t="n"/>
      <c r="G74" s="13" t="n"/>
      <c r="H74" s="13" t="n"/>
      <c r="I74" s="25" t="n"/>
      <c r="J74" s="25" t="n"/>
      <c r="K74" s="26" t="n"/>
      <c r="L74" s="26" t="n"/>
      <c r="M74" s="13">
        <f>IF(A74="","",COUNTIFS('Giao việc'!$M$5:$M$3004,A74,'Giao việc'!$I$5:$I$3004,"&lt;&gt;Bỏ qua"))</f>
        <v/>
      </c>
      <c r="N74" s="13">
        <f>IF(A74="","",COUNTIFS('Giao việc'!$M$5:$M$3004,A74,'Giao việc'!$I$5:$I$3004,"Xong"))</f>
        <v/>
      </c>
      <c r="O74" s="13">
        <f>IF(A74="","",COUNTIFS('Giao việc'!$M$5:$M$3004,A74,'Giao việc'!$L$5:$L$3004,"*QUÁ HẠN*"))</f>
        <v/>
      </c>
      <c r="P74" s="13">
        <f>IF(A74="","",COUNTIFS('Giao việc'!$M$5:$M$3004,A74,'Giao việc'!$L$5:$L$3004,"CHƯA GIAO*"))</f>
        <v/>
      </c>
      <c r="Q74" s="14">
        <f>IF(OR(A74="",N(M74)=0),"",N74/M74)</f>
        <v/>
      </c>
      <c r="R74" s="15">
        <f>IF(Q74="","",REPT("█",ROUND(Q74*10,0))&amp;REPT("░",10-ROUND(Q74*10,0)))</f>
        <v/>
      </c>
      <c r="S74" s="13">
        <f>IF(C74="","Chưa có ngày",IF(C74&gt;TODAY(),"Còn "&amp;(C74-TODAY())&amp;" ngày",IF(IF(D74="",C74,D74)&gt;=TODAY(),"Đang diễn ra","Đã qua "&amp;(TODAY()-IF(D74="",C74,D74))&amp;" ngày")))</f>
        <v/>
      </c>
      <c r="T74" s="13">
        <f>IF(AND(A74&lt;&gt;"",L74="Có",ISNUMBER(C74)),IF(IF(D74="",C74,D74)&gt;=TODAY()-35,C74+ROW()/100000,""),"")</f>
        <v/>
      </c>
    </row>
    <row r="75">
      <c r="A75" s="25" t="n"/>
      <c r="B75" s="11" t="n"/>
      <c r="C75" s="12" t="n"/>
      <c r="D75" s="12" t="n"/>
      <c r="E75" s="13" t="n"/>
      <c r="F75" s="13" t="n"/>
      <c r="G75" s="13" t="n"/>
      <c r="H75" s="13" t="n"/>
      <c r="I75" s="25" t="n"/>
      <c r="J75" s="25" t="n"/>
      <c r="K75" s="26" t="n"/>
      <c r="L75" s="26" t="n"/>
      <c r="M75" s="13">
        <f>IF(A75="","",COUNTIFS('Giao việc'!$M$5:$M$3004,A75,'Giao việc'!$I$5:$I$3004,"&lt;&gt;Bỏ qua"))</f>
        <v/>
      </c>
      <c r="N75" s="13">
        <f>IF(A75="","",COUNTIFS('Giao việc'!$M$5:$M$3004,A75,'Giao việc'!$I$5:$I$3004,"Xong"))</f>
        <v/>
      </c>
      <c r="O75" s="13">
        <f>IF(A75="","",COUNTIFS('Giao việc'!$M$5:$M$3004,A75,'Giao việc'!$L$5:$L$3004,"*QUÁ HẠN*"))</f>
        <v/>
      </c>
      <c r="P75" s="13">
        <f>IF(A75="","",COUNTIFS('Giao việc'!$M$5:$M$3004,A75,'Giao việc'!$L$5:$L$3004,"CHƯA GIAO*"))</f>
        <v/>
      </c>
      <c r="Q75" s="14">
        <f>IF(OR(A75="",N(M75)=0),"",N75/M75)</f>
        <v/>
      </c>
      <c r="R75" s="15">
        <f>IF(Q75="","",REPT("█",ROUND(Q75*10,0))&amp;REPT("░",10-ROUND(Q75*10,0)))</f>
        <v/>
      </c>
      <c r="S75" s="13">
        <f>IF(C75="","Chưa có ngày",IF(C75&gt;TODAY(),"Còn "&amp;(C75-TODAY())&amp;" ngày",IF(IF(D75="",C75,D75)&gt;=TODAY(),"Đang diễn ra","Đã qua "&amp;(TODAY()-IF(D75="",C75,D75))&amp;" ngày")))</f>
        <v/>
      </c>
      <c r="T75" s="13">
        <f>IF(AND(A75&lt;&gt;"",L75="Có",ISNUMBER(C75)),IF(IF(D75="",C75,D75)&gt;=TODAY()-35,C75+ROW()/100000,""),"")</f>
        <v/>
      </c>
    </row>
    <row r="76">
      <c r="A76" s="25" t="n"/>
      <c r="B76" s="11" t="n"/>
      <c r="C76" s="12" t="n"/>
      <c r="D76" s="12" t="n"/>
      <c r="E76" s="13" t="n"/>
      <c r="F76" s="13" t="n"/>
      <c r="G76" s="13" t="n"/>
      <c r="H76" s="13" t="n"/>
      <c r="I76" s="25" t="n"/>
      <c r="J76" s="25" t="n"/>
      <c r="K76" s="26" t="n"/>
      <c r="L76" s="26" t="n"/>
      <c r="M76" s="13">
        <f>IF(A76="","",COUNTIFS('Giao việc'!$M$5:$M$3004,A76,'Giao việc'!$I$5:$I$3004,"&lt;&gt;Bỏ qua"))</f>
        <v/>
      </c>
      <c r="N76" s="13">
        <f>IF(A76="","",COUNTIFS('Giao việc'!$M$5:$M$3004,A76,'Giao việc'!$I$5:$I$3004,"Xong"))</f>
        <v/>
      </c>
      <c r="O76" s="13">
        <f>IF(A76="","",COUNTIFS('Giao việc'!$M$5:$M$3004,A76,'Giao việc'!$L$5:$L$3004,"*QUÁ HẠN*"))</f>
        <v/>
      </c>
      <c r="P76" s="13">
        <f>IF(A76="","",COUNTIFS('Giao việc'!$M$5:$M$3004,A76,'Giao việc'!$L$5:$L$3004,"CHƯA GIAO*"))</f>
        <v/>
      </c>
      <c r="Q76" s="14">
        <f>IF(OR(A76="",N(M76)=0),"",N76/M76)</f>
        <v/>
      </c>
      <c r="R76" s="15">
        <f>IF(Q76="","",REPT("█",ROUND(Q76*10,0))&amp;REPT("░",10-ROUND(Q76*10,0)))</f>
        <v/>
      </c>
      <c r="S76" s="13">
        <f>IF(C76="","Chưa có ngày",IF(C76&gt;TODAY(),"Còn "&amp;(C76-TODAY())&amp;" ngày",IF(IF(D76="",C76,D76)&gt;=TODAY(),"Đang diễn ra","Đã qua "&amp;(TODAY()-IF(D76="",C76,D76))&amp;" ngày")))</f>
        <v/>
      </c>
      <c r="T76" s="13">
        <f>IF(AND(A76&lt;&gt;"",L76="Có",ISNUMBER(C76)),IF(IF(D76="",C76,D76)&gt;=TODAY()-35,C76+ROW()/100000,""),"")</f>
        <v/>
      </c>
    </row>
    <row r="77">
      <c r="A77" s="25" t="n"/>
      <c r="B77" s="11" t="n"/>
      <c r="C77" s="12" t="n"/>
      <c r="D77" s="12" t="n"/>
      <c r="E77" s="13" t="n"/>
      <c r="F77" s="13" t="n"/>
      <c r="G77" s="13" t="n"/>
      <c r="H77" s="13" t="n"/>
      <c r="I77" s="25" t="n"/>
      <c r="J77" s="25" t="n"/>
      <c r="K77" s="26" t="n"/>
      <c r="L77" s="26" t="n"/>
      <c r="M77" s="13">
        <f>IF(A77="","",COUNTIFS('Giao việc'!$M$5:$M$3004,A77,'Giao việc'!$I$5:$I$3004,"&lt;&gt;Bỏ qua"))</f>
        <v/>
      </c>
      <c r="N77" s="13">
        <f>IF(A77="","",COUNTIFS('Giao việc'!$M$5:$M$3004,A77,'Giao việc'!$I$5:$I$3004,"Xong"))</f>
        <v/>
      </c>
      <c r="O77" s="13">
        <f>IF(A77="","",COUNTIFS('Giao việc'!$M$5:$M$3004,A77,'Giao việc'!$L$5:$L$3004,"*QUÁ HẠN*"))</f>
        <v/>
      </c>
      <c r="P77" s="13">
        <f>IF(A77="","",COUNTIFS('Giao việc'!$M$5:$M$3004,A77,'Giao việc'!$L$5:$L$3004,"CHƯA GIAO*"))</f>
        <v/>
      </c>
      <c r="Q77" s="14">
        <f>IF(OR(A77="",N(M77)=0),"",N77/M77)</f>
        <v/>
      </c>
      <c r="R77" s="15">
        <f>IF(Q77="","",REPT("█",ROUND(Q77*10,0))&amp;REPT("░",10-ROUND(Q77*10,0)))</f>
        <v/>
      </c>
      <c r="S77" s="13">
        <f>IF(C77="","Chưa có ngày",IF(C77&gt;TODAY(),"Còn "&amp;(C77-TODAY())&amp;" ngày",IF(IF(D77="",C77,D77)&gt;=TODAY(),"Đang diễn ra","Đã qua "&amp;(TODAY()-IF(D77="",C77,D77))&amp;" ngày")))</f>
        <v/>
      </c>
      <c r="T77" s="13">
        <f>IF(AND(A77&lt;&gt;"",L77="Có",ISNUMBER(C77)),IF(IF(D77="",C77,D77)&gt;=TODAY()-35,C77+ROW()/100000,""),"")</f>
        <v/>
      </c>
    </row>
    <row r="78">
      <c r="A78" s="25" t="n"/>
      <c r="B78" s="11" t="n"/>
      <c r="C78" s="12" t="n"/>
      <c r="D78" s="12" t="n"/>
      <c r="E78" s="13" t="n"/>
      <c r="F78" s="13" t="n"/>
      <c r="G78" s="13" t="n"/>
      <c r="H78" s="13" t="n"/>
      <c r="I78" s="25" t="n"/>
      <c r="J78" s="25" t="n"/>
      <c r="K78" s="26" t="n"/>
      <c r="L78" s="26" t="n"/>
      <c r="M78" s="13">
        <f>IF(A78="","",COUNTIFS('Giao việc'!$M$5:$M$3004,A78,'Giao việc'!$I$5:$I$3004,"&lt;&gt;Bỏ qua"))</f>
        <v/>
      </c>
      <c r="N78" s="13">
        <f>IF(A78="","",COUNTIFS('Giao việc'!$M$5:$M$3004,A78,'Giao việc'!$I$5:$I$3004,"Xong"))</f>
        <v/>
      </c>
      <c r="O78" s="13">
        <f>IF(A78="","",COUNTIFS('Giao việc'!$M$5:$M$3004,A78,'Giao việc'!$L$5:$L$3004,"*QUÁ HẠN*"))</f>
        <v/>
      </c>
      <c r="P78" s="13">
        <f>IF(A78="","",COUNTIFS('Giao việc'!$M$5:$M$3004,A78,'Giao việc'!$L$5:$L$3004,"CHƯA GIAO*"))</f>
        <v/>
      </c>
      <c r="Q78" s="14">
        <f>IF(OR(A78="",N(M78)=0),"",N78/M78)</f>
        <v/>
      </c>
      <c r="R78" s="15">
        <f>IF(Q78="","",REPT("█",ROUND(Q78*10,0))&amp;REPT("░",10-ROUND(Q78*10,0)))</f>
        <v/>
      </c>
      <c r="S78" s="13">
        <f>IF(C78="","Chưa có ngày",IF(C78&gt;TODAY(),"Còn "&amp;(C78-TODAY())&amp;" ngày",IF(IF(D78="",C78,D78)&gt;=TODAY(),"Đang diễn ra","Đã qua "&amp;(TODAY()-IF(D78="",C78,D78))&amp;" ngày")))</f>
        <v/>
      </c>
      <c r="T78" s="13">
        <f>IF(AND(A78&lt;&gt;"",L78="Có",ISNUMBER(C78)),IF(IF(D78="",C78,D78)&gt;=TODAY()-35,C78+ROW()/100000,""),"")</f>
        <v/>
      </c>
    </row>
    <row r="79">
      <c r="A79" s="25" t="n"/>
      <c r="B79" s="11" t="n"/>
      <c r="C79" s="12" t="n"/>
      <c r="D79" s="12" t="n"/>
      <c r="E79" s="13" t="n"/>
      <c r="F79" s="13" t="n"/>
      <c r="G79" s="13" t="n"/>
      <c r="H79" s="13" t="n"/>
      <c r="I79" s="25" t="n"/>
      <c r="J79" s="25" t="n"/>
      <c r="K79" s="26" t="n"/>
      <c r="L79" s="26" t="n"/>
      <c r="M79" s="13">
        <f>IF(A79="","",COUNTIFS('Giao việc'!$M$5:$M$3004,A79,'Giao việc'!$I$5:$I$3004,"&lt;&gt;Bỏ qua"))</f>
        <v/>
      </c>
      <c r="N79" s="13">
        <f>IF(A79="","",COUNTIFS('Giao việc'!$M$5:$M$3004,A79,'Giao việc'!$I$5:$I$3004,"Xong"))</f>
        <v/>
      </c>
      <c r="O79" s="13">
        <f>IF(A79="","",COUNTIFS('Giao việc'!$M$5:$M$3004,A79,'Giao việc'!$L$5:$L$3004,"*QUÁ HẠN*"))</f>
        <v/>
      </c>
      <c r="P79" s="13">
        <f>IF(A79="","",COUNTIFS('Giao việc'!$M$5:$M$3004,A79,'Giao việc'!$L$5:$L$3004,"CHƯA GIAO*"))</f>
        <v/>
      </c>
      <c r="Q79" s="14">
        <f>IF(OR(A79="",N(M79)=0),"",N79/M79)</f>
        <v/>
      </c>
      <c r="R79" s="15">
        <f>IF(Q79="","",REPT("█",ROUND(Q79*10,0))&amp;REPT("░",10-ROUND(Q79*10,0)))</f>
        <v/>
      </c>
      <c r="S79" s="13">
        <f>IF(C79="","Chưa có ngày",IF(C79&gt;TODAY(),"Còn "&amp;(C79-TODAY())&amp;" ngày",IF(IF(D79="",C79,D79)&gt;=TODAY(),"Đang diễn ra","Đã qua "&amp;(TODAY()-IF(D79="",C79,D79))&amp;" ngày")))</f>
        <v/>
      </c>
      <c r="T79" s="13">
        <f>IF(AND(A79&lt;&gt;"",L79="Có",ISNUMBER(C79)),IF(IF(D79="",C79,D79)&gt;=TODAY()-35,C79+ROW()/100000,""),"")</f>
        <v/>
      </c>
    </row>
    <row r="80">
      <c r="A80" s="25" t="n"/>
      <c r="B80" s="11" t="n"/>
      <c r="C80" s="12" t="n"/>
      <c r="D80" s="12" t="n"/>
      <c r="E80" s="13" t="n"/>
      <c r="F80" s="13" t="n"/>
      <c r="G80" s="13" t="n"/>
      <c r="H80" s="13" t="n"/>
      <c r="I80" s="25" t="n"/>
      <c r="J80" s="25" t="n"/>
      <c r="K80" s="26" t="n"/>
      <c r="L80" s="26" t="n"/>
      <c r="M80" s="13">
        <f>IF(A80="","",COUNTIFS('Giao việc'!$M$5:$M$3004,A80,'Giao việc'!$I$5:$I$3004,"&lt;&gt;Bỏ qua"))</f>
        <v/>
      </c>
      <c r="N80" s="13">
        <f>IF(A80="","",COUNTIFS('Giao việc'!$M$5:$M$3004,A80,'Giao việc'!$I$5:$I$3004,"Xong"))</f>
        <v/>
      </c>
      <c r="O80" s="13">
        <f>IF(A80="","",COUNTIFS('Giao việc'!$M$5:$M$3004,A80,'Giao việc'!$L$5:$L$3004,"*QUÁ HẠN*"))</f>
        <v/>
      </c>
      <c r="P80" s="13">
        <f>IF(A80="","",COUNTIFS('Giao việc'!$M$5:$M$3004,A80,'Giao việc'!$L$5:$L$3004,"CHƯA GIAO*"))</f>
        <v/>
      </c>
      <c r="Q80" s="14">
        <f>IF(OR(A80="",N(M80)=0),"",N80/M80)</f>
        <v/>
      </c>
      <c r="R80" s="15">
        <f>IF(Q80="","",REPT("█",ROUND(Q80*10,0))&amp;REPT("░",10-ROUND(Q80*10,0)))</f>
        <v/>
      </c>
      <c r="S80" s="13">
        <f>IF(C80="","Chưa có ngày",IF(C80&gt;TODAY(),"Còn "&amp;(C80-TODAY())&amp;" ngày",IF(IF(D80="",C80,D80)&gt;=TODAY(),"Đang diễn ra","Đã qua "&amp;(TODAY()-IF(D80="",C80,D80))&amp;" ngày")))</f>
        <v/>
      </c>
      <c r="T80" s="13">
        <f>IF(AND(A80&lt;&gt;"",L80="Có",ISNUMBER(C80)),IF(IF(D80="",C80,D80)&gt;=TODAY()-35,C80+ROW()/100000,""),"")</f>
        <v/>
      </c>
    </row>
    <row r="81">
      <c r="A81" s="25" t="n"/>
      <c r="B81" s="11" t="n"/>
      <c r="C81" s="12" t="n"/>
      <c r="D81" s="12" t="n"/>
      <c r="E81" s="13" t="n"/>
      <c r="F81" s="13" t="n"/>
      <c r="G81" s="13" t="n"/>
      <c r="H81" s="13" t="n"/>
      <c r="I81" s="25" t="n"/>
      <c r="J81" s="25" t="n"/>
      <c r="K81" s="26" t="n"/>
      <c r="L81" s="26" t="n"/>
      <c r="M81" s="13">
        <f>IF(A81="","",COUNTIFS('Giao việc'!$M$5:$M$3004,A81,'Giao việc'!$I$5:$I$3004,"&lt;&gt;Bỏ qua"))</f>
        <v/>
      </c>
      <c r="N81" s="13">
        <f>IF(A81="","",COUNTIFS('Giao việc'!$M$5:$M$3004,A81,'Giao việc'!$I$5:$I$3004,"Xong"))</f>
        <v/>
      </c>
      <c r="O81" s="13">
        <f>IF(A81="","",COUNTIFS('Giao việc'!$M$5:$M$3004,A81,'Giao việc'!$L$5:$L$3004,"*QUÁ HẠN*"))</f>
        <v/>
      </c>
      <c r="P81" s="13">
        <f>IF(A81="","",COUNTIFS('Giao việc'!$M$5:$M$3004,A81,'Giao việc'!$L$5:$L$3004,"CHƯA GIAO*"))</f>
        <v/>
      </c>
      <c r="Q81" s="14">
        <f>IF(OR(A81="",N(M81)=0),"",N81/M81)</f>
        <v/>
      </c>
      <c r="R81" s="15">
        <f>IF(Q81="","",REPT("█",ROUND(Q81*10,0))&amp;REPT("░",10-ROUND(Q81*10,0)))</f>
        <v/>
      </c>
      <c r="S81" s="13">
        <f>IF(C81="","Chưa có ngày",IF(C81&gt;TODAY(),"Còn "&amp;(C81-TODAY())&amp;" ngày",IF(IF(D81="",C81,D81)&gt;=TODAY(),"Đang diễn ra","Đã qua "&amp;(TODAY()-IF(D81="",C81,D81))&amp;" ngày")))</f>
        <v/>
      </c>
      <c r="T81" s="13">
        <f>IF(AND(A81&lt;&gt;"",L81="Có",ISNUMBER(C81)),IF(IF(D81="",C81,D81)&gt;=TODAY()-35,C81+ROW()/100000,""),"")</f>
        <v/>
      </c>
    </row>
    <row r="82">
      <c r="A82" s="25" t="n"/>
      <c r="B82" s="11" t="n"/>
      <c r="C82" s="12" t="n"/>
      <c r="D82" s="12" t="n"/>
      <c r="E82" s="13" t="n"/>
      <c r="F82" s="13" t="n"/>
      <c r="G82" s="13" t="n"/>
      <c r="H82" s="13" t="n"/>
      <c r="I82" s="25" t="n"/>
      <c r="J82" s="25" t="n"/>
      <c r="K82" s="26" t="n"/>
      <c r="L82" s="26" t="n"/>
      <c r="M82" s="13">
        <f>IF(A82="","",COUNTIFS('Giao việc'!$M$5:$M$3004,A82,'Giao việc'!$I$5:$I$3004,"&lt;&gt;Bỏ qua"))</f>
        <v/>
      </c>
      <c r="N82" s="13">
        <f>IF(A82="","",COUNTIFS('Giao việc'!$M$5:$M$3004,A82,'Giao việc'!$I$5:$I$3004,"Xong"))</f>
        <v/>
      </c>
      <c r="O82" s="13">
        <f>IF(A82="","",COUNTIFS('Giao việc'!$M$5:$M$3004,A82,'Giao việc'!$L$5:$L$3004,"*QUÁ HẠN*"))</f>
        <v/>
      </c>
      <c r="P82" s="13">
        <f>IF(A82="","",COUNTIFS('Giao việc'!$M$5:$M$3004,A82,'Giao việc'!$L$5:$L$3004,"CHƯA GIAO*"))</f>
        <v/>
      </c>
      <c r="Q82" s="14">
        <f>IF(OR(A82="",N(M82)=0),"",N82/M82)</f>
        <v/>
      </c>
      <c r="R82" s="15">
        <f>IF(Q82="","",REPT("█",ROUND(Q82*10,0))&amp;REPT("░",10-ROUND(Q82*10,0)))</f>
        <v/>
      </c>
      <c r="S82" s="13">
        <f>IF(C82="","Chưa có ngày",IF(C82&gt;TODAY(),"Còn "&amp;(C82-TODAY())&amp;" ngày",IF(IF(D82="",C82,D82)&gt;=TODAY(),"Đang diễn ra","Đã qua "&amp;(TODAY()-IF(D82="",C82,D82))&amp;" ngày")))</f>
        <v/>
      </c>
      <c r="T82" s="13">
        <f>IF(AND(A82&lt;&gt;"",L82="Có",ISNUMBER(C82)),IF(IF(D82="",C82,D82)&gt;=TODAY()-35,C82+ROW()/100000,""),"")</f>
        <v/>
      </c>
    </row>
    <row r="83">
      <c r="A83" s="25" t="n"/>
      <c r="B83" s="11" t="n"/>
      <c r="C83" s="12" t="n"/>
      <c r="D83" s="12" t="n"/>
      <c r="E83" s="13" t="n"/>
      <c r="F83" s="13" t="n"/>
      <c r="G83" s="13" t="n"/>
      <c r="H83" s="13" t="n"/>
      <c r="I83" s="25" t="n"/>
      <c r="J83" s="25" t="n"/>
      <c r="K83" s="26" t="n"/>
      <c r="L83" s="26" t="n"/>
      <c r="M83" s="13">
        <f>IF(A83="","",COUNTIFS('Giao việc'!$M$5:$M$3004,A83,'Giao việc'!$I$5:$I$3004,"&lt;&gt;Bỏ qua"))</f>
        <v/>
      </c>
      <c r="N83" s="13">
        <f>IF(A83="","",COUNTIFS('Giao việc'!$M$5:$M$3004,A83,'Giao việc'!$I$5:$I$3004,"Xong"))</f>
        <v/>
      </c>
      <c r="O83" s="13">
        <f>IF(A83="","",COUNTIFS('Giao việc'!$M$5:$M$3004,A83,'Giao việc'!$L$5:$L$3004,"*QUÁ HẠN*"))</f>
        <v/>
      </c>
      <c r="P83" s="13">
        <f>IF(A83="","",COUNTIFS('Giao việc'!$M$5:$M$3004,A83,'Giao việc'!$L$5:$L$3004,"CHƯA GIAO*"))</f>
        <v/>
      </c>
      <c r="Q83" s="14">
        <f>IF(OR(A83="",N(M83)=0),"",N83/M83)</f>
        <v/>
      </c>
      <c r="R83" s="15">
        <f>IF(Q83="","",REPT("█",ROUND(Q83*10,0))&amp;REPT("░",10-ROUND(Q83*10,0)))</f>
        <v/>
      </c>
      <c r="S83" s="13">
        <f>IF(C83="","Chưa có ngày",IF(C83&gt;TODAY(),"Còn "&amp;(C83-TODAY())&amp;" ngày",IF(IF(D83="",C83,D83)&gt;=TODAY(),"Đang diễn ra","Đã qua "&amp;(TODAY()-IF(D83="",C83,D83))&amp;" ngày")))</f>
        <v/>
      </c>
      <c r="T83" s="13">
        <f>IF(AND(A83&lt;&gt;"",L83="Có",ISNUMBER(C83)),IF(IF(D83="",C83,D83)&gt;=TODAY()-35,C83+ROW()/100000,""),"")</f>
        <v/>
      </c>
    </row>
    <row r="84">
      <c r="A84" s="25" t="n"/>
      <c r="B84" s="11" t="n"/>
      <c r="C84" s="12" t="n"/>
      <c r="D84" s="12" t="n"/>
      <c r="E84" s="13" t="n"/>
      <c r="F84" s="13" t="n"/>
      <c r="G84" s="13" t="n"/>
      <c r="H84" s="13" t="n"/>
      <c r="I84" s="25" t="n"/>
      <c r="J84" s="25" t="n"/>
      <c r="K84" s="26" t="n"/>
      <c r="L84" s="26" t="n"/>
      <c r="M84" s="13">
        <f>IF(A84="","",COUNTIFS('Giao việc'!$M$5:$M$3004,A84,'Giao việc'!$I$5:$I$3004,"&lt;&gt;Bỏ qua"))</f>
        <v/>
      </c>
      <c r="N84" s="13">
        <f>IF(A84="","",COUNTIFS('Giao việc'!$M$5:$M$3004,A84,'Giao việc'!$I$5:$I$3004,"Xong"))</f>
        <v/>
      </c>
      <c r="O84" s="13">
        <f>IF(A84="","",COUNTIFS('Giao việc'!$M$5:$M$3004,A84,'Giao việc'!$L$5:$L$3004,"*QUÁ HẠN*"))</f>
        <v/>
      </c>
      <c r="P84" s="13">
        <f>IF(A84="","",COUNTIFS('Giao việc'!$M$5:$M$3004,A84,'Giao việc'!$L$5:$L$3004,"CHƯA GIAO*"))</f>
        <v/>
      </c>
      <c r="Q84" s="14">
        <f>IF(OR(A84="",N(M84)=0),"",N84/M84)</f>
        <v/>
      </c>
      <c r="R84" s="15">
        <f>IF(Q84="","",REPT("█",ROUND(Q84*10,0))&amp;REPT("░",10-ROUND(Q84*10,0)))</f>
        <v/>
      </c>
      <c r="S84" s="13">
        <f>IF(C84="","Chưa có ngày",IF(C84&gt;TODAY(),"Còn "&amp;(C84-TODAY())&amp;" ngày",IF(IF(D84="",C84,D84)&gt;=TODAY(),"Đang diễn ra","Đã qua "&amp;(TODAY()-IF(D84="",C84,D84))&amp;" ngày")))</f>
        <v/>
      </c>
      <c r="T84" s="13">
        <f>IF(AND(A84&lt;&gt;"",L84="Có",ISNUMBER(C84)),IF(IF(D84="",C84,D84)&gt;=TODAY()-35,C84+ROW()/100000,""),"")</f>
        <v/>
      </c>
    </row>
    <row r="85">
      <c r="A85" s="25" t="n"/>
      <c r="B85" s="11" t="n"/>
      <c r="C85" s="12" t="n"/>
      <c r="D85" s="12" t="n"/>
      <c r="E85" s="13" t="n"/>
      <c r="F85" s="13" t="n"/>
      <c r="G85" s="13" t="n"/>
      <c r="H85" s="13" t="n"/>
      <c r="I85" s="25" t="n"/>
      <c r="J85" s="25" t="n"/>
      <c r="K85" s="26" t="n"/>
      <c r="L85" s="26" t="n"/>
      <c r="M85" s="13">
        <f>IF(A85="","",COUNTIFS('Giao việc'!$M$5:$M$3004,A85,'Giao việc'!$I$5:$I$3004,"&lt;&gt;Bỏ qua"))</f>
        <v/>
      </c>
      <c r="N85" s="13">
        <f>IF(A85="","",COUNTIFS('Giao việc'!$M$5:$M$3004,A85,'Giao việc'!$I$5:$I$3004,"Xong"))</f>
        <v/>
      </c>
      <c r="O85" s="13">
        <f>IF(A85="","",COUNTIFS('Giao việc'!$M$5:$M$3004,A85,'Giao việc'!$L$5:$L$3004,"*QUÁ HẠN*"))</f>
        <v/>
      </c>
      <c r="P85" s="13">
        <f>IF(A85="","",COUNTIFS('Giao việc'!$M$5:$M$3004,A85,'Giao việc'!$L$5:$L$3004,"CHƯA GIAO*"))</f>
        <v/>
      </c>
      <c r="Q85" s="14">
        <f>IF(OR(A85="",N(M85)=0),"",N85/M85)</f>
        <v/>
      </c>
      <c r="R85" s="15">
        <f>IF(Q85="","",REPT("█",ROUND(Q85*10,0))&amp;REPT("░",10-ROUND(Q85*10,0)))</f>
        <v/>
      </c>
      <c r="S85" s="13">
        <f>IF(C85="","Chưa có ngày",IF(C85&gt;TODAY(),"Còn "&amp;(C85-TODAY())&amp;" ngày",IF(IF(D85="",C85,D85)&gt;=TODAY(),"Đang diễn ra","Đã qua "&amp;(TODAY()-IF(D85="",C85,D85))&amp;" ngày")))</f>
        <v/>
      </c>
      <c r="T85" s="13">
        <f>IF(AND(A85&lt;&gt;"",L85="Có",ISNUMBER(C85)),IF(IF(D85="",C85,D85)&gt;=TODAY()-35,C85+ROW()/100000,""),"")</f>
        <v/>
      </c>
    </row>
    <row r="86">
      <c r="A86" s="25" t="n"/>
      <c r="B86" s="11" t="n"/>
      <c r="C86" s="12" t="n"/>
      <c r="D86" s="12" t="n"/>
      <c r="E86" s="13" t="n"/>
      <c r="F86" s="13" t="n"/>
      <c r="G86" s="13" t="n"/>
      <c r="H86" s="13" t="n"/>
      <c r="I86" s="25" t="n"/>
      <c r="J86" s="25" t="n"/>
      <c r="K86" s="26" t="n"/>
      <c r="L86" s="26" t="n"/>
      <c r="M86" s="13">
        <f>IF(A86="","",COUNTIFS('Giao việc'!$M$5:$M$3004,A86,'Giao việc'!$I$5:$I$3004,"&lt;&gt;Bỏ qua"))</f>
        <v/>
      </c>
      <c r="N86" s="13">
        <f>IF(A86="","",COUNTIFS('Giao việc'!$M$5:$M$3004,A86,'Giao việc'!$I$5:$I$3004,"Xong"))</f>
        <v/>
      </c>
      <c r="O86" s="13">
        <f>IF(A86="","",COUNTIFS('Giao việc'!$M$5:$M$3004,A86,'Giao việc'!$L$5:$L$3004,"*QUÁ HẠN*"))</f>
        <v/>
      </c>
      <c r="P86" s="13">
        <f>IF(A86="","",COUNTIFS('Giao việc'!$M$5:$M$3004,A86,'Giao việc'!$L$5:$L$3004,"CHƯA GIAO*"))</f>
        <v/>
      </c>
      <c r="Q86" s="14">
        <f>IF(OR(A86="",N(M86)=0),"",N86/M86)</f>
        <v/>
      </c>
      <c r="R86" s="15">
        <f>IF(Q86="","",REPT("█",ROUND(Q86*10,0))&amp;REPT("░",10-ROUND(Q86*10,0)))</f>
        <v/>
      </c>
      <c r="S86" s="13">
        <f>IF(C86="","Chưa có ngày",IF(C86&gt;TODAY(),"Còn "&amp;(C86-TODAY())&amp;" ngày",IF(IF(D86="",C86,D86)&gt;=TODAY(),"Đang diễn ra","Đã qua "&amp;(TODAY()-IF(D86="",C86,D86))&amp;" ngày")))</f>
        <v/>
      </c>
      <c r="T86" s="13">
        <f>IF(AND(A86&lt;&gt;"",L86="Có",ISNUMBER(C86)),IF(IF(D86="",C86,D86)&gt;=TODAY()-35,C86+ROW()/100000,""),"")</f>
        <v/>
      </c>
    </row>
    <row r="87">
      <c r="A87" s="25" t="n"/>
      <c r="B87" s="11" t="n"/>
      <c r="C87" s="12" t="n"/>
      <c r="D87" s="12" t="n"/>
      <c r="E87" s="13" t="n"/>
      <c r="F87" s="13" t="n"/>
      <c r="G87" s="13" t="n"/>
      <c r="H87" s="13" t="n"/>
      <c r="I87" s="25" t="n"/>
      <c r="J87" s="25" t="n"/>
      <c r="K87" s="26" t="n"/>
      <c r="L87" s="26" t="n"/>
      <c r="M87" s="13">
        <f>IF(A87="","",COUNTIFS('Giao việc'!$M$5:$M$3004,A87,'Giao việc'!$I$5:$I$3004,"&lt;&gt;Bỏ qua"))</f>
        <v/>
      </c>
      <c r="N87" s="13">
        <f>IF(A87="","",COUNTIFS('Giao việc'!$M$5:$M$3004,A87,'Giao việc'!$I$5:$I$3004,"Xong"))</f>
        <v/>
      </c>
      <c r="O87" s="13">
        <f>IF(A87="","",COUNTIFS('Giao việc'!$M$5:$M$3004,A87,'Giao việc'!$L$5:$L$3004,"*QUÁ HẠN*"))</f>
        <v/>
      </c>
      <c r="P87" s="13">
        <f>IF(A87="","",COUNTIFS('Giao việc'!$M$5:$M$3004,A87,'Giao việc'!$L$5:$L$3004,"CHƯA GIAO*"))</f>
        <v/>
      </c>
      <c r="Q87" s="14">
        <f>IF(OR(A87="",N(M87)=0),"",N87/M87)</f>
        <v/>
      </c>
      <c r="R87" s="15">
        <f>IF(Q87="","",REPT("█",ROUND(Q87*10,0))&amp;REPT("░",10-ROUND(Q87*10,0)))</f>
        <v/>
      </c>
      <c r="S87" s="13">
        <f>IF(C87="","Chưa có ngày",IF(C87&gt;TODAY(),"Còn "&amp;(C87-TODAY())&amp;" ngày",IF(IF(D87="",C87,D87)&gt;=TODAY(),"Đang diễn ra","Đã qua "&amp;(TODAY()-IF(D87="",C87,D87))&amp;" ngày")))</f>
        <v/>
      </c>
      <c r="T87" s="13">
        <f>IF(AND(A87&lt;&gt;"",L87="Có",ISNUMBER(C87)),IF(IF(D87="",C87,D87)&gt;=TODAY()-35,C87+ROW()/100000,""),"")</f>
        <v/>
      </c>
    </row>
    <row r="88">
      <c r="A88" s="25" t="n"/>
      <c r="B88" s="11" t="n"/>
      <c r="C88" s="12" t="n"/>
      <c r="D88" s="12" t="n"/>
      <c r="E88" s="13" t="n"/>
      <c r="F88" s="13" t="n"/>
      <c r="G88" s="13" t="n"/>
      <c r="H88" s="13" t="n"/>
      <c r="I88" s="25" t="n"/>
      <c r="J88" s="25" t="n"/>
      <c r="K88" s="26" t="n"/>
      <c r="L88" s="26" t="n"/>
      <c r="M88" s="13">
        <f>IF(A88="","",COUNTIFS('Giao việc'!$M$5:$M$3004,A88,'Giao việc'!$I$5:$I$3004,"&lt;&gt;Bỏ qua"))</f>
        <v/>
      </c>
      <c r="N88" s="13">
        <f>IF(A88="","",COUNTIFS('Giao việc'!$M$5:$M$3004,A88,'Giao việc'!$I$5:$I$3004,"Xong"))</f>
        <v/>
      </c>
      <c r="O88" s="13">
        <f>IF(A88="","",COUNTIFS('Giao việc'!$M$5:$M$3004,A88,'Giao việc'!$L$5:$L$3004,"*QUÁ HẠN*"))</f>
        <v/>
      </c>
      <c r="P88" s="13">
        <f>IF(A88="","",COUNTIFS('Giao việc'!$M$5:$M$3004,A88,'Giao việc'!$L$5:$L$3004,"CHƯA GIAO*"))</f>
        <v/>
      </c>
      <c r="Q88" s="14">
        <f>IF(OR(A88="",N(M88)=0),"",N88/M88)</f>
        <v/>
      </c>
      <c r="R88" s="15">
        <f>IF(Q88="","",REPT("█",ROUND(Q88*10,0))&amp;REPT("░",10-ROUND(Q88*10,0)))</f>
        <v/>
      </c>
      <c r="S88" s="13">
        <f>IF(C88="","Chưa có ngày",IF(C88&gt;TODAY(),"Còn "&amp;(C88-TODAY())&amp;" ngày",IF(IF(D88="",C88,D88)&gt;=TODAY(),"Đang diễn ra","Đã qua "&amp;(TODAY()-IF(D88="",C88,D88))&amp;" ngày")))</f>
        <v/>
      </c>
      <c r="T88" s="13">
        <f>IF(AND(A88&lt;&gt;"",L88="Có",ISNUMBER(C88)),IF(IF(D88="",C88,D88)&gt;=TODAY()-35,C88+ROW()/100000,""),"")</f>
        <v/>
      </c>
    </row>
    <row r="89">
      <c r="A89" s="25" t="n"/>
      <c r="B89" s="11" t="n"/>
      <c r="C89" s="12" t="n"/>
      <c r="D89" s="12" t="n"/>
      <c r="E89" s="13" t="n"/>
      <c r="F89" s="13" t="n"/>
      <c r="G89" s="13" t="n"/>
      <c r="H89" s="13" t="n"/>
      <c r="I89" s="25" t="n"/>
      <c r="J89" s="25" t="n"/>
      <c r="K89" s="26" t="n"/>
      <c r="L89" s="26" t="n"/>
      <c r="M89" s="13">
        <f>IF(A89="","",COUNTIFS('Giao việc'!$M$5:$M$3004,A89,'Giao việc'!$I$5:$I$3004,"&lt;&gt;Bỏ qua"))</f>
        <v/>
      </c>
      <c r="N89" s="13">
        <f>IF(A89="","",COUNTIFS('Giao việc'!$M$5:$M$3004,A89,'Giao việc'!$I$5:$I$3004,"Xong"))</f>
        <v/>
      </c>
      <c r="O89" s="13">
        <f>IF(A89="","",COUNTIFS('Giao việc'!$M$5:$M$3004,A89,'Giao việc'!$L$5:$L$3004,"*QUÁ HẠN*"))</f>
        <v/>
      </c>
      <c r="P89" s="13">
        <f>IF(A89="","",COUNTIFS('Giao việc'!$M$5:$M$3004,A89,'Giao việc'!$L$5:$L$3004,"CHƯA GIAO*"))</f>
        <v/>
      </c>
      <c r="Q89" s="14">
        <f>IF(OR(A89="",N(M89)=0),"",N89/M89)</f>
        <v/>
      </c>
      <c r="R89" s="15">
        <f>IF(Q89="","",REPT("█",ROUND(Q89*10,0))&amp;REPT("░",10-ROUND(Q89*10,0)))</f>
        <v/>
      </c>
      <c r="S89" s="13">
        <f>IF(C89="","Chưa có ngày",IF(C89&gt;TODAY(),"Còn "&amp;(C89-TODAY())&amp;" ngày",IF(IF(D89="",C89,D89)&gt;=TODAY(),"Đang diễn ra","Đã qua "&amp;(TODAY()-IF(D89="",C89,D89))&amp;" ngày")))</f>
        <v/>
      </c>
      <c r="T89" s="13">
        <f>IF(AND(A89&lt;&gt;"",L89="Có",ISNUMBER(C89)),IF(IF(D89="",C89,D89)&gt;=TODAY()-35,C89+ROW()/100000,""),"")</f>
        <v/>
      </c>
    </row>
    <row r="90">
      <c r="A90" s="25" t="n"/>
      <c r="B90" s="11" t="n"/>
      <c r="C90" s="12" t="n"/>
      <c r="D90" s="12" t="n"/>
      <c r="E90" s="13" t="n"/>
      <c r="F90" s="13" t="n"/>
      <c r="G90" s="13" t="n"/>
      <c r="H90" s="13" t="n"/>
      <c r="I90" s="25" t="n"/>
      <c r="J90" s="25" t="n"/>
      <c r="K90" s="26" t="n"/>
      <c r="L90" s="26" t="n"/>
      <c r="M90" s="13">
        <f>IF(A90="","",COUNTIFS('Giao việc'!$M$5:$M$3004,A90,'Giao việc'!$I$5:$I$3004,"&lt;&gt;Bỏ qua"))</f>
        <v/>
      </c>
      <c r="N90" s="13">
        <f>IF(A90="","",COUNTIFS('Giao việc'!$M$5:$M$3004,A90,'Giao việc'!$I$5:$I$3004,"Xong"))</f>
        <v/>
      </c>
      <c r="O90" s="13">
        <f>IF(A90="","",COUNTIFS('Giao việc'!$M$5:$M$3004,A90,'Giao việc'!$L$5:$L$3004,"*QUÁ HẠN*"))</f>
        <v/>
      </c>
      <c r="P90" s="13">
        <f>IF(A90="","",COUNTIFS('Giao việc'!$M$5:$M$3004,A90,'Giao việc'!$L$5:$L$3004,"CHƯA GIAO*"))</f>
        <v/>
      </c>
      <c r="Q90" s="14">
        <f>IF(OR(A90="",N(M90)=0),"",N90/M90)</f>
        <v/>
      </c>
      <c r="R90" s="15">
        <f>IF(Q90="","",REPT("█",ROUND(Q90*10,0))&amp;REPT("░",10-ROUND(Q90*10,0)))</f>
        <v/>
      </c>
      <c r="S90" s="13">
        <f>IF(C90="","Chưa có ngày",IF(C90&gt;TODAY(),"Còn "&amp;(C90-TODAY())&amp;" ngày",IF(IF(D90="",C90,D90)&gt;=TODAY(),"Đang diễn ra","Đã qua "&amp;(TODAY()-IF(D90="",C90,D90))&amp;" ngày")))</f>
        <v/>
      </c>
      <c r="T90" s="13">
        <f>IF(AND(A90&lt;&gt;"",L90="Có",ISNUMBER(C90)),IF(IF(D90="",C90,D90)&gt;=TODAY()-35,C90+ROW()/100000,""),"")</f>
        <v/>
      </c>
    </row>
    <row r="91">
      <c r="A91" s="25" t="n"/>
      <c r="B91" s="11" t="n"/>
      <c r="C91" s="12" t="n"/>
      <c r="D91" s="12" t="n"/>
      <c r="E91" s="13" t="n"/>
      <c r="F91" s="13" t="n"/>
      <c r="G91" s="13" t="n"/>
      <c r="H91" s="13" t="n"/>
      <c r="I91" s="25" t="n"/>
      <c r="J91" s="25" t="n"/>
      <c r="K91" s="26" t="n"/>
      <c r="L91" s="26" t="n"/>
      <c r="M91" s="13">
        <f>IF(A91="","",COUNTIFS('Giao việc'!$M$5:$M$3004,A91,'Giao việc'!$I$5:$I$3004,"&lt;&gt;Bỏ qua"))</f>
        <v/>
      </c>
      <c r="N91" s="13">
        <f>IF(A91="","",COUNTIFS('Giao việc'!$M$5:$M$3004,A91,'Giao việc'!$I$5:$I$3004,"Xong"))</f>
        <v/>
      </c>
      <c r="O91" s="13">
        <f>IF(A91="","",COUNTIFS('Giao việc'!$M$5:$M$3004,A91,'Giao việc'!$L$5:$L$3004,"*QUÁ HẠN*"))</f>
        <v/>
      </c>
      <c r="P91" s="13">
        <f>IF(A91="","",COUNTIFS('Giao việc'!$M$5:$M$3004,A91,'Giao việc'!$L$5:$L$3004,"CHƯA GIAO*"))</f>
        <v/>
      </c>
      <c r="Q91" s="14">
        <f>IF(OR(A91="",N(M91)=0),"",N91/M91)</f>
        <v/>
      </c>
      <c r="R91" s="15">
        <f>IF(Q91="","",REPT("█",ROUND(Q91*10,0))&amp;REPT("░",10-ROUND(Q91*10,0)))</f>
        <v/>
      </c>
      <c r="S91" s="13">
        <f>IF(C91="","Chưa có ngày",IF(C91&gt;TODAY(),"Còn "&amp;(C91-TODAY())&amp;" ngày",IF(IF(D91="",C91,D91)&gt;=TODAY(),"Đang diễn ra","Đã qua "&amp;(TODAY()-IF(D91="",C91,D91))&amp;" ngày")))</f>
        <v/>
      </c>
      <c r="T91" s="13">
        <f>IF(AND(A91&lt;&gt;"",L91="Có",ISNUMBER(C91)),IF(IF(D91="",C91,D91)&gt;=TODAY()-35,C91+ROW()/100000,""),"")</f>
        <v/>
      </c>
    </row>
    <row r="92">
      <c r="A92" s="25" t="n"/>
      <c r="B92" s="11" t="n"/>
      <c r="C92" s="12" t="n"/>
      <c r="D92" s="12" t="n"/>
      <c r="E92" s="13" t="n"/>
      <c r="F92" s="13" t="n"/>
      <c r="G92" s="13" t="n"/>
      <c r="H92" s="13" t="n"/>
      <c r="I92" s="25" t="n"/>
      <c r="J92" s="25" t="n"/>
      <c r="K92" s="26" t="n"/>
      <c r="L92" s="26" t="n"/>
      <c r="M92" s="13">
        <f>IF(A92="","",COUNTIFS('Giao việc'!$M$5:$M$3004,A92,'Giao việc'!$I$5:$I$3004,"&lt;&gt;Bỏ qua"))</f>
        <v/>
      </c>
      <c r="N92" s="13">
        <f>IF(A92="","",COUNTIFS('Giao việc'!$M$5:$M$3004,A92,'Giao việc'!$I$5:$I$3004,"Xong"))</f>
        <v/>
      </c>
      <c r="O92" s="13">
        <f>IF(A92="","",COUNTIFS('Giao việc'!$M$5:$M$3004,A92,'Giao việc'!$L$5:$L$3004,"*QUÁ HẠN*"))</f>
        <v/>
      </c>
      <c r="P92" s="13">
        <f>IF(A92="","",COUNTIFS('Giao việc'!$M$5:$M$3004,A92,'Giao việc'!$L$5:$L$3004,"CHƯA GIAO*"))</f>
        <v/>
      </c>
      <c r="Q92" s="14">
        <f>IF(OR(A92="",N(M92)=0),"",N92/M92)</f>
        <v/>
      </c>
      <c r="R92" s="15">
        <f>IF(Q92="","",REPT("█",ROUND(Q92*10,0))&amp;REPT("░",10-ROUND(Q92*10,0)))</f>
        <v/>
      </c>
      <c r="S92" s="13">
        <f>IF(C92="","Chưa có ngày",IF(C92&gt;TODAY(),"Còn "&amp;(C92-TODAY())&amp;" ngày",IF(IF(D92="",C92,D92)&gt;=TODAY(),"Đang diễn ra","Đã qua "&amp;(TODAY()-IF(D92="",C92,D92))&amp;" ngày")))</f>
        <v/>
      </c>
      <c r="T92" s="13">
        <f>IF(AND(A92&lt;&gt;"",L92="Có",ISNUMBER(C92)),IF(IF(D92="",C92,D92)&gt;=TODAY()-35,C92+ROW()/100000,""),"")</f>
        <v/>
      </c>
    </row>
    <row r="93">
      <c r="A93" s="25" t="n"/>
      <c r="B93" s="11" t="n"/>
      <c r="C93" s="12" t="n"/>
      <c r="D93" s="12" t="n"/>
      <c r="E93" s="13" t="n"/>
      <c r="F93" s="13" t="n"/>
      <c r="G93" s="13" t="n"/>
      <c r="H93" s="13" t="n"/>
      <c r="I93" s="25" t="n"/>
      <c r="J93" s="25" t="n"/>
      <c r="K93" s="26" t="n"/>
      <c r="L93" s="26" t="n"/>
      <c r="M93" s="13">
        <f>IF(A93="","",COUNTIFS('Giao việc'!$M$5:$M$3004,A93,'Giao việc'!$I$5:$I$3004,"&lt;&gt;Bỏ qua"))</f>
        <v/>
      </c>
      <c r="N93" s="13">
        <f>IF(A93="","",COUNTIFS('Giao việc'!$M$5:$M$3004,A93,'Giao việc'!$I$5:$I$3004,"Xong"))</f>
        <v/>
      </c>
      <c r="O93" s="13">
        <f>IF(A93="","",COUNTIFS('Giao việc'!$M$5:$M$3004,A93,'Giao việc'!$L$5:$L$3004,"*QUÁ HẠN*"))</f>
        <v/>
      </c>
      <c r="P93" s="13">
        <f>IF(A93="","",COUNTIFS('Giao việc'!$M$5:$M$3004,A93,'Giao việc'!$L$5:$L$3004,"CHƯA GIAO*"))</f>
        <v/>
      </c>
      <c r="Q93" s="14">
        <f>IF(OR(A93="",N(M93)=0),"",N93/M93)</f>
        <v/>
      </c>
      <c r="R93" s="15">
        <f>IF(Q93="","",REPT("█",ROUND(Q93*10,0))&amp;REPT("░",10-ROUND(Q93*10,0)))</f>
        <v/>
      </c>
      <c r="S93" s="13">
        <f>IF(C93="","Chưa có ngày",IF(C93&gt;TODAY(),"Còn "&amp;(C93-TODAY())&amp;" ngày",IF(IF(D93="",C93,D93)&gt;=TODAY(),"Đang diễn ra","Đã qua "&amp;(TODAY()-IF(D93="",C93,D93))&amp;" ngày")))</f>
        <v/>
      </c>
      <c r="T93" s="13">
        <f>IF(AND(A93&lt;&gt;"",L93="Có",ISNUMBER(C93)),IF(IF(D93="",C93,D93)&gt;=TODAY()-35,C93+ROW()/100000,""),"")</f>
        <v/>
      </c>
    </row>
    <row r="94">
      <c r="A94" s="25" t="n"/>
      <c r="B94" s="11" t="n"/>
      <c r="C94" s="12" t="n"/>
      <c r="D94" s="12" t="n"/>
      <c r="E94" s="13" t="n"/>
      <c r="F94" s="13" t="n"/>
      <c r="G94" s="13" t="n"/>
      <c r="H94" s="13" t="n"/>
      <c r="I94" s="25" t="n"/>
      <c r="J94" s="25" t="n"/>
      <c r="K94" s="26" t="n"/>
      <c r="L94" s="26" t="n"/>
      <c r="M94" s="13">
        <f>IF(A94="","",COUNTIFS('Giao việc'!$M$5:$M$3004,A94,'Giao việc'!$I$5:$I$3004,"&lt;&gt;Bỏ qua"))</f>
        <v/>
      </c>
      <c r="N94" s="13">
        <f>IF(A94="","",COUNTIFS('Giao việc'!$M$5:$M$3004,A94,'Giao việc'!$I$5:$I$3004,"Xong"))</f>
        <v/>
      </c>
      <c r="O94" s="13">
        <f>IF(A94="","",COUNTIFS('Giao việc'!$M$5:$M$3004,A94,'Giao việc'!$L$5:$L$3004,"*QUÁ HẠN*"))</f>
        <v/>
      </c>
      <c r="P94" s="13">
        <f>IF(A94="","",COUNTIFS('Giao việc'!$M$5:$M$3004,A94,'Giao việc'!$L$5:$L$3004,"CHƯA GIAO*"))</f>
        <v/>
      </c>
      <c r="Q94" s="14">
        <f>IF(OR(A94="",N(M94)=0),"",N94/M94)</f>
        <v/>
      </c>
      <c r="R94" s="15">
        <f>IF(Q94="","",REPT("█",ROUND(Q94*10,0))&amp;REPT("░",10-ROUND(Q94*10,0)))</f>
        <v/>
      </c>
      <c r="S94" s="13">
        <f>IF(C94="","Chưa có ngày",IF(C94&gt;TODAY(),"Còn "&amp;(C94-TODAY())&amp;" ngày",IF(IF(D94="",C94,D94)&gt;=TODAY(),"Đang diễn ra","Đã qua "&amp;(TODAY()-IF(D94="",C94,D94))&amp;" ngày")))</f>
        <v/>
      </c>
      <c r="T94" s="13">
        <f>IF(AND(A94&lt;&gt;"",L94="Có",ISNUMBER(C94)),IF(IF(D94="",C94,D94)&gt;=TODAY()-35,C94+ROW()/100000,""),"")</f>
        <v/>
      </c>
    </row>
    <row r="95">
      <c r="A95" s="25" t="n"/>
      <c r="B95" s="11" t="n"/>
      <c r="C95" s="12" t="n"/>
      <c r="D95" s="12" t="n"/>
      <c r="E95" s="13" t="n"/>
      <c r="F95" s="13" t="n"/>
      <c r="G95" s="13" t="n"/>
      <c r="H95" s="13" t="n"/>
      <c r="I95" s="25" t="n"/>
      <c r="J95" s="25" t="n"/>
      <c r="K95" s="26" t="n"/>
      <c r="L95" s="26" t="n"/>
      <c r="M95" s="13">
        <f>IF(A95="","",COUNTIFS('Giao việc'!$M$5:$M$3004,A95,'Giao việc'!$I$5:$I$3004,"&lt;&gt;Bỏ qua"))</f>
        <v/>
      </c>
      <c r="N95" s="13">
        <f>IF(A95="","",COUNTIFS('Giao việc'!$M$5:$M$3004,A95,'Giao việc'!$I$5:$I$3004,"Xong"))</f>
        <v/>
      </c>
      <c r="O95" s="13">
        <f>IF(A95="","",COUNTIFS('Giao việc'!$M$5:$M$3004,A95,'Giao việc'!$L$5:$L$3004,"*QUÁ HẠN*"))</f>
        <v/>
      </c>
      <c r="P95" s="13">
        <f>IF(A95="","",COUNTIFS('Giao việc'!$M$5:$M$3004,A95,'Giao việc'!$L$5:$L$3004,"CHƯA GIAO*"))</f>
        <v/>
      </c>
      <c r="Q95" s="14">
        <f>IF(OR(A95="",N(M95)=0),"",N95/M95)</f>
        <v/>
      </c>
      <c r="R95" s="15">
        <f>IF(Q95="","",REPT("█",ROUND(Q95*10,0))&amp;REPT("░",10-ROUND(Q95*10,0)))</f>
        <v/>
      </c>
      <c r="S95" s="13">
        <f>IF(C95="","Chưa có ngày",IF(C95&gt;TODAY(),"Còn "&amp;(C95-TODAY())&amp;" ngày",IF(IF(D95="",C95,D95)&gt;=TODAY(),"Đang diễn ra","Đã qua "&amp;(TODAY()-IF(D95="",C95,D95))&amp;" ngày")))</f>
        <v/>
      </c>
      <c r="T95" s="13">
        <f>IF(AND(A95&lt;&gt;"",L95="Có",ISNUMBER(C95)),IF(IF(D95="",C95,D95)&gt;=TODAY()-35,C95+ROW()/100000,""),"")</f>
        <v/>
      </c>
    </row>
    <row r="96">
      <c r="A96" s="25" t="n"/>
      <c r="B96" s="11" t="n"/>
      <c r="C96" s="12" t="n"/>
      <c r="D96" s="12" t="n"/>
      <c r="E96" s="13" t="n"/>
      <c r="F96" s="13" t="n"/>
      <c r="G96" s="13" t="n"/>
      <c r="H96" s="13" t="n"/>
      <c r="I96" s="25" t="n"/>
      <c r="J96" s="25" t="n"/>
      <c r="K96" s="26" t="n"/>
      <c r="L96" s="26" t="n"/>
      <c r="M96" s="13">
        <f>IF(A96="","",COUNTIFS('Giao việc'!$M$5:$M$3004,A96,'Giao việc'!$I$5:$I$3004,"&lt;&gt;Bỏ qua"))</f>
        <v/>
      </c>
      <c r="N96" s="13">
        <f>IF(A96="","",COUNTIFS('Giao việc'!$M$5:$M$3004,A96,'Giao việc'!$I$5:$I$3004,"Xong"))</f>
        <v/>
      </c>
      <c r="O96" s="13">
        <f>IF(A96="","",COUNTIFS('Giao việc'!$M$5:$M$3004,A96,'Giao việc'!$L$5:$L$3004,"*QUÁ HẠN*"))</f>
        <v/>
      </c>
      <c r="P96" s="13">
        <f>IF(A96="","",COUNTIFS('Giao việc'!$M$5:$M$3004,A96,'Giao việc'!$L$5:$L$3004,"CHƯA GIAO*"))</f>
        <v/>
      </c>
      <c r="Q96" s="14">
        <f>IF(OR(A96="",N(M96)=0),"",N96/M96)</f>
        <v/>
      </c>
      <c r="R96" s="15">
        <f>IF(Q96="","",REPT("█",ROUND(Q96*10,0))&amp;REPT("░",10-ROUND(Q96*10,0)))</f>
        <v/>
      </c>
      <c r="S96" s="13">
        <f>IF(C96="","Chưa có ngày",IF(C96&gt;TODAY(),"Còn "&amp;(C96-TODAY())&amp;" ngày",IF(IF(D96="",C96,D96)&gt;=TODAY(),"Đang diễn ra","Đã qua "&amp;(TODAY()-IF(D96="",C96,D96))&amp;" ngày")))</f>
        <v/>
      </c>
      <c r="T96" s="13">
        <f>IF(AND(A96&lt;&gt;"",L96="Có",ISNUMBER(C96)),IF(IF(D96="",C96,D96)&gt;=TODAY()-35,C96+ROW()/100000,""),"")</f>
        <v/>
      </c>
    </row>
    <row r="97">
      <c r="A97" s="25" t="n"/>
      <c r="B97" s="11" t="n"/>
      <c r="C97" s="12" t="n"/>
      <c r="D97" s="12" t="n"/>
      <c r="E97" s="13" t="n"/>
      <c r="F97" s="13" t="n"/>
      <c r="G97" s="13" t="n"/>
      <c r="H97" s="13" t="n"/>
      <c r="I97" s="25" t="n"/>
      <c r="J97" s="25" t="n"/>
      <c r="K97" s="26" t="n"/>
      <c r="L97" s="26" t="n"/>
      <c r="M97" s="13">
        <f>IF(A97="","",COUNTIFS('Giao việc'!$M$5:$M$3004,A97,'Giao việc'!$I$5:$I$3004,"&lt;&gt;Bỏ qua"))</f>
        <v/>
      </c>
      <c r="N97" s="13">
        <f>IF(A97="","",COUNTIFS('Giao việc'!$M$5:$M$3004,A97,'Giao việc'!$I$5:$I$3004,"Xong"))</f>
        <v/>
      </c>
      <c r="O97" s="13">
        <f>IF(A97="","",COUNTIFS('Giao việc'!$M$5:$M$3004,A97,'Giao việc'!$L$5:$L$3004,"*QUÁ HẠN*"))</f>
        <v/>
      </c>
      <c r="P97" s="13">
        <f>IF(A97="","",COUNTIFS('Giao việc'!$M$5:$M$3004,A97,'Giao việc'!$L$5:$L$3004,"CHƯA GIAO*"))</f>
        <v/>
      </c>
      <c r="Q97" s="14">
        <f>IF(OR(A97="",N(M97)=0),"",N97/M97)</f>
        <v/>
      </c>
      <c r="R97" s="15">
        <f>IF(Q97="","",REPT("█",ROUND(Q97*10,0))&amp;REPT("░",10-ROUND(Q97*10,0)))</f>
        <v/>
      </c>
      <c r="S97" s="13">
        <f>IF(C97="","Chưa có ngày",IF(C97&gt;TODAY(),"Còn "&amp;(C97-TODAY())&amp;" ngày",IF(IF(D97="",C97,D97)&gt;=TODAY(),"Đang diễn ra","Đã qua "&amp;(TODAY()-IF(D97="",C97,D97))&amp;" ngày")))</f>
        <v/>
      </c>
      <c r="T97" s="13">
        <f>IF(AND(A97&lt;&gt;"",L97="Có",ISNUMBER(C97)),IF(IF(D97="",C97,D97)&gt;=TODAY()-35,C97+ROW()/100000,""),"")</f>
        <v/>
      </c>
    </row>
    <row r="98">
      <c r="A98" s="25" t="n"/>
      <c r="B98" s="11" t="n"/>
      <c r="C98" s="12" t="n"/>
      <c r="D98" s="12" t="n"/>
      <c r="E98" s="13" t="n"/>
      <c r="F98" s="13" t="n"/>
      <c r="G98" s="13" t="n"/>
      <c r="H98" s="13" t="n"/>
      <c r="I98" s="25" t="n"/>
      <c r="J98" s="25" t="n"/>
      <c r="K98" s="26" t="n"/>
      <c r="L98" s="26" t="n"/>
      <c r="M98" s="13">
        <f>IF(A98="","",COUNTIFS('Giao việc'!$M$5:$M$3004,A98,'Giao việc'!$I$5:$I$3004,"&lt;&gt;Bỏ qua"))</f>
        <v/>
      </c>
      <c r="N98" s="13">
        <f>IF(A98="","",COUNTIFS('Giao việc'!$M$5:$M$3004,A98,'Giao việc'!$I$5:$I$3004,"Xong"))</f>
        <v/>
      </c>
      <c r="O98" s="13">
        <f>IF(A98="","",COUNTIFS('Giao việc'!$M$5:$M$3004,A98,'Giao việc'!$L$5:$L$3004,"*QUÁ HẠN*"))</f>
        <v/>
      </c>
      <c r="P98" s="13">
        <f>IF(A98="","",COUNTIFS('Giao việc'!$M$5:$M$3004,A98,'Giao việc'!$L$5:$L$3004,"CHƯA GIAO*"))</f>
        <v/>
      </c>
      <c r="Q98" s="14">
        <f>IF(OR(A98="",N(M98)=0),"",N98/M98)</f>
        <v/>
      </c>
      <c r="R98" s="15">
        <f>IF(Q98="","",REPT("█",ROUND(Q98*10,0))&amp;REPT("░",10-ROUND(Q98*10,0)))</f>
        <v/>
      </c>
      <c r="S98" s="13">
        <f>IF(C98="","Chưa có ngày",IF(C98&gt;TODAY(),"Còn "&amp;(C98-TODAY())&amp;" ngày",IF(IF(D98="",C98,D98)&gt;=TODAY(),"Đang diễn ra","Đã qua "&amp;(TODAY()-IF(D98="",C98,D98))&amp;" ngày")))</f>
        <v/>
      </c>
      <c r="T98" s="13">
        <f>IF(AND(A98&lt;&gt;"",L98="Có",ISNUMBER(C98)),IF(IF(D98="",C98,D98)&gt;=TODAY()-35,C98+ROW()/100000,""),"")</f>
        <v/>
      </c>
    </row>
    <row r="99">
      <c r="A99" s="25" t="n"/>
      <c r="B99" s="11" t="n"/>
      <c r="C99" s="12" t="n"/>
      <c r="D99" s="12" t="n"/>
      <c r="E99" s="13" t="n"/>
      <c r="F99" s="13" t="n"/>
      <c r="G99" s="13" t="n"/>
      <c r="H99" s="13" t="n"/>
      <c r="I99" s="25" t="n"/>
      <c r="J99" s="25" t="n"/>
      <c r="K99" s="26" t="n"/>
      <c r="L99" s="26" t="n"/>
      <c r="M99" s="13">
        <f>IF(A99="","",COUNTIFS('Giao việc'!$M$5:$M$3004,A99,'Giao việc'!$I$5:$I$3004,"&lt;&gt;Bỏ qua"))</f>
        <v/>
      </c>
      <c r="N99" s="13">
        <f>IF(A99="","",COUNTIFS('Giao việc'!$M$5:$M$3004,A99,'Giao việc'!$I$5:$I$3004,"Xong"))</f>
        <v/>
      </c>
      <c r="O99" s="13">
        <f>IF(A99="","",COUNTIFS('Giao việc'!$M$5:$M$3004,A99,'Giao việc'!$L$5:$L$3004,"*QUÁ HẠN*"))</f>
        <v/>
      </c>
      <c r="P99" s="13">
        <f>IF(A99="","",COUNTIFS('Giao việc'!$M$5:$M$3004,A99,'Giao việc'!$L$5:$L$3004,"CHƯA GIAO*"))</f>
        <v/>
      </c>
      <c r="Q99" s="14">
        <f>IF(OR(A99="",N(M99)=0),"",N99/M99)</f>
        <v/>
      </c>
      <c r="R99" s="15">
        <f>IF(Q99="","",REPT("█",ROUND(Q99*10,0))&amp;REPT("░",10-ROUND(Q99*10,0)))</f>
        <v/>
      </c>
      <c r="S99" s="13">
        <f>IF(C99="","Chưa có ngày",IF(C99&gt;TODAY(),"Còn "&amp;(C99-TODAY())&amp;" ngày",IF(IF(D99="",C99,D99)&gt;=TODAY(),"Đang diễn ra","Đã qua "&amp;(TODAY()-IF(D99="",C99,D99))&amp;" ngày")))</f>
        <v/>
      </c>
      <c r="T99" s="13">
        <f>IF(AND(A99&lt;&gt;"",L99="Có",ISNUMBER(C99)),IF(IF(D99="",C99,D99)&gt;=TODAY()-35,C99+ROW()/100000,""),"")</f>
        <v/>
      </c>
    </row>
    <row r="100">
      <c r="A100" s="25" t="n"/>
      <c r="B100" s="11" t="n"/>
      <c r="C100" s="12" t="n"/>
      <c r="D100" s="12" t="n"/>
      <c r="E100" s="13" t="n"/>
      <c r="F100" s="13" t="n"/>
      <c r="G100" s="13" t="n"/>
      <c r="H100" s="13" t="n"/>
      <c r="I100" s="25" t="n"/>
      <c r="J100" s="25" t="n"/>
      <c r="K100" s="26" t="n"/>
      <c r="L100" s="26" t="n"/>
      <c r="M100" s="13">
        <f>IF(A100="","",COUNTIFS('Giao việc'!$M$5:$M$3004,A100,'Giao việc'!$I$5:$I$3004,"&lt;&gt;Bỏ qua"))</f>
        <v/>
      </c>
      <c r="N100" s="13">
        <f>IF(A100="","",COUNTIFS('Giao việc'!$M$5:$M$3004,A100,'Giao việc'!$I$5:$I$3004,"Xong"))</f>
        <v/>
      </c>
      <c r="O100" s="13">
        <f>IF(A100="","",COUNTIFS('Giao việc'!$M$5:$M$3004,A100,'Giao việc'!$L$5:$L$3004,"*QUÁ HẠN*"))</f>
        <v/>
      </c>
      <c r="P100" s="13">
        <f>IF(A100="","",COUNTIFS('Giao việc'!$M$5:$M$3004,A100,'Giao việc'!$L$5:$L$3004,"CHƯA GIAO*"))</f>
        <v/>
      </c>
      <c r="Q100" s="14">
        <f>IF(OR(A100="",N(M100)=0),"",N100/M100)</f>
        <v/>
      </c>
      <c r="R100" s="15">
        <f>IF(Q100="","",REPT("█",ROUND(Q100*10,0))&amp;REPT("░",10-ROUND(Q100*10,0)))</f>
        <v/>
      </c>
      <c r="S100" s="13">
        <f>IF(C100="","Chưa có ngày",IF(C100&gt;TODAY(),"Còn "&amp;(C100-TODAY())&amp;" ngày",IF(IF(D100="",C100,D100)&gt;=TODAY(),"Đang diễn ra","Đã qua "&amp;(TODAY()-IF(D100="",C100,D100))&amp;" ngày")))</f>
        <v/>
      </c>
      <c r="T100" s="13">
        <f>IF(AND(A100&lt;&gt;"",L100="Có",ISNUMBER(C100)),IF(IF(D100="",C100,D100)&gt;=TODAY()-35,C100+ROW()/100000,""),"")</f>
        <v/>
      </c>
    </row>
    <row r="101">
      <c r="A101" s="25" t="n"/>
      <c r="B101" s="11" t="n"/>
      <c r="C101" s="12" t="n"/>
      <c r="D101" s="12" t="n"/>
      <c r="E101" s="13" t="n"/>
      <c r="F101" s="13" t="n"/>
      <c r="G101" s="13" t="n"/>
      <c r="H101" s="13" t="n"/>
      <c r="I101" s="25" t="n"/>
      <c r="J101" s="25" t="n"/>
      <c r="K101" s="26" t="n"/>
      <c r="L101" s="26" t="n"/>
      <c r="M101" s="13">
        <f>IF(A101="","",COUNTIFS('Giao việc'!$M$5:$M$3004,A101,'Giao việc'!$I$5:$I$3004,"&lt;&gt;Bỏ qua"))</f>
        <v/>
      </c>
      <c r="N101" s="13">
        <f>IF(A101="","",COUNTIFS('Giao việc'!$M$5:$M$3004,A101,'Giao việc'!$I$5:$I$3004,"Xong"))</f>
        <v/>
      </c>
      <c r="O101" s="13">
        <f>IF(A101="","",COUNTIFS('Giao việc'!$M$5:$M$3004,A101,'Giao việc'!$L$5:$L$3004,"*QUÁ HẠN*"))</f>
        <v/>
      </c>
      <c r="P101" s="13">
        <f>IF(A101="","",COUNTIFS('Giao việc'!$M$5:$M$3004,A101,'Giao việc'!$L$5:$L$3004,"CHƯA GIAO*"))</f>
        <v/>
      </c>
      <c r="Q101" s="14">
        <f>IF(OR(A101="",N(M101)=0),"",N101/M101)</f>
        <v/>
      </c>
      <c r="R101" s="15">
        <f>IF(Q101="","",REPT("█",ROUND(Q101*10,0))&amp;REPT("░",10-ROUND(Q101*10,0)))</f>
        <v/>
      </c>
      <c r="S101" s="13">
        <f>IF(C101="","Chưa có ngày",IF(C101&gt;TODAY(),"Còn "&amp;(C101-TODAY())&amp;" ngày",IF(IF(D101="",C101,D101)&gt;=TODAY(),"Đang diễn ra","Đã qua "&amp;(TODAY()-IF(D101="",C101,D101))&amp;" ngày")))</f>
        <v/>
      </c>
      <c r="T101" s="13">
        <f>IF(AND(A101&lt;&gt;"",L101="Có",ISNUMBER(C101)),IF(IF(D101="",C101,D101)&gt;=TODAY()-35,C101+ROW()/100000,""),"")</f>
        <v/>
      </c>
    </row>
    <row r="102">
      <c r="A102" s="25" t="n"/>
      <c r="B102" s="11" t="n"/>
      <c r="C102" s="12" t="n"/>
      <c r="D102" s="12" t="n"/>
      <c r="E102" s="13" t="n"/>
      <c r="F102" s="13" t="n"/>
      <c r="G102" s="13" t="n"/>
      <c r="H102" s="13" t="n"/>
      <c r="I102" s="25" t="n"/>
      <c r="J102" s="25" t="n"/>
      <c r="K102" s="26" t="n"/>
      <c r="L102" s="26" t="n"/>
      <c r="M102" s="13">
        <f>IF(A102="","",COUNTIFS('Giao việc'!$M$5:$M$3004,A102,'Giao việc'!$I$5:$I$3004,"&lt;&gt;Bỏ qua"))</f>
        <v/>
      </c>
      <c r="N102" s="13">
        <f>IF(A102="","",COUNTIFS('Giao việc'!$M$5:$M$3004,A102,'Giao việc'!$I$5:$I$3004,"Xong"))</f>
        <v/>
      </c>
      <c r="O102" s="13">
        <f>IF(A102="","",COUNTIFS('Giao việc'!$M$5:$M$3004,A102,'Giao việc'!$L$5:$L$3004,"*QUÁ HẠN*"))</f>
        <v/>
      </c>
      <c r="P102" s="13">
        <f>IF(A102="","",COUNTIFS('Giao việc'!$M$5:$M$3004,A102,'Giao việc'!$L$5:$L$3004,"CHƯA GIAO*"))</f>
        <v/>
      </c>
      <c r="Q102" s="14">
        <f>IF(OR(A102="",N(M102)=0),"",N102/M102)</f>
        <v/>
      </c>
      <c r="R102" s="15">
        <f>IF(Q102="","",REPT("█",ROUND(Q102*10,0))&amp;REPT("░",10-ROUND(Q102*10,0)))</f>
        <v/>
      </c>
      <c r="S102" s="13">
        <f>IF(C102="","Chưa có ngày",IF(C102&gt;TODAY(),"Còn "&amp;(C102-TODAY())&amp;" ngày",IF(IF(D102="",C102,D102)&gt;=TODAY(),"Đang diễn ra","Đã qua "&amp;(TODAY()-IF(D102="",C102,D102))&amp;" ngày")))</f>
        <v/>
      </c>
      <c r="T102" s="13">
        <f>IF(AND(A102&lt;&gt;"",L102="Có",ISNUMBER(C102)),IF(IF(D102="",C102,D102)&gt;=TODAY()-35,C102+ROW()/100000,""),"")</f>
        <v/>
      </c>
    </row>
    <row r="103">
      <c r="A103" s="25" t="n"/>
      <c r="B103" s="11" t="n"/>
      <c r="C103" s="12" t="n"/>
      <c r="D103" s="12" t="n"/>
      <c r="E103" s="13" t="n"/>
      <c r="F103" s="13" t="n"/>
      <c r="G103" s="13" t="n"/>
      <c r="H103" s="13" t="n"/>
      <c r="I103" s="25" t="n"/>
      <c r="J103" s="25" t="n"/>
      <c r="K103" s="26" t="n"/>
      <c r="L103" s="26" t="n"/>
      <c r="M103" s="13">
        <f>IF(A103="","",COUNTIFS('Giao việc'!$M$5:$M$3004,A103,'Giao việc'!$I$5:$I$3004,"&lt;&gt;Bỏ qua"))</f>
        <v/>
      </c>
      <c r="N103" s="13">
        <f>IF(A103="","",COUNTIFS('Giao việc'!$M$5:$M$3004,A103,'Giao việc'!$I$5:$I$3004,"Xong"))</f>
        <v/>
      </c>
      <c r="O103" s="13">
        <f>IF(A103="","",COUNTIFS('Giao việc'!$M$5:$M$3004,A103,'Giao việc'!$L$5:$L$3004,"*QUÁ HẠN*"))</f>
        <v/>
      </c>
      <c r="P103" s="13">
        <f>IF(A103="","",COUNTIFS('Giao việc'!$M$5:$M$3004,A103,'Giao việc'!$L$5:$L$3004,"CHƯA GIAO*"))</f>
        <v/>
      </c>
      <c r="Q103" s="14">
        <f>IF(OR(A103="",N(M103)=0),"",N103/M103)</f>
        <v/>
      </c>
      <c r="R103" s="15">
        <f>IF(Q103="","",REPT("█",ROUND(Q103*10,0))&amp;REPT("░",10-ROUND(Q103*10,0)))</f>
        <v/>
      </c>
      <c r="S103" s="13">
        <f>IF(C103="","Chưa có ngày",IF(C103&gt;TODAY(),"Còn "&amp;(C103-TODAY())&amp;" ngày",IF(IF(D103="",C103,D103)&gt;=TODAY(),"Đang diễn ra","Đã qua "&amp;(TODAY()-IF(D103="",C103,D103))&amp;" ngày")))</f>
        <v/>
      </c>
      <c r="T103" s="13">
        <f>IF(AND(A103&lt;&gt;"",L103="Có",ISNUMBER(C103)),IF(IF(D103="",C103,D103)&gt;=TODAY()-35,C103+ROW()/100000,""),"")</f>
        <v/>
      </c>
    </row>
    <row r="104">
      <c r="A104" s="25" t="n"/>
      <c r="B104" s="11" t="n"/>
      <c r="C104" s="12" t="n"/>
      <c r="D104" s="12" t="n"/>
      <c r="E104" s="13" t="n"/>
      <c r="F104" s="13" t="n"/>
      <c r="G104" s="13" t="n"/>
      <c r="H104" s="13" t="n"/>
      <c r="I104" s="25" t="n"/>
      <c r="J104" s="25" t="n"/>
      <c r="K104" s="26" t="n"/>
      <c r="L104" s="26" t="n"/>
      <c r="M104" s="13">
        <f>IF(A104="","",COUNTIFS('Giao việc'!$M$5:$M$3004,A104,'Giao việc'!$I$5:$I$3004,"&lt;&gt;Bỏ qua"))</f>
        <v/>
      </c>
      <c r="N104" s="13">
        <f>IF(A104="","",COUNTIFS('Giao việc'!$M$5:$M$3004,A104,'Giao việc'!$I$5:$I$3004,"Xong"))</f>
        <v/>
      </c>
      <c r="O104" s="13">
        <f>IF(A104="","",COUNTIFS('Giao việc'!$M$5:$M$3004,A104,'Giao việc'!$L$5:$L$3004,"*QUÁ HẠN*"))</f>
        <v/>
      </c>
      <c r="P104" s="13">
        <f>IF(A104="","",COUNTIFS('Giao việc'!$M$5:$M$3004,A104,'Giao việc'!$L$5:$L$3004,"CHƯA GIAO*"))</f>
        <v/>
      </c>
      <c r="Q104" s="14">
        <f>IF(OR(A104="",N(M104)=0),"",N104/M104)</f>
        <v/>
      </c>
      <c r="R104" s="15">
        <f>IF(Q104="","",REPT("█",ROUND(Q104*10,0))&amp;REPT("░",10-ROUND(Q104*10,0)))</f>
        <v/>
      </c>
      <c r="S104" s="13">
        <f>IF(C104="","Chưa có ngày",IF(C104&gt;TODAY(),"Còn "&amp;(C104-TODAY())&amp;" ngày",IF(IF(D104="",C104,D104)&gt;=TODAY(),"Đang diễn ra","Đã qua "&amp;(TODAY()-IF(D104="",C104,D104))&amp;" ngày")))</f>
        <v/>
      </c>
      <c r="T104" s="13">
        <f>IF(AND(A104&lt;&gt;"",L104="Có",ISNUMBER(C104)),IF(IF(D104="",C104,D104)&gt;=TODAY()-35,C104+ROW()/100000,""),"")</f>
        <v/>
      </c>
    </row>
    <row r="105">
      <c r="A105" s="25" t="n"/>
      <c r="B105" s="11" t="n"/>
      <c r="C105" s="12" t="n"/>
      <c r="D105" s="12" t="n"/>
      <c r="E105" s="13" t="n"/>
      <c r="F105" s="13" t="n"/>
      <c r="G105" s="13" t="n"/>
      <c r="H105" s="13" t="n"/>
      <c r="I105" s="25" t="n"/>
      <c r="J105" s="25" t="n"/>
      <c r="K105" s="26" t="n"/>
      <c r="L105" s="26" t="n"/>
      <c r="M105" s="13">
        <f>IF(A105="","",COUNTIFS('Giao việc'!$M$5:$M$3004,A105,'Giao việc'!$I$5:$I$3004,"&lt;&gt;Bỏ qua"))</f>
        <v/>
      </c>
      <c r="N105" s="13">
        <f>IF(A105="","",COUNTIFS('Giao việc'!$M$5:$M$3004,A105,'Giao việc'!$I$5:$I$3004,"Xong"))</f>
        <v/>
      </c>
      <c r="O105" s="13">
        <f>IF(A105="","",COUNTIFS('Giao việc'!$M$5:$M$3004,A105,'Giao việc'!$L$5:$L$3004,"*QUÁ HẠN*"))</f>
        <v/>
      </c>
      <c r="P105" s="13">
        <f>IF(A105="","",COUNTIFS('Giao việc'!$M$5:$M$3004,A105,'Giao việc'!$L$5:$L$3004,"CHƯA GIAO*"))</f>
        <v/>
      </c>
      <c r="Q105" s="14">
        <f>IF(OR(A105="",N(M105)=0),"",N105/M105)</f>
        <v/>
      </c>
      <c r="R105" s="15">
        <f>IF(Q105="","",REPT("█",ROUND(Q105*10,0))&amp;REPT("░",10-ROUND(Q105*10,0)))</f>
        <v/>
      </c>
      <c r="S105" s="13">
        <f>IF(C105="","Chưa có ngày",IF(C105&gt;TODAY(),"Còn "&amp;(C105-TODAY())&amp;" ngày",IF(IF(D105="",C105,D105)&gt;=TODAY(),"Đang diễn ra","Đã qua "&amp;(TODAY()-IF(D105="",C105,D105))&amp;" ngày")))</f>
        <v/>
      </c>
      <c r="T105" s="13">
        <f>IF(AND(A105&lt;&gt;"",L105="Có",ISNUMBER(C105)),IF(IF(D105="",C105,D105)&gt;=TODAY()-35,C105+ROW()/100000,""),"")</f>
        <v/>
      </c>
    </row>
    <row r="106">
      <c r="A106" s="25" t="n"/>
      <c r="B106" s="11" t="n"/>
      <c r="C106" s="12" t="n"/>
      <c r="D106" s="12" t="n"/>
      <c r="E106" s="13" t="n"/>
      <c r="F106" s="13" t="n"/>
      <c r="G106" s="13" t="n"/>
      <c r="H106" s="13" t="n"/>
      <c r="I106" s="25" t="n"/>
      <c r="J106" s="25" t="n"/>
      <c r="K106" s="26" t="n"/>
      <c r="L106" s="26" t="n"/>
      <c r="M106" s="13">
        <f>IF(A106="","",COUNTIFS('Giao việc'!$M$5:$M$3004,A106,'Giao việc'!$I$5:$I$3004,"&lt;&gt;Bỏ qua"))</f>
        <v/>
      </c>
      <c r="N106" s="13">
        <f>IF(A106="","",COUNTIFS('Giao việc'!$M$5:$M$3004,A106,'Giao việc'!$I$5:$I$3004,"Xong"))</f>
        <v/>
      </c>
      <c r="O106" s="13">
        <f>IF(A106="","",COUNTIFS('Giao việc'!$M$5:$M$3004,A106,'Giao việc'!$L$5:$L$3004,"*QUÁ HẠN*"))</f>
        <v/>
      </c>
      <c r="P106" s="13">
        <f>IF(A106="","",COUNTIFS('Giao việc'!$M$5:$M$3004,A106,'Giao việc'!$L$5:$L$3004,"CHƯA GIAO*"))</f>
        <v/>
      </c>
      <c r="Q106" s="14">
        <f>IF(OR(A106="",N(M106)=0),"",N106/M106)</f>
        <v/>
      </c>
      <c r="R106" s="15">
        <f>IF(Q106="","",REPT("█",ROUND(Q106*10,0))&amp;REPT("░",10-ROUND(Q106*10,0)))</f>
        <v/>
      </c>
      <c r="S106" s="13">
        <f>IF(C106="","Chưa có ngày",IF(C106&gt;TODAY(),"Còn "&amp;(C106-TODAY())&amp;" ngày",IF(IF(D106="",C106,D106)&gt;=TODAY(),"Đang diễn ra","Đã qua "&amp;(TODAY()-IF(D106="",C106,D106))&amp;" ngày")))</f>
        <v/>
      </c>
      <c r="T106" s="13">
        <f>IF(AND(A106&lt;&gt;"",L106="Có",ISNUMBER(C106)),IF(IF(D106="",C106,D106)&gt;=TODAY()-35,C106+ROW()/100000,""),"")</f>
        <v/>
      </c>
    </row>
    <row r="107">
      <c r="A107" s="25" t="n"/>
      <c r="B107" s="11" t="n"/>
      <c r="C107" s="12" t="n"/>
      <c r="D107" s="12" t="n"/>
      <c r="E107" s="13" t="n"/>
      <c r="F107" s="13" t="n"/>
      <c r="G107" s="13" t="n"/>
      <c r="H107" s="13" t="n"/>
      <c r="I107" s="25" t="n"/>
      <c r="J107" s="25" t="n"/>
      <c r="K107" s="26" t="n"/>
      <c r="L107" s="26" t="n"/>
      <c r="M107" s="13">
        <f>IF(A107="","",COUNTIFS('Giao việc'!$M$5:$M$3004,A107,'Giao việc'!$I$5:$I$3004,"&lt;&gt;Bỏ qua"))</f>
        <v/>
      </c>
      <c r="N107" s="13">
        <f>IF(A107="","",COUNTIFS('Giao việc'!$M$5:$M$3004,A107,'Giao việc'!$I$5:$I$3004,"Xong"))</f>
        <v/>
      </c>
      <c r="O107" s="13">
        <f>IF(A107="","",COUNTIFS('Giao việc'!$M$5:$M$3004,A107,'Giao việc'!$L$5:$L$3004,"*QUÁ HẠN*"))</f>
        <v/>
      </c>
      <c r="P107" s="13">
        <f>IF(A107="","",COUNTIFS('Giao việc'!$M$5:$M$3004,A107,'Giao việc'!$L$5:$L$3004,"CHƯA GIAO*"))</f>
        <v/>
      </c>
      <c r="Q107" s="14">
        <f>IF(OR(A107="",N(M107)=0),"",N107/M107)</f>
        <v/>
      </c>
      <c r="R107" s="15">
        <f>IF(Q107="","",REPT("█",ROUND(Q107*10,0))&amp;REPT("░",10-ROUND(Q107*10,0)))</f>
        <v/>
      </c>
      <c r="S107" s="13">
        <f>IF(C107="","Chưa có ngày",IF(C107&gt;TODAY(),"Còn "&amp;(C107-TODAY())&amp;" ngày",IF(IF(D107="",C107,D107)&gt;=TODAY(),"Đang diễn ra","Đã qua "&amp;(TODAY()-IF(D107="",C107,D107))&amp;" ngày")))</f>
        <v/>
      </c>
      <c r="T107" s="13">
        <f>IF(AND(A107&lt;&gt;"",L107="Có",ISNUMBER(C107)),IF(IF(D107="",C107,D107)&gt;=TODAY()-35,C107+ROW()/100000,""),"")</f>
        <v/>
      </c>
    </row>
    <row r="108">
      <c r="A108" s="25" t="n"/>
      <c r="B108" s="11" t="n"/>
      <c r="C108" s="12" t="n"/>
      <c r="D108" s="12" t="n"/>
      <c r="E108" s="13" t="n"/>
      <c r="F108" s="13" t="n"/>
      <c r="G108" s="13" t="n"/>
      <c r="H108" s="13" t="n"/>
      <c r="I108" s="25" t="n"/>
      <c r="J108" s="25" t="n"/>
      <c r="K108" s="26" t="n"/>
      <c r="L108" s="26" t="n"/>
      <c r="M108" s="13">
        <f>IF(A108="","",COUNTIFS('Giao việc'!$M$5:$M$3004,A108,'Giao việc'!$I$5:$I$3004,"&lt;&gt;Bỏ qua"))</f>
        <v/>
      </c>
      <c r="N108" s="13">
        <f>IF(A108="","",COUNTIFS('Giao việc'!$M$5:$M$3004,A108,'Giao việc'!$I$5:$I$3004,"Xong"))</f>
        <v/>
      </c>
      <c r="O108" s="13">
        <f>IF(A108="","",COUNTIFS('Giao việc'!$M$5:$M$3004,A108,'Giao việc'!$L$5:$L$3004,"*QUÁ HẠN*"))</f>
        <v/>
      </c>
      <c r="P108" s="13">
        <f>IF(A108="","",COUNTIFS('Giao việc'!$M$5:$M$3004,A108,'Giao việc'!$L$5:$L$3004,"CHƯA GIAO*"))</f>
        <v/>
      </c>
      <c r="Q108" s="14">
        <f>IF(OR(A108="",N(M108)=0),"",N108/M108)</f>
        <v/>
      </c>
      <c r="R108" s="15">
        <f>IF(Q108="","",REPT("█",ROUND(Q108*10,0))&amp;REPT("░",10-ROUND(Q108*10,0)))</f>
        <v/>
      </c>
      <c r="S108" s="13">
        <f>IF(C108="","Chưa có ngày",IF(C108&gt;TODAY(),"Còn "&amp;(C108-TODAY())&amp;" ngày",IF(IF(D108="",C108,D108)&gt;=TODAY(),"Đang diễn ra","Đã qua "&amp;(TODAY()-IF(D108="",C108,D108))&amp;" ngày")))</f>
        <v/>
      </c>
      <c r="T108" s="13">
        <f>IF(AND(A108&lt;&gt;"",L108="Có",ISNUMBER(C108)),IF(IF(D108="",C108,D108)&gt;=TODAY()-35,C108+ROW()/100000,""),"")</f>
        <v/>
      </c>
    </row>
    <row r="109">
      <c r="A109" s="25" t="n"/>
      <c r="B109" s="11" t="n"/>
      <c r="C109" s="12" t="n"/>
      <c r="D109" s="12" t="n"/>
      <c r="E109" s="13" t="n"/>
      <c r="F109" s="13" t="n"/>
      <c r="G109" s="13" t="n"/>
      <c r="H109" s="13" t="n"/>
      <c r="I109" s="25" t="n"/>
      <c r="J109" s="25" t="n"/>
      <c r="K109" s="26" t="n"/>
      <c r="L109" s="26" t="n"/>
      <c r="M109" s="13">
        <f>IF(A109="","",COUNTIFS('Giao việc'!$M$5:$M$3004,A109,'Giao việc'!$I$5:$I$3004,"&lt;&gt;Bỏ qua"))</f>
        <v/>
      </c>
      <c r="N109" s="13">
        <f>IF(A109="","",COUNTIFS('Giao việc'!$M$5:$M$3004,A109,'Giao việc'!$I$5:$I$3004,"Xong"))</f>
        <v/>
      </c>
      <c r="O109" s="13">
        <f>IF(A109="","",COUNTIFS('Giao việc'!$M$5:$M$3004,A109,'Giao việc'!$L$5:$L$3004,"*QUÁ HẠN*"))</f>
        <v/>
      </c>
      <c r="P109" s="13">
        <f>IF(A109="","",COUNTIFS('Giao việc'!$M$5:$M$3004,A109,'Giao việc'!$L$5:$L$3004,"CHƯA GIAO*"))</f>
        <v/>
      </c>
      <c r="Q109" s="14">
        <f>IF(OR(A109="",N(M109)=0),"",N109/M109)</f>
        <v/>
      </c>
      <c r="R109" s="15">
        <f>IF(Q109="","",REPT("█",ROUND(Q109*10,0))&amp;REPT("░",10-ROUND(Q109*10,0)))</f>
        <v/>
      </c>
      <c r="S109" s="13">
        <f>IF(C109="","Chưa có ngày",IF(C109&gt;TODAY(),"Còn "&amp;(C109-TODAY())&amp;" ngày",IF(IF(D109="",C109,D109)&gt;=TODAY(),"Đang diễn ra","Đã qua "&amp;(TODAY()-IF(D109="",C109,D109))&amp;" ngày")))</f>
        <v/>
      </c>
      <c r="T109" s="13">
        <f>IF(AND(A109&lt;&gt;"",L109="Có",ISNUMBER(C109)),IF(IF(D109="",C109,D109)&gt;=TODAY()-35,C109+ROW()/100000,""),"")</f>
        <v/>
      </c>
    </row>
    <row r="110">
      <c r="A110" s="25" t="n"/>
      <c r="B110" s="11" t="n"/>
      <c r="C110" s="12" t="n"/>
      <c r="D110" s="12" t="n"/>
      <c r="E110" s="13" t="n"/>
      <c r="F110" s="13" t="n"/>
      <c r="G110" s="13" t="n"/>
      <c r="H110" s="13" t="n"/>
      <c r="I110" s="25" t="n"/>
      <c r="J110" s="25" t="n"/>
      <c r="K110" s="26" t="n"/>
      <c r="L110" s="26" t="n"/>
      <c r="M110" s="13">
        <f>IF(A110="","",COUNTIFS('Giao việc'!$M$5:$M$3004,A110,'Giao việc'!$I$5:$I$3004,"&lt;&gt;Bỏ qua"))</f>
        <v/>
      </c>
      <c r="N110" s="13">
        <f>IF(A110="","",COUNTIFS('Giao việc'!$M$5:$M$3004,A110,'Giao việc'!$I$5:$I$3004,"Xong"))</f>
        <v/>
      </c>
      <c r="O110" s="13">
        <f>IF(A110="","",COUNTIFS('Giao việc'!$M$5:$M$3004,A110,'Giao việc'!$L$5:$L$3004,"*QUÁ HẠN*"))</f>
        <v/>
      </c>
      <c r="P110" s="13">
        <f>IF(A110="","",COUNTIFS('Giao việc'!$M$5:$M$3004,A110,'Giao việc'!$L$5:$L$3004,"CHƯA GIAO*"))</f>
        <v/>
      </c>
      <c r="Q110" s="14">
        <f>IF(OR(A110="",N(M110)=0),"",N110/M110)</f>
        <v/>
      </c>
      <c r="R110" s="15">
        <f>IF(Q110="","",REPT("█",ROUND(Q110*10,0))&amp;REPT("░",10-ROUND(Q110*10,0)))</f>
        <v/>
      </c>
      <c r="S110" s="13">
        <f>IF(C110="","Chưa có ngày",IF(C110&gt;TODAY(),"Còn "&amp;(C110-TODAY())&amp;" ngày",IF(IF(D110="",C110,D110)&gt;=TODAY(),"Đang diễn ra","Đã qua "&amp;(TODAY()-IF(D110="",C110,D110))&amp;" ngày")))</f>
        <v/>
      </c>
      <c r="T110" s="13">
        <f>IF(AND(A110&lt;&gt;"",L110="Có",ISNUMBER(C110)),IF(IF(D110="",C110,D110)&gt;=TODAY()-35,C110+ROW()/100000,""),"")</f>
        <v/>
      </c>
    </row>
    <row r="111">
      <c r="A111" s="25" t="n"/>
      <c r="B111" s="11" t="n"/>
      <c r="C111" s="12" t="n"/>
      <c r="D111" s="12" t="n"/>
      <c r="E111" s="13" t="n"/>
      <c r="F111" s="13" t="n"/>
      <c r="G111" s="13" t="n"/>
      <c r="H111" s="13" t="n"/>
      <c r="I111" s="25" t="n"/>
      <c r="J111" s="25" t="n"/>
      <c r="K111" s="26" t="n"/>
      <c r="L111" s="26" t="n"/>
      <c r="M111" s="13">
        <f>IF(A111="","",COUNTIFS('Giao việc'!$M$5:$M$3004,A111,'Giao việc'!$I$5:$I$3004,"&lt;&gt;Bỏ qua"))</f>
        <v/>
      </c>
      <c r="N111" s="13">
        <f>IF(A111="","",COUNTIFS('Giao việc'!$M$5:$M$3004,A111,'Giao việc'!$I$5:$I$3004,"Xong"))</f>
        <v/>
      </c>
      <c r="O111" s="13">
        <f>IF(A111="","",COUNTIFS('Giao việc'!$M$5:$M$3004,A111,'Giao việc'!$L$5:$L$3004,"*QUÁ HẠN*"))</f>
        <v/>
      </c>
      <c r="P111" s="13">
        <f>IF(A111="","",COUNTIFS('Giao việc'!$M$5:$M$3004,A111,'Giao việc'!$L$5:$L$3004,"CHƯA GIAO*"))</f>
        <v/>
      </c>
      <c r="Q111" s="14">
        <f>IF(OR(A111="",N(M111)=0),"",N111/M111)</f>
        <v/>
      </c>
      <c r="R111" s="15">
        <f>IF(Q111="","",REPT("█",ROUND(Q111*10,0))&amp;REPT("░",10-ROUND(Q111*10,0)))</f>
        <v/>
      </c>
      <c r="S111" s="13">
        <f>IF(C111="","Chưa có ngày",IF(C111&gt;TODAY(),"Còn "&amp;(C111-TODAY())&amp;" ngày",IF(IF(D111="",C111,D111)&gt;=TODAY(),"Đang diễn ra","Đã qua "&amp;(TODAY()-IF(D111="",C111,D111))&amp;" ngày")))</f>
        <v/>
      </c>
      <c r="T111" s="13">
        <f>IF(AND(A111&lt;&gt;"",L111="Có",ISNUMBER(C111)),IF(IF(D111="",C111,D111)&gt;=TODAY()-35,C111+ROW()/100000,""),"")</f>
        <v/>
      </c>
    </row>
    <row r="112">
      <c r="A112" s="25" t="n"/>
      <c r="B112" s="11" t="n"/>
      <c r="C112" s="12" t="n"/>
      <c r="D112" s="12" t="n"/>
      <c r="E112" s="13" t="n"/>
      <c r="F112" s="13" t="n"/>
      <c r="G112" s="13" t="n"/>
      <c r="H112" s="13" t="n"/>
      <c r="I112" s="25" t="n"/>
      <c r="J112" s="25" t="n"/>
      <c r="K112" s="26" t="n"/>
      <c r="L112" s="26" t="n"/>
      <c r="M112" s="13">
        <f>IF(A112="","",COUNTIFS('Giao việc'!$M$5:$M$3004,A112,'Giao việc'!$I$5:$I$3004,"&lt;&gt;Bỏ qua"))</f>
        <v/>
      </c>
      <c r="N112" s="13">
        <f>IF(A112="","",COUNTIFS('Giao việc'!$M$5:$M$3004,A112,'Giao việc'!$I$5:$I$3004,"Xong"))</f>
        <v/>
      </c>
      <c r="O112" s="13">
        <f>IF(A112="","",COUNTIFS('Giao việc'!$M$5:$M$3004,A112,'Giao việc'!$L$5:$L$3004,"*QUÁ HẠN*"))</f>
        <v/>
      </c>
      <c r="P112" s="13">
        <f>IF(A112="","",COUNTIFS('Giao việc'!$M$5:$M$3004,A112,'Giao việc'!$L$5:$L$3004,"CHƯA GIAO*"))</f>
        <v/>
      </c>
      <c r="Q112" s="14">
        <f>IF(OR(A112="",N(M112)=0),"",N112/M112)</f>
        <v/>
      </c>
      <c r="R112" s="15">
        <f>IF(Q112="","",REPT("█",ROUND(Q112*10,0))&amp;REPT("░",10-ROUND(Q112*10,0)))</f>
        <v/>
      </c>
      <c r="S112" s="13">
        <f>IF(C112="","Chưa có ngày",IF(C112&gt;TODAY(),"Còn "&amp;(C112-TODAY())&amp;" ngày",IF(IF(D112="",C112,D112)&gt;=TODAY(),"Đang diễn ra","Đã qua "&amp;(TODAY()-IF(D112="",C112,D112))&amp;" ngày")))</f>
        <v/>
      </c>
      <c r="T112" s="13">
        <f>IF(AND(A112&lt;&gt;"",L112="Có",ISNUMBER(C112)),IF(IF(D112="",C112,D112)&gt;=TODAY()-35,C112+ROW()/100000,""),"")</f>
        <v/>
      </c>
    </row>
    <row r="113">
      <c r="A113" s="25" t="n"/>
      <c r="B113" s="11" t="n"/>
      <c r="C113" s="12" t="n"/>
      <c r="D113" s="12" t="n"/>
      <c r="E113" s="13" t="n"/>
      <c r="F113" s="13" t="n"/>
      <c r="G113" s="13" t="n"/>
      <c r="H113" s="13" t="n"/>
      <c r="I113" s="25" t="n"/>
      <c r="J113" s="25" t="n"/>
      <c r="K113" s="26" t="n"/>
      <c r="L113" s="26" t="n"/>
      <c r="M113" s="13">
        <f>IF(A113="","",COUNTIFS('Giao việc'!$M$5:$M$3004,A113,'Giao việc'!$I$5:$I$3004,"&lt;&gt;Bỏ qua"))</f>
        <v/>
      </c>
      <c r="N113" s="13">
        <f>IF(A113="","",COUNTIFS('Giao việc'!$M$5:$M$3004,A113,'Giao việc'!$I$5:$I$3004,"Xong"))</f>
        <v/>
      </c>
      <c r="O113" s="13">
        <f>IF(A113="","",COUNTIFS('Giao việc'!$M$5:$M$3004,A113,'Giao việc'!$L$5:$L$3004,"*QUÁ HẠN*"))</f>
        <v/>
      </c>
      <c r="P113" s="13">
        <f>IF(A113="","",COUNTIFS('Giao việc'!$M$5:$M$3004,A113,'Giao việc'!$L$5:$L$3004,"CHƯA GIAO*"))</f>
        <v/>
      </c>
      <c r="Q113" s="14">
        <f>IF(OR(A113="",N(M113)=0),"",N113/M113)</f>
        <v/>
      </c>
      <c r="R113" s="15">
        <f>IF(Q113="","",REPT("█",ROUND(Q113*10,0))&amp;REPT("░",10-ROUND(Q113*10,0)))</f>
        <v/>
      </c>
      <c r="S113" s="13">
        <f>IF(C113="","Chưa có ngày",IF(C113&gt;TODAY(),"Còn "&amp;(C113-TODAY())&amp;" ngày",IF(IF(D113="",C113,D113)&gt;=TODAY(),"Đang diễn ra","Đã qua "&amp;(TODAY()-IF(D113="",C113,D113))&amp;" ngày")))</f>
        <v/>
      </c>
      <c r="T113" s="13">
        <f>IF(AND(A113&lt;&gt;"",L113="Có",ISNUMBER(C113)),IF(IF(D113="",C113,D113)&gt;=TODAY()-35,C113+ROW()/100000,""),"")</f>
        <v/>
      </c>
    </row>
    <row r="114">
      <c r="A114" s="25" t="n"/>
      <c r="B114" s="11" t="n"/>
      <c r="C114" s="12" t="n"/>
      <c r="D114" s="12" t="n"/>
      <c r="E114" s="13" t="n"/>
      <c r="F114" s="13" t="n"/>
      <c r="G114" s="13" t="n"/>
      <c r="H114" s="13" t="n"/>
      <c r="I114" s="25" t="n"/>
      <c r="J114" s="25" t="n"/>
      <c r="K114" s="26" t="n"/>
      <c r="L114" s="26" t="n"/>
      <c r="M114" s="13">
        <f>IF(A114="","",COUNTIFS('Giao việc'!$M$5:$M$3004,A114,'Giao việc'!$I$5:$I$3004,"&lt;&gt;Bỏ qua"))</f>
        <v/>
      </c>
      <c r="N114" s="13">
        <f>IF(A114="","",COUNTIFS('Giao việc'!$M$5:$M$3004,A114,'Giao việc'!$I$5:$I$3004,"Xong"))</f>
        <v/>
      </c>
      <c r="O114" s="13">
        <f>IF(A114="","",COUNTIFS('Giao việc'!$M$5:$M$3004,A114,'Giao việc'!$L$5:$L$3004,"*QUÁ HẠN*"))</f>
        <v/>
      </c>
      <c r="P114" s="13">
        <f>IF(A114="","",COUNTIFS('Giao việc'!$M$5:$M$3004,A114,'Giao việc'!$L$5:$L$3004,"CHƯA GIAO*"))</f>
        <v/>
      </c>
      <c r="Q114" s="14">
        <f>IF(OR(A114="",N(M114)=0),"",N114/M114)</f>
        <v/>
      </c>
      <c r="R114" s="15">
        <f>IF(Q114="","",REPT("█",ROUND(Q114*10,0))&amp;REPT("░",10-ROUND(Q114*10,0)))</f>
        <v/>
      </c>
      <c r="S114" s="13">
        <f>IF(C114="","Chưa có ngày",IF(C114&gt;TODAY(),"Còn "&amp;(C114-TODAY())&amp;" ngày",IF(IF(D114="",C114,D114)&gt;=TODAY(),"Đang diễn ra","Đã qua "&amp;(TODAY()-IF(D114="",C114,D114))&amp;" ngày")))</f>
        <v/>
      </c>
      <c r="T114" s="13">
        <f>IF(AND(A114&lt;&gt;"",L114="Có",ISNUMBER(C114)),IF(IF(D114="",C114,D114)&gt;=TODAY()-35,C114+ROW()/100000,""),"")</f>
        <v/>
      </c>
    </row>
    <row r="115">
      <c r="A115" s="25" t="n"/>
      <c r="B115" s="11" t="n"/>
      <c r="C115" s="12" t="n"/>
      <c r="D115" s="12" t="n"/>
      <c r="E115" s="13" t="n"/>
      <c r="F115" s="13" t="n"/>
      <c r="G115" s="13" t="n"/>
      <c r="H115" s="13" t="n"/>
      <c r="I115" s="25" t="n"/>
      <c r="J115" s="25" t="n"/>
      <c r="K115" s="26" t="n"/>
      <c r="L115" s="26" t="n"/>
      <c r="M115" s="13">
        <f>IF(A115="","",COUNTIFS('Giao việc'!$M$5:$M$3004,A115,'Giao việc'!$I$5:$I$3004,"&lt;&gt;Bỏ qua"))</f>
        <v/>
      </c>
      <c r="N115" s="13">
        <f>IF(A115="","",COUNTIFS('Giao việc'!$M$5:$M$3004,A115,'Giao việc'!$I$5:$I$3004,"Xong"))</f>
        <v/>
      </c>
      <c r="O115" s="13">
        <f>IF(A115="","",COUNTIFS('Giao việc'!$M$5:$M$3004,A115,'Giao việc'!$L$5:$L$3004,"*QUÁ HẠN*"))</f>
        <v/>
      </c>
      <c r="P115" s="13">
        <f>IF(A115="","",COUNTIFS('Giao việc'!$M$5:$M$3004,A115,'Giao việc'!$L$5:$L$3004,"CHƯA GIAO*"))</f>
        <v/>
      </c>
      <c r="Q115" s="14">
        <f>IF(OR(A115="",N(M115)=0),"",N115/M115)</f>
        <v/>
      </c>
      <c r="R115" s="15">
        <f>IF(Q115="","",REPT("█",ROUND(Q115*10,0))&amp;REPT("░",10-ROUND(Q115*10,0)))</f>
        <v/>
      </c>
      <c r="S115" s="13">
        <f>IF(C115="","Chưa có ngày",IF(C115&gt;TODAY(),"Còn "&amp;(C115-TODAY())&amp;" ngày",IF(IF(D115="",C115,D115)&gt;=TODAY(),"Đang diễn ra","Đã qua "&amp;(TODAY()-IF(D115="",C115,D115))&amp;" ngày")))</f>
        <v/>
      </c>
      <c r="T115" s="13">
        <f>IF(AND(A115&lt;&gt;"",L115="Có",ISNUMBER(C115)),IF(IF(D115="",C115,D115)&gt;=TODAY()-35,C115+ROW()/100000,""),"")</f>
        <v/>
      </c>
    </row>
    <row r="116">
      <c r="A116" s="25" t="n"/>
      <c r="B116" s="11" t="n"/>
      <c r="C116" s="12" t="n"/>
      <c r="D116" s="12" t="n"/>
      <c r="E116" s="13" t="n"/>
      <c r="F116" s="13" t="n"/>
      <c r="G116" s="13" t="n"/>
      <c r="H116" s="13" t="n"/>
      <c r="I116" s="25" t="n"/>
      <c r="J116" s="25" t="n"/>
      <c r="K116" s="26" t="n"/>
      <c r="L116" s="26" t="n"/>
      <c r="M116" s="13">
        <f>IF(A116="","",COUNTIFS('Giao việc'!$M$5:$M$3004,A116,'Giao việc'!$I$5:$I$3004,"&lt;&gt;Bỏ qua"))</f>
        <v/>
      </c>
      <c r="N116" s="13">
        <f>IF(A116="","",COUNTIFS('Giao việc'!$M$5:$M$3004,A116,'Giao việc'!$I$5:$I$3004,"Xong"))</f>
        <v/>
      </c>
      <c r="O116" s="13">
        <f>IF(A116="","",COUNTIFS('Giao việc'!$M$5:$M$3004,A116,'Giao việc'!$L$5:$L$3004,"*QUÁ HẠN*"))</f>
        <v/>
      </c>
      <c r="P116" s="13">
        <f>IF(A116="","",COUNTIFS('Giao việc'!$M$5:$M$3004,A116,'Giao việc'!$L$5:$L$3004,"CHƯA GIAO*"))</f>
        <v/>
      </c>
      <c r="Q116" s="14">
        <f>IF(OR(A116="",N(M116)=0),"",N116/M116)</f>
        <v/>
      </c>
      <c r="R116" s="15">
        <f>IF(Q116="","",REPT("█",ROUND(Q116*10,0))&amp;REPT("░",10-ROUND(Q116*10,0)))</f>
        <v/>
      </c>
      <c r="S116" s="13">
        <f>IF(C116="","Chưa có ngày",IF(C116&gt;TODAY(),"Còn "&amp;(C116-TODAY())&amp;" ngày",IF(IF(D116="",C116,D116)&gt;=TODAY(),"Đang diễn ra","Đã qua "&amp;(TODAY()-IF(D116="",C116,D116))&amp;" ngày")))</f>
        <v/>
      </c>
      <c r="T116" s="13">
        <f>IF(AND(A116&lt;&gt;"",L116="Có",ISNUMBER(C116)),IF(IF(D116="",C116,D116)&gt;=TODAY()-35,C116+ROW()/100000,""),"")</f>
        <v/>
      </c>
    </row>
    <row r="117">
      <c r="A117" s="25" t="n"/>
      <c r="B117" s="11" t="n"/>
      <c r="C117" s="12" t="n"/>
      <c r="D117" s="12" t="n"/>
      <c r="E117" s="13" t="n"/>
      <c r="F117" s="13" t="n"/>
      <c r="G117" s="13" t="n"/>
      <c r="H117" s="13" t="n"/>
      <c r="I117" s="25" t="n"/>
      <c r="J117" s="25" t="n"/>
      <c r="K117" s="26" t="n"/>
      <c r="L117" s="26" t="n"/>
      <c r="M117" s="13">
        <f>IF(A117="","",COUNTIFS('Giao việc'!$M$5:$M$3004,A117,'Giao việc'!$I$5:$I$3004,"&lt;&gt;Bỏ qua"))</f>
        <v/>
      </c>
      <c r="N117" s="13">
        <f>IF(A117="","",COUNTIFS('Giao việc'!$M$5:$M$3004,A117,'Giao việc'!$I$5:$I$3004,"Xong"))</f>
        <v/>
      </c>
      <c r="O117" s="13">
        <f>IF(A117="","",COUNTIFS('Giao việc'!$M$5:$M$3004,A117,'Giao việc'!$L$5:$L$3004,"*QUÁ HẠN*"))</f>
        <v/>
      </c>
      <c r="P117" s="13">
        <f>IF(A117="","",COUNTIFS('Giao việc'!$M$5:$M$3004,A117,'Giao việc'!$L$5:$L$3004,"CHƯA GIAO*"))</f>
        <v/>
      </c>
      <c r="Q117" s="14">
        <f>IF(OR(A117="",N(M117)=0),"",N117/M117)</f>
        <v/>
      </c>
      <c r="R117" s="15">
        <f>IF(Q117="","",REPT("█",ROUND(Q117*10,0))&amp;REPT("░",10-ROUND(Q117*10,0)))</f>
        <v/>
      </c>
      <c r="S117" s="13">
        <f>IF(C117="","Chưa có ngày",IF(C117&gt;TODAY(),"Còn "&amp;(C117-TODAY())&amp;" ngày",IF(IF(D117="",C117,D117)&gt;=TODAY(),"Đang diễn ra","Đã qua "&amp;(TODAY()-IF(D117="",C117,D117))&amp;" ngày")))</f>
        <v/>
      </c>
      <c r="T117" s="13">
        <f>IF(AND(A117&lt;&gt;"",L117="Có",ISNUMBER(C117)),IF(IF(D117="",C117,D117)&gt;=TODAY()-35,C117+ROW()/100000,""),"")</f>
        <v/>
      </c>
    </row>
    <row r="118">
      <c r="A118" s="25" t="n"/>
      <c r="B118" s="11" t="n"/>
      <c r="C118" s="12" t="n"/>
      <c r="D118" s="12" t="n"/>
      <c r="E118" s="13" t="n"/>
      <c r="F118" s="13" t="n"/>
      <c r="G118" s="13" t="n"/>
      <c r="H118" s="13" t="n"/>
      <c r="I118" s="25" t="n"/>
      <c r="J118" s="25" t="n"/>
      <c r="K118" s="26" t="n"/>
      <c r="L118" s="26" t="n"/>
      <c r="M118" s="13">
        <f>IF(A118="","",COUNTIFS('Giao việc'!$M$5:$M$3004,A118,'Giao việc'!$I$5:$I$3004,"&lt;&gt;Bỏ qua"))</f>
        <v/>
      </c>
      <c r="N118" s="13">
        <f>IF(A118="","",COUNTIFS('Giao việc'!$M$5:$M$3004,A118,'Giao việc'!$I$5:$I$3004,"Xong"))</f>
        <v/>
      </c>
      <c r="O118" s="13">
        <f>IF(A118="","",COUNTIFS('Giao việc'!$M$5:$M$3004,A118,'Giao việc'!$L$5:$L$3004,"*QUÁ HẠN*"))</f>
        <v/>
      </c>
      <c r="P118" s="13">
        <f>IF(A118="","",COUNTIFS('Giao việc'!$M$5:$M$3004,A118,'Giao việc'!$L$5:$L$3004,"CHƯA GIAO*"))</f>
        <v/>
      </c>
      <c r="Q118" s="14">
        <f>IF(OR(A118="",N(M118)=0),"",N118/M118)</f>
        <v/>
      </c>
      <c r="R118" s="15">
        <f>IF(Q118="","",REPT("█",ROUND(Q118*10,0))&amp;REPT("░",10-ROUND(Q118*10,0)))</f>
        <v/>
      </c>
      <c r="S118" s="13">
        <f>IF(C118="","Chưa có ngày",IF(C118&gt;TODAY(),"Còn "&amp;(C118-TODAY())&amp;" ngày",IF(IF(D118="",C118,D118)&gt;=TODAY(),"Đang diễn ra","Đã qua "&amp;(TODAY()-IF(D118="",C118,D118))&amp;" ngày")))</f>
        <v/>
      </c>
      <c r="T118" s="13">
        <f>IF(AND(A118&lt;&gt;"",L118="Có",ISNUMBER(C118)),IF(IF(D118="",C118,D118)&gt;=TODAY()-35,C118+ROW()/100000,""),"")</f>
        <v/>
      </c>
    </row>
    <row r="119">
      <c r="A119" s="25" t="n"/>
      <c r="B119" s="11" t="n"/>
      <c r="C119" s="12" t="n"/>
      <c r="D119" s="12" t="n"/>
      <c r="E119" s="13" t="n"/>
      <c r="F119" s="13" t="n"/>
      <c r="G119" s="13" t="n"/>
      <c r="H119" s="13" t="n"/>
      <c r="I119" s="25" t="n"/>
      <c r="J119" s="25" t="n"/>
      <c r="K119" s="26" t="n"/>
      <c r="L119" s="26" t="n"/>
      <c r="M119" s="13">
        <f>IF(A119="","",COUNTIFS('Giao việc'!$M$5:$M$3004,A119,'Giao việc'!$I$5:$I$3004,"&lt;&gt;Bỏ qua"))</f>
        <v/>
      </c>
      <c r="N119" s="13">
        <f>IF(A119="","",COUNTIFS('Giao việc'!$M$5:$M$3004,A119,'Giao việc'!$I$5:$I$3004,"Xong"))</f>
        <v/>
      </c>
      <c r="O119" s="13">
        <f>IF(A119="","",COUNTIFS('Giao việc'!$M$5:$M$3004,A119,'Giao việc'!$L$5:$L$3004,"*QUÁ HẠN*"))</f>
        <v/>
      </c>
      <c r="P119" s="13">
        <f>IF(A119="","",COUNTIFS('Giao việc'!$M$5:$M$3004,A119,'Giao việc'!$L$5:$L$3004,"CHƯA GIAO*"))</f>
        <v/>
      </c>
      <c r="Q119" s="14">
        <f>IF(OR(A119="",N(M119)=0),"",N119/M119)</f>
        <v/>
      </c>
      <c r="R119" s="15">
        <f>IF(Q119="","",REPT("█",ROUND(Q119*10,0))&amp;REPT("░",10-ROUND(Q119*10,0)))</f>
        <v/>
      </c>
      <c r="S119" s="13">
        <f>IF(C119="","Chưa có ngày",IF(C119&gt;TODAY(),"Còn "&amp;(C119-TODAY())&amp;" ngày",IF(IF(D119="",C119,D119)&gt;=TODAY(),"Đang diễn ra","Đã qua "&amp;(TODAY()-IF(D119="",C119,D119))&amp;" ngày")))</f>
        <v/>
      </c>
      <c r="T119" s="13">
        <f>IF(AND(A119&lt;&gt;"",L119="Có",ISNUMBER(C119)),IF(IF(D119="",C119,D119)&gt;=TODAY()-35,C119+ROW()/100000,""),"")</f>
        <v/>
      </c>
    </row>
    <row r="120">
      <c r="A120" s="25" t="n"/>
      <c r="B120" s="11" t="n"/>
      <c r="C120" s="12" t="n"/>
      <c r="D120" s="12" t="n"/>
      <c r="E120" s="13" t="n"/>
      <c r="F120" s="13" t="n"/>
      <c r="G120" s="13" t="n"/>
      <c r="H120" s="13" t="n"/>
      <c r="I120" s="25" t="n"/>
      <c r="J120" s="25" t="n"/>
      <c r="K120" s="26" t="n"/>
      <c r="L120" s="26" t="n"/>
      <c r="M120" s="13">
        <f>IF(A120="","",COUNTIFS('Giao việc'!$M$5:$M$3004,A120,'Giao việc'!$I$5:$I$3004,"&lt;&gt;Bỏ qua"))</f>
        <v/>
      </c>
      <c r="N120" s="13">
        <f>IF(A120="","",COUNTIFS('Giao việc'!$M$5:$M$3004,A120,'Giao việc'!$I$5:$I$3004,"Xong"))</f>
        <v/>
      </c>
      <c r="O120" s="13">
        <f>IF(A120="","",COUNTIFS('Giao việc'!$M$5:$M$3004,A120,'Giao việc'!$L$5:$L$3004,"*QUÁ HẠN*"))</f>
        <v/>
      </c>
      <c r="P120" s="13">
        <f>IF(A120="","",COUNTIFS('Giao việc'!$M$5:$M$3004,A120,'Giao việc'!$L$5:$L$3004,"CHƯA GIAO*"))</f>
        <v/>
      </c>
      <c r="Q120" s="14">
        <f>IF(OR(A120="",N(M120)=0),"",N120/M120)</f>
        <v/>
      </c>
      <c r="R120" s="15">
        <f>IF(Q120="","",REPT("█",ROUND(Q120*10,0))&amp;REPT("░",10-ROUND(Q120*10,0)))</f>
        <v/>
      </c>
      <c r="S120" s="13">
        <f>IF(C120="","Chưa có ngày",IF(C120&gt;TODAY(),"Còn "&amp;(C120-TODAY())&amp;" ngày",IF(IF(D120="",C120,D120)&gt;=TODAY(),"Đang diễn ra","Đã qua "&amp;(TODAY()-IF(D120="",C120,D120))&amp;" ngày")))</f>
        <v/>
      </c>
      <c r="T120" s="13">
        <f>IF(AND(A120&lt;&gt;"",L120="Có",ISNUMBER(C120)),IF(IF(D120="",C120,D120)&gt;=TODAY()-35,C120+ROW()/100000,""),"")</f>
        <v/>
      </c>
    </row>
    <row r="121">
      <c r="A121" s="25" t="n"/>
      <c r="B121" s="11" t="n"/>
      <c r="C121" s="12" t="n"/>
      <c r="D121" s="12" t="n"/>
      <c r="E121" s="13" t="n"/>
      <c r="F121" s="13" t="n"/>
      <c r="G121" s="13" t="n"/>
      <c r="H121" s="13" t="n"/>
      <c r="I121" s="25" t="n"/>
      <c r="J121" s="25" t="n"/>
      <c r="K121" s="26" t="n"/>
      <c r="L121" s="26" t="n"/>
      <c r="M121" s="13">
        <f>IF(A121="","",COUNTIFS('Giao việc'!$M$5:$M$3004,A121,'Giao việc'!$I$5:$I$3004,"&lt;&gt;Bỏ qua"))</f>
        <v/>
      </c>
      <c r="N121" s="13">
        <f>IF(A121="","",COUNTIFS('Giao việc'!$M$5:$M$3004,A121,'Giao việc'!$I$5:$I$3004,"Xong"))</f>
        <v/>
      </c>
      <c r="O121" s="13">
        <f>IF(A121="","",COUNTIFS('Giao việc'!$M$5:$M$3004,A121,'Giao việc'!$L$5:$L$3004,"*QUÁ HẠN*"))</f>
        <v/>
      </c>
      <c r="P121" s="13">
        <f>IF(A121="","",COUNTIFS('Giao việc'!$M$5:$M$3004,A121,'Giao việc'!$L$5:$L$3004,"CHƯA GIAO*"))</f>
        <v/>
      </c>
      <c r="Q121" s="14">
        <f>IF(OR(A121="",N(M121)=0),"",N121/M121)</f>
        <v/>
      </c>
      <c r="R121" s="15">
        <f>IF(Q121="","",REPT("█",ROUND(Q121*10,0))&amp;REPT("░",10-ROUND(Q121*10,0)))</f>
        <v/>
      </c>
      <c r="S121" s="13">
        <f>IF(C121="","Chưa có ngày",IF(C121&gt;TODAY(),"Còn "&amp;(C121-TODAY())&amp;" ngày",IF(IF(D121="",C121,D121)&gt;=TODAY(),"Đang diễn ra","Đã qua "&amp;(TODAY()-IF(D121="",C121,D121))&amp;" ngày")))</f>
        <v/>
      </c>
      <c r="T121" s="13">
        <f>IF(AND(A121&lt;&gt;"",L121="Có",ISNUMBER(C121)),IF(IF(D121="",C121,D121)&gt;=TODAY()-35,C121+ROW()/100000,""),"")</f>
        <v/>
      </c>
    </row>
    <row r="122">
      <c r="A122" s="25" t="n"/>
      <c r="B122" s="11" t="n"/>
      <c r="C122" s="12" t="n"/>
      <c r="D122" s="12" t="n"/>
      <c r="E122" s="13" t="n"/>
      <c r="F122" s="13" t="n"/>
      <c r="G122" s="13" t="n"/>
      <c r="H122" s="13" t="n"/>
      <c r="I122" s="25" t="n"/>
      <c r="J122" s="25" t="n"/>
      <c r="K122" s="26" t="n"/>
      <c r="L122" s="26" t="n"/>
      <c r="M122" s="13">
        <f>IF(A122="","",COUNTIFS('Giao việc'!$M$5:$M$3004,A122,'Giao việc'!$I$5:$I$3004,"&lt;&gt;Bỏ qua"))</f>
        <v/>
      </c>
      <c r="N122" s="13">
        <f>IF(A122="","",COUNTIFS('Giao việc'!$M$5:$M$3004,A122,'Giao việc'!$I$5:$I$3004,"Xong"))</f>
        <v/>
      </c>
      <c r="O122" s="13">
        <f>IF(A122="","",COUNTIFS('Giao việc'!$M$5:$M$3004,A122,'Giao việc'!$L$5:$L$3004,"*QUÁ HẠN*"))</f>
        <v/>
      </c>
      <c r="P122" s="13">
        <f>IF(A122="","",COUNTIFS('Giao việc'!$M$5:$M$3004,A122,'Giao việc'!$L$5:$L$3004,"CHƯA GIAO*"))</f>
        <v/>
      </c>
      <c r="Q122" s="14">
        <f>IF(OR(A122="",N(M122)=0),"",N122/M122)</f>
        <v/>
      </c>
      <c r="R122" s="15">
        <f>IF(Q122="","",REPT("█",ROUND(Q122*10,0))&amp;REPT("░",10-ROUND(Q122*10,0)))</f>
        <v/>
      </c>
      <c r="S122" s="13">
        <f>IF(C122="","Chưa có ngày",IF(C122&gt;TODAY(),"Còn "&amp;(C122-TODAY())&amp;" ngày",IF(IF(D122="",C122,D122)&gt;=TODAY(),"Đang diễn ra","Đã qua "&amp;(TODAY()-IF(D122="",C122,D122))&amp;" ngày")))</f>
        <v/>
      </c>
      <c r="T122" s="13">
        <f>IF(AND(A122&lt;&gt;"",L122="Có",ISNUMBER(C122)),IF(IF(D122="",C122,D122)&gt;=TODAY()-35,C122+ROW()/100000,""),"")</f>
        <v/>
      </c>
    </row>
    <row r="123">
      <c r="A123" s="25" t="n"/>
      <c r="B123" s="11" t="n"/>
      <c r="C123" s="12" t="n"/>
      <c r="D123" s="12" t="n"/>
      <c r="E123" s="13" t="n"/>
      <c r="F123" s="13" t="n"/>
      <c r="G123" s="13" t="n"/>
      <c r="H123" s="13" t="n"/>
      <c r="I123" s="25" t="n"/>
      <c r="J123" s="25" t="n"/>
      <c r="K123" s="26" t="n"/>
      <c r="L123" s="26" t="n"/>
      <c r="M123" s="13">
        <f>IF(A123="","",COUNTIFS('Giao việc'!$M$5:$M$3004,A123,'Giao việc'!$I$5:$I$3004,"&lt;&gt;Bỏ qua"))</f>
        <v/>
      </c>
      <c r="N123" s="13">
        <f>IF(A123="","",COUNTIFS('Giao việc'!$M$5:$M$3004,A123,'Giao việc'!$I$5:$I$3004,"Xong"))</f>
        <v/>
      </c>
      <c r="O123" s="13">
        <f>IF(A123="","",COUNTIFS('Giao việc'!$M$5:$M$3004,A123,'Giao việc'!$L$5:$L$3004,"*QUÁ HẠN*"))</f>
        <v/>
      </c>
      <c r="P123" s="13">
        <f>IF(A123="","",COUNTIFS('Giao việc'!$M$5:$M$3004,A123,'Giao việc'!$L$5:$L$3004,"CHƯA GIAO*"))</f>
        <v/>
      </c>
      <c r="Q123" s="14">
        <f>IF(OR(A123="",N(M123)=0),"",N123/M123)</f>
        <v/>
      </c>
      <c r="R123" s="15">
        <f>IF(Q123="","",REPT("█",ROUND(Q123*10,0))&amp;REPT("░",10-ROUND(Q123*10,0)))</f>
        <v/>
      </c>
      <c r="S123" s="13">
        <f>IF(C123="","Chưa có ngày",IF(C123&gt;TODAY(),"Còn "&amp;(C123-TODAY())&amp;" ngày",IF(IF(D123="",C123,D123)&gt;=TODAY(),"Đang diễn ra","Đã qua "&amp;(TODAY()-IF(D123="",C123,D123))&amp;" ngày")))</f>
        <v/>
      </c>
      <c r="T123" s="13">
        <f>IF(AND(A123&lt;&gt;"",L123="Có",ISNUMBER(C123)),IF(IF(D123="",C123,D123)&gt;=TODAY()-35,C123+ROW()/100000,""),"")</f>
        <v/>
      </c>
    </row>
    <row r="124">
      <c r="A124" s="25" t="n"/>
      <c r="B124" s="11" t="n"/>
      <c r="C124" s="12" t="n"/>
      <c r="D124" s="12" t="n"/>
      <c r="E124" s="13" t="n"/>
      <c r="F124" s="13" t="n"/>
      <c r="G124" s="13" t="n"/>
      <c r="H124" s="13" t="n"/>
      <c r="I124" s="25" t="n"/>
      <c r="J124" s="25" t="n"/>
      <c r="K124" s="26" t="n"/>
      <c r="L124" s="26" t="n"/>
      <c r="M124" s="13">
        <f>IF(A124="","",COUNTIFS('Giao việc'!$M$5:$M$3004,A124,'Giao việc'!$I$5:$I$3004,"&lt;&gt;Bỏ qua"))</f>
        <v/>
      </c>
      <c r="N124" s="13">
        <f>IF(A124="","",COUNTIFS('Giao việc'!$M$5:$M$3004,A124,'Giao việc'!$I$5:$I$3004,"Xong"))</f>
        <v/>
      </c>
      <c r="O124" s="13">
        <f>IF(A124="","",COUNTIFS('Giao việc'!$M$5:$M$3004,A124,'Giao việc'!$L$5:$L$3004,"*QUÁ HẠN*"))</f>
        <v/>
      </c>
      <c r="P124" s="13">
        <f>IF(A124="","",COUNTIFS('Giao việc'!$M$5:$M$3004,A124,'Giao việc'!$L$5:$L$3004,"CHƯA GIAO*"))</f>
        <v/>
      </c>
      <c r="Q124" s="14">
        <f>IF(OR(A124="",N(M124)=0),"",N124/M124)</f>
        <v/>
      </c>
      <c r="R124" s="15">
        <f>IF(Q124="","",REPT("█",ROUND(Q124*10,0))&amp;REPT("░",10-ROUND(Q124*10,0)))</f>
        <v/>
      </c>
      <c r="S124" s="13">
        <f>IF(C124="","Chưa có ngày",IF(C124&gt;TODAY(),"Còn "&amp;(C124-TODAY())&amp;" ngày",IF(IF(D124="",C124,D124)&gt;=TODAY(),"Đang diễn ra","Đã qua "&amp;(TODAY()-IF(D124="",C124,D124))&amp;" ngày")))</f>
        <v/>
      </c>
      <c r="T124" s="13">
        <f>IF(AND(A124&lt;&gt;"",L124="Có",ISNUMBER(C124)),IF(IF(D124="",C124,D124)&gt;=TODAY()-35,C124+ROW()/100000,""),"")</f>
        <v/>
      </c>
    </row>
    <row r="125">
      <c r="A125" s="25" t="n"/>
      <c r="B125" s="11" t="n"/>
      <c r="C125" s="12" t="n"/>
      <c r="D125" s="12" t="n"/>
      <c r="E125" s="13" t="n"/>
      <c r="F125" s="13" t="n"/>
      <c r="G125" s="13" t="n"/>
      <c r="H125" s="13" t="n"/>
      <c r="I125" s="25" t="n"/>
      <c r="J125" s="25" t="n"/>
      <c r="K125" s="26" t="n"/>
      <c r="L125" s="26" t="n"/>
      <c r="M125" s="13">
        <f>IF(A125="","",COUNTIFS('Giao việc'!$M$5:$M$3004,A125,'Giao việc'!$I$5:$I$3004,"&lt;&gt;Bỏ qua"))</f>
        <v/>
      </c>
      <c r="N125" s="13">
        <f>IF(A125="","",COUNTIFS('Giao việc'!$M$5:$M$3004,A125,'Giao việc'!$I$5:$I$3004,"Xong"))</f>
        <v/>
      </c>
      <c r="O125" s="13">
        <f>IF(A125="","",COUNTIFS('Giao việc'!$M$5:$M$3004,A125,'Giao việc'!$L$5:$L$3004,"*QUÁ HẠN*"))</f>
        <v/>
      </c>
      <c r="P125" s="13">
        <f>IF(A125="","",COUNTIFS('Giao việc'!$M$5:$M$3004,A125,'Giao việc'!$L$5:$L$3004,"CHƯA GIAO*"))</f>
        <v/>
      </c>
      <c r="Q125" s="14">
        <f>IF(OR(A125="",N(M125)=0),"",N125/M125)</f>
        <v/>
      </c>
      <c r="R125" s="15">
        <f>IF(Q125="","",REPT("█",ROUND(Q125*10,0))&amp;REPT("░",10-ROUND(Q125*10,0)))</f>
        <v/>
      </c>
      <c r="S125" s="13">
        <f>IF(C125="","Chưa có ngày",IF(C125&gt;TODAY(),"Còn "&amp;(C125-TODAY())&amp;" ngày",IF(IF(D125="",C125,D125)&gt;=TODAY(),"Đang diễn ra","Đã qua "&amp;(TODAY()-IF(D125="",C125,D125))&amp;" ngày")))</f>
        <v/>
      </c>
      <c r="T125" s="13">
        <f>IF(AND(A125&lt;&gt;"",L125="Có",ISNUMBER(C125)),IF(IF(D125="",C125,D125)&gt;=TODAY()-35,C125+ROW()/100000,""),"")</f>
        <v/>
      </c>
    </row>
    <row r="126">
      <c r="A126" s="25" t="n"/>
      <c r="B126" s="11" t="n"/>
      <c r="C126" s="12" t="n"/>
      <c r="D126" s="12" t="n"/>
      <c r="E126" s="13" t="n"/>
      <c r="F126" s="13" t="n"/>
      <c r="G126" s="13" t="n"/>
      <c r="H126" s="13" t="n"/>
      <c r="I126" s="25" t="n"/>
      <c r="J126" s="25" t="n"/>
      <c r="K126" s="26" t="n"/>
      <c r="L126" s="26" t="n"/>
      <c r="M126" s="13">
        <f>IF(A126="","",COUNTIFS('Giao việc'!$M$5:$M$3004,A126,'Giao việc'!$I$5:$I$3004,"&lt;&gt;Bỏ qua"))</f>
        <v/>
      </c>
      <c r="N126" s="13">
        <f>IF(A126="","",COUNTIFS('Giao việc'!$M$5:$M$3004,A126,'Giao việc'!$I$5:$I$3004,"Xong"))</f>
        <v/>
      </c>
      <c r="O126" s="13">
        <f>IF(A126="","",COUNTIFS('Giao việc'!$M$5:$M$3004,A126,'Giao việc'!$L$5:$L$3004,"*QUÁ HẠN*"))</f>
        <v/>
      </c>
      <c r="P126" s="13">
        <f>IF(A126="","",COUNTIFS('Giao việc'!$M$5:$M$3004,A126,'Giao việc'!$L$5:$L$3004,"CHƯA GIAO*"))</f>
        <v/>
      </c>
      <c r="Q126" s="14">
        <f>IF(OR(A126="",N(M126)=0),"",N126/M126)</f>
        <v/>
      </c>
      <c r="R126" s="15">
        <f>IF(Q126="","",REPT("█",ROUND(Q126*10,0))&amp;REPT("░",10-ROUND(Q126*10,0)))</f>
        <v/>
      </c>
      <c r="S126" s="13">
        <f>IF(C126="","Chưa có ngày",IF(C126&gt;TODAY(),"Còn "&amp;(C126-TODAY())&amp;" ngày",IF(IF(D126="",C126,D126)&gt;=TODAY(),"Đang diễn ra","Đã qua "&amp;(TODAY()-IF(D126="",C126,D126))&amp;" ngày")))</f>
        <v/>
      </c>
      <c r="T126" s="13">
        <f>IF(AND(A126&lt;&gt;"",L126="Có",ISNUMBER(C126)),IF(IF(D126="",C126,D126)&gt;=TODAY()-35,C126+ROW()/100000,""),"")</f>
        <v/>
      </c>
    </row>
    <row r="127">
      <c r="A127" s="25" t="n"/>
      <c r="B127" s="11" t="n"/>
      <c r="C127" s="12" t="n"/>
      <c r="D127" s="12" t="n"/>
      <c r="E127" s="13" t="n"/>
      <c r="F127" s="13" t="n"/>
      <c r="G127" s="13" t="n"/>
      <c r="H127" s="13" t="n"/>
      <c r="I127" s="25" t="n"/>
      <c r="J127" s="25" t="n"/>
      <c r="K127" s="26" t="n"/>
      <c r="L127" s="26" t="n"/>
      <c r="M127" s="13">
        <f>IF(A127="","",COUNTIFS('Giao việc'!$M$5:$M$3004,A127,'Giao việc'!$I$5:$I$3004,"&lt;&gt;Bỏ qua"))</f>
        <v/>
      </c>
      <c r="N127" s="13">
        <f>IF(A127="","",COUNTIFS('Giao việc'!$M$5:$M$3004,A127,'Giao việc'!$I$5:$I$3004,"Xong"))</f>
        <v/>
      </c>
      <c r="O127" s="13">
        <f>IF(A127="","",COUNTIFS('Giao việc'!$M$5:$M$3004,A127,'Giao việc'!$L$5:$L$3004,"*QUÁ HẠN*"))</f>
        <v/>
      </c>
      <c r="P127" s="13">
        <f>IF(A127="","",COUNTIFS('Giao việc'!$M$5:$M$3004,A127,'Giao việc'!$L$5:$L$3004,"CHƯA GIAO*"))</f>
        <v/>
      </c>
      <c r="Q127" s="14">
        <f>IF(OR(A127="",N(M127)=0),"",N127/M127)</f>
        <v/>
      </c>
      <c r="R127" s="15">
        <f>IF(Q127="","",REPT("█",ROUND(Q127*10,0))&amp;REPT("░",10-ROUND(Q127*10,0)))</f>
        <v/>
      </c>
      <c r="S127" s="13">
        <f>IF(C127="","Chưa có ngày",IF(C127&gt;TODAY(),"Còn "&amp;(C127-TODAY())&amp;" ngày",IF(IF(D127="",C127,D127)&gt;=TODAY(),"Đang diễn ra","Đã qua "&amp;(TODAY()-IF(D127="",C127,D127))&amp;" ngày")))</f>
        <v/>
      </c>
      <c r="T127" s="13">
        <f>IF(AND(A127&lt;&gt;"",L127="Có",ISNUMBER(C127)),IF(IF(D127="",C127,D127)&gt;=TODAY()-35,C127+ROW()/100000,""),"")</f>
        <v/>
      </c>
    </row>
    <row r="128">
      <c r="A128" s="25" t="n"/>
      <c r="B128" s="11" t="n"/>
      <c r="C128" s="12" t="n"/>
      <c r="D128" s="12" t="n"/>
      <c r="E128" s="13" t="n"/>
      <c r="F128" s="13" t="n"/>
      <c r="G128" s="13" t="n"/>
      <c r="H128" s="13" t="n"/>
      <c r="I128" s="25" t="n"/>
      <c r="J128" s="25" t="n"/>
      <c r="K128" s="26" t="n"/>
      <c r="L128" s="26" t="n"/>
      <c r="M128" s="13">
        <f>IF(A128="","",COUNTIFS('Giao việc'!$M$5:$M$3004,A128,'Giao việc'!$I$5:$I$3004,"&lt;&gt;Bỏ qua"))</f>
        <v/>
      </c>
      <c r="N128" s="13">
        <f>IF(A128="","",COUNTIFS('Giao việc'!$M$5:$M$3004,A128,'Giao việc'!$I$5:$I$3004,"Xong"))</f>
        <v/>
      </c>
      <c r="O128" s="13">
        <f>IF(A128="","",COUNTIFS('Giao việc'!$M$5:$M$3004,A128,'Giao việc'!$L$5:$L$3004,"*QUÁ HẠN*"))</f>
        <v/>
      </c>
      <c r="P128" s="13">
        <f>IF(A128="","",COUNTIFS('Giao việc'!$M$5:$M$3004,A128,'Giao việc'!$L$5:$L$3004,"CHƯA GIAO*"))</f>
        <v/>
      </c>
      <c r="Q128" s="14">
        <f>IF(OR(A128="",N(M128)=0),"",N128/M128)</f>
        <v/>
      </c>
      <c r="R128" s="15">
        <f>IF(Q128="","",REPT("█",ROUND(Q128*10,0))&amp;REPT("░",10-ROUND(Q128*10,0)))</f>
        <v/>
      </c>
      <c r="S128" s="13">
        <f>IF(C128="","Chưa có ngày",IF(C128&gt;TODAY(),"Còn "&amp;(C128-TODAY())&amp;" ngày",IF(IF(D128="",C128,D128)&gt;=TODAY(),"Đang diễn ra","Đã qua "&amp;(TODAY()-IF(D128="",C128,D128))&amp;" ngày")))</f>
        <v/>
      </c>
      <c r="T128" s="13">
        <f>IF(AND(A128&lt;&gt;"",L128="Có",ISNUMBER(C128)),IF(IF(D128="",C128,D128)&gt;=TODAY()-35,C128+ROW()/100000,""),"")</f>
        <v/>
      </c>
    </row>
    <row r="129">
      <c r="A129" s="25" t="n"/>
      <c r="B129" s="11" t="n"/>
      <c r="C129" s="12" t="n"/>
      <c r="D129" s="12" t="n"/>
      <c r="E129" s="13" t="n"/>
      <c r="F129" s="13" t="n"/>
      <c r="G129" s="13" t="n"/>
      <c r="H129" s="13" t="n"/>
      <c r="I129" s="25" t="n"/>
      <c r="J129" s="25" t="n"/>
      <c r="K129" s="26" t="n"/>
      <c r="L129" s="26" t="n"/>
      <c r="M129" s="13">
        <f>IF(A129="","",COUNTIFS('Giao việc'!$M$5:$M$3004,A129,'Giao việc'!$I$5:$I$3004,"&lt;&gt;Bỏ qua"))</f>
        <v/>
      </c>
      <c r="N129" s="13">
        <f>IF(A129="","",COUNTIFS('Giao việc'!$M$5:$M$3004,A129,'Giao việc'!$I$5:$I$3004,"Xong"))</f>
        <v/>
      </c>
      <c r="O129" s="13">
        <f>IF(A129="","",COUNTIFS('Giao việc'!$M$5:$M$3004,A129,'Giao việc'!$L$5:$L$3004,"*QUÁ HẠN*"))</f>
        <v/>
      </c>
      <c r="P129" s="13">
        <f>IF(A129="","",COUNTIFS('Giao việc'!$M$5:$M$3004,A129,'Giao việc'!$L$5:$L$3004,"CHƯA GIAO*"))</f>
        <v/>
      </c>
      <c r="Q129" s="14">
        <f>IF(OR(A129="",N(M129)=0),"",N129/M129)</f>
        <v/>
      </c>
      <c r="R129" s="15">
        <f>IF(Q129="","",REPT("█",ROUND(Q129*10,0))&amp;REPT("░",10-ROUND(Q129*10,0)))</f>
        <v/>
      </c>
      <c r="S129" s="13">
        <f>IF(C129="","Chưa có ngày",IF(C129&gt;TODAY(),"Còn "&amp;(C129-TODAY())&amp;" ngày",IF(IF(D129="",C129,D129)&gt;=TODAY(),"Đang diễn ra","Đã qua "&amp;(TODAY()-IF(D129="",C129,D129))&amp;" ngày")))</f>
        <v/>
      </c>
      <c r="T129" s="13">
        <f>IF(AND(A129&lt;&gt;"",L129="Có",ISNUMBER(C129)),IF(IF(D129="",C129,D129)&gt;=TODAY()-35,C129+ROW()/100000,""),"")</f>
        <v/>
      </c>
    </row>
    <row r="130">
      <c r="A130" s="25" t="n"/>
      <c r="B130" s="11" t="n"/>
      <c r="C130" s="12" t="n"/>
      <c r="D130" s="12" t="n"/>
      <c r="E130" s="13" t="n"/>
      <c r="F130" s="13" t="n"/>
      <c r="G130" s="13" t="n"/>
      <c r="H130" s="13" t="n"/>
      <c r="I130" s="25" t="n"/>
      <c r="J130" s="25" t="n"/>
      <c r="K130" s="26" t="n"/>
      <c r="L130" s="26" t="n"/>
      <c r="M130" s="13">
        <f>IF(A130="","",COUNTIFS('Giao việc'!$M$5:$M$3004,A130,'Giao việc'!$I$5:$I$3004,"&lt;&gt;Bỏ qua"))</f>
        <v/>
      </c>
      <c r="N130" s="13">
        <f>IF(A130="","",COUNTIFS('Giao việc'!$M$5:$M$3004,A130,'Giao việc'!$I$5:$I$3004,"Xong"))</f>
        <v/>
      </c>
      <c r="O130" s="13">
        <f>IF(A130="","",COUNTIFS('Giao việc'!$M$5:$M$3004,A130,'Giao việc'!$L$5:$L$3004,"*QUÁ HẠN*"))</f>
        <v/>
      </c>
      <c r="P130" s="13">
        <f>IF(A130="","",COUNTIFS('Giao việc'!$M$5:$M$3004,A130,'Giao việc'!$L$5:$L$3004,"CHƯA GIAO*"))</f>
        <v/>
      </c>
      <c r="Q130" s="14">
        <f>IF(OR(A130="",N(M130)=0),"",N130/M130)</f>
        <v/>
      </c>
      <c r="R130" s="15">
        <f>IF(Q130="","",REPT("█",ROUND(Q130*10,0))&amp;REPT("░",10-ROUND(Q130*10,0)))</f>
        <v/>
      </c>
      <c r="S130" s="13">
        <f>IF(C130="","Chưa có ngày",IF(C130&gt;TODAY(),"Còn "&amp;(C130-TODAY())&amp;" ngày",IF(IF(D130="",C130,D130)&gt;=TODAY(),"Đang diễn ra","Đã qua "&amp;(TODAY()-IF(D130="",C130,D130))&amp;" ngày")))</f>
        <v/>
      </c>
      <c r="T130" s="13">
        <f>IF(AND(A130&lt;&gt;"",L130="Có",ISNUMBER(C130)),IF(IF(D130="",C130,D130)&gt;=TODAY()-35,C130+ROW()/100000,""),"")</f>
        <v/>
      </c>
    </row>
    <row r="131">
      <c r="A131" s="25" t="n"/>
      <c r="B131" s="11" t="n"/>
      <c r="C131" s="12" t="n"/>
      <c r="D131" s="12" t="n"/>
      <c r="E131" s="13" t="n"/>
      <c r="F131" s="13" t="n"/>
      <c r="G131" s="13" t="n"/>
      <c r="H131" s="13" t="n"/>
      <c r="I131" s="25" t="n"/>
      <c r="J131" s="25" t="n"/>
      <c r="K131" s="26" t="n"/>
      <c r="L131" s="26" t="n"/>
      <c r="M131" s="13">
        <f>IF(A131="","",COUNTIFS('Giao việc'!$M$5:$M$3004,A131,'Giao việc'!$I$5:$I$3004,"&lt;&gt;Bỏ qua"))</f>
        <v/>
      </c>
      <c r="N131" s="13">
        <f>IF(A131="","",COUNTIFS('Giao việc'!$M$5:$M$3004,A131,'Giao việc'!$I$5:$I$3004,"Xong"))</f>
        <v/>
      </c>
      <c r="O131" s="13">
        <f>IF(A131="","",COUNTIFS('Giao việc'!$M$5:$M$3004,A131,'Giao việc'!$L$5:$L$3004,"*QUÁ HẠN*"))</f>
        <v/>
      </c>
      <c r="P131" s="13">
        <f>IF(A131="","",COUNTIFS('Giao việc'!$M$5:$M$3004,A131,'Giao việc'!$L$5:$L$3004,"CHƯA GIAO*"))</f>
        <v/>
      </c>
      <c r="Q131" s="14">
        <f>IF(OR(A131="",N(M131)=0),"",N131/M131)</f>
        <v/>
      </c>
      <c r="R131" s="15">
        <f>IF(Q131="","",REPT("█",ROUND(Q131*10,0))&amp;REPT("░",10-ROUND(Q131*10,0)))</f>
        <v/>
      </c>
      <c r="S131" s="13">
        <f>IF(C131="","Chưa có ngày",IF(C131&gt;TODAY(),"Còn "&amp;(C131-TODAY())&amp;" ngày",IF(IF(D131="",C131,D131)&gt;=TODAY(),"Đang diễn ra","Đã qua "&amp;(TODAY()-IF(D131="",C131,D131))&amp;" ngày")))</f>
        <v/>
      </c>
      <c r="T131" s="13">
        <f>IF(AND(A131&lt;&gt;"",L131="Có",ISNUMBER(C131)),IF(IF(D131="",C131,D131)&gt;=TODAY()-35,C131+ROW()/100000,""),"")</f>
        <v/>
      </c>
    </row>
    <row r="132">
      <c r="A132" s="25" t="n"/>
      <c r="B132" s="11" t="n"/>
      <c r="C132" s="12" t="n"/>
      <c r="D132" s="12" t="n"/>
      <c r="E132" s="13" t="n"/>
      <c r="F132" s="13" t="n"/>
      <c r="G132" s="13" t="n"/>
      <c r="H132" s="13" t="n"/>
      <c r="I132" s="25" t="n"/>
      <c r="J132" s="25" t="n"/>
      <c r="K132" s="26" t="n"/>
      <c r="L132" s="26" t="n"/>
      <c r="M132" s="13">
        <f>IF(A132="","",COUNTIFS('Giao việc'!$M$5:$M$3004,A132,'Giao việc'!$I$5:$I$3004,"&lt;&gt;Bỏ qua"))</f>
        <v/>
      </c>
      <c r="N132" s="13">
        <f>IF(A132="","",COUNTIFS('Giao việc'!$M$5:$M$3004,A132,'Giao việc'!$I$5:$I$3004,"Xong"))</f>
        <v/>
      </c>
      <c r="O132" s="13">
        <f>IF(A132="","",COUNTIFS('Giao việc'!$M$5:$M$3004,A132,'Giao việc'!$L$5:$L$3004,"*QUÁ HẠN*"))</f>
        <v/>
      </c>
      <c r="P132" s="13">
        <f>IF(A132="","",COUNTIFS('Giao việc'!$M$5:$M$3004,A132,'Giao việc'!$L$5:$L$3004,"CHƯA GIAO*"))</f>
        <v/>
      </c>
      <c r="Q132" s="14">
        <f>IF(OR(A132="",N(M132)=0),"",N132/M132)</f>
        <v/>
      </c>
      <c r="R132" s="15">
        <f>IF(Q132="","",REPT("█",ROUND(Q132*10,0))&amp;REPT("░",10-ROUND(Q132*10,0)))</f>
        <v/>
      </c>
      <c r="S132" s="13">
        <f>IF(C132="","Chưa có ngày",IF(C132&gt;TODAY(),"Còn "&amp;(C132-TODAY())&amp;" ngày",IF(IF(D132="",C132,D132)&gt;=TODAY(),"Đang diễn ra","Đã qua "&amp;(TODAY()-IF(D132="",C132,D132))&amp;" ngày")))</f>
        <v/>
      </c>
      <c r="T132" s="13">
        <f>IF(AND(A132&lt;&gt;"",L132="Có",ISNUMBER(C132)),IF(IF(D132="",C132,D132)&gt;=TODAY()-35,C132+ROW()/100000,""),"")</f>
        <v/>
      </c>
    </row>
    <row r="133">
      <c r="A133" s="25" t="n"/>
      <c r="B133" s="11" t="n"/>
      <c r="C133" s="12" t="n"/>
      <c r="D133" s="12" t="n"/>
      <c r="E133" s="13" t="n"/>
      <c r="F133" s="13" t="n"/>
      <c r="G133" s="13" t="n"/>
      <c r="H133" s="13" t="n"/>
      <c r="I133" s="25" t="n"/>
      <c r="J133" s="25" t="n"/>
      <c r="K133" s="26" t="n"/>
      <c r="L133" s="26" t="n"/>
      <c r="M133" s="13">
        <f>IF(A133="","",COUNTIFS('Giao việc'!$M$5:$M$3004,A133,'Giao việc'!$I$5:$I$3004,"&lt;&gt;Bỏ qua"))</f>
        <v/>
      </c>
      <c r="N133" s="13">
        <f>IF(A133="","",COUNTIFS('Giao việc'!$M$5:$M$3004,A133,'Giao việc'!$I$5:$I$3004,"Xong"))</f>
        <v/>
      </c>
      <c r="O133" s="13">
        <f>IF(A133="","",COUNTIFS('Giao việc'!$M$5:$M$3004,A133,'Giao việc'!$L$5:$L$3004,"*QUÁ HẠN*"))</f>
        <v/>
      </c>
      <c r="P133" s="13">
        <f>IF(A133="","",COUNTIFS('Giao việc'!$M$5:$M$3004,A133,'Giao việc'!$L$5:$L$3004,"CHƯA GIAO*"))</f>
        <v/>
      </c>
      <c r="Q133" s="14">
        <f>IF(OR(A133="",N(M133)=0),"",N133/M133)</f>
        <v/>
      </c>
      <c r="R133" s="15">
        <f>IF(Q133="","",REPT("█",ROUND(Q133*10,0))&amp;REPT("░",10-ROUND(Q133*10,0)))</f>
        <v/>
      </c>
      <c r="S133" s="13">
        <f>IF(C133="","Chưa có ngày",IF(C133&gt;TODAY(),"Còn "&amp;(C133-TODAY())&amp;" ngày",IF(IF(D133="",C133,D133)&gt;=TODAY(),"Đang diễn ra","Đã qua "&amp;(TODAY()-IF(D133="",C133,D133))&amp;" ngày")))</f>
        <v/>
      </c>
      <c r="T133" s="13">
        <f>IF(AND(A133&lt;&gt;"",L133="Có",ISNUMBER(C133)),IF(IF(D133="",C133,D133)&gt;=TODAY()-35,C133+ROW()/100000,""),"")</f>
        <v/>
      </c>
    </row>
    <row r="134">
      <c r="A134" s="25" t="n"/>
      <c r="B134" s="11" t="n"/>
      <c r="C134" s="12" t="n"/>
      <c r="D134" s="12" t="n"/>
      <c r="E134" s="13" t="n"/>
      <c r="F134" s="13" t="n"/>
      <c r="G134" s="13" t="n"/>
      <c r="H134" s="13" t="n"/>
      <c r="I134" s="25" t="n"/>
      <c r="J134" s="25" t="n"/>
      <c r="K134" s="26" t="n"/>
      <c r="L134" s="26" t="n"/>
      <c r="M134" s="13">
        <f>IF(A134="","",COUNTIFS('Giao việc'!$M$5:$M$3004,A134,'Giao việc'!$I$5:$I$3004,"&lt;&gt;Bỏ qua"))</f>
        <v/>
      </c>
      <c r="N134" s="13">
        <f>IF(A134="","",COUNTIFS('Giao việc'!$M$5:$M$3004,A134,'Giao việc'!$I$5:$I$3004,"Xong"))</f>
        <v/>
      </c>
      <c r="O134" s="13">
        <f>IF(A134="","",COUNTIFS('Giao việc'!$M$5:$M$3004,A134,'Giao việc'!$L$5:$L$3004,"*QUÁ HẠN*"))</f>
        <v/>
      </c>
      <c r="P134" s="13">
        <f>IF(A134="","",COUNTIFS('Giao việc'!$M$5:$M$3004,A134,'Giao việc'!$L$5:$L$3004,"CHƯA GIAO*"))</f>
        <v/>
      </c>
      <c r="Q134" s="14">
        <f>IF(OR(A134="",N(M134)=0),"",N134/M134)</f>
        <v/>
      </c>
      <c r="R134" s="15">
        <f>IF(Q134="","",REPT("█",ROUND(Q134*10,0))&amp;REPT("░",10-ROUND(Q134*10,0)))</f>
        <v/>
      </c>
      <c r="S134" s="13">
        <f>IF(C134="","Chưa có ngày",IF(C134&gt;TODAY(),"Còn "&amp;(C134-TODAY())&amp;" ngày",IF(IF(D134="",C134,D134)&gt;=TODAY(),"Đang diễn ra","Đã qua "&amp;(TODAY()-IF(D134="",C134,D134))&amp;" ngày")))</f>
        <v/>
      </c>
      <c r="T134" s="13">
        <f>IF(AND(A134&lt;&gt;"",L134="Có",ISNUMBER(C134)),IF(IF(D134="",C134,D134)&gt;=TODAY()-35,C134+ROW()/100000,""),"")</f>
        <v/>
      </c>
    </row>
    <row r="135">
      <c r="A135" s="25" t="n"/>
      <c r="B135" s="11" t="n"/>
      <c r="C135" s="12" t="n"/>
      <c r="D135" s="12" t="n"/>
      <c r="E135" s="13" t="n"/>
      <c r="F135" s="13" t="n"/>
      <c r="G135" s="13" t="n"/>
      <c r="H135" s="13" t="n"/>
      <c r="I135" s="25" t="n"/>
      <c r="J135" s="25" t="n"/>
      <c r="K135" s="26" t="n"/>
      <c r="L135" s="26" t="n"/>
      <c r="M135" s="13">
        <f>IF(A135="","",COUNTIFS('Giao việc'!$M$5:$M$3004,A135,'Giao việc'!$I$5:$I$3004,"&lt;&gt;Bỏ qua"))</f>
        <v/>
      </c>
      <c r="N135" s="13">
        <f>IF(A135="","",COUNTIFS('Giao việc'!$M$5:$M$3004,A135,'Giao việc'!$I$5:$I$3004,"Xong"))</f>
        <v/>
      </c>
      <c r="O135" s="13">
        <f>IF(A135="","",COUNTIFS('Giao việc'!$M$5:$M$3004,A135,'Giao việc'!$L$5:$L$3004,"*QUÁ HẠN*"))</f>
        <v/>
      </c>
      <c r="P135" s="13">
        <f>IF(A135="","",COUNTIFS('Giao việc'!$M$5:$M$3004,A135,'Giao việc'!$L$5:$L$3004,"CHƯA GIAO*"))</f>
        <v/>
      </c>
      <c r="Q135" s="14">
        <f>IF(OR(A135="",N(M135)=0),"",N135/M135)</f>
        <v/>
      </c>
      <c r="R135" s="15">
        <f>IF(Q135="","",REPT("█",ROUND(Q135*10,0))&amp;REPT("░",10-ROUND(Q135*10,0)))</f>
        <v/>
      </c>
      <c r="S135" s="13">
        <f>IF(C135="","Chưa có ngày",IF(C135&gt;TODAY(),"Còn "&amp;(C135-TODAY())&amp;" ngày",IF(IF(D135="",C135,D135)&gt;=TODAY(),"Đang diễn ra","Đã qua "&amp;(TODAY()-IF(D135="",C135,D135))&amp;" ngày")))</f>
        <v/>
      </c>
      <c r="T135" s="13">
        <f>IF(AND(A135&lt;&gt;"",L135="Có",ISNUMBER(C135)),IF(IF(D135="",C135,D135)&gt;=TODAY()-35,C135+ROW()/100000,""),"")</f>
        <v/>
      </c>
    </row>
    <row r="136">
      <c r="A136" s="25" t="n"/>
      <c r="B136" s="11" t="n"/>
      <c r="C136" s="12" t="n"/>
      <c r="D136" s="12" t="n"/>
      <c r="E136" s="13" t="n"/>
      <c r="F136" s="13" t="n"/>
      <c r="G136" s="13" t="n"/>
      <c r="H136" s="13" t="n"/>
      <c r="I136" s="25" t="n"/>
      <c r="J136" s="25" t="n"/>
      <c r="K136" s="26" t="n"/>
      <c r="L136" s="26" t="n"/>
      <c r="M136" s="13">
        <f>IF(A136="","",COUNTIFS('Giao việc'!$M$5:$M$3004,A136,'Giao việc'!$I$5:$I$3004,"&lt;&gt;Bỏ qua"))</f>
        <v/>
      </c>
      <c r="N136" s="13">
        <f>IF(A136="","",COUNTIFS('Giao việc'!$M$5:$M$3004,A136,'Giao việc'!$I$5:$I$3004,"Xong"))</f>
        <v/>
      </c>
      <c r="O136" s="13">
        <f>IF(A136="","",COUNTIFS('Giao việc'!$M$5:$M$3004,A136,'Giao việc'!$L$5:$L$3004,"*QUÁ HẠN*"))</f>
        <v/>
      </c>
      <c r="P136" s="13">
        <f>IF(A136="","",COUNTIFS('Giao việc'!$M$5:$M$3004,A136,'Giao việc'!$L$5:$L$3004,"CHƯA GIAO*"))</f>
        <v/>
      </c>
      <c r="Q136" s="14">
        <f>IF(OR(A136="",N(M136)=0),"",N136/M136)</f>
        <v/>
      </c>
      <c r="R136" s="15">
        <f>IF(Q136="","",REPT("█",ROUND(Q136*10,0))&amp;REPT("░",10-ROUND(Q136*10,0)))</f>
        <v/>
      </c>
      <c r="S136" s="13">
        <f>IF(C136="","Chưa có ngày",IF(C136&gt;TODAY(),"Còn "&amp;(C136-TODAY())&amp;" ngày",IF(IF(D136="",C136,D136)&gt;=TODAY(),"Đang diễn ra","Đã qua "&amp;(TODAY()-IF(D136="",C136,D136))&amp;" ngày")))</f>
        <v/>
      </c>
      <c r="T136" s="13">
        <f>IF(AND(A136&lt;&gt;"",L136="Có",ISNUMBER(C136)),IF(IF(D136="",C136,D136)&gt;=TODAY()-35,C136+ROW()/100000,""),"")</f>
        <v/>
      </c>
    </row>
    <row r="137">
      <c r="A137" s="25" t="n"/>
      <c r="B137" s="11" t="n"/>
      <c r="C137" s="12" t="n"/>
      <c r="D137" s="12" t="n"/>
      <c r="E137" s="13" t="n"/>
      <c r="F137" s="13" t="n"/>
      <c r="G137" s="13" t="n"/>
      <c r="H137" s="13" t="n"/>
      <c r="I137" s="25" t="n"/>
      <c r="J137" s="25" t="n"/>
      <c r="K137" s="26" t="n"/>
      <c r="L137" s="26" t="n"/>
      <c r="M137" s="13">
        <f>IF(A137="","",COUNTIFS('Giao việc'!$M$5:$M$3004,A137,'Giao việc'!$I$5:$I$3004,"&lt;&gt;Bỏ qua"))</f>
        <v/>
      </c>
      <c r="N137" s="13">
        <f>IF(A137="","",COUNTIFS('Giao việc'!$M$5:$M$3004,A137,'Giao việc'!$I$5:$I$3004,"Xong"))</f>
        <v/>
      </c>
      <c r="O137" s="13">
        <f>IF(A137="","",COUNTIFS('Giao việc'!$M$5:$M$3004,A137,'Giao việc'!$L$5:$L$3004,"*QUÁ HẠN*"))</f>
        <v/>
      </c>
      <c r="P137" s="13">
        <f>IF(A137="","",COUNTIFS('Giao việc'!$M$5:$M$3004,A137,'Giao việc'!$L$5:$L$3004,"CHƯA GIAO*"))</f>
        <v/>
      </c>
      <c r="Q137" s="14">
        <f>IF(OR(A137="",N(M137)=0),"",N137/M137)</f>
        <v/>
      </c>
      <c r="R137" s="15">
        <f>IF(Q137="","",REPT("█",ROUND(Q137*10,0))&amp;REPT("░",10-ROUND(Q137*10,0)))</f>
        <v/>
      </c>
      <c r="S137" s="13">
        <f>IF(C137="","Chưa có ngày",IF(C137&gt;TODAY(),"Còn "&amp;(C137-TODAY())&amp;" ngày",IF(IF(D137="",C137,D137)&gt;=TODAY(),"Đang diễn ra","Đã qua "&amp;(TODAY()-IF(D137="",C137,D137))&amp;" ngày")))</f>
        <v/>
      </c>
      <c r="T137" s="13">
        <f>IF(AND(A137&lt;&gt;"",L137="Có",ISNUMBER(C137)),IF(IF(D137="",C137,D137)&gt;=TODAY()-35,C137+ROW()/100000,""),"")</f>
        <v/>
      </c>
    </row>
    <row r="138">
      <c r="A138" s="25" t="n"/>
      <c r="B138" s="11" t="n"/>
      <c r="C138" s="12" t="n"/>
      <c r="D138" s="12" t="n"/>
      <c r="E138" s="13" t="n"/>
      <c r="F138" s="13" t="n"/>
      <c r="G138" s="13" t="n"/>
      <c r="H138" s="13" t="n"/>
      <c r="I138" s="25" t="n"/>
      <c r="J138" s="25" t="n"/>
      <c r="K138" s="26" t="n"/>
      <c r="L138" s="26" t="n"/>
      <c r="M138" s="13">
        <f>IF(A138="","",COUNTIFS('Giao việc'!$M$5:$M$3004,A138,'Giao việc'!$I$5:$I$3004,"&lt;&gt;Bỏ qua"))</f>
        <v/>
      </c>
      <c r="N138" s="13">
        <f>IF(A138="","",COUNTIFS('Giao việc'!$M$5:$M$3004,A138,'Giao việc'!$I$5:$I$3004,"Xong"))</f>
        <v/>
      </c>
      <c r="O138" s="13">
        <f>IF(A138="","",COUNTIFS('Giao việc'!$M$5:$M$3004,A138,'Giao việc'!$L$5:$L$3004,"*QUÁ HẠN*"))</f>
        <v/>
      </c>
      <c r="P138" s="13">
        <f>IF(A138="","",COUNTIFS('Giao việc'!$M$5:$M$3004,A138,'Giao việc'!$L$5:$L$3004,"CHƯA GIAO*"))</f>
        <v/>
      </c>
      <c r="Q138" s="14">
        <f>IF(OR(A138="",N(M138)=0),"",N138/M138)</f>
        <v/>
      </c>
      <c r="R138" s="15">
        <f>IF(Q138="","",REPT("█",ROUND(Q138*10,0))&amp;REPT("░",10-ROUND(Q138*10,0)))</f>
        <v/>
      </c>
      <c r="S138" s="13">
        <f>IF(C138="","Chưa có ngày",IF(C138&gt;TODAY(),"Còn "&amp;(C138-TODAY())&amp;" ngày",IF(IF(D138="",C138,D138)&gt;=TODAY(),"Đang diễn ra","Đã qua "&amp;(TODAY()-IF(D138="",C138,D138))&amp;" ngày")))</f>
        <v/>
      </c>
      <c r="T138" s="13">
        <f>IF(AND(A138&lt;&gt;"",L138="Có",ISNUMBER(C138)),IF(IF(D138="",C138,D138)&gt;=TODAY()-35,C138+ROW()/100000,""),"")</f>
        <v/>
      </c>
    </row>
    <row r="139">
      <c r="A139" s="25" t="n"/>
      <c r="B139" s="11" t="n"/>
      <c r="C139" s="12" t="n"/>
      <c r="D139" s="12" t="n"/>
      <c r="E139" s="13" t="n"/>
      <c r="F139" s="13" t="n"/>
      <c r="G139" s="13" t="n"/>
      <c r="H139" s="13" t="n"/>
      <c r="I139" s="25" t="n"/>
      <c r="J139" s="25" t="n"/>
      <c r="K139" s="26" t="n"/>
      <c r="L139" s="26" t="n"/>
      <c r="M139" s="13">
        <f>IF(A139="","",COUNTIFS('Giao việc'!$M$5:$M$3004,A139,'Giao việc'!$I$5:$I$3004,"&lt;&gt;Bỏ qua"))</f>
        <v/>
      </c>
      <c r="N139" s="13">
        <f>IF(A139="","",COUNTIFS('Giao việc'!$M$5:$M$3004,A139,'Giao việc'!$I$5:$I$3004,"Xong"))</f>
        <v/>
      </c>
      <c r="O139" s="13">
        <f>IF(A139="","",COUNTIFS('Giao việc'!$M$5:$M$3004,A139,'Giao việc'!$L$5:$L$3004,"*QUÁ HẠN*"))</f>
        <v/>
      </c>
      <c r="P139" s="13">
        <f>IF(A139="","",COUNTIFS('Giao việc'!$M$5:$M$3004,A139,'Giao việc'!$L$5:$L$3004,"CHƯA GIAO*"))</f>
        <v/>
      </c>
      <c r="Q139" s="14">
        <f>IF(OR(A139="",N(M139)=0),"",N139/M139)</f>
        <v/>
      </c>
      <c r="R139" s="15">
        <f>IF(Q139="","",REPT("█",ROUND(Q139*10,0))&amp;REPT("░",10-ROUND(Q139*10,0)))</f>
        <v/>
      </c>
      <c r="S139" s="13">
        <f>IF(C139="","Chưa có ngày",IF(C139&gt;TODAY(),"Còn "&amp;(C139-TODAY())&amp;" ngày",IF(IF(D139="",C139,D139)&gt;=TODAY(),"Đang diễn ra","Đã qua "&amp;(TODAY()-IF(D139="",C139,D139))&amp;" ngày")))</f>
        <v/>
      </c>
      <c r="T139" s="13">
        <f>IF(AND(A139&lt;&gt;"",L139="Có",ISNUMBER(C139)),IF(IF(D139="",C139,D139)&gt;=TODAY()-35,C139+ROW()/100000,""),"")</f>
        <v/>
      </c>
    </row>
    <row r="140">
      <c r="A140" s="25" t="n"/>
      <c r="B140" s="11" t="n"/>
      <c r="C140" s="12" t="n"/>
      <c r="D140" s="12" t="n"/>
      <c r="E140" s="13" t="n"/>
      <c r="F140" s="13" t="n"/>
      <c r="G140" s="13" t="n"/>
      <c r="H140" s="13" t="n"/>
      <c r="I140" s="25" t="n"/>
      <c r="J140" s="25" t="n"/>
      <c r="K140" s="26" t="n"/>
      <c r="L140" s="26" t="n"/>
      <c r="M140" s="13">
        <f>IF(A140="","",COUNTIFS('Giao việc'!$M$5:$M$3004,A140,'Giao việc'!$I$5:$I$3004,"&lt;&gt;Bỏ qua"))</f>
        <v/>
      </c>
      <c r="N140" s="13">
        <f>IF(A140="","",COUNTIFS('Giao việc'!$M$5:$M$3004,A140,'Giao việc'!$I$5:$I$3004,"Xong"))</f>
        <v/>
      </c>
      <c r="O140" s="13">
        <f>IF(A140="","",COUNTIFS('Giao việc'!$M$5:$M$3004,A140,'Giao việc'!$L$5:$L$3004,"*QUÁ HẠN*"))</f>
        <v/>
      </c>
      <c r="P140" s="13">
        <f>IF(A140="","",COUNTIFS('Giao việc'!$M$5:$M$3004,A140,'Giao việc'!$L$5:$L$3004,"CHƯA GIAO*"))</f>
        <v/>
      </c>
      <c r="Q140" s="14">
        <f>IF(OR(A140="",N(M140)=0),"",N140/M140)</f>
        <v/>
      </c>
      <c r="R140" s="15">
        <f>IF(Q140="","",REPT("█",ROUND(Q140*10,0))&amp;REPT("░",10-ROUND(Q140*10,0)))</f>
        <v/>
      </c>
      <c r="S140" s="13">
        <f>IF(C140="","Chưa có ngày",IF(C140&gt;TODAY(),"Còn "&amp;(C140-TODAY())&amp;" ngày",IF(IF(D140="",C140,D140)&gt;=TODAY(),"Đang diễn ra","Đã qua "&amp;(TODAY()-IF(D140="",C140,D140))&amp;" ngày")))</f>
        <v/>
      </c>
      <c r="T140" s="13">
        <f>IF(AND(A140&lt;&gt;"",L140="Có",ISNUMBER(C140)),IF(IF(D140="",C140,D140)&gt;=TODAY()-35,C140+ROW()/100000,""),"")</f>
        <v/>
      </c>
    </row>
    <row r="141">
      <c r="A141" s="25" t="n"/>
      <c r="B141" s="11" t="n"/>
      <c r="C141" s="12" t="n"/>
      <c r="D141" s="12" t="n"/>
      <c r="E141" s="13" t="n"/>
      <c r="F141" s="13" t="n"/>
      <c r="G141" s="13" t="n"/>
      <c r="H141" s="13" t="n"/>
      <c r="I141" s="25" t="n"/>
      <c r="J141" s="25" t="n"/>
      <c r="K141" s="26" t="n"/>
      <c r="L141" s="26" t="n"/>
      <c r="M141" s="13">
        <f>IF(A141="","",COUNTIFS('Giao việc'!$M$5:$M$3004,A141,'Giao việc'!$I$5:$I$3004,"&lt;&gt;Bỏ qua"))</f>
        <v/>
      </c>
      <c r="N141" s="13">
        <f>IF(A141="","",COUNTIFS('Giao việc'!$M$5:$M$3004,A141,'Giao việc'!$I$5:$I$3004,"Xong"))</f>
        <v/>
      </c>
      <c r="O141" s="13">
        <f>IF(A141="","",COUNTIFS('Giao việc'!$M$5:$M$3004,A141,'Giao việc'!$L$5:$L$3004,"*QUÁ HẠN*"))</f>
        <v/>
      </c>
      <c r="P141" s="13">
        <f>IF(A141="","",COUNTIFS('Giao việc'!$M$5:$M$3004,A141,'Giao việc'!$L$5:$L$3004,"CHƯA GIAO*"))</f>
        <v/>
      </c>
      <c r="Q141" s="14">
        <f>IF(OR(A141="",N(M141)=0),"",N141/M141)</f>
        <v/>
      </c>
      <c r="R141" s="15">
        <f>IF(Q141="","",REPT("█",ROUND(Q141*10,0))&amp;REPT("░",10-ROUND(Q141*10,0)))</f>
        <v/>
      </c>
      <c r="S141" s="13">
        <f>IF(C141="","Chưa có ngày",IF(C141&gt;TODAY(),"Còn "&amp;(C141-TODAY())&amp;" ngày",IF(IF(D141="",C141,D141)&gt;=TODAY(),"Đang diễn ra","Đã qua "&amp;(TODAY()-IF(D141="",C141,D141))&amp;" ngày")))</f>
        <v/>
      </c>
      <c r="T141" s="13">
        <f>IF(AND(A141&lt;&gt;"",L141="Có",ISNUMBER(C141)),IF(IF(D141="",C141,D141)&gt;=TODAY()-35,C141+ROW()/100000,""),"")</f>
        <v/>
      </c>
    </row>
    <row r="142">
      <c r="A142" s="25" t="n"/>
      <c r="B142" s="11" t="n"/>
      <c r="C142" s="12" t="n"/>
      <c r="D142" s="12" t="n"/>
      <c r="E142" s="13" t="n"/>
      <c r="F142" s="13" t="n"/>
      <c r="G142" s="13" t="n"/>
      <c r="H142" s="13" t="n"/>
      <c r="I142" s="25" t="n"/>
      <c r="J142" s="25" t="n"/>
      <c r="K142" s="26" t="n"/>
      <c r="L142" s="26" t="n"/>
      <c r="M142" s="13">
        <f>IF(A142="","",COUNTIFS('Giao việc'!$M$5:$M$3004,A142,'Giao việc'!$I$5:$I$3004,"&lt;&gt;Bỏ qua"))</f>
        <v/>
      </c>
      <c r="N142" s="13">
        <f>IF(A142="","",COUNTIFS('Giao việc'!$M$5:$M$3004,A142,'Giao việc'!$I$5:$I$3004,"Xong"))</f>
        <v/>
      </c>
      <c r="O142" s="13">
        <f>IF(A142="","",COUNTIFS('Giao việc'!$M$5:$M$3004,A142,'Giao việc'!$L$5:$L$3004,"*QUÁ HẠN*"))</f>
        <v/>
      </c>
      <c r="P142" s="13">
        <f>IF(A142="","",COUNTIFS('Giao việc'!$M$5:$M$3004,A142,'Giao việc'!$L$5:$L$3004,"CHƯA GIAO*"))</f>
        <v/>
      </c>
      <c r="Q142" s="14">
        <f>IF(OR(A142="",N(M142)=0),"",N142/M142)</f>
        <v/>
      </c>
      <c r="R142" s="15">
        <f>IF(Q142="","",REPT("█",ROUND(Q142*10,0))&amp;REPT("░",10-ROUND(Q142*10,0)))</f>
        <v/>
      </c>
      <c r="S142" s="13">
        <f>IF(C142="","Chưa có ngày",IF(C142&gt;TODAY(),"Còn "&amp;(C142-TODAY())&amp;" ngày",IF(IF(D142="",C142,D142)&gt;=TODAY(),"Đang diễn ra","Đã qua "&amp;(TODAY()-IF(D142="",C142,D142))&amp;" ngày")))</f>
        <v/>
      </c>
      <c r="T142" s="13">
        <f>IF(AND(A142&lt;&gt;"",L142="Có",ISNUMBER(C142)),IF(IF(D142="",C142,D142)&gt;=TODAY()-35,C142+ROW()/100000,""),"")</f>
        <v/>
      </c>
    </row>
    <row r="143">
      <c r="A143" s="25" t="n"/>
      <c r="B143" s="11" t="n"/>
      <c r="C143" s="12" t="n"/>
      <c r="D143" s="12" t="n"/>
      <c r="E143" s="13" t="n"/>
      <c r="F143" s="13" t="n"/>
      <c r="G143" s="13" t="n"/>
      <c r="H143" s="13" t="n"/>
      <c r="I143" s="25" t="n"/>
      <c r="J143" s="25" t="n"/>
      <c r="K143" s="26" t="n"/>
      <c r="L143" s="26" t="n"/>
      <c r="M143" s="13">
        <f>IF(A143="","",COUNTIFS('Giao việc'!$M$5:$M$3004,A143,'Giao việc'!$I$5:$I$3004,"&lt;&gt;Bỏ qua"))</f>
        <v/>
      </c>
      <c r="N143" s="13">
        <f>IF(A143="","",COUNTIFS('Giao việc'!$M$5:$M$3004,A143,'Giao việc'!$I$5:$I$3004,"Xong"))</f>
        <v/>
      </c>
      <c r="O143" s="13">
        <f>IF(A143="","",COUNTIFS('Giao việc'!$M$5:$M$3004,A143,'Giao việc'!$L$5:$L$3004,"*QUÁ HẠN*"))</f>
        <v/>
      </c>
      <c r="P143" s="13">
        <f>IF(A143="","",COUNTIFS('Giao việc'!$M$5:$M$3004,A143,'Giao việc'!$L$5:$L$3004,"CHƯA GIAO*"))</f>
        <v/>
      </c>
      <c r="Q143" s="14">
        <f>IF(OR(A143="",N(M143)=0),"",N143/M143)</f>
        <v/>
      </c>
      <c r="R143" s="15">
        <f>IF(Q143="","",REPT("█",ROUND(Q143*10,0))&amp;REPT("░",10-ROUND(Q143*10,0)))</f>
        <v/>
      </c>
      <c r="S143" s="13">
        <f>IF(C143="","Chưa có ngày",IF(C143&gt;TODAY(),"Còn "&amp;(C143-TODAY())&amp;" ngày",IF(IF(D143="",C143,D143)&gt;=TODAY(),"Đang diễn ra","Đã qua "&amp;(TODAY()-IF(D143="",C143,D143))&amp;" ngày")))</f>
        <v/>
      </c>
      <c r="T143" s="13">
        <f>IF(AND(A143&lt;&gt;"",L143="Có",ISNUMBER(C143)),IF(IF(D143="",C143,D143)&gt;=TODAY()-35,C143+ROW()/100000,""),"")</f>
        <v/>
      </c>
    </row>
    <row r="144">
      <c r="A144" s="25" t="n"/>
      <c r="B144" s="11" t="n"/>
      <c r="C144" s="12" t="n"/>
      <c r="D144" s="12" t="n"/>
      <c r="E144" s="13" t="n"/>
      <c r="F144" s="13" t="n"/>
      <c r="G144" s="13" t="n"/>
      <c r="H144" s="13" t="n"/>
      <c r="I144" s="25" t="n"/>
      <c r="J144" s="25" t="n"/>
      <c r="K144" s="26" t="n"/>
      <c r="L144" s="26" t="n"/>
      <c r="M144" s="13">
        <f>IF(A144="","",COUNTIFS('Giao việc'!$M$5:$M$3004,A144,'Giao việc'!$I$5:$I$3004,"&lt;&gt;Bỏ qua"))</f>
        <v/>
      </c>
      <c r="N144" s="13">
        <f>IF(A144="","",COUNTIFS('Giao việc'!$M$5:$M$3004,A144,'Giao việc'!$I$5:$I$3004,"Xong"))</f>
        <v/>
      </c>
      <c r="O144" s="13">
        <f>IF(A144="","",COUNTIFS('Giao việc'!$M$5:$M$3004,A144,'Giao việc'!$L$5:$L$3004,"*QUÁ HẠN*"))</f>
        <v/>
      </c>
      <c r="P144" s="13">
        <f>IF(A144="","",COUNTIFS('Giao việc'!$M$5:$M$3004,A144,'Giao việc'!$L$5:$L$3004,"CHƯA GIAO*"))</f>
        <v/>
      </c>
      <c r="Q144" s="14">
        <f>IF(OR(A144="",N(M144)=0),"",N144/M144)</f>
        <v/>
      </c>
      <c r="R144" s="15">
        <f>IF(Q144="","",REPT("█",ROUND(Q144*10,0))&amp;REPT("░",10-ROUND(Q144*10,0)))</f>
        <v/>
      </c>
      <c r="S144" s="13">
        <f>IF(C144="","Chưa có ngày",IF(C144&gt;TODAY(),"Còn "&amp;(C144-TODAY())&amp;" ngày",IF(IF(D144="",C144,D144)&gt;=TODAY(),"Đang diễn ra","Đã qua "&amp;(TODAY()-IF(D144="",C144,D144))&amp;" ngày")))</f>
        <v/>
      </c>
      <c r="T144" s="13">
        <f>IF(AND(A144&lt;&gt;"",L144="Có",ISNUMBER(C144)),IF(IF(D144="",C144,D144)&gt;=TODAY()-35,C144+ROW()/100000,""),"")</f>
        <v/>
      </c>
    </row>
    <row r="145">
      <c r="A145" s="25" t="n"/>
      <c r="B145" s="11" t="n"/>
      <c r="C145" s="12" t="n"/>
      <c r="D145" s="12" t="n"/>
      <c r="E145" s="13" t="n"/>
      <c r="F145" s="13" t="n"/>
      <c r="G145" s="13" t="n"/>
      <c r="H145" s="13" t="n"/>
      <c r="I145" s="25" t="n"/>
      <c r="J145" s="25" t="n"/>
      <c r="K145" s="26" t="n"/>
      <c r="L145" s="26" t="n"/>
      <c r="M145" s="13">
        <f>IF(A145="","",COUNTIFS('Giao việc'!$M$5:$M$3004,A145,'Giao việc'!$I$5:$I$3004,"&lt;&gt;Bỏ qua"))</f>
        <v/>
      </c>
      <c r="N145" s="13">
        <f>IF(A145="","",COUNTIFS('Giao việc'!$M$5:$M$3004,A145,'Giao việc'!$I$5:$I$3004,"Xong"))</f>
        <v/>
      </c>
      <c r="O145" s="13">
        <f>IF(A145="","",COUNTIFS('Giao việc'!$M$5:$M$3004,A145,'Giao việc'!$L$5:$L$3004,"*QUÁ HẠN*"))</f>
        <v/>
      </c>
      <c r="P145" s="13">
        <f>IF(A145="","",COUNTIFS('Giao việc'!$M$5:$M$3004,A145,'Giao việc'!$L$5:$L$3004,"CHƯA GIAO*"))</f>
        <v/>
      </c>
      <c r="Q145" s="14">
        <f>IF(OR(A145="",N(M145)=0),"",N145/M145)</f>
        <v/>
      </c>
      <c r="R145" s="15">
        <f>IF(Q145="","",REPT("█",ROUND(Q145*10,0))&amp;REPT("░",10-ROUND(Q145*10,0)))</f>
        <v/>
      </c>
      <c r="S145" s="13">
        <f>IF(C145="","Chưa có ngày",IF(C145&gt;TODAY(),"Còn "&amp;(C145-TODAY())&amp;" ngày",IF(IF(D145="",C145,D145)&gt;=TODAY(),"Đang diễn ra","Đã qua "&amp;(TODAY()-IF(D145="",C145,D145))&amp;" ngày")))</f>
        <v/>
      </c>
      <c r="T145" s="13">
        <f>IF(AND(A145&lt;&gt;"",L145="Có",ISNUMBER(C145)),IF(IF(D145="",C145,D145)&gt;=TODAY()-35,C145+ROW()/100000,""),"")</f>
        <v/>
      </c>
    </row>
    <row r="146">
      <c r="A146" s="25" t="n"/>
      <c r="B146" s="11" t="n"/>
      <c r="C146" s="12" t="n"/>
      <c r="D146" s="12" t="n"/>
      <c r="E146" s="13" t="n"/>
      <c r="F146" s="13" t="n"/>
      <c r="G146" s="13" t="n"/>
      <c r="H146" s="13" t="n"/>
      <c r="I146" s="25" t="n"/>
      <c r="J146" s="25" t="n"/>
      <c r="K146" s="26" t="n"/>
      <c r="L146" s="26" t="n"/>
      <c r="M146" s="13">
        <f>IF(A146="","",COUNTIFS('Giao việc'!$M$5:$M$3004,A146,'Giao việc'!$I$5:$I$3004,"&lt;&gt;Bỏ qua"))</f>
        <v/>
      </c>
      <c r="N146" s="13">
        <f>IF(A146="","",COUNTIFS('Giao việc'!$M$5:$M$3004,A146,'Giao việc'!$I$5:$I$3004,"Xong"))</f>
        <v/>
      </c>
      <c r="O146" s="13">
        <f>IF(A146="","",COUNTIFS('Giao việc'!$M$5:$M$3004,A146,'Giao việc'!$L$5:$L$3004,"*QUÁ HẠN*"))</f>
        <v/>
      </c>
      <c r="P146" s="13">
        <f>IF(A146="","",COUNTIFS('Giao việc'!$M$5:$M$3004,A146,'Giao việc'!$L$5:$L$3004,"CHƯA GIAO*"))</f>
        <v/>
      </c>
      <c r="Q146" s="14">
        <f>IF(OR(A146="",N(M146)=0),"",N146/M146)</f>
        <v/>
      </c>
      <c r="R146" s="15">
        <f>IF(Q146="","",REPT("█",ROUND(Q146*10,0))&amp;REPT("░",10-ROUND(Q146*10,0)))</f>
        <v/>
      </c>
      <c r="S146" s="13">
        <f>IF(C146="","Chưa có ngày",IF(C146&gt;TODAY(),"Còn "&amp;(C146-TODAY())&amp;" ngày",IF(IF(D146="",C146,D146)&gt;=TODAY(),"Đang diễn ra","Đã qua "&amp;(TODAY()-IF(D146="",C146,D146))&amp;" ngày")))</f>
        <v/>
      </c>
      <c r="T146" s="13">
        <f>IF(AND(A146&lt;&gt;"",L146="Có",ISNUMBER(C146)),IF(IF(D146="",C146,D146)&gt;=TODAY()-35,C146+ROW()/100000,""),"")</f>
        <v/>
      </c>
    </row>
    <row r="147">
      <c r="A147" s="25" t="n"/>
      <c r="B147" s="11" t="n"/>
      <c r="C147" s="12" t="n"/>
      <c r="D147" s="12" t="n"/>
      <c r="E147" s="13" t="n"/>
      <c r="F147" s="13" t="n"/>
      <c r="G147" s="13" t="n"/>
      <c r="H147" s="13" t="n"/>
      <c r="I147" s="25" t="n"/>
      <c r="J147" s="25" t="n"/>
      <c r="K147" s="26" t="n"/>
      <c r="L147" s="26" t="n"/>
      <c r="M147" s="13">
        <f>IF(A147="","",COUNTIFS('Giao việc'!$M$5:$M$3004,A147,'Giao việc'!$I$5:$I$3004,"&lt;&gt;Bỏ qua"))</f>
        <v/>
      </c>
      <c r="N147" s="13">
        <f>IF(A147="","",COUNTIFS('Giao việc'!$M$5:$M$3004,A147,'Giao việc'!$I$5:$I$3004,"Xong"))</f>
        <v/>
      </c>
      <c r="O147" s="13">
        <f>IF(A147="","",COUNTIFS('Giao việc'!$M$5:$M$3004,A147,'Giao việc'!$L$5:$L$3004,"*QUÁ HẠN*"))</f>
        <v/>
      </c>
      <c r="P147" s="13">
        <f>IF(A147="","",COUNTIFS('Giao việc'!$M$5:$M$3004,A147,'Giao việc'!$L$5:$L$3004,"CHƯA GIAO*"))</f>
        <v/>
      </c>
      <c r="Q147" s="14">
        <f>IF(OR(A147="",N(M147)=0),"",N147/M147)</f>
        <v/>
      </c>
      <c r="R147" s="15">
        <f>IF(Q147="","",REPT("█",ROUND(Q147*10,0))&amp;REPT("░",10-ROUND(Q147*10,0)))</f>
        <v/>
      </c>
      <c r="S147" s="13">
        <f>IF(C147="","Chưa có ngày",IF(C147&gt;TODAY(),"Còn "&amp;(C147-TODAY())&amp;" ngày",IF(IF(D147="",C147,D147)&gt;=TODAY(),"Đang diễn ra","Đã qua "&amp;(TODAY()-IF(D147="",C147,D147))&amp;" ngày")))</f>
        <v/>
      </c>
      <c r="T147" s="13">
        <f>IF(AND(A147&lt;&gt;"",L147="Có",ISNUMBER(C147)),IF(IF(D147="",C147,D147)&gt;=TODAY()-35,C147+ROW()/100000,""),"")</f>
        <v/>
      </c>
    </row>
    <row r="148">
      <c r="A148" s="25" t="n"/>
      <c r="B148" s="11" t="n"/>
      <c r="C148" s="12" t="n"/>
      <c r="D148" s="12" t="n"/>
      <c r="E148" s="13" t="n"/>
      <c r="F148" s="13" t="n"/>
      <c r="G148" s="13" t="n"/>
      <c r="H148" s="13" t="n"/>
      <c r="I148" s="25" t="n"/>
      <c r="J148" s="25" t="n"/>
      <c r="K148" s="26" t="n"/>
      <c r="L148" s="26" t="n"/>
      <c r="M148" s="13">
        <f>IF(A148="","",COUNTIFS('Giao việc'!$M$5:$M$3004,A148,'Giao việc'!$I$5:$I$3004,"&lt;&gt;Bỏ qua"))</f>
        <v/>
      </c>
      <c r="N148" s="13">
        <f>IF(A148="","",COUNTIFS('Giao việc'!$M$5:$M$3004,A148,'Giao việc'!$I$5:$I$3004,"Xong"))</f>
        <v/>
      </c>
      <c r="O148" s="13">
        <f>IF(A148="","",COUNTIFS('Giao việc'!$M$5:$M$3004,A148,'Giao việc'!$L$5:$L$3004,"*QUÁ HẠN*"))</f>
        <v/>
      </c>
      <c r="P148" s="13">
        <f>IF(A148="","",COUNTIFS('Giao việc'!$M$5:$M$3004,A148,'Giao việc'!$L$5:$L$3004,"CHƯA GIAO*"))</f>
        <v/>
      </c>
      <c r="Q148" s="14">
        <f>IF(OR(A148="",N(M148)=0),"",N148/M148)</f>
        <v/>
      </c>
      <c r="R148" s="15">
        <f>IF(Q148="","",REPT("█",ROUND(Q148*10,0))&amp;REPT("░",10-ROUND(Q148*10,0)))</f>
        <v/>
      </c>
      <c r="S148" s="13">
        <f>IF(C148="","Chưa có ngày",IF(C148&gt;TODAY(),"Còn "&amp;(C148-TODAY())&amp;" ngày",IF(IF(D148="",C148,D148)&gt;=TODAY(),"Đang diễn ra","Đã qua "&amp;(TODAY()-IF(D148="",C148,D148))&amp;" ngày")))</f>
        <v/>
      </c>
      <c r="T148" s="13">
        <f>IF(AND(A148&lt;&gt;"",L148="Có",ISNUMBER(C148)),IF(IF(D148="",C148,D148)&gt;=TODAY()-35,C148+ROW()/100000,""),"")</f>
        <v/>
      </c>
    </row>
    <row r="149">
      <c r="A149" s="25" t="n"/>
      <c r="B149" s="11" t="n"/>
      <c r="C149" s="12" t="n"/>
      <c r="D149" s="12" t="n"/>
      <c r="E149" s="13" t="n"/>
      <c r="F149" s="13" t="n"/>
      <c r="G149" s="13" t="n"/>
      <c r="H149" s="13" t="n"/>
      <c r="I149" s="25" t="n"/>
      <c r="J149" s="25" t="n"/>
      <c r="K149" s="26" t="n"/>
      <c r="L149" s="26" t="n"/>
      <c r="M149" s="13">
        <f>IF(A149="","",COUNTIFS('Giao việc'!$M$5:$M$3004,A149,'Giao việc'!$I$5:$I$3004,"&lt;&gt;Bỏ qua"))</f>
        <v/>
      </c>
      <c r="N149" s="13">
        <f>IF(A149="","",COUNTIFS('Giao việc'!$M$5:$M$3004,A149,'Giao việc'!$I$5:$I$3004,"Xong"))</f>
        <v/>
      </c>
      <c r="O149" s="13">
        <f>IF(A149="","",COUNTIFS('Giao việc'!$M$5:$M$3004,A149,'Giao việc'!$L$5:$L$3004,"*QUÁ HẠN*"))</f>
        <v/>
      </c>
      <c r="P149" s="13">
        <f>IF(A149="","",COUNTIFS('Giao việc'!$M$5:$M$3004,A149,'Giao việc'!$L$5:$L$3004,"CHƯA GIAO*"))</f>
        <v/>
      </c>
      <c r="Q149" s="14">
        <f>IF(OR(A149="",N(M149)=0),"",N149/M149)</f>
        <v/>
      </c>
      <c r="R149" s="15">
        <f>IF(Q149="","",REPT("█",ROUND(Q149*10,0))&amp;REPT("░",10-ROUND(Q149*10,0)))</f>
        <v/>
      </c>
      <c r="S149" s="13">
        <f>IF(C149="","Chưa có ngày",IF(C149&gt;TODAY(),"Còn "&amp;(C149-TODAY())&amp;" ngày",IF(IF(D149="",C149,D149)&gt;=TODAY(),"Đang diễn ra","Đã qua "&amp;(TODAY()-IF(D149="",C149,D149))&amp;" ngày")))</f>
        <v/>
      </c>
      <c r="T149" s="13">
        <f>IF(AND(A149&lt;&gt;"",L149="Có",ISNUMBER(C149)),IF(IF(D149="",C149,D149)&gt;=TODAY()-35,C149+ROW()/100000,""),"")</f>
        <v/>
      </c>
    </row>
    <row r="150">
      <c r="A150" s="25" t="n"/>
      <c r="B150" s="11" t="n"/>
      <c r="C150" s="12" t="n"/>
      <c r="D150" s="12" t="n"/>
      <c r="E150" s="13" t="n"/>
      <c r="F150" s="13" t="n"/>
      <c r="G150" s="13" t="n"/>
      <c r="H150" s="13" t="n"/>
      <c r="I150" s="25" t="n"/>
      <c r="J150" s="25" t="n"/>
      <c r="K150" s="26" t="n"/>
      <c r="L150" s="26" t="n"/>
      <c r="M150" s="13">
        <f>IF(A150="","",COUNTIFS('Giao việc'!$M$5:$M$3004,A150,'Giao việc'!$I$5:$I$3004,"&lt;&gt;Bỏ qua"))</f>
        <v/>
      </c>
      <c r="N150" s="13">
        <f>IF(A150="","",COUNTIFS('Giao việc'!$M$5:$M$3004,A150,'Giao việc'!$I$5:$I$3004,"Xong"))</f>
        <v/>
      </c>
      <c r="O150" s="13">
        <f>IF(A150="","",COUNTIFS('Giao việc'!$M$5:$M$3004,A150,'Giao việc'!$L$5:$L$3004,"*QUÁ HẠN*"))</f>
        <v/>
      </c>
      <c r="P150" s="13">
        <f>IF(A150="","",COUNTIFS('Giao việc'!$M$5:$M$3004,A150,'Giao việc'!$L$5:$L$3004,"CHƯA GIAO*"))</f>
        <v/>
      </c>
      <c r="Q150" s="14">
        <f>IF(OR(A150="",N(M150)=0),"",N150/M150)</f>
        <v/>
      </c>
      <c r="R150" s="15">
        <f>IF(Q150="","",REPT("█",ROUND(Q150*10,0))&amp;REPT("░",10-ROUND(Q150*10,0)))</f>
        <v/>
      </c>
      <c r="S150" s="13">
        <f>IF(C150="","Chưa có ngày",IF(C150&gt;TODAY(),"Còn "&amp;(C150-TODAY())&amp;" ngày",IF(IF(D150="",C150,D150)&gt;=TODAY(),"Đang diễn ra","Đã qua "&amp;(TODAY()-IF(D150="",C150,D150))&amp;" ngày")))</f>
        <v/>
      </c>
      <c r="T150" s="13">
        <f>IF(AND(A150&lt;&gt;"",L150="Có",ISNUMBER(C150)),IF(IF(D150="",C150,D150)&gt;=TODAY()-35,C150+ROW()/100000,""),"")</f>
        <v/>
      </c>
    </row>
    <row r="151">
      <c r="A151" s="25" t="n"/>
      <c r="B151" s="11" t="n"/>
      <c r="C151" s="12" t="n"/>
      <c r="D151" s="12" t="n"/>
      <c r="E151" s="13" t="n"/>
      <c r="F151" s="13" t="n"/>
      <c r="G151" s="13" t="n"/>
      <c r="H151" s="13" t="n"/>
      <c r="I151" s="25" t="n"/>
      <c r="J151" s="25" t="n"/>
      <c r="K151" s="26" t="n"/>
      <c r="L151" s="26" t="n"/>
      <c r="M151" s="13">
        <f>IF(A151="","",COUNTIFS('Giao việc'!$M$5:$M$3004,A151,'Giao việc'!$I$5:$I$3004,"&lt;&gt;Bỏ qua"))</f>
        <v/>
      </c>
      <c r="N151" s="13">
        <f>IF(A151="","",COUNTIFS('Giao việc'!$M$5:$M$3004,A151,'Giao việc'!$I$5:$I$3004,"Xong"))</f>
        <v/>
      </c>
      <c r="O151" s="13">
        <f>IF(A151="","",COUNTIFS('Giao việc'!$M$5:$M$3004,A151,'Giao việc'!$L$5:$L$3004,"*QUÁ HẠN*"))</f>
        <v/>
      </c>
      <c r="P151" s="13">
        <f>IF(A151="","",COUNTIFS('Giao việc'!$M$5:$M$3004,A151,'Giao việc'!$L$5:$L$3004,"CHƯA GIAO*"))</f>
        <v/>
      </c>
      <c r="Q151" s="14">
        <f>IF(OR(A151="",N(M151)=0),"",N151/M151)</f>
        <v/>
      </c>
      <c r="R151" s="15">
        <f>IF(Q151="","",REPT("█",ROUND(Q151*10,0))&amp;REPT("░",10-ROUND(Q151*10,0)))</f>
        <v/>
      </c>
      <c r="S151" s="13">
        <f>IF(C151="","Chưa có ngày",IF(C151&gt;TODAY(),"Còn "&amp;(C151-TODAY())&amp;" ngày",IF(IF(D151="",C151,D151)&gt;=TODAY(),"Đang diễn ra","Đã qua "&amp;(TODAY()-IF(D151="",C151,D151))&amp;" ngày")))</f>
        <v/>
      </c>
      <c r="T151" s="13">
        <f>IF(AND(A151&lt;&gt;"",L151="Có",ISNUMBER(C151)),IF(IF(D151="",C151,D151)&gt;=TODAY()-35,C151+ROW()/100000,""),"")</f>
        <v/>
      </c>
    </row>
    <row r="152">
      <c r="A152" s="25" t="n"/>
      <c r="B152" s="11" t="n"/>
      <c r="C152" s="12" t="n"/>
      <c r="D152" s="12" t="n"/>
      <c r="E152" s="13" t="n"/>
      <c r="F152" s="13" t="n"/>
      <c r="G152" s="13" t="n"/>
      <c r="H152" s="13" t="n"/>
      <c r="I152" s="25" t="n"/>
      <c r="J152" s="25" t="n"/>
      <c r="K152" s="26" t="n"/>
      <c r="L152" s="26" t="n"/>
      <c r="M152" s="13">
        <f>IF(A152="","",COUNTIFS('Giao việc'!$M$5:$M$3004,A152,'Giao việc'!$I$5:$I$3004,"&lt;&gt;Bỏ qua"))</f>
        <v/>
      </c>
      <c r="N152" s="13">
        <f>IF(A152="","",COUNTIFS('Giao việc'!$M$5:$M$3004,A152,'Giao việc'!$I$5:$I$3004,"Xong"))</f>
        <v/>
      </c>
      <c r="O152" s="13">
        <f>IF(A152="","",COUNTIFS('Giao việc'!$M$5:$M$3004,A152,'Giao việc'!$L$5:$L$3004,"*QUÁ HẠN*"))</f>
        <v/>
      </c>
      <c r="P152" s="13">
        <f>IF(A152="","",COUNTIFS('Giao việc'!$M$5:$M$3004,A152,'Giao việc'!$L$5:$L$3004,"CHƯA GIAO*"))</f>
        <v/>
      </c>
      <c r="Q152" s="14">
        <f>IF(OR(A152="",N(M152)=0),"",N152/M152)</f>
        <v/>
      </c>
      <c r="R152" s="15">
        <f>IF(Q152="","",REPT("█",ROUND(Q152*10,0))&amp;REPT("░",10-ROUND(Q152*10,0)))</f>
        <v/>
      </c>
      <c r="S152" s="13">
        <f>IF(C152="","Chưa có ngày",IF(C152&gt;TODAY(),"Còn "&amp;(C152-TODAY())&amp;" ngày",IF(IF(D152="",C152,D152)&gt;=TODAY(),"Đang diễn ra","Đã qua "&amp;(TODAY()-IF(D152="",C152,D152))&amp;" ngày")))</f>
        <v/>
      </c>
      <c r="T152" s="13">
        <f>IF(AND(A152&lt;&gt;"",L152="Có",ISNUMBER(C152)),IF(IF(D152="",C152,D152)&gt;=TODAY()-35,C152+ROW()/100000,""),"")</f>
        <v/>
      </c>
    </row>
    <row r="153">
      <c r="A153" s="25" t="n"/>
      <c r="B153" s="11" t="n"/>
      <c r="C153" s="12" t="n"/>
      <c r="D153" s="12" t="n"/>
      <c r="E153" s="13" t="n"/>
      <c r="F153" s="13" t="n"/>
      <c r="G153" s="13" t="n"/>
      <c r="H153" s="13" t="n"/>
      <c r="I153" s="25" t="n"/>
      <c r="J153" s="25" t="n"/>
      <c r="K153" s="26" t="n"/>
      <c r="L153" s="26" t="n"/>
      <c r="M153" s="13">
        <f>IF(A153="","",COUNTIFS('Giao việc'!$M$5:$M$3004,A153,'Giao việc'!$I$5:$I$3004,"&lt;&gt;Bỏ qua"))</f>
        <v/>
      </c>
      <c r="N153" s="13">
        <f>IF(A153="","",COUNTIFS('Giao việc'!$M$5:$M$3004,A153,'Giao việc'!$I$5:$I$3004,"Xong"))</f>
        <v/>
      </c>
      <c r="O153" s="13">
        <f>IF(A153="","",COUNTIFS('Giao việc'!$M$5:$M$3004,A153,'Giao việc'!$L$5:$L$3004,"*QUÁ HẠN*"))</f>
        <v/>
      </c>
      <c r="P153" s="13">
        <f>IF(A153="","",COUNTIFS('Giao việc'!$M$5:$M$3004,A153,'Giao việc'!$L$5:$L$3004,"CHƯA GIAO*"))</f>
        <v/>
      </c>
      <c r="Q153" s="14">
        <f>IF(OR(A153="",N(M153)=0),"",N153/M153)</f>
        <v/>
      </c>
      <c r="R153" s="15">
        <f>IF(Q153="","",REPT("█",ROUND(Q153*10,0))&amp;REPT("░",10-ROUND(Q153*10,0)))</f>
        <v/>
      </c>
      <c r="S153" s="13">
        <f>IF(C153="","Chưa có ngày",IF(C153&gt;TODAY(),"Còn "&amp;(C153-TODAY())&amp;" ngày",IF(IF(D153="",C153,D153)&gt;=TODAY(),"Đang diễn ra","Đã qua "&amp;(TODAY()-IF(D153="",C153,D153))&amp;" ngày")))</f>
        <v/>
      </c>
      <c r="T153" s="13">
        <f>IF(AND(A153&lt;&gt;"",L153="Có",ISNUMBER(C153)),IF(IF(D153="",C153,D153)&gt;=TODAY()-35,C153+ROW()/100000,""),"")</f>
        <v/>
      </c>
    </row>
    <row r="154">
      <c r="A154" s="25" t="n"/>
      <c r="B154" s="11" t="n"/>
      <c r="C154" s="12" t="n"/>
      <c r="D154" s="12" t="n"/>
      <c r="E154" s="13" t="n"/>
      <c r="F154" s="13" t="n"/>
      <c r="G154" s="13" t="n"/>
      <c r="H154" s="13" t="n"/>
      <c r="I154" s="25" t="n"/>
      <c r="J154" s="25" t="n"/>
      <c r="K154" s="26" t="n"/>
      <c r="L154" s="26" t="n"/>
      <c r="M154" s="13">
        <f>IF(A154="","",COUNTIFS('Giao việc'!$M$5:$M$3004,A154,'Giao việc'!$I$5:$I$3004,"&lt;&gt;Bỏ qua"))</f>
        <v/>
      </c>
      <c r="N154" s="13">
        <f>IF(A154="","",COUNTIFS('Giao việc'!$M$5:$M$3004,A154,'Giao việc'!$I$5:$I$3004,"Xong"))</f>
        <v/>
      </c>
      <c r="O154" s="13">
        <f>IF(A154="","",COUNTIFS('Giao việc'!$M$5:$M$3004,A154,'Giao việc'!$L$5:$L$3004,"*QUÁ HẠN*"))</f>
        <v/>
      </c>
      <c r="P154" s="13">
        <f>IF(A154="","",COUNTIFS('Giao việc'!$M$5:$M$3004,A154,'Giao việc'!$L$5:$L$3004,"CHƯA GIAO*"))</f>
        <v/>
      </c>
      <c r="Q154" s="14">
        <f>IF(OR(A154="",N(M154)=0),"",N154/M154)</f>
        <v/>
      </c>
      <c r="R154" s="15">
        <f>IF(Q154="","",REPT("█",ROUND(Q154*10,0))&amp;REPT("░",10-ROUND(Q154*10,0)))</f>
        <v/>
      </c>
      <c r="S154" s="13">
        <f>IF(C154="","Chưa có ngày",IF(C154&gt;TODAY(),"Còn "&amp;(C154-TODAY())&amp;" ngày",IF(IF(D154="",C154,D154)&gt;=TODAY(),"Đang diễn ra","Đã qua "&amp;(TODAY()-IF(D154="",C154,D154))&amp;" ngày")))</f>
        <v/>
      </c>
      <c r="T154" s="13">
        <f>IF(AND(A154&lt;&gt;"",L154="Có",ISNUMBER(C154)),IF(IF(D154="",C154,D154)&gt;=TODAY()-35,C154+ROW()/100000,""),"")</f>
        <v/>
      </c>
    </row>
    <row r="155">
      <c r="A155" s="25" t="n"/>
      <c r="B155" s="11" t="n"/>
      <c r="C155" s="12" t="n"/>
      <c r="D155" s="12" t="n"/>
      <c r="E155" s="13" t="n"/>
      <c r="F155" s="13" t="n"/>
      <c r="G155" s="13" t="n"/>
      <c r="H155" s="13" t="n"/>
      <c r="I155" s="25" t="n"/>
      <c r="J155" s="25" t="n"/>
      <c r="K155" s="26" t="n"/>
      <c r="L155" s="26" t="n"/>
      <c r="M155" s="13">
        <f>IF(A155="","",COUNTIFS('Giao việc'!$M$5:$M$3004,A155,'Giao việc'!$I$5:$I$3004,"&lt;&gt;Bỏ qua"))</f>
        <v/>
      </c>
      <c r="N155" s="13">
        <f>IF(A155="","",COUNTIFS('Giao việc'!$M$5:$M$3004,A155,'Giao việc'!$I$5:$I$3004,"Xong"))</f>
        <v/>
      </c>
      <c r="O155" s="13">
        <f>IF(A155="","",COUNTIFS('Giao việc'!$M$5:$M$3004,A155,'Giao việc'!$L$5:$L$3004,"*QUÁ HẠN*"))</f>
        <v/>
      </c>
      <c r="P155" s="13">
        <f>IF(A155="","",COUNTIFS('Giao việc'!$M$5:$M$3004,A155,'Giao việc'!$L$5:$L$3004,"CHƯA GIAO*"))</f>
        <v/>
      </c>
      <c r="Q155" s="14">
        <f>IF(OR(A155="",N(M155)=0),"",N155/M155)</f>
        <v/>
      </c>
      <c r="R155" s="15">
        <f>IF(Q155="","",REPT("█",ROUND(Q155*10,0))&amp;REPT("░",10-ROUND(Q155*10,0)))</f>
        <v/>
      </c>
      <c r="S155" s="13">
        <f>IF(C155="","Chưa có ngày",IF(C155&gt;TODAY(),"Còn "&amp;(C155-TODAY())&amp;" ngày",IF(IF(D155="",C155,D155)&gt;=TODAY(),"Đang diễn ra","Đã qua "&amp;(TODAY()-IF(D155="",C155,D155))&amp;" ngày")))</f>
        <v/>
      </c>
      <c r="T155" s="13">
        <f>IF(AND(A155&lt;&gt;"",L155="Có",ISNUMBER(C155)),IF(IF(D155="",C155,D155)&gt;=TODAY()-35,C155+ROW()/100000,""),"")</f>
        <v/>
      </c>
    </row>
    <row r="156">
      <c r="A156" s="25" t="n"/>
      <c r="B156" s="11" t="n"/>
      <c r="C156" s="12" t="n"/>
      <c r="D156" s="12" t="n"/>
      <c r="E156" s="13" t="n"/>
      <c r="F156" s="13" t="n"/>
      <c r="G156" s="13" t="n"/>
      <c r="H156" s="13" t="n"/>
      <c r="I156" s="25" t="n"/>
      <c r="J156" s="25" t="n"/>
      <c r="K156" s="26" t="n"/>
      <c r="L156" s="26" t="n"/>
      <c r="M156" s="13">
        <f>IF(A156="","",COUNTIFS('Giao việc'!$M$5:$M$3004,A156,'Giao việc'!$I$5:$I$3004,"&lt;&gt;Bỏ qua"))</f>
        <v/>
      </c>
      <c r="N156" s="13">
        <f>IF(A156="","",COUNTIFS('Giao việc'!$M$5:$M$3004,A156,'Giao việc'!$I$5:$I$3004,"Xong"))</f>
        <v/>
      </c>
      <c r="O156" s="13">
        <f>IF(A156="","",COUNTIFS('Giao việc'!$M$5:$M$3004,A156,'Giao việc'!$L$5:$L$3004,"*QUÁ HẠN*"))</f>
        <v/>
      </c>
      <c r="P156" s="13">
        <f>IF(A156="","",COUNTIFS('Giao việc'!$M$5:$M$3004,A156,'Giao việc'!$L$5:$L$3004,"CHƯA GIAO*"))</f>
        <v/>
      </c>
      <c r="Q156" s="14">
        <f>IF(OR(A156="",N(M156)=0),"",N156/M156)</f>
        <v/>
      </c>
      <c r="R156" s="15">
        <f>IF(Q156="","",REPT("█",ROUND(Q156*10,0))&amp;REPT("░",10-ROUND(Q156*10,0)))</f>
        <v/>
      </c>
      <c r="S156" s="13">
        <f>IF(C156="","Chưa có ngày",IF(C156&gt;TODAY(),"Còn "&amp;(C156-TODAY())&amp;" ngày",IF(IF(D156="",C156,D156)&gt;=TODAY(),"Đang diễn ra","Đã qua "&amp;(TODAY()-IF(D156="",C156,D156))&amp;" ngày")))</f>
        <v/>
      </c>
      <c r="T156" s="13">
        <f>IF(AND(A156&lt;&gt;"",L156="Có",ISNUMBER(C156)),IF(IF(D156="",C156,D156)&gt;=TODAY()-35,C156+ROW()/100000,""),"")</f>
        <v/>
      </c>
    </row>
    <row r="157">
      <c r="A157" s="25" t="n"/>
      <c r="B157" s="11" t="n"/>
      <c r="C157" s="12" t="n"/>
      <c r="D157" s="12" t="n"/>
      <c r="E157" s="13" t="n"/>
      <c r="F157" s="13" t="n"/>
      <c r="G157" s="13" t="n"/>
      <c r="H157" s="13" t="n"/>
      <c r="I157" s="25" t="n"/>
      <c r="J157" s="25" t="n"/>
      <c r="K157" s="26" t="n"/>
      <c r="L157" s="26" t="n"/>
      <c r="M157" s="13">
        <f>IF(A157="","",COUNTIFS('Giao việc'!$M$5:$M$3004,A157,'Giao việc'!$I$5:$I$3004,"&lt;&gt;Bỏ qua"))</f>
        <v/>
      </c>
      <c r="N157" s="13">
        <f>IF(A157="","",COUNTIFS('Giao việc'!$M$5:$M$3004,A157,'Giao việc'!$I$5:$I$3004,"Xong"))</f>
        <v/>
      </c>
      <c r="O157" s="13">
        <f>IF(A157="","",COUNTIFS('Giao việc'!$M$5:$M$3004,A157,'Giao việc'!$L$5:$L$3004,"*QUÁ HẠN*"))</f>
        <v/>
      </c>
      <c r="P157" s="13">
        <f>IF(A157="","",COUNTIFS('Giao việc'!$M$5:$M$3004,A157,'Giao việc'!$L$5:$L$3004,"CHƯA GIAO*"))</f>
        <v/>
      </c>
      <c r="Q157" s="14">
        <f>IF(OR(A157="",N(M157)=0),"",N157/M157)</f>
        <v/>
      </c>
      <c r="R157" s="15">
        <f>IF(Q157="","",REPT("█",ROUND(Q157*10,0))&amp;REPT("░",10-ROUND(Q157*10,0)))</f>
        <v/>
      </c>
      <c r="S157" s="13">
        <f>IF(C157="","Chưa có ngày",IF(C157&gt;TODAY(),"Còn "&amp;(C157-TODAY())&amp;" ngày",IF(IF(D157="",C157,D157)&gt;=TODAY(),"Đang diễn ra","Đã qua "&amp;(TODAY()-IF(D157="",C157,D157))&amp;" ngày")))</f>
        <v/>
      </c>
      <c r="T157" s="13">
        <f>IF(AND(A157&lt;&gt;"",L157="Có",ISNUMBER(C157)),IF(IF(D157="",C157,D157)&gt;=TODAY()-35,C157+ROW()/100000,""),"")</f>
        <v/>
      </c>
    </row>
    <row r="158">
      <c r="A158" s="25" t="n"/>
      <c r="B158" s="11" t="n"/>
      <c r="C158" s="12" t="n"/>
      <c r="D158" s="12" t="n"/>
      <c r="E158" s="13" t="n"/>
      <c r="F158" s="13" t="n"/>
      <c r="G158" s="13" t="n"/>
      <c r="H158" s="13" t="n"/>
      <c r="I158" s="25" t="n"/>
      <c r="J158" s="25" t="n"/>
      <c r="K158" s="26" t="n"/>
      <c r="L158" s="26" t="n"/>
      <c r="M158" s="13">
        <f>IF(A158="","",COUNTIFS('Giao việc'!$M$5:$M$3004,A158,'Giao việc'!$I$5:$I$3004,"&lt;&gt;Bỏ qua"))</f>
        <v/>
      </c>
      <c r="N158" s="13">
        <f>IF(A158="","",COUNTIFS('Giao việc'!$M$5:$M$3004,A158,'Giao việc'!$I$5:$I$3004,"Xong"))</f>
        <v/>
      </c>
      <c r="O158" s="13">
        <f>IF(A158="","",COUNTIFS('Giao việc'!$M$5:$M$3004,A158,'Giao việc'!$L$5:$L$3004,"*QUÁ HẠN*"))</f>
        <v/>
      </c>
      <c r="P158" s="13">
        <f>IF(A158="","",COUNTIFS('Giao việc'!$M$5:$M$3004,A158,'Giao việc'!$L$5:$L$3004,"CHƯA GIAO*"))</f>
        <v/>
      </c>
      <c r="Q158" s="14">
        <f>IF(OR(A158="",N(M158)=0),"",N158/M158)</f>
        <v/>
      </c>
      <c r="R158" s="15">
        <f>IF(Q158="","",REPT("█",ROUND(Q158*10,0))&amp;REPT("░",10-ROUND(Q158*10,0)))</f>
        <v/>
      </c>
      <c r="S158" s="13">
        <f>IF(C158="","Chưa có ngày",IF(C158&gt;TODAY(),"Còn "&amp;(C158-TODAY())&amp;" ngày",IF(IF(D158="",C158,D158)&gt;=TODAY(),"Đang diễn ra","Đã qua "&amp;(TODAY()-IF(D158="",C158,D158))&amp;" ngày")))</f>
        <v/>
      </c>
      <c r="T158" s="13">
        <f>IF(AND(A158&lt;&gt;"",L158="Có",ISNUMBER(C158)),IF(IF(D158="",C158,D158)&gt;=TODAY()-35,C158+ROW()/100000,""),"")</f>
        <v/>
      </c>
    </row>
    <row r="159">
      <c r="A159" s="25" t="n"/>
      <c r="B159" s="11" t="n"/>
      <c r="C159" s="12" t="n"/>
      <c r="D159" s="12" t="n"/>
      <c r="E159" s="13" t="n"/>
      <c r="F159" s="13" t="n"/>
      <c r="G159" s="13" t="n"/>
      <c r="H159" s="13" t="n"/>
      <c r="I159" s="25" t="n"/>
      <c r="J159" s="25" t="n"/>
      <c r="K159" s="26" t="n"/>
      <c r="L159" s="26" t="n"/>
      <c r="M159" s="13">
        <f>IF(A159="","",COUNTIFS('Giao việc'!$M$5:$M$3004,A159,'Giao việc'!$I$5:$I$3004,"&lt;&gt;Bỏ qua"))</f>
        <v/>
      </c>
      <c r="N159" s="13">
        <f>IF(A159="","",COUNTIFS('Giao việc'!$M$5:$M$3004,A159,'Giao việc'!$I$5:$I$3004,"Xong"))</f>
        <v/>
      </c>
      <c r="O159" s="13">
        <f>IF(A159="","",COUNTIFS('Giao việc'!$M$5:$M$3004,A159,'Giao việc'!$L$5:$L$3004,"*QUÁ HẠN*"))</f>
        <v/>
      </c>
      <c r="P159" s="13">
        <f>IF(A159="","",COUNTIFS('Giao việc'!$M$5:$M$3004,A159,'Giao việc'!$L$5:$L$3004,"CHƯA GIAO*"))</f>
        <v/>
      </c>
      <c r="Q159" s="14">
        <f>IF(OR(A159="",N(M159)=0),"",N159/M159)</f>
        <v/>
      </c>
      <c r="R159" s="15">
        <f>IF(Q159="","",REPT("█",ROUND(Q159*10,0))&amp;REPT("░",10-ROUND(Q159*10,0)))</f>
        <v/>
      </c>
      <c r="S159" s="13">
        <f>IF(C159="","Chưa có ngày",IF(C159&gt;TODAY(),"Còn "&amp;(C159-TODAY())&amp;" ngày",IF(IF(D159="",C159,D159)&gt;=TODAY(),"Đang diễn ra","Đã qua "&amp;(TODAY()-IF(D159="",C159,D159))&amp;" ngày")))</f>
        <v/>
      </c>
      <c r="T159" s="13">
        <f>IF(AND(A159&lt;&gt;"",L159="Có",ISNUMBER(C159)),IF(IF(D159="",C159,D159)&gt;=TODAY()-35,C159+ROW()/100000,""),"")</f>
        <v/>
      </c>
    </row>
    <row r="160">
      <c r="A160" s="25" t="n"/>
      <c r="B160" s="11" t="n"/>
      <c r="C160" s="12" t="n"/>
      <c r="D160" s="12" t="n"/>
      <c r="E160" s="13" t="n"/>
      <c r="F160" s="13" t="n"/>
      <c r="G160" s="13" t="n"/>
      <c r="H160" s="13" t="n"/>
      <c r="I160" s="25" t="n"/>
      <c r="J160" s="25" t="n"/>
      <c r="K160" s="26" t="n"/>
      <c r="L160" s="26" t="n"/>
      <c r="M160" s="13">
        <f>IF(A160="","",COUNTIFS('Giao việc'!$M$5:$M$3004,A160,'Giao việc'!$I$5:$I$3004,"&lt;&gt;Bỏ qua"))</f>
        <v/>
      </c>
      <c r="N160" s="13">
        <f>IF(A160="","",COUNTIFS('Giao việc'!$M$5:$M$3004,A160,'Giao việc'!$I$5:$I$3004,"Xong"))</f>
        <v/>
      </c>
      <c r="O160" s="13">
        <f>IF(A160="","",COUNTIFS('Giao việc'!$M$5:$M$3004,A160,'Giao việc'!$L$5:$L$3004,"*QUÁ HẠN*"))</f>
        <v/>
      </c>
      <c r="P160" s="13">
        <f>IF(A160="","",COUNTIFS('Giao việc'!$M$5:$M$3004,A160,'Giao việc'!$L$5:$L$3004,"CHƯA GIAO*"))</f>
        <v/>
      </c>
      <c r="Q160" s="14">
        <f>IF(OR(A160="",N(M160)=0),"",N160/M160)</f>
        <v/>
      </c>
      <c r="R160" s="15">
        <f>IF(Q160="","",REPT("█",ROUND(Q160*10,0))&amp;REPT("░",10-ROUND(Q160*10,0)))</f>
        <v/>
      </c>
      <c r="S160" s="13">
        <f>IF(C160="","Chưa có ngày",IF(C160&gt;TODAY(),"Còn "&amp;(C160-TODAY())&amp;" ngày",IF(IF(D160="",C160,D160)&gt;=TODAY(),"Đang diễn ra","Đã qua "&amp;(TODAY()-IF(D160="",C160,D160))&amp;" ngày")))</f>
        <v/>
      </c>
      <c r="T160" s="13">
        <f>IF(AND(A160&lt;&gt;"",L160="Có",ISNUMBER(C160)),IF(IF(D160="",C160,D160)&gt;=TODAY()-35,C160+ROW()/100000,""),"")</f>
        <v/>
      </c>
    </row>
    <row r="161">
      <c r="A161" s="25" t="n"/>
      <c r="B161" s="11" t="n"/>
      <c r="C161" s="12" t="n"/>
      <c r="D161" s="12" t="n"/>
      <c r="E161" s="13" t="n"/>
      <c r="F161" s="13" t="n"/>
      <c r="G161" s="13" t="n"/>
      <c r="H161" s="13" t="n"/>
      <c r="I161" s="25" t="n"/>
      <c r="J161" s="25" t="n"/>
      <c r="K161" s="26" t="n"/>
      <c r="L161" s="26" t="n"/>
      <c r="M161" s="13">
        <f>IF(A161="","",COUNTIFS('Giao việc'!$M$5:$M$3004,A161,'Giao việc'!$I$5:$I$3004,"&lt;&gt;Bỏ qua"))</f>
        <v/>
      </c>
      <c r="N161" s="13">
        <f>IF(A161="","",COUNTIFS('Giao việc'!$M$5:$M$3004,A161,'Giao việc'!$I$5:$I$3004,"Xong"))</f>
        <v/>
      </c>
      <c r="O161" s="13">
        <f>IF(A161="","",COUNTIFS('Giao việc'!$M$5:$M$3004,A161,'Giao việc'!$L$5:$L$3004,"*QUÁ HẠN*"))</f>
        <v/>
      </c>
      <c r="P161" s="13">
        <f>IF(A161="","",COUNTIFS('Giao việc'!$M$5:$M$3004,A161,'Giao việc'!$L$5:$L$3004,"CHƯA GIAO*"))</f>
        <v/>
      </c>
      <c r="Q161" s="14">
        <f>IF(OR(A161="",N(M161)=0),"",N161/M161)</f>
        <v/>
      </c>
      <c r="R161" s="15">
        <f>IF(Q161="","",REPT("█",ROUND(Q161*10,0))&amp;REPT("░",10-ROUND(Q161*10,0)))</f>
        <v/>
      </c>
      <c r="S161" s="13">
        <f>IF(C161="","Chưa có ngày",IF(C161&gt;TODAY(),"Còn "&amp;(C161-TODAY())&amp;" ngày",IF(IF(D161="",C161,D161)&gt;=TODAY(),"Đang diễn ra","Đã qua "&amp;(TODAY()-IF(D161="",C161,D161))&amp;" ngày")))</f>
        <v/>
      </c>
      <c r="T161" s="13">
        <f>IF(AND(A161&lt;&gt;"",L161="Có",ISNUMBER(C161)),IF(IF(D161="",C161,D161)&gt;=TODAY()-35,C161+ROW()/100000,""),"")</f>
        <v/>
      </c>
    </row>
    <row r="162">
      <c r="A162" s="25" t="n"/>
      <c r="B162" s="11" t="n"/>
      <c r="C162" s="12" t="n"/>
      <c r="D162" s="12" t="n"/>
      <c r="E162" s="13" t="n"/>
      <c r="F162" s="13" t="n"/>
      <c r="G162" s="13" t="n"/>
      <c r="H162" s="13" t="n"/>
      <c r="I162" s="25" t="n"/>
      <c r="J162" s="25" t="n"/>
      <c r="K162" s="26" t="n"/>
      <c r="L162" s="26" t="n"/>
      <c r="M162" s="13">
        <f>IF(A162="","",COUNTIFS('Giao việc'!$M$5:$M$3004,A162,'Giao việc'!$I$5:$I$3004,"&lt;&gt;Bỏ qua"))</f>
        <v/>
      </c>
      <c r="N162" s="13">
        <f>IF(A162="","",COUNTIFS('Giao việc'!$M$5:$M$3004,A162,'Giao việc'!$I$5:$I$3004,"Xong"))</f>
        <v/>
      </c>
      <c r="O162" s="13">
        <f>IF(A162="","",COUNTIFS('Giao việc'!$M$5:$M$3004,A162,'Giao việc'!$L$5:$L$3004,"*QUÁ HẠN*"))</f>
        <v/>
      </c>
      <c r="P162" s="13">
        <f>IF(A162="","",COUNTIFS('Giao việc'!$M$5:$M$3004,A162,'Giao việc'!$L$5:$L$3004,"CHƯA GIAO*"))</f>
        <v/>
      </c>
      <c r="Q162" s="14">
        <f>IF(OR(A162="",N(M162)=0),"",N162/M162)</f>
        <v/>
      </c>
      <c r="R162" s="15">
        <f>IF(Q162="","",REPT("█",ROUND(Q162*10,0))&amp;REPT("░",10-ROUND(Q162*10,0)))</f>
        <v/>
      </c>
      <c r="S162" s="13">
        <f>IF(C162="","Chưa có ngày",IF(C162&gt;TODAY(),"Còn "&amp;(C162-TODAY())&amp;" ngày",IF(IF(D162="",C162,D162)&gt;=TODAY(),"Đang diễn ra","Đã qua "&amp;(TODAY()-IF(D162="",C162,D162))&amp;" ngày")))</f>
        <v/>
      </c>
      <c r="T162" s="13">
        <f>IF(AND(A162&lt;&gt;"",L162="Có",ISNUMBER(C162)),IF(IF(D162="",C162,D162)&gt;=TODAY()-35,C162+ROW()/100000,""),"")</f>
        <v/>
      </c>
    </row>
    <row r="163">
      <c r="A163" s="25" t="n"/>
      <c r="B163" s="11" t="n"/>
      <c r="C163" s="12" t="n"/>
      <c r="D163" s="12" t="n"/>
      <c r="E163" s="13" t="n"/>
      <c r="F163" s="13" t="n"/>
      <c r="G163" s="13" t="n"/>
      <c r="H163" s="13" t="n"/>
      <c r="I163" s="25" t="n"/>
      <c r="J163" s="25" t="n"/>
      <c r="K163" s="26" t="n"/>
      <c r="L163" s="26" t="n"/>
      <c r="M163" s="13">
        <f>IF(A163="","",COUNTIFS('Giao việc'!$M$5:$M$3004,A163,'Giao việc'!$I$5:$I$3004,"&lt;&gt;Bỏ qua"))</f>
        <v/>
      </c>
      <c r="N163" s="13">
        <f>IF(A163="","",COUNTIFS('Giao việc'!$M$5:$M$3004,A163,'Giao việc'!$I$5:$I$3004,"Xong"))</f>
        <v/>
      </c>
      <c r="O163" s="13">
        <f>IF(A163="","",COUNTIFS('Giao việc'!$M$5:$M$3004,A163,'Giao việc'!$L$5:$L$3004,"*QUÁ HẠN*"))</f>
        <v/>
      </c>
      <c r="P163" s="13">
        <f>IF(A163="","",COUNTIFS('Giao việc'!$M$5:$M$3004,A163,'Giao việc'!$L$5:$L$3004,"CHƯA GIAO*"))</f>
        <v/>
      </c>
      <c r="Q163" s="14">
        <f>IF(OR(A163="",N(M163)=0),"",N163/M163)</f>
        <v/>
      </c>
      <c r="R163" s="15">
        <f>IF(Q163="","",REPT("█",ROUND(Q163*10,0))&amp;REPT("░",10-ROUND(Q163*10,0)))</f>
        <v/>
      </c>
      <c r="S163" s="13">
        <f>IF(C163="","Chưa có ngày",IF(C163&gt;TODAY(),"Còn "&amp;(C163-TODAY())&amp;" ngày",IF(IF(D163="",C163,D163)&gt;=TODAY(),"Đang diễn ra","Đã qua "&amp;(TODAY()-IF(D163="",C163,D163))&amp;" ngày")))</f>
        <v/>
      </c>
      <c r="T163" s="13">
        <f>IF(AND(A163&lt;&gt;"",L163="Có",ISNUMBER(C163)),IF(IF(D163="",C163,D163)&gt;=TODAY()-35,C163+ROW()/100000,""),"")</f>
        <v/>
      </c>
    </row>
    <row r="164">
      <c r="A164" s="25" t="n"/>
      <c r="B164" s="11" t="n"/>
      <c r="C164" s="12" t="n"/>
      <c r="D164" s="12" t="n"/>
      <c r="E164" s="13" t="n"/>
      <c r="F164" s="13" t="n"/>
      <c r="G164" s="13" t="n"/>
      <c r="H164" s="13" t="n"/>
      <c r="I164" s="25" t="n"/>
      <c r="J164" s="25" t="n"/>
      <c r="K164" s="26" t="n"/>
      <c r="L164" s="26" t="n"/>
      <c r="M164" s="13">
        <f>IF(A164="","",COUNTIFS('Giao việc'!$M$5:$M$3004,A164,'Giao việc'!$I$5:$I$3004,"&lt;&gt;Bỏ qua"))</f>
        <v/>
      </c>
      <c r="N164" s="13">
        <f>IF(A164="","",COUNTIFS('Giao việc'!$M$5:$M$3004,A164,'Giao việc'!$I$5:$I$3004,"Xong"))</f>
        <v/>
      </c>
      <c r="O164" s="13">
        <f>IF(A164="","",COUNTIFS('Giao việc'!$M$5:$M$3004,A164,'Giao việc'!$L$5:$L$3004,"*QUÁ HẠN*"))</f>
        <v/>
      </c>
      <c r="P164" s="13">
        <f>IF(A164="","",COUNTIFS('Giao việc'!$M$5:$M$3004,A164,'Giao việc'!$L$5:$L$3004,"CHƯA GIAO*"))</f>
        <v/>
      </c>
      <c r="Q164" s="14">
        <f>IF(OR(A164="",N(M164)=0),"",N164/M164)</f>
        <v/>
      </c>
      <c r="R164" s="15">
        <f>IF(Q164="","",REPT("█",ROUND(Q164*10,0))&amp;REPT("░",10-ROUND(Q164*10,0)))</f>
        <v/>
      </c>
      <c r="S164" s="13">
        <f>IF(C164="","Chưa có ngày",IF(C164&gt;TODAY(),"Còn "&amp;(C164-TODAY())&amp;" ngày",IF(IF(D164="",C164,D164)&gt;=TODAY(),"Đang diễn ra","Đã qua "&amp;(TODAY()-IF(D164="",C164,D164))&amp;" ngày")))</f>
        <v/>
      </c>
      <c r="T164" s="13">
        <f>IF(AND(A164&lt;&gt;"",L164="Có",ISNUMBER(C164)),IF(IF(D164="",C164,D164)&gt;=TODAY()-35,C164+ROW()/100000,""),"")</f>
        <v/>
      </c>
    </row>
    <row r="165">
      <c r="A165" s="25" t="n"/>
      <c r="B165" s="11" t="n"/>
      <c r="C165" s="12" t="n"/>
      <c r="D165" s="12" t="n"/>
      <c r="E165" s="13" t="n"/>
      <c r="F165" s="13" t="n"/>
      <c r="G165" s="13" t="n"/>
      <c r="H165" s="13" t="n"/>
      <c r="I165" s="25" t="n"/>
      <c r="J165" s="25" t="n"/>
      <c r="K165" s="26" t="n"/>
      <c r="L165" s="26" t="n"/>
      <c r="M165" s="13">
        <f>IF(A165="","",COUNTIFS('Giao việc'!$M$5:$M$3004,A165,'Giao việc'!$I$5:$I$3004,"&lt;&gt;Bỏ qua"))</f>
        <v/>
      </c>
      <c r="N165" s="13">
        <f>IF(A165="","",COUNTIFS('Giao việc'!$M$5:$M$3004,A165,'Giao việc'!$I$5:$I$3004,"Xong"))</f>
        <v/>
      </c>
      <c r="O165" s="13">
        <f>IF(A165="","",COUNTIFS('Giao việc'!$M$5:$M$3004,A165,'Giao việc'!$L$5:$L$3004,"*QUÁ HẠN*"))</f>
        <v/>
      </c>
      <c r="P165" s="13">
        <f>IF(A165="","",COUNTIFS('Giao việc'!$M$5:$M$3004,A165,'Giao việc'!$L$5:$L$3004,"CHƯA GIAO*"))</f>
        <v/>
      </c>
      <c r="Q165" s="14">
        <f>IF(OR(A165="",N(M165)=0),"",N165/M165)</f>
        <v/>
      </c>
      <c r="R165" s="15">
        <f>IF(Q165="","",REPT("█",ROUND(Q165*10,0))&amp;REPT("░",10-ROUND(Q165*10,0)))</f>
        <v/>
      </c>
      <c r="S165" s="13">
        <f>IF(C165="","Chưa có ngày",IF(C165&gt;TODAY(),"Còn "&amp;(C165-TODAY())&amp;" ngày",IF(IF(D165="",C165,D165)&gt;=TODAY(),"Đang diễn ra","Đã qua "&amp;(TODAY()-IF(D165="",C165,D165))&amp;" ngày")))</f>
        <v/>
      </c>
      <c r="T165" s="13">
        <f>IF(AND(A165&lt;&gt;"",L165="Có",ISNUMBER(C165)),IF(IF(D165="",C165,D165)&gt;=TODAY()-35,C165+ROW()/100000,""),"")</f>
        <v/>
      </c>
    </row>
    <row r="166">
      <c r="A166" s="25" t="n"/>
      <c r="B166" s="11" t="n"/>
      <c r="C166" s="12" t="n"/>
      <c r="D166" s="12" t="n"/>
      <c r="E166" s="13" t="n"/>
      <c r="F166" s="13" t="n"/>
      <c r="G166" s="13" t="n"/>
      <c r="H166" s="13" t="n"/>
      <c r="I166" s="25" t="n"/>
      <c r="J166" s="25" t="n"/>
      <c r="K166" s="26" t="n"/>
      <c r="L166" s="26" t="n"/>
      <c r="M166" s="13">
        <f>IF(A166="","",COUNTIFS('Giao việc'!$M$5:$M$3004,A166,'Giao việc'!$I$5:$I$3004,"&lt;&gt;Bỏ qua"))</f>
        <v/>
      </c>
      <c r="N166" s="13">
        <f>IF(A166="","",COUNTIFS('Giao việc'!$M$5:$M$3004,A166,'Giao việc'!$I$5:$I$3004,"Xong"))</f>
        <v/>
      </c>
      <c r="O166" s="13">
        <f>IF(A166="","",COUNTIFS('Giao việc'!$M$5:$M$3004,A166,'Giao việc'!$L$5:$L$3004,"*QUÁ HẠN*"))</f>
        <v/>
      </c>
      <c r="P166" s="13">
        <f>IF(A166="","",COUNTIFS('Giao việc'!$M$5:$M$3004,A166,'Giao việc'!$L$5:$L$3004,"CHƯA GIAO*"))</f>
        <v/>
      </c>
      <c r="Q166" s="14">
        <f>IF(OR(A166="",N(M166)=0),"",N166/M166)</f>
        <v/>
      </c>
      <c r="R166" s="15">
        <f>IF(Q166="","",REPT("█",ROUND(Q166*10,0))&amp;REPT("░",10-ROUND(Q166*10,0)))</f>
        <v/>
      </c>
      <c r="S166" s="13">
        <f>IF(C166="","Chưa có ngày",IF(C166&gt;TODAY(),"Còn "&amp;(C166-TODAY())&amp;" ngày",IF(IF(D166="",C166,D166)&gt;=TODAY(),"Đang diễn ra","Đã qua "&amp;(TODAY()-IF(D166="",C166,D166))&amp;" ngày")))</f>
        <v/>
      </c>
      <c r="T166" s="13">
        <f>IF(AND(A166&lt;&gt;"",L166="Có",ISNUMBER(C166)),IF(IF(D166="",C166,D166)&gt;=TODAY()-35,C166+ROW()/100000,""),"")</f>
        <v/>
      </c>
    </row>
    <row r="167">
      <c r="A167" s="25" t="n"/>
      <c r="B167" s="11" t="n"/>
      <c r="C167" s="12" t="n"/>
      <c r="D167" s="12" t="n"/>
      <c r="E167" s="13" t="n"/>
      <c r="F167" s="13" t="n"/>
      <c r="G167" s="13" t="n"/>
      <c r="H167" s="13" t="n"/>
      <c r="I167" s="25" t="n"/>
      <c r="J167" s="25" t="n"/>
      <c r="K167" s="26" t="n"/>
      <c r="L167" s="26" t="n"/>
      <c r="M167" s="13">
        <f>IF(A167="","",COUNTIFS('Giao việc'!$M$5:$M$3004,A167,'Giao việc'!$I$5:$I$3004,"&lt;&gt;Bỏ qua"))</f>
        <v/>
      </c>
      <c r="N167" s="13">
        <f>IF(A167="","",COUNTIFS('Giao việc'!$M$5:$M$3004,A167,'Giao việc'!$I$5:$I$3004,"Xong"))</f>
        <v/>
      </c>
      <c r="O167" s="13">
        <f>IF(A167="","",COUNTIFS('Giao việc'!$M$5:$M$3004,A167,'Giao việc'!$L$5:$L$3004,"*QUÁ HẠN*"))</f>
        <v/>
      </c>
      <c r="P167" s="13">
        <f>IF(A167="","",COUNTIFS('Giao việc'!$M$5:$M$3004,A167,'Giao việc'!$L$5:$L$3004,"CHƯA GIAO*"))</f>
        <v/>
      </c>
      <c r="Q167" s="14">
        <f>IF(OR(A167="",N(M167)=0),"",N167/M167)</f>
        <v/>
      </c>
      <c r="R167" s="15">
        <f>IF(Q167="","",REPT("█",ROUND(Q167*10,0))&amp;REPT("░",10-ROUND(Q167*10,0)))</f>
        <v/>
      </c>
      <c r="S167" s="13">
        <f>IF(C167="","Chưa có ngày",IF(C167&gt;TODAY(),"Còn "&amp;(C167-TODAY())&amp;" ngày",IF(IF(D167="",C167,D167)&gt;=TODAY(),"Đang diễn ra","Đã qua "&amp;(TODAY()-IF(D167="",C167,D167))&amp;" ngày")))</f>
        <v/>
      </c>
      <c r="T167" s="13">
        <f>IF(AND(A167&lt;&gt;"",L167="Có",ISNUMBER(C167)),IF(IF(D167="",C167,D167)&gt;=TODAY()-35,C167+ROW()/100000,""),"")</f>
        <v/>
      </c>
    </row>
    <row r="168">
      <c r="A168" s="25" t="n"/>
      <c r="B168" s="11" t="n"/>
      <c r="C168" s="12" t="n"/>
      <c r="D168" s="12" t="n"/>
      <c r="E168" s="13" t="n"/>
      <c r="F168" s="13" t="n"/>
      <c r="G168" s="13" t="n"/>
      <c r="H168" s="13" t="n"/>
      <c r="I168" s="25" t="n"/>
      <c r="J168" s="25" t="n"/>
      <c r="K168" s="26" t="n"/>
      <c r="L168" s="26" t="n"/>
      <c r="M168" s="13">
        <f>IF(A168="","",COUNTIFS('Giao việc'!$M$5:$M$3004,A168,'Giao việc'!$I$5:$I$3004,"&lt;&gt;Bỏ qua"))</f>
        <v/>
      </c>
      <c r="N168" s="13">
        <f>IF(A168="","",COUNTIFS('Giao việc'!$M$5:$M$3004,A168,'Giao việc'!$I$5:$I$3004,"Xong"))</f>
        <v/>
      </c>
      <c r="O168" s="13">
        <f>IF(A168="","",COUNTIFS('Giao việc'!$M$5:$M$3004,A168,'Giao việc'!$L$5:$L$3004,"*QUÁ HẠN*"))</f>
        <v/>
      </c>
      <c r="P168" s="13">
        <f>IF(A168="","",COUNTIFS('Giao việc'!$M$5:$M$3004,A168,'Giao việc'!$L$5:$L$3004,"CHƯA GIAO*"))</f>
        <v/>
      </c>
      <c r="Q168" s="14">
        <f>IF(OR(A168="",N(M168)=0),"",N168/M168)</f>
        <v/>
      </c>
      <c r="R168" s="15">
        <f>IF(Q168="","",REPT("█",ROUND(Q168*10,0))&amp;REPT("░",10-ROUND(Q168*10,0)))</f>
        <v/>
      </c>
      <c r="S168" s="13">
        <f>IF(C168="","Chưa có ngày",IF(C168&gt;TODAY(),"Còn "&amp;(C168-TODAY())&amp;" ngày",IF(IF(D168="",C168,D168)&gt;=TODAY(),"Đang diễn ra","Đã qua "&amp;(TODAY()-IF(D168="",C168,D168))&amp;" ngày")))</f>
        <v/>
      </c>
      <c r="T168" s="13">
        <f>IF(AND(A168&lt;&gt;"",L168="Có",ISNUMBER(C168)),IF(IF(D168="",C168,D168)&gt;=TODAY()-35,C168+ROW()/100000,""),"")</f>
        <v/>
      </c>
    </row>
    <row r="169">
      <c r="A169" s="25" t="n"/>
      <c r="B169" s="11" t="n"/>
      <c r="C169" s="12" t="n"/>
      <c r="D169" s="12" t="n"/>
      <c r="E169" s="13" t="n"/>
      <c r="F169" s="13" t="n"/>
      <c r="G169" s="13" t="n"/>
      <c r="H169" s="13" t="n"/>
      <c r="I169" s="25" t="n"/>
      <c r="J169" s="25" t="n"/>
      <c r="K169" s="26" t="n"/>
      <c r="L169" s="26" t="n"/>
      <c r="M169" s="13">
        <f>IF(A169="","",COUNTIFS('Giao việc'!$M$5:$M$3004,A169,'Giao việc'!$I$5:$I$3004,"&lt;&gt;Bỏ qua"))</f>
        <v/>
      </c>
      <c r="N169" s="13">
        <f>IF(A169="","",COUNTIFS('Giao việc'!$M$5:$M$3004,A169,'Giao việc'!$I$5:$I$3004,"Xong"))</f>
        <v/>
      </c>
      <c r="O169" s="13">
        <f>IF(A169="","",COUNTIFS('Giao việc'!$M$5:$M$3004,A169,'Giao việc'!$L$5:$L$3004,"*QUÁ HẠN*"))</f>
        <v/>
      </c>
      <c r="P169" s="13">
        <f>IF(A169="","",COUNTIFS('Giao việc'!$M$5:$M$3004,A169,'Giao việc'!$L$5:$L$3004,"CHƯA GIAO*"))</f>
        <v/>
      </c>
      <c r="Q169" s="14">
        <f>IF(OR(A169="",N(M169)=0),"",N169/M169)</f>
        <v/>
      </c>
      <c r="R169" s="15">
        <f>IF(Q169="","",REPT("█",ROUND(Q169*10,0))&amp;REPT("░",10-ROUND(Q169*10,0)))</f>
        <v/>
      </c>
      <c r="S169" s="13">
        <f>IF(C169="","Chưa có ngày",IF(C169&gt;TODAY(),"Còn "&amp;(C169-TODAY())&amp;" ngày",IF(IF(D169="",C169,D169)&gt;=TODAY(),"Đang diễn ra","Đã qua "&amp;(TODAY()-IF(D169="",C169,D169))&amp;" ngày")))</f>
        <v/>
      </c>
      <c r="T169" s="13">
        <f>IF(AND(A169&lt;&gt;"",L169="Có",ISNUMBER(C169)),IF(IF(D169="",C169,D169)&gt;=TODAY()-35,C169+ROW()/100000,""),"")</f>
        <v/>
      </c>
    </row>
    <row r="170">
      <c r="A170" s="25" t="n"/>
      <c r="B170" s="11" t="n"/>
      <c r="C170" s="12" t="n"/>
      <c r="D170" s="12" t="n"/>
      <c r="E170" s="13" t="n"/>
      <c r="F170" s="13" t="n"/>
      <c r="G170" s="13" t="n"/>
      <c r="H170" s="13" t="n"/>
      <c r="I170" s="25" t="n"/>
      <c r="J170" s="25" t="n"/>
      <c r="K170" s="26" t="n"/>
      <c r="L170" s="26" t="n"/>
      <c r="M170" s="13">
        <f>IF(A170="","",COUNTIFS('Giao việc'!$M$5:$M$3004,A170,'Giao việc'!$I$5:$I$3004,"&lt;&gt;Bỏ qua"))</f>
        <v/>
      </c>
      <c r="N170" s="13">
        <f>IF(A170="","",COUNTIFS('Giao việc'!$M$5:$M$3004,A170,'Giao việc'!$I$5:$I$3004,"Xong"))</f>
        <v/>
      </c>
      <c r="O170" s="13">
        <f>IF(A170="","",COUNTIFS('Giao việc'!$M$5:$M$3004,A170,'Giao việc'!$L$5:$L$3004,"*QUÁ HẠN*"))</f>
        <v/>
      </c>
      <c r="P170" s="13">
        <f>IF(A170="","",COUNTIFS('Giao việc'!$M$5:$M$3004,A170,'Giao việc'!$L$5:$L$3004,"CHƯA GIAO*"))</f>
        <v/>
      </c>
      <c r="Q170" s="14">
        <f>IF(OR(A170="",N(M170)=0),"",N170/M170)</f>
        <v/>
      </c>
      <c r="R170" s="15">
        <f>IF(Q170="","",REPT("█",ROUND(Q170*10,0))&amp;REPT("░",10-ROUND(Q170*10,0)))</f>
        <v/>
      </c>
      <c r="S170" s="13">
        <f>IF(C170="","Chưa có ngày",IF(C170&gt;TODAY(),"Còn "&amp;(C170-TODAY())&amp;" ngày",IF(IF(D170="",C170,D170)&gt;=TODAY(),"Đang diễn ra","Đã qua "&amp;(TODAY()-IF(D170="",C170,D170))&amp;" ngày")))</f>
        <v/>
      </c>
      <c r="T170" s="13">
        <f>IF(AND(A170&lt;&gt;"",L170="Có",ISNUMBER(C170)),IF(IF(D170="",C170,D170)&gt;=TODAY()-35,C170+ROW()/100000,""),"")</f>
        <v/>
      </c>
    </row>
    <row r="171">
      <c r="A171" s="25" t="n"/>
      <c r="B171" s="11" t="n"/>
      <c r="C171" s="12" t="n"/>
      <c r="D171" s="12" t="n"/>
      <c r="E171" s="13" t="n"/>
      <c r="F171" s="13" t="n"/>
      <c r="G171" s="13" t="n"/>
      <c r="H171" s="13" t="n"/>
      <c r="I171" s="25" t="n"/>
      <c r="J171" s="25" t="n"/>
      <c r="K171" s="26" t="n"/>
      <c r="L171" s="26" t="n"/>
      <c r="M171" s="13">
        <f>IF(A171="","",COUNTIFS('Giao việc'!$M$5:$M$3004,A171,'Giao việc'!$I$5:$I$3004,"&lt;&gt;Bỏ qua"))</f>
        <v/>
      </c>
      <c r="N171" s="13">
        <f>IF(A171="","",COUNTIFS('Giao việc'!$M$5:$M$3004,A171,'Giao việc'!$I$5:$I$3004,"Xong"))</f>
        <v/>
      </c>
      <c r="O171" s="13">
        <f>IF(A171="","",COUNTIFS('Giao việc'!$M$5:$M$3004,A171,'Giao việc'!$L$5:$L$3004,"*QUÁ HẠN*"))</f>
        <v/>
      </c>
      <c r="P171" s="13">
        <f>IF(A171="","",COUNTIFS('Giao việc'!$M$5:$M$3004,A171,'Giao việc'!$L$5:$L$3004,"CHƯA GIAO*"))</f>
        <v/>
      </c>
      <c r="Q171" s="14">
        <f>IF(OR(A171="",N(M171)=0),"",N171/M171)</f>
        <v/>
      </c>
      <c r="R171" s="15">
        <f>IF(Q171="","",REPT("█",ROUND(Q171*10,0))&amp;REPT("░",10-ROUND(Q171*10,0)))</f>
        <v/>
      </c>
      <c r="S171" s="13">
        <f>IF(C171="","Chưa có ngày",IF(C171&gt;TODAY(),"Còn "&amp;(C171-TODAY())&amp;" ngày",IF(IF(D171="",C171,D171)&gt;=TODAY(),"Đang diễn ra","Đã qua "&amp;(TODAY()-IF(D171="",C171,D171))&amp;" ngày")))</f>
        <v/>
      </c>
      <c r="T171" s="13">
        <f>IF(AND(A171&lt;&gt;"",L171="Có",ISNUMBER(C171)),IF(IF(D171="",C171,D171)&gt;=TODAY()-35,C171+ROW()/100000,""),"")</f>
        <v/>
      </c>
    </row>
    <row r="172">
      <c r="A172" s="25" t="n"/>
      <c r="B172" s="11" t="n"/>
      <c r="C172" s="12" t="n"/>
      <c r="D172" s="12" t="n"/>
      <c r="E172" s="13" t="n"/>
      <c r="F172" s="13" t="n"/>
      <c r="G172" s="13" t="n"/>
      <c r="H172" s="13" t="n"/>
      <c r="I172" s="25" t="n"/>
      <c r="J172" s="25" t="n"/>
      <c r="K172" s="26" t="n"/>
      <c r="L172" s="26" t="n"/>
      <c r="M172" s="13">
        <f>IF(A172="","",COUNTIFS('Giao việc'!$M$5:$M$3004,A172,'Giao việc'!$I$5:$I$3004,"&lt;&gt;Bỏ qua"))</f>
        <v/>
      </c>
      <c r="N172" s="13">
        <f>IF(A172="","",COUNTIFS('Giao việc'!$M$5:$M$3004,A172,'Giao việc'!$I$5:$I$3004,"Xong"))</f>
        <v/>
      </c>
      <c r="O172" s="13">
        <f>IF(A172="","",COUNTIFS('Giao việc'!$M$5:$M$3004,A172,'Giao việc'!$L$5:$L$3004,"*QUÁ HẠN*"))</f>
        <v/>
      </c>
      <c r="P172" s="13">
        <f>IF(A172="","",COUNTIFS('Giao việc'!$M$5:$M$3004,A172,'Giao việc'!$L$5:$L$3004,"CHƯA GIAO*"))</f>
        <v/>
      </c>
      <c r="Q172" s="14">
        <f>IF(OR(A172="",N(M172)=0),"",N172/M172)</f>
        <v/>
      </c>
      <c r="R172" s="15">
        <f>IF(Q172="","",REPT("█",ROUND(Q172*10,0))&amp;REPT("░",10-ROUND(Q172*10,0)))</f>
        <v/>
      </c>
      <c r="S172" s="13">
        <f>IF(C172="","Chưa có ngày",IF(C172&gt;TODAY(),"Còn "&amp;(C172-TODAY())&amp;" ngày",IF(IF(D172="",C172,D172)&gt;=TODAY(),"Đang diễn ra","Đã qua "&amp;(TODAY()-IF(D172="",C172,D172))&amp;" ngày")))</f>
        <v/>
      </c>
      <c r="T172" s="13">
        <f>IF(AND(A172&lt;&gt;"",L172="Có",ISNUMBER(C172)),IF(IF(D172="",C172,D172)&gt;=TODAY()-35,C172+ROW()/100000,""),"")</f>
        <v/>
      </c>
    </row>
    <row r="173">
      <c r="A173" s="25" t="n"/>
      <c r="B173" s="11" t="n"/>
      <c r="C173" s="12" t="n"/>
      <c r="D173" s="12" t="n"/>
      <c r="E173" s="13" t="n"/>
      <c r="F173" s="13" t="n"/>
      <c r="G173" s="13" t="n"/>
      <c r="H173" s="13" t="n"/>
      <c r="I173" s="25" t="n"/>
      <c r="J173" s="25" t="n"/>
      <c r="K173" s="26" t="n"/>
      <c r="L173" s="26" t="n"/>
      <c r="M173" s="13">
        <f>IF(A173="","",COUNTIFS('Giao việc'!$M$5:$M$3004,A173,'Giao việc'!$I$5:$I$3004,"&lt;&gt;Bỏ qua"))</f>
        <v/>
      </c>
      <c r="N173" s="13">
        <f>IF(A173="","",COUNTIFS('Giao việc'!$M$5:$M$3004,A173,'Giao việc'!$I$5:$I$3004,"Xong"))</f>
        <v/>
      </c>
      <c r="O173" s="13">
        <f>IF(A173="","",COUNTIFS('Giao việc'!$M$5:$M$3004,A173,'Giao việc'!$L$5:$L$3004,"*QUÁ HẠN*"))</f>
        <v/>
      </c>
      <c r="P173" s="13">
        <f>IF(A173="","",COUNTIFS('Giao việc'!$M$5:$M$3004,A173,'Giao việc'!$L$5:$L$3004,"CHƯA GIAO*"))</f>
        <v/>
      </c>
      <c r="Q173" s="14">
        <f>IF(OR(A173="",N(M173)=0),"",N173/M173)</f>
        <v/>
      </c>
      <c r="R173" s="15">
        <f>IF(Q173="","",REPT("█",ROUND(Q173*10,0))&amp;REPT("░",10-ROUND(Q173*10,0)))</f>
        <v/>
      </c>
      <c r="S173" s="13">
        <f>IF(C173="","Chưa có ngày",IF(C173&gt;TODAY(),"Còn "&amp;(C173-TODAY())&amp;" ngày",IF(IF(D173="",C173,D173)&gt;=TODAY(),"Đang diễn ra","Đã qua "&amp;(TODAY()-IF(D173="",C173,D173))&amp;" ngày")))</f>
        <v/>
      </c>
      <c r="T173" s="13">
        <f>IF(AND(A173&lt;&gt;"",L173="Có",ISNUMBER(C173)),IF(IF(D173="",C173,D173)&gt;=TODAY()-35,C173+ROW()/100000,""),"")</f>
        <v/>
      </c>
    </row>
    <row r="174">
      <c r="A174" s="25" t="n"/>
      <c r="B174" s="11" t="n"/>
      <c r="C174" s="12" t="n"/>
      <c r="D174" s="12" t="n"/>
      <c r="E174" s="13" t="n"/>
      <c r="F174" s="13" t="n"/>
      <c r="G174" s="13" t="n"/>
      <c r="H174" s="13" t="n"/>
      <c r="I174" s="25" t="n"/>
      <c r="J174" s="25" t="n"/>
      <c r="K174" s="26" t="n"/>
      <c r="L174" s="26" t="n"/>
      <c r="M174" s="13">
        <f>IF(A174="","",COUNTIFS('Giao việc'!$M$5:$M$3004,A174,'Giao việc'!$I$5:$I$3004,"&lt;&gt;Bỏ qua"))</f>
        <v/>
      </c>
      <c r="N174" s="13">
        <f>IF(A174="","",COUNTIFS('Giao việc'!$M$5:$M$3004,A174,'Giao việc'!$I$5:$I$3004,"Xong"))</f>
        <v/>
      </c>
      <c r="O174" s="13">
        <f>IF(A174="","",COUNTIFS('Giao việc'!$M$5:$M$3004,A174,'Giao việc'!$L$5:$L$3004,"*QUÁ HẠN*"))</f>
        <v/>
      </c>
      <c r="P174" s="13">
        <f>IF(A174="","",COUNTIFS('Giao việc'!$M$5:$M$3004,A174,'Giao việc'!$L$5:$L$3004,"CHƯA GIAO*"))</f>
        <v/>
      </c>
      <c r="Q174" s="14">
        <f>IF(OR(A174="",N(M174)=0),"",N174/M174)</f>
        <v/>
      </c>
      <c r="R174" s="15">
        <f>IF(Q174="","",REPT("█",ROUND(Q174*10,0))&amp;REPT("░",10-ROUND(Q174*10,0)))</f>
        <v/>
      </c>
      <c r="S174" s="13">
        <f>IF(C174="","Chưa có ngày",IF(C174&gt;TODAY(),"Còn "&amp;(C174-TODAY())&amp;" ngày",IF(IF(D174="",C174,D174)&gt;=TODAY(),"Đang diễn ra","Đã qua "&amp;(TODAY()-IF(D174="",C174,D174))&amp;" ngày")))</f>
        <v/>
      </c>
      <c r="T174" s="13">
        <f>IF(AND(A174&lt;&gt;"",L174="Có",ISNUMBER(C174)),IF(IF(D174="",C174,D174)&gt;=TODAY()-35,C174+ROW()/100000,""),"")</f>
        <v/>
      </c>
    </row>
    <row r="175">
      <c r="A175" s="25" t="n"/>
      <c r="B175" s="11" t="n"/>
      <c r="C175" s="12" t="n"/>
      <c r="D175" s="12" t="n"/>
      <c r="E175" s="13" t="n"/>
      <c r="F175" s="13" t="n"/>
      <c r="G175" s="13" t="n"/>
      <c r="H175" s="13" t="n"/>
      <c r="I175" s="25" t="n"/>
      <c r="J175" s="25" t="n"/>
      <c r="K175" s="26" t="n"/>
      <c r="L175" s="26" t="n"/>
      <c r="M175" s="13">
        <f>IF(A175="","",COUNTIFS('Giao việc'!$M$5:$M$3004,A175,'Giao việc'!$I$5:$I$3004,"&lt;&gt;Bỏ qua"))</f>
        <v/>
      </c>
      <c r="N175" s="13">
        <f>IF(A175="","",COUNTIFS('Giao việc'!$M$5:$M$3004,A175,'Giao việc'!$I$5:$I$3004,"Xong"))</f>
        <v/>
      </c>
      <c r="O175" s="13">
        <f>IF(A175="","",COUNTIFS('Giao việc'!$M$5:$M$3004,A175,'Giao việc'!$L$5:$L$3004,"*QUÁ HẠN*"))</f>
        <v/>
      </c>
      <c r="P175" s="13">
        <f>IF(A175="","",COUNTIFS('Giao việc'!$M$5:$M$3004,A175,'Giao việc'!$L$5:$L$3004,"CHƯA GIAO*"))</f>
        <v/>
      </c>
      <c r="Q175" s="14">
        <f>IF(OR(A175="",N(M175)=0),"",N175/M175)</f>
        <v/>
      </c>
      <c r="R175" s="15">
        <f>IF(Q175="","",REPT("█",ROUND(Q175*10,0))&amp;REPT("░",10-ROUND(Q175*10,0)))</f>
        <v/>
      </c>
      <c r="S175" s="13">
        <f>IF(C175="","Chưa có ngày",IF(C175&gt;TODAY(),"Còn "&amp;(C175-TODAY())&amp;" ngày",IF(IF(D175="",C175,D175)&gt;=TODAY(),"Đang diễn ra","Đã qua "&amp;(TODAY()-IF(D175="",C175,D175))&amp;" ngày")))</f>
        <v/>
      </c>
      <c r="T175" s="13">
        <f>IF(AND(A175&lt;&gt;"",L175="Có",ISNUMBER(C175)),IF(IF(D175="",C175,D175)&gt;=TODAY()-35,C175+ROW()/100000,""),"")</f>
        <v/>
      </c>
    </row>
    <row r="176">
      <c r="A176" s="25" t="n"/>
      <c r="B176" s="11" t="n"/>
      <c r="C176" s="12" t="n"/>
      <c r="D176" s="12" t="n"/>
      <c r="E176" s="13" t="n"/>
      <c r="F176" s="13" t="n"/>
      <c r="G176" s="13" t="n"/>
      <c r="H176" s="13" t="n"/>
      <c r="I176" s="25" t="n"/>
      <c r="J176" s="25" t="n"/>
      <c r="K176" s="26" t="n"/>
      <c r="L176" s="26" t="n"/>
      <c r="M176" s="13">
        <f>IF(A176="","",COUNTIFS('Giao việc'!$M$5:$M$3004,A176,'Giao việc'!$I$5:$I$3004,"&lt;&gt;Bỏ qua"))</f>
        <v/>
      </c>
      <c r="N176" s="13">
        <f>IF(A176="","",COUNTIFS('Giao việc'!$M$5:$M$3004,A176,'Giao việc'!$I$5:$I$3004,"Xong"))</f>
        <v/>
      </c>
      <c r="O176" s="13">
        <f>IF(A176="","",COUNTIFS('Giao việc'!$M$5:$M$3004,A176,'Giao việc'!$L$5:$L$3004,"*QUÁ HẠN*"))</f>
        <v/>
      </c>
      <c r="P176" s="13">
        <f>IF(A176="","",COUNTIFS('Giao việc'!$M$5:$M$3004,A176,'Giao việc'!$L$5:$L$3004,"CHƯA GIAO*"))</f>
        <v/>
      </c>
      <c r="Q176" s="14">
        <f>IF(OR(A176="",N(M176)=0),"",N176/M176)</f>
        <v/>
      </c>
      <c r="R176" s="15">
        <f>IF(Q176="","",REPT("█",ROUND(Q176*10,0))&amp;REPT("░",10-ROUND(Q176*10,0)))</f>
        <v/>
      </c>
      <c r="S176" s="13">
        <f>IF(C176="","Chưa có ngày",IF(C176&gt;TODAY(),"Còn "&amp;(C176-TODAY())&amp;" ngày",IF(IF(D176="",C176,D176)&gt;=TODAY(),"Đang diễn ra","Đã qua "&amp;(TODAY()-IF(D176="",C176,D176))&amp;" ngày")))</f>
        <v/>
      </c>
      <c r="T176" s="13">
        <f>IF(AND(A176&lt;&gt;"",L176="Có",ISNUMBER(C176)),IF(IF(D176="",C176,D176)&gt;=TODAY()-35,C176+ROW()/100000,""),"")</f>
        <v/>
      </c>
    </row>
    <row r="177">
      <c r="A177" s="25" t="n"/>
      <c r="B177" s="11" t="n"/>
      <c r="C177" s="12" t="n"/>
      <c r="D177" s="12" t="n"/>
      <c r="E177" s="13" t="n"/>
      <c r="F177" s="13" t="n"/>
      <c r="G177" s="13" t="n"/>
      <c r="H177" s="13" t="n"/>
      <c r="I177" s="25" t="n"/>
      <c r="J177" s="25" t="n"/>
      <c r="K177" s="26" t="n"/>
      <c r="L177" s="26" t="n"/>
      <c r="M177" s="13">
        <f>IF(A177="","",COUNTIFS('Giao việc'!$M$5:$M$3004,A177,'Giao việc'!$I$5:$I$3004,"&lt;&gt;Bỏ qua"))</f>
        <v/>
      </c>
      <c r="N177" s="13">
        <f>IF(A177="","",COUNTIFS('Giao việc'!$M$5:$M$3004,A177,'Giao việc'!$I$5:$I$3004,"Xong"))</f>
        <v/>
      </c>
      <c r="O177" s="13">
        <f>IF(A177="","",COUNTIFS('Giao việc'!$M$5:$M$3004,A177,'Giao việc'!$L$5:$L$3004,"*QUÁ HẠN*"))</f>
        <v/>
      </c>
      <c r="P177" s="13">
        <f>IF(A177="","",COUNTIFS('Giao việc'!$M$5:$M$3004,A177,'Giao việc'!$L$5:$L$3004,"CHƯA GIAO*"))</f>
        <v/>
      </c>
      <c r="Q177" s="14">
        <f>IF(OR(A177="",N(M177)=0),"",N177/M177)</f>
        <v/>
      </c>
      <c r="R177" s="15">
        <f>IF(Q177="","",REPT("█",ROUND(Q177*10,0))&amp;REPT("░",10-ROUND(Q177*10,0)))</f>
        <v/>
      </c>
      <c r="S177" s="13">
        <f>IF(C177="","Chưa có ngày",IF(C177&gt;TODAY(),"Còn "&amp;(C177-TODAY())&amp;" ngày",IF(IF(D177="",C177,D177)&gt;=TODAY(),"Đang diễn ra","Đã qua "&amp;(TODAY()-IF(D177="",C177,D177))&amp;" ngày")))</f>
        <v/>
      </c>
      <c r="T177" s="13">
        <f>IF(AND(A177&lt;&gt;"",L177="Có",ISNUMBER(C177)),IF(IF(D177="",C177,D177)&gt;=TODAY()-35,C177+ROW()/100000,""),"")</f>
        <v/>
      </c>
    </row>
    <row r="178">
      <c r="A178" s="25" t="n"/>
      <c r="B178" s="11" t="n"/>
      <c r="C178" s="12" t="n"/>
      <c r="D178" s="12" t="n"/>
      <c r="E178" s="13" t="n"/>
      <c r="F178" s="13" t="n"/>
      <c r="G178" s="13" t="n"/>
      <c r="H178" s="13" t="n"/>
      <c r="I178" s="25" t="n"/>
      <c r="J178" s="25" t="n"/>
      <c r="K178" s="26" t="n"/>
      <c r="L178" s="26" t="n"/>
      <c r="M178" s="13">
        <f>IF(A178="","",COUNTIFS('Giao việc'!$M$5:$M$3004,A178,'Giao việc'!$I$5:$I$3004,"&lt;&gt;Bỏ qua"))</f>
        <v/>
      </c>
      <c r="N178" s="13">
        <f>IF(A178="","",COUNTIFS('Giao việc'!$M$5:$M$3004,A178,'Giao việc'!$I$5:$I$3004,"Xong"))</f>
        <v/>
      </c>
      <c r="O178" s="13">
        <f>IF(A178="","",COUNTIFS('Giao việc'!$M$5:$M$3004,A178,'Giao việc'!$L$5:$L$3004,"*QUÁ HẠN*"))</f>
        <v/>
      </c>
      <c r="P178" s="13">
        <f>IF(A178="","",COUNTIFS('Giao việc'!$M$5:$M$3004,A178,'Giao việc'!$L$5:$L$3004,"CHƯA GIAO*"))</f>
        <v/>
      </c>
      <c r="Q178" s="14">
        <f>IF(OR(A178="",N(M178)=0),"",N178/M178)</f>
        <v/>
      </c>
      <c r="R178" s="15">
        <f>IF(Q178="","",REPT("█",ROUND(Q178*10,0))&amp;REPT("░",10-ROUND(Q178*10,0)))</f>
        <v/>
      </c>
      <c r="S178" s="13">
        <f>IF(C178="","Chưa có ngày",IF(C178&gt;TODAY(),"Còn "&amp;(C178-TODAY())&amp;" ngày",IF(IF(D178="",C178,D178)&gt;=TODAY(),"Đang diễn ra","Đã qua "&amp;(TODAY()-IF(D178="",C178,D178))&amp;" ngày")))</f>
        <v/>
      </c>
      <c r="T178" s="13">
        <f>IF(AND(A178&lt;&gt;"",L178="Có",ISNUMBER(C178)),IF(IF(D178="",C178,D178)&gt;=TODAY()-35,C178+ROW()/100000,""),"")</f>
        <v/>
      </c>
    </row>
    <row r="179">
      <c r="A179" s="25" t="n"/>
      <c r="B179" s="11" t="n"/>
      <c r="C179" s="12" t="n"/>
      <c r="D179" s="12" t="n"/>
      <c r="E179" s="13" t="n"/>
      <c r="F179" s="13" t="n"/>
      <c r="G179" s="13" t="n"/>
      <c r="H179" s="13" t="n"/>
      <c r="I179" s="25" t="n"/>
      <c r="J179" s="25" t="n"/>
      <c r="K179" s="26" t="n"/>
      <c r="L179" s="26" t="n"/>
      <c r="M179" s="13">
        <f>IF(A179="","",COUNTIFS('Giao việc'!$M$5:$M$3004,A179,'Giao việc'!$I$5:$I$3004,"&lt;&gt;Bỏ qua"))</f>
        <v/>
      </c>
      <c r="N179" s="13">
        <f>IF(A179="","",COUNTIFS('Giao việc'!$M$5:$M$3004,A179,'Giao việc'!$I$5:$I$3004,"Xong"))</f>
        <v/>
      </c>
      <c r="O179" s="13">
        <f>IF(A179="","",COUNTIFS('Giao việc'!$M$5:$M$3004,A179,'Giao việc'!$L$5:$L$3004,"*QUÁ HẠN*"))</f>
        <v/>
      </c>
      <c r="P179" s="13">
        <f>IF(A179="","",COUNTIFS('Giao việc'!$M$5:$M$3004,A179,'Giao việc'!$L$5:$L$3004,"CHƯA GIAO*"))</f>
        <v/>
      </c>
      <c r="Q179" s="14">
        <f>IF(OR(A179="",N(M179)=0),"",N179/M179)</f>
        <v/>
      </c>
      <c r="R179" s="15">
        <f>IF(Q179="","",REPT("█",ROUND(Q179*10,0))&amp;REPT("░",10-ROUND(Q179*10,0)))</f>
        <v/>
      </c>
      <c r="S179" s="13">
        <f>IF(C179="","Chưa có ngày",IF(C179&gt;TODAY(),"Còn "&amp;(C179-TODAY())&amp;" ngày",IF(IF(D179="",C179,D179)&gt;=TODAY(),"Đang diễn ra","Đã qua "&amp;(TODAY()-IF(D179="",C179,D179))&amp;" ngày")))</f>
        <v/>
      </c>
      <c r="T179" s="13">
        <f>IF(AND(A179&lt;&gt;"",L179="Có",ISNUMBER(C179)),IF(IF(D179="",C179,D179)&gt;=TODAY()-35,C179+ROW()/100000,""),"")</f>
        <v/>
      </c>
    </row>
    <row r="180">
      <c r="A180" s="25" t="n"/>
      <c r="B180" s="11" t="n"/>
      <c r="C180" s="12" t="n"/>
      <c r="D180" s="12" t="n"/>
      <c r="E180" s="13" t="n"/>
      <c r="F180" s="13" t="n"/>
      <c r="G180" s="13" t="n"/>
      <c r="H180" s="13" t="n"/>
      <c r="I180" s="25" t="n"/>
      <c r="J180" s="25" t="n"/>
      <c r="K180" s="26" t="n"/>
      <c r="L180" s="26" t="n"/>
      <c r="M180" s="13">
        <f>IF(A180="","",COUNTIFS('Giao việc'!$M$5:$M$3004,A180,'Giao việc'!$I$5:$I$3004,"&lt;&gt;Bỏ qua"))</f>
        <v/>
      </c>
      <c r="N180" s="13">
        <f>IF(A180="","",COUNTIFS('Giao việc'!$M$5:$M$3004,A180,'Giao việc'!$I$5:$I$3004,"Xong"))</f>
        <v/>
      </c>
      <c r="O180" s="13">
        <f>IF(A180="","",COUNTIFS('Giao việc'!$M$5:$M$3004,A180,'Giao việc'!$L$5:$L$3004,"*QUÁ HẠN*"))</f>
        <v/>
      </c>
      <c r="P180" s="13">
        <f>IF(A180="","",COUNTIFS('Giao việc'!$M$5:$M$3004,A180,'Giao việc'!$L$5:$L$3004,"CHƯA GIAO*"))</f>
        <v/>
      </c>
      <c r="Q180" s="14">
        <f>IF(OR(A180="",N(M180)=0),"",N180/M180)</f>
        <v/>
      </c>
      <c r="R180" s="15">
        <f>IF(Q180="","",REPT("█",ROUND(Q180*10,0))&amp;REPT("░",10-ROUND(Q180*10,0)))</f>
        <v/>
      </c>
      <c r="S180" s="13">
        <f>IF(C180="","Chưa có ngày",IF(C180&gt;TODAY(),"Còn "&amp;(C180-TODAY())&amp;" ngày",IF(IF(D180="",C180,D180)&gt;=TODAY(),"Đang diễn ra","Đã qua "&amp;(TODAY()-IF(D180="",C180,D180))&amp;" ngày")))</f>
        <v/>
      </c>
      <c r="T180" s="13">
        <f>IF(AND(A180&lt;&gt;"",L180="Có",ISNUMBER(C180)),IF(IF(D180="",C180,D180)&gt;=TODAY()-35,C180+ROW()/100000,""),"")</f>
        <v/>
      </c>
    </row>
    <row r="181">
      <c r="A181" s="25" t="n"/>
      <c r="B181" s="11" t="n"/>
      <c r="C181" s="12" t="n"/>
      <c r="D181" s="12" t="n"/>
      <c r="E181" s="13" t="n"/>
      <c r="F181" s="13" t="n"/>
      <c r="G181" s="13" t="n"/>
      <c r="H181" s="13" t="n"/>
      <c r="I181" s="25" t="n"/>
      <c r="J181" s="25" t="n"/>
      <c r="K181" s="26" t="n"/>
      <c r="L181" s="26" t="n"/>
      <c r="M181" s="13">
        <f>IF(A181="","",COUNTIFS('Giao việc'!$M$5:$M$3004,A181,'Giao việc'!$I$5:$I$3004,"&lt;&gt;Bỏ qua"))</f>
        <v/>
      </c>
      <c r="N181" s="13">
        <f>IF(A181="","",COUNTIFS('Giao việc'!$M$5:$M$3004,A181,'Giao việc'!$I$5:$I$3004,"Xong"))</f>
        <v/>
      </c>
      <c r="O181" s="13">
        <f>IF(A181="","",COUNTIFS('Giao việc'!$M$5:$M$3004,A181,'Giao việc'!$L$5:$L$3004,"*QUÁ HẠN*"))</f>
        <v/>
      </c>
      <c r="P181" s="13">
        <f>IF(A181="","",COUNTIFS('Giao việc'!$M$5:$M$3004,A181,'Giao việc'!$L$5:$L$3004,"CHƯA GIAO*"))</f>
        <v/>
      </c>
      <c r="Q181" s="14">
        <f>IF(OR(A181="",N(M181)=0),"",N181/M181)</f>
        <v/>
      </c>
      <c r="R181" s="15">
        <f>IF(Q181="","",REPT("█",ROUND(Q181*10,0))&amp;REPT("░",10-ROUND(Q181*10,0)))</f>
        <v/>
      </c>
      <c r="S181" s="13">
        <f>IF(C181="","Chưa có ngày",IF(C181&gt;TODAY(),"Còn "&amp;(C181-TODAY())&amp;" ngày",IF(IF(D181="",C181,D181)&gt;=TODAY(),"Đang diễn ra","Đã qua "&amp;(TODAY()-IF(D181="",C181,D181))&amp;" ngày")))</f>
        <v/>
      </c>
      <c r="T181" s="13">
        <f>IF(AND(A181&lt;&gt;"",L181="Có",ISNUMBER(C181)),IF(IF(D181="",C181,D181)&gt;=TODAY()-35,C181+ROW()/100000,""),"")</f>
        <v/>
      </c>
    </row>
    <row r="182">
      <c r="A182" s="25" t="n"/>
      <c r="B182" s="11" t="n"/>
      <c r="C182" s="12" t="n"/>
      <c r="D182" s="12" t="n"/>
      <c r="E182" s="13" t="n"/>
      <c r="F182" s="13" t="n"/>
      <c r="G182" s="13" t="n"/>
      <c r="H182" s="13" t="n"/>
      <c r="I182" s="25" t="n"/>
      <c r="J182" s="25" t="n"/>
      <c r="K182" s="26" t="n"/>
      <c r="L182" s="26" t="n"/>
      <c r="M182" s="13">
        <f>IF(A182="","",COUNTIFS('Giao việc'!$M$5:$M$3004,A182,'Giao việc'!$I$5:$I$3004,"&lt;&gt;Bỏ qua"))</f>
        <v/>
      </c>
      <c r="N182" s="13">
        <f>IF(A182="","",COUNTIFS('Giao việc'!$M$5:$M$3004,A182,'Giao việc'!$I$5:$I$3004,"Xong"))</f>
        <v/>
      </c>
      <c r="O182" s="13">
        <f>IF(A182="","",COUNTIFS('Giao việc'!$M$5:$M$3004,A182,'Giao việc'!$L$5:$L$3004,"*QUÁ HẠN*"))</f>
        <v/>
      </c>
      <c r="P182" s="13">
        <f>IF(A182="","",COUNTIFS('Giao việc'!$M$5:$M$3004,A182,'Giao việc'!$L$5:$L$3004,"CHƯA GIAO*"))</f>
        <v/>
      </c>
      <c r="Q182" s="14">
        <f>IF(OR(A182="",N(M182)=0),"",N182/M182)</f>
        <v/>
      </c>
      <c r="R182" s="15">
        <f>IF(Q182="","",REPT("█",ROUND(Q182*10,0))&amp;REPT("░",10-ROUND(Q182*10,0)))</f>
        <v/>
      </c>
      <c r="S182" s="13">
        <f>IF(C182="","Chưa có ngày",IF(C182&gt;TODAY(),"Còn "&amp;(C182-TODAY())&amp;" ngày",IF(IF(D182="",C182,D182)&gt;=TODAY(),"Đang diễn ra","Đã qua "&amp;(TODAY()-IF(D182="",C182,D182))&amp;" ngày")))</f>
        <v/>
      </c>
      <c r="T182" s="13">
        <f>IF(AND(A182&lt;&gt;"",L182="Có",ISNUMBER(C182)),IF(IF(D182="",C182,D182)&gt;=TODAY()-35,C182+ROW()/100000,""),"")</f>
        <v/>
      </c>
    </row>
    <row r="183">
      <c r="A183" s="25" t="n"/>
      <c r="B183" s="11" t="n"/>
      <c r="C183" s="12" t="n"/>
      <c r="D183" s="12" t="n"/>
      <c r="E183" s="13" t="n"/>
      <c r="F183" s="13" t="n"/>
      <c r="G183" s="13" t="n"/>
      <c r="H183" s="13" t="n"/>
      <c r="I183" s="25" t="n"/>
      <c r="J183" s="25" t="n"/>
      <c r="K183" s="26" t="n"/>
      <c r="L183" s="26" t="n"/>
      <c r="M183" s="13">
        <f>IF(A183="","",COUNTIFS('Giao việc'!$M$5:$M$3004,A183,'Giao việc'!$I$5:$I$3004,"&lt;&gt;Bỏ qua"))</f>
        <v/>
      </c>
      <c r="N183" s="13">
        <f>IF(A183="","",COUNTIFS('Giao việc'!$M$5:$M$3004,A183,'Giao việc'!$I$5:$I$3004,"Xong"))</f>
        <v/>
      </c>
      <c r="O183" s="13">
        <f>IF(A183="","",COUNTIFS('Giao việc'!$M$5:$M$3004,A183,'Giao việc'!$L$5:$L$3004,"*QUÁ HẠN*"))</f>
        <v/>
      </c>
      <c r="P183" s="13">
        <f>IF(A183="","",COUNTIFS('Giao việc'!$M$5:$M$3004,A183,'Giao việc'!$L$5:$L$3004,"CHƯA GIAO*"))</f>
        <v/>
      </c>
      <c r="Q183" s="14">
        <f>IF(OR(A183="",N(M183)=0),"",N183/M183)</f>
        <v/>
      </c>
      <c r="R183" s="15">
        <f>IF(Q183="","",REPT("█",ROUND(Q183*10,0))&amp;REPT("░",10-ROUND(Q183*10,0)))</f>
        <v/>
      </c>
      <c r="S183" s="13">
        <f>IF(C183="","Chưa có ngày",IF(C183&gt;TODAY(),"Còn "&amp;(C183-TODAY())&amp;" ngày",IF(IF(D183="",C183,D183)&gt;=TODAY(),"Đang diễn ra","Đã qua "&amp;(TODAY()-IF(D183="",C183,D183))&amp;" ngày")))</f>
        <v/>
      </c>
      <c r="T183" s="13">
        <f>IF(AND(A183&lt;&gt;"",L183="Có",ISNUMBER(C183)),IF(IF(D183="",C183,D183)&gt;=TODAY()-35,C183+ROW()/100000,""),"")</f>
        <v/>
      </c>
    </row>
    <row r="184">
      <c r="A184" s="25" t="n"/>
      <c r="B184" s="11" t="n"/>
      <c r="C184" s="12" t="n"/>
      <c r="D184" s="12" t="n"/>
      <c r="E184" s="13" t="n"/>
      <c r="F184" s="13" t="n"/>
      <c r="G184" s="13" t="n"/>
      <c r="H184" s="13" t="n"/>
      <c r="I184" s="25" t="n"/>
      <c r="J184" s="25" t="n"/>
      <c r="K184" s="26" t="n"/>
      <c r="L184" s="26" t="n"/>
      <c r="M184" s="13">
        <f>IF(A184="","",COUNTIFS('Giao việc'!$M$5:$M$3004,A184,'Giao việc'!$I$5:$I$3004,"&lt;&gt;Bỏ qua"))</f>
        <v/>
      </c>
      <c r="N184" s="13">
        <f>IF(A184="","",COUNTIFS('Giao việc'!$M$5:$M$3004,A184,'Giao việc'!$I$5:$I$3004,"Xong"))</f>
        <v/>
      </c>
      <c r="O184" s="13">
        <f>IF(A184="","",COUNTIFS('Giao việc'!$M$5:$M$3004,A184,'Giao việc'!$L$5:$L$3004,"*QUÁ HẠN*"))</f>
        <v/>
      </c>
      <c r="P184" s="13">
        <f>IF(A184="","",COUNTIFS('Giao việc'!$M$5:$M$3004,A184,'Giao việc'!$L$5:$L$3004,"CHƯA GIAO*"))</f>
        <v/>
      </c>
      <c r="Q184" s="14">
        <f>IF(OR(A184="",N(M184)=0),"",N184/M184)</f>
        <v/>
      </c>
      <c r="R184" s="15">
        <f>IF(Q184="","",REPT("█",ROUND(Q184*10,0))&amp;REPT("░",10-ROUND(Q184*10,0)))</f>
        <v/>
      </c>
      <c r="S184" s="13">
        <f>IF(C184="","Chưa có ngày",IF(C184&gt;TODAY(),"Còn "&amp;(C184-TODAY())&amp;" ngày",IF(IF(D184="",C184,D184)&gt;=TODAY(),"Đang diễn ra","Đã qua "&amp;(TODAY()-IF(D184="",C184,D184))&amp;" ngày")))</f>
        <v/>
      </c>
      <c r="T184" s="13">
        <f>IF(AND(A184&lt;&gt;"",L184="Có",ISNUMBER(C184)),IF(IF(D184="",C184,D184)&gt;=TODAY()-35,C184+ROW()/100000,""),"")</f>
        <v/>
      </c>
    </row>
    <row r="185">
      <c r="A185" s="25" t="n"/>
      <c r="B185" s="11" t="n"/>
      <c r="C185" s="12" t="n"/>
      <c r="D185" s="12" t="n"/>
      <c r="E185" s="13" t="n"/>
      <c r="F185" s="13" t="n"/>
      <c r="G185" s="13" t="n"/>
      <c r="H185" s="13" t="n"/>
      <c r="I185" s="25" t="n"/>
      <c r="J185" s="25" t="n"/>
      <c r="K185" s="26" t="n"/>
      <c r="L185" s="26" t="n"/>
      <c r="M185" s="13">
        <f>IF(A185="","",COUNTIFS('Giao việc'!$M$5:$M$3004,A185,'Giao việc'!$I$5:$I$3004,"&lt;&gt;Bỏ qua"))</f>
        <v/>
      </c>
      <c r="N185" s="13">
        <f>IF(A185="","",COUNTIFS('Giao việc'!$M$5:$M$3004,A185,'Giao việc'!$I$5:$I$3004,"Xong"))</f>
        <v/>
      </c>
      <c r="O185" s="13">
        <f>IF(A185="","",COUNTIFS('Giao việc'!$M$5:$M$3004,A185,'Giao việc'!$L$5:$L$3004,"*QUÁ HẠN*"))</f>
        <v/>
      </c>
      <c r="P185" s="13">
        <f>IF(A185="","",COUNTIFS('Giao việc'!$M$5:$M$3004,A185,'Giao việc'!$L$5:$L$3004,"CHƯA GIAO*"))</f>
        <v/>
      </c>
      <c r="Q185" s="14">
        <f>IF(OR(A185="",N(M185)=0),"",N185/M185)</f>
        <v/>
      </c>
      <c r="R185" s="15">
        <f>IF(Q185="","",REPT("█",ROUND(Q185*10,0))&amp;REPT("░",10-ROUND(Q185*10,0)))</f>
        <v/>
      </c>
      <c r="S185" s="13">
        <f>IF(C185="","Chưa có ngày",IF(C185&gt;TODAY(),"Còn "&amp;(C185-TODAY())&amp;" ngày",IF(IF(D185="",C185,D185)&gt;=TODAY(),"Đang diễn ra","Đã qua "&amp;(TODAY()-IF(D185="",C185,D185))&amp;" ngày")))</f>
        <v/>
      </c>
      <c r="T185" s="13">
        <f>IF(AND(A185&lt;&gt;"",L185="Có",ISNUMBER(C185)),IF(IF(D185="",C185,D185)&gt;=TODAY()-35,C185+ROW()/100000,""),"")</f>
        <v/>
      </c>
    </row>
    <row r="186">
      <c r="A186" s="25" t="n"/>
      <c r="B186" s="11" t="n"/>
      <c r="C186" s="12" t="n"/>
      <c r="D186" s="12" t="n"/>
      <c r="E186" s="13" t="n"/>
      <c r="F186" s="13" t="n"/>
      <c r="G186" s="13" t="n"/>
      <c r="H186" s="13" t="n"/>
      <c r="I186" s="25" t="n"/>
      <c r="J186" s="25" t="n"/>
      <c r="K186" s="26" t="n"/>
      <c r="L186" s="26" t="n"/>
      <c r="M186" s="13">
        <f>IF(A186="","",COUNTIFS('Giao việc'!$M$5:$M$3004,A186,'Giao việc'!$I$5:$I$3004,"&lt;&gt;Bỏ qua"))</f>
        <v/>
      </c>
      <c r="N186" s="13">
        <f>IF(A186="","",COUNTIFS('Giao việc'!$M$5:$M$3004,A186,'Giao việc'!$I$5:$I$3004,"Xong"))</f>
        <v/>
      </c>
      <c r="O186" s="13">
        <f>IF(A186="","",COUNTIFS('Giao việc'!$M$5:$M$3004,A186,'Giao việc'!$L$5:$L$3004,"*QUÁ HẠN*"))</f>
        <v/>
      </c>
      <c r="P186" s="13">
        <f>IF(A186="","",COUNTIFS('Giao việc'!$M$5:$M$3004,A186,'Giao việc'!$L$5:$L$3004,"CHƯA GIAO*"))</f>
        <v/>
      </c>
      <c r="Q186" s="14">
        <f>IF(OR(A186="",N(M186)=0),"",N186/M186)</f>
        <v/>
      </c>
      <c r="R186" s="15">
        <f>IF(Q186="","",REPT("█",ROUND(Q186*10,0))&amp;REPT("░",10-ROUND(Q186*10,0)))</f>
        <v/>
      </c>
      <c r="S186" s="13">
        <f>IF(C186="","Chưa có ngày",IF(C186&gt;TODAY(),"Còn "&amp;(C186-TODAY())&amp;" ngày",IF(IF(D186="",C186,D186)&gt;=TODAY(),"Đang diễn ra","Đã qua "&amp;(TODAY()-IF(D186="",C186,D186))&amp;" ngày")))</f>
        <v/>
      </c>
      <c r="T186" s="13">
        <f>IF(AND(A186&lt;&gt;"",L186="Có",ISNUMBER(C186)),IF(IF(D186="",C186,D186)&gt;=TODAY()-35,C186+ROW()/100000,""),"")</f>
        <v/>
      </c>
    </row>
    <row r="187">
      <c r="A187" s="25" t="n"/>
      <c r="B187" s="11" t="n"/>
      <c r="C187" s="12" t="n"/>
      <c r="D187" s="12" t="n"/>
      <c r="E187" s="13" t="n"/>
      <c r="F187" s="13" t="n"/>
      <c r="G187" s="13" t="n"/>
      <c r="H187" s="13" t="n"/>
      <c r="I187" s="25" t="n"/>
      <c r="J187" s="25" t="n"/>
      <c r="K187" s="26" t="n"/>
      <c r="L187" s="26" t="n"/>
      <c r="M187" s="13">
        <f>IF(A187="","",COUNTIFS('Giao việc'!$M$5:$M$3004,A187,'Giao việc'!$I$5:$I$3004,"&lt;&gt;Bỏ qua"))</f>
        <v/>
      </c>
      <c r="N187" s="13">
        <f>IF(A187="","",COUNTIFS('Giao việc'!$M$5:$M$3004,A187,'Giao việc'!$I$5:$I$3004,"Xong"))</f>
        <v/>
      </c>
      <c r="O187" s="13">
        <f>IF(A187="","",COUNTIFS('Giao việc'!$M$5:$M$3004,A187,'Giao việc'!$L$5:$L$3004,"*QUÁ HẠN*"))</f>
        <v/>
      </c>
      <c r="P187" s="13">
        <f>IF(A187="","",COUNTIFS('Giao việc'!$M$5:$M$3004,A187,'Giao việc'!$L$5:$L$3004,"CHƯA GIAO*"))</f>
        <v/>
      </c>
      <c r="Q187" s="14">
        <f>IF(OR(A187="",N(M187)=0),"",N187/M187)</f>
        <v/>
      </c>
      <c r="R187" s="15">
        <f>IF(Q187="","",REPT("█",ROUND(Q187*10,0))&amp;REPT("░",10-ROUND(Q187*10,0)))</f>
        <v/>
      </c>
      <c r="S187" s="13">
        <f>IF(C187="","Chưa có ngày",IF(C187&gt;TODAY(),"Còn "&amp;(C187-TODAY())&amp;" ngày",IF(IF(D187="",C187,D187)&gt;=TODAY(),"Đang diễn ra","Đã qua "&amp;(TODAY()-IF(D187="",C187,D187))&amp;" ngày")))</f>
        <v/>
      </c>
      <c r="T187" s="13">
        <f>IF(AND(A187&lt;&gt;"",L187="Có",ISNUMBER(C187)),IF(IF(D187="",C187,D187)&gt;=TODAY()-35,C187+ROW()/100000,""),"")</f>
        <v/>
      </c>
    </row>
    <row r="188">
      <c r="A188" s="25" t="n"/>
      <c r="B188" s="11" t="n"/>
      <c r="C188" s="12" t="n"/>
      <c r="D188" s="12" t="n"/>
      <c r="E188" s="13" t="n"/>
      <c r="F188" s="13" t="n"/>
      <c r="G188" s="13" t="n"/>
      <c r="H188" s="13" t="n"/>
      <c r="I188" s="25" t="n"/>
      <c r="J188" s="25" t="n"/>
      <c r="K188" s="26" t="n"/>
      <c r="L188" s="26" t="n"/>
      <c r="M188" s="13">
        <f>IF(A188="","",COUNTIFS('Giao việc'!$M$5:$M$3004,A188,'Giao việc'!$I$5:$I$3004,"&lt;&gt;Bỏ qua"))</f>
        <v/>
      </c>
      <c r="N188" s="13">
        <f>IF(A188="","",COUNTIFS('Giao việc'!$M$5:$M$3004,A188,'Giao việc'!$I$5:$I$3004,"Xong"))</f>
        <v/>
      </c>
      <c r="O188" s="13">
        <f>IF(A188="","",COUNTIFS('Giao việc'!$M$5:$M$3004,A188,'Giao việc'!$L$5:$L$3004,"*QUÁ HẠN*"))</f>
        <v/>
      </c>
      <c r="P188" s="13">
        <f>IF(A188="","",COUNTIFS('Giao việc'!$M$5:$M$3004,A188,'Giao việc'!$L$5:$L$3004,"CHƯA GIAO*"))</f>
        <v/>
      </c>
      <c r="Q188" s="14">
        <f>IF(OR(A188="",N(M188)=0),"",N188/M188)</f>
        <v/>
      </c>
      <c r="R188" s="15">
        <f>IF(Q188="","",REPT("█",ROUND(Q188*10,0))&amp;REPT("░",10-ROUND(Q188*10,0)))</f>
        <v/>
      </c>
      <c r="S188" s="13">
        <f>IF(C188="","Chưa có ngày",IF(C188&gt;TODAY(),"Còn "&amp;(C188-TODAY())&amp;" ngày",IF(IF(D188="",C188,D188)&gt;=TODAY(),"Đang diễn ra","Đã qua "&amp;(TODAY()-IF(D188="",C188,D188))&amp;" ngày")))</f>
        <v/>
      </c>
      <c r="T188" s="13">
        <f>IF(AND(A188&lt;&gt;"",L188="Có",ISNUMBER(C188)),IF(IF(D188="",C188,D188)&gt;=TODAY()-35,C188+ROW()/100000,""),"")</f>
        <v/>
      </c>
    </row>
    <row r="189">
      <c r="A189" s="25" t="n"/>
      <c r="B189" s="11" t="n"/>
      <c r="C189" s="12" t="n"/>
      <c r="D189" s="12" t="n"/>
      <c r="E189" s="13" t="n"/>
      <c r="F189" s="13" t="n"/>
      <c r="G189" s="13" t="n"/>
      <c r="H189" s="13" t="n"/>
      <c r="I189" s="25" t="n"/>
      <c r="J189" s="25" t="n"/>
      <c r="K189" s="26" t="n"/>
      <c r="L189" s="26" t="n"/>
      <c r="M189" s="13">
        <f>IF(A189="","",COUNTIFS('Giao việc'!$M$5:$M$3004,A189,'Giao việc'!$I$5:$I$3004,"&lt;&gt;Bỏ qua"))</f>
        <v/>
      </c>
      <c r="N189" s="13">
        <f>IF(A189="","",COUNTIFS('Giao việc'!$M$5:$M$3004,A189,'Giao việc'!$I$5:$I$3004,"Xong"))</f>
        <v/>
      </c>
      <c r="O189" s="13">
        <f>IF(A189="","",COUNTIFS('Giao việc'!$M$5:$M$3004,A189,'Giao việc'!$L$5:$L$3004,"*QUÁ HẠN*"))</f>
        <v/>
      </c>
      <c r="P189" s="13">
        <f>IF(A189="","",COUNTIFS('Giao việc'!$M$5:$M$3004,A189,'Giao việc'!$L$5:$L$3004,"CHƯA GIAO*"))</f>
        <v/>
      </c>
      <c r="Q189" s="14">
        <f>IF(OR(A189="",N(M189)=0),"",N189/M189)</f>
        <v/>
      </c>
      <c r="R189" s="15">
        <f>IF(Q189="","",REPT("█",ROUND(Q189*10,0))&amp;REPT("░",10-ROUND(Q189*10,0)))</f>
        <v/>
      </c>
      <c r="S189" s="13">
        <f>IF(C189="","Chưa có ngày",IF(C189&gt;TODAY(),"Còn "&amp;(C189-TODAY())&amp;" ngày",IF(IF(D189="",C189,D189)&gt;=TODAY(),"Đang diễn ra","Đã qua "&amp;(TODAY()-IF(D189="",C189,D189))&amp;" ngày")))</f>
        <v/>
      </c>
      <c r="T189" s="13">
        <f>IF(AND(A189&lt;&gt;"",L189="Có",ISNUMBER(C189)),IF(IF(D189="",C189,D189)&gt;=TODAY()-35,C189+ROW()/100000,""),"")</f>
        <v/>
      </c>
    </row>
    <row r="190">
      <c r="A190" s="25" t="n"/>
      <c r="B190" s="11" t="n"/>
      <c r="C190" s="12" t="n"/>
      <c r="D190" s="12" t="n"/>
      <c r="E190" s="13" t="n"/>
      <c r="F190" s="13" t="n"/>
      <c r="G190" s="13" t="n"/>
      <c r="H190" s="13" t="n"/>
      <c r="I190" s="25" t="n"/>
      <c r="J190" s="25" t="n"/>
      <c r="K190" s="26" t="n"/>
      <c r="L190" s="26" t="n"/>
      <c r="M190" s="13">
        <f>IF(A190="","",COUNTIFS('Giao việc'!$M$5:$M$3004,A190,'Giao việc'!$I$5:$I$3004,"&lt;&gt;Bỏ qua"))</f>
        <v/>
      </c>
      <c r="N190" s="13">
        <f>IF(A190="","",COUNTIFS('Giao việc'!$M$5:$M$3004,A190,'Giao việc'!$I$5:$I$3004,"Xong"))</f>
        <v/>
      </c>
      <c r="O190" s="13">
        <f>IF(A190="","",COUNTIFS('Giao việc'!$M$5:$M$3004,A190,'Giao việc'!$L$5:$L$3004,"*QUÁ HẠN*"))</f>
        <v/>
      </c>
      <c r="P190" s="13">
        <f>IF(A190="","",COUNTIFS('Giao việc'!$M$5:$M$3004,A190,'Giao việc'!$L$5:$L$3004,"CHƯA GIAO*"))</f>
        <v/>
      </c>
      <c r="Q190" s="14">
        <f>IF(OR(A190="",N(M190)=0),"",N190/M190)</f>
        <v/>
      </c>
      <c r="R190" s="15">
        <f>IF(Q190="","",REPT("█",ROUND(Q190*10,0))&amp;REPT("░",10-ROUND(Q190*10,0)))</f>
        <v/>
      </c>
      <c r="S190" s="13">
        <f>IF(C190="","Chưa có ngày",IF(C190&gt;TODAY(),"Còn "&amp;(C190-TODAY())&amp;" ngày",IF(IF(D190="",C190,D190)&gt;=TODAY(),"Đang diễn ra","Đã qua "&amp;(TODAY()-IF(D190="",C190,D190))&amp;" ngày")))</f>
        <v/>
      </c>
      <c r="T190" s="13">
        <f>IF(AND(A190&lt;&gt;"",L190="Có",ISNUMBER(C190)),IF(IF(D190="",C190,D190)&gt;=TODAY()-35,C190+ROW()/100000,""),"")</f>
        <v/>
      </c>
    </row>
    <row r="191">
      <c r="A191" s="25" t="n"/>
      <c r="B191" s="11" t="n"/>
      <c r="C191" s="12" t="n"/>
      <c r="D191" s="12" t="n"/>
      <c r="E191" s="13" t="n"/>
      <c r="F191" s="13" t="n"/>
      <c r="G191" s="13" t="n"/>
      <c r="H191" s="13" t="n"/>
      <c r="I191" s="25" t="n"/>
      <c r="J191" s="25" t="n"/>
      <c r="K191" s="26" t="n"/>
      <c r="L191" s="26" t="n"/>
      <c r="M191" s="13">
        <f>IF(A191="","",COUNTIFS('Giao việc'!$M$5:$M$3004,A191,'Giao việc'!$I$5:$I$3004,"&lt;&gt;Bỏ qua"))</f>
        <v/>
      </c>
      <c r="N191" s="13">
        <f>IF(A191="","",COUNTIFS('Giao việc'!$M$5:$M$3004,A191,'Giao việc'!$I$5:$I$3004,"Xong"))</f>
        <v/>
      </c>
      <c r="O191" s="13">
        <f>IF(A191="","",COUNTIFS('Giao việc'!$M$5:$M$3004,A191,'Giao việc'!$L$5:$L$3004,"*QUÁ HẠN*"))</f>
        <v/>
      </c>
      <c r="P191" s="13">
        <f>IF(A191="","",COUNTIFS('Giao việc'!$M$5:$M$3004,A191,'Giao việc'!$L$5:$L$3004,"CHƯA GIAO*"))</f>
        <v/>
      </c>
      <c r="Q191" s="14">
        <f>IF(OR(A191="",N(M191)=0),"",N191/M191)</f>
        <v/>
      </c>
      <c r="R191" s="15">
        <f>IF(Q191="","",REPT("█",ROUND(Q191*10,0))&amp;REPT("░",10-ROUND(Q191*10,0)))</f>
        <v/>
      </c>
      <c r="S191" s="13">
        <f>IF(C191="","Chưa có ngày",IF(C191&gt;TODAY(),"Còn "&amp;(C191-TODAY())&amp;" ngày",IF(IF(D191="",C191,D191)&gt;=TODAY(),"Đang diễn ra","Đã qua "&amp;(TODAY()-IF(D191="",C191,D191))&amp;" ngày")))</f>
        <v/>
      </c>
      <c r="T191" s="13">
        <f>IF(AND(A191&lt;&gt;"",L191="Có",ISNUMBER(C191)),IF(IF(D191="",C191,D191)&gt;=TODAY()-35,C191+ROW()/100000,""),"")</f>
        <v/>
      </c>
    </row>
    <row r="192">
      <c r="A192" s="25" t="n"/>
      <c r="B192" s="11" t="n"/>
      <c r="C192" s="12" t="n"/>
      <c r="D192" s="12" t="n"/>
      <c r="E192" s="13" t="n"/>
      <c r="F192" s="13" t="n"/>
      <c r="G192" s="13" t="n"/>
      <c r="H192" s="13" t="n"/>
      <c r="I192" s="25" t="n"/>
      <c r="J192" s="25" t="n"/>
      <c r="K192" s="26" t="n"/>
      <c r="L192" s="26" t="n"/>
      <c r="M192" s="13">
        <f>IF(A192="","",COUNTIFS('Giao việc'!$M$5:$M$3004,A192,'Giao việc'!$I$5:$I$3004,"&lt;&gt;Bỏ qua"))</f>
        <v/>
      </c>
      <c r="N192" s="13">
        <f>IF(A192="","",COUNTIFS('Giao việc'!$M$5:$M$3004,A192,'Giao việc'!$I$5:$I$3004,"Xong"))</f>
        <v/>
      </c>
      <c r="O192" s="13">
        <f>IF(A192="","",COUNTIFS('Giao việc'!$M$5:$M$3004,A192,'Giao việc'!$L$5:$L$3004,"*QUÁ HẠN*"))</f>
        <v/>
      </c>
      <c r="P192" s="13">
        <f>IF(A192="","",COUNTIFS('Giao việc'!$M$5:$M$3004,A192,'Giao việc'!$L$5:$L$3004,"CHƯA GIAO*"))</f>
        <v/>
      </c>
      <c r="Q192" s="14">
        <f>IF(OR(A192="",N(M192)=0),"",N192/M192)</f>
        <v/>
      </c>
      <c r="R192" s="15">
        <f>IF(Q192="","",REPT("█",ROUND(Q192*10,0))&amp;REPT("░",10-ROUND(Q192*10,0)))</f>
        <v/>
      </c>
      <c r="S192" s="13">
        <f>IF(C192="","Chưa có ngày",IF(C192&gt;TODAY(),"Còn "&amp;(C192-TODAY())&amp;" ngày",IF(IF(D192="",C192,D192)&gt;=TODAY(),"Đang diễn ra","Đã qua "&amp;(TODAY()-IF(D192="",C192,D192))&amp;" ngày")))</f>
        <v/>
      </c>
      <c r="T192" s="13">
        <f>IF(AND(A192&lt;&gt;"",L192="Có",ISNUMBER(C192)),IF(IF(D192="",C192,D192)&gt;=TODAY()-35,C192+ROW()/100000,""),"")</f>
        <v/>
      </c>
    </row>
    <row r="193">
      <c r="A193" s="25" t="n"/>
      <c r="B193" s="11" t="n"/>
      <c r="C193" s="12" t="n"/>
      <c r="D193" s="12" t="n"/>
      <c r="E193" s="13" t="n"/>
      <c r="F193" s="13" t="n"/>
      <c r="G193" s="13" t="n"/>
      <c r="H193" s="13" t="n"/>
      <c r="I193" s="25" t="n"/>
      <c r="J193" s="25" t="n"/>
      <c r="K193" s="26" t="n"/>
      <c r="L193" s="26" t="n"/>
      <c r="M193" s="13">
        <f>IF(A193="","",COUNTIFS('Giao việc'!$M$5:$M$3004,A193,'Giao việc'!$I$5:$I$3004,"&lt;&gt;Bỏ qua"))</f>
        <v/>
      </c>
      <c r="N193" s="13">
        <f>IF(A193="","",COUNTIFS('Giao việc'!$M$5:$M$3004,A193,'Giao việc'!$I$5:$I$3004,"Xong"))</f>
        <v/>
      </c>
      <c r="O193" s="13">
        <f>IF(A193="","",COUNTIFS('Giao việc'!$M$5:$M$3004,A193,'Giao việc'!$L$5:$L$3004,"*QUÁ HẠN*"))</f>
        <v/>
      </c>
      <c r="P193" s="13">
        <f>IF(A193="","",COUNTIFS('Giao việc'!$M$5:$M$3004,A193,'Giao việc'!$L$5:$L$3004,"CHƯA GIAO*"))</f>
        <v/>
      </c>
      <c r="Q193" s="14">
        <f>IF(OR(A193="",N(M193)=0),"",N193/M193)</f>
        <v/>
      </c>
      <c r="R193" s="15">
        <f>IF(Q193="","",REPT("█",ROUND(Q193*10,0))&amp;REPT("░",10-ROUND(Q193*10,0)))</f>
        <v/>
      </c>
      <c r="S193" s="13">
        <f>IF(C193="","Chưa có ngày",IF(C193&gt;TODAY(),"Còn "&amp;(C193-TODAY())&amp;" ngày",IF(IF(D193="",C193,D193)&gt;=TODAY(),"Đang diễn ra","Đã qua "&amp;(TODAY()-IF(D193="",C193,D193))&amp;" ngày")))</f>
        <v/>
      </c>
      <c r="T193" s="13">
        <f>IF(AND(A193&lt;&gt;"",L193="Có",ISNUMBER(C193)),IF(IF(D193="",C193,D193)&gt;=TODAY()-35,C193+ROW()/100000,""),"")</f>
        <v/>
      </c>
    </row>
    <row r="194">
      <c r="A194" s="25" t="n"/>
      <c r="B194" s="11" t="n"/>
      <c r="C194" s="12" t="n"/>
      <c r="D194" s="12" t="n"/>
      <c r="E194" s="13" t="n"/>
      <c r="F194" s="13" t="n"/>
      <c r="G194" s="13" t="n"/>
      <c r="H194" s="13" t="n"/>
      <c r="I194" s="25" t="n"/>
      <c r="J194" s="25" t="n"/>
      <c r="K194" s="26" t="n"/>
      <c r="L194" s="26" t="n"/>
      <c r="M194" s="13">
        <f>IF(A194="","",COUNTIFS('Giao việc'!$M$5:$M$3004,A194,'Giao việc'!$I$5:$I$3004,"&lt;&gt;Bỏ qua"))</f>
        <v/>
      </c>
      <c r="N194" s="13">
        <f>IF(A194="","",COUNTIFS('Giao việc'!$M$5:$M$3004,A194,'Giao việc'!$I$5:$I$3004,"Xong"))</f>
        <v/>
      </c>
      <c r="O194" s="13">
        <f>IF(A194="","",COUNTIFS('Giao việc'!$M$5:$M$3004,A194,'Giao việc'!$L$5:$L$3004,"*QUÁ HẠN*"))</f>
        <v/>
      </c>
      <c r="P194" s="13">
        <f>IF(A194="","",COUNTIFS('Giao việc'!$M$5:$M$3004,A194,'Giao việc'!$L$5:$L$3004,"CHƯA GIAO*"))</f>
        <v/>
      </c>
      <c r="Q194" s="14">
        <f>IF(OR(A194="",N(M194)=0),"",N194/M194)</f>
        <v/>
      </c>
      <c r="R194" s="15">
        <f>IF(Q194="","",REPT("█",ROUND(Q194*10,0))&amp;REPT("░",10-ROUND(Q194*10,0)))</f>
        <v/>
      </c>
      <c r="S194" s="13">
        <f>IF(C194="","Chưa có ngày",IF(C194&gt;TODAY(),"Còn "&amp;(C194-TODAY())&amp;" ngày",IF(IF(D194="",C194,D194)&gt;=TODAY(),"Đang diễn ra","Đã qua "&amp;(TODAY()-IF(D194="",C194,D194))&amp;" ngày")))</f>
        <v/>
      </c>
      <c r="T194" s="13">
        <f>IF(AND(A194&lt;&gt;"",L194="Có",ISNUMBER(C194)),IF(IF(D194="",C194,D194)&gt;=TODAY()-35,C194+ROW()/100000,""),"")</f>
        <v/>
      </c>
    </row>
    <row r="195">
      <c r="A195" s="25" t="n"/>
      <c r="B195" s="11" t="n"/>
      <c r="C195" s="12" t="n"/>
      <c r="D195" s="12" t="n"/>
      <c r="E195" s="13" t="n"/>
      <c r="F195" s="13" t="n"/>
      <c r="G195" s="13" t="n"/>
      <c r="H195" s="13" t="n"/>
      <c r="I195" s="25" t="n"/>
      <c r="J195" s="25" t="n"/>
      <c r="K195" s="26" t="n"/>
      <c r="L195" s="26" t="n"/>
      <c r="M195" s="13">
        <f>IF(A195="","",COUNTIFS('Giao việc'!$M$5:$M$3004,A195,'Giao việc'!$I$5:$I$3004,"&lt;&gt;Bỏ qua"))</f>
        <v/>
      </c>
      <c r="N195" s="13">
        <f>IF(A195="","",COUNTIFS('Giao việc'!$M$5:$M$3004,A195,'Giao việc'!$I$5:$I$3004,"Xong"))</f>
        <v/>
      </c>
      <c r="O195" s="13">
        <f>IF(A195="","",COUNTIFS('Giao việc'!$M$5:$M$3004,A195,'Giao việc'!$L$5:$L$3004,"*QUÁ HẠN*"))</f>
        <v/>
      </c>
      <c r="P195" s="13">
        <f>IF(A195="","",COUNTIFS('Giao việc'!$M$5:$M$3004,A195,'Giao việc'!$L$5:$L$3004,"CHƯA GIAO*"))</f>
        <v/>
      </c>
      <c r="Q195" s="14">
        <f>IF(OR(A195="",N(M195)=0),"",N195/M195)</f>
        <v/>
      </c>
      <c r="R195" s="15">
        <f>IF(Q195="","",REPT("█",ROUND(Q195*10,0))&amp;REPT("░",10-ROUND(Q195*10,0)))</f>
        <v/>
      </c>
      <c r="S195" s="13">
        <f>IF(C195="","Chưa có ngày",IF(C195&gt;TODAY(),"Còn "&amp;(C195-TODAY())&amp;" ngày",IF(IF(D195="",C195,D195)&gt;=TODAY(),"Đang diễn ra","Đã qua "&amp;(TODAY()-IF(D195="",C195,D195))&amp;" ngày")))</f>
        <v/>
      </c>
      <c r="T195" s="13">
        <f>IF(AND(A195&lt;&gt;"",L195="Có",ISNUMBER(C195)),IF(IF(D195="",C195,D195)&gt;=TODAY()-35,C195+ROW()/100000,""),"")</f>
        <v/>
      </c>
    </row>
    <row r="196">
      <c r="A196" s="25" t="n"/>
      <c r="B196" s="11" t="n"/>
      <c r="C196" s="12" t="n"/>
      <c r="D196" s="12" t="n"/>
      <c r="E196" s="13" t="n"/>
      <c r="F196" s="13" t="n"/>
      <c r="G196" s="13" t="n"/>
      <c r="H196" s="13" t="n"/>
      <c r="I196" s="25" t="n"/>
      <c r="J196" s="25" t="n"/>
      <c r="K196" s="26" t="n"/>
      <c r="L196" s="26" t="n"/>
      <c r="M196" s="13">
        <f>IF(A196="","",COUNTIFS('Giao việc'!$M$5:$M$3004,A196,'Giao việc'!$I$5:$I$3004,"&lt;&gt;Bỏ qua"))</f>
        <v/>
      </c>
      <c r="N196" s="13">
        <f>IF(A196="","",COUNTIFS('Giao việc'!$M$5:$M$3004,A196,'Giao việc'!$I$5:$I$3004,"Xong"))</f>
        <v/>
      </c>
      <c r="O196" s="13">
        <f>IF(A196="","",COUNTIFS('Giao việc'!$M$5:$M$3004,A196,'Giao việc'!$L$5:$L$3004,"*QUÁ HẠN*"))</f>
        <v/>
      </c>
      <c r="P196" s="13">
        <f>IF(A196="","",COUNTIFS('Giao việc'!$M$5:$M$3004,A196,'Giao việc'!$L$5:$L$3004,"CHƯA GIAO*"))</f>
        <v/>
      </c>
      <c r="Q196" s="14">
        <f>IF(OR(A196="",N(M196)=0),"",N196/M196)</f>
        <v/>
      </c>
      <c r="R196" s="15">
        <f>IF(Q196="","",REPT("█",ROUND(Q196*10,0))&amp;REPT("░",10-ROUND(Q196*10,0)))</f>
        <v/>
      </c>
      <c r="S196" s="13">
        <f>IF(C196="","Chưa có ngày",IF(C196&gt;TODAY(),"Còn "&amp;(C196-TODAY())&amp;" ngày",IF(IF(D196="",C196,D196)&gt;=TODAY(),"Đang diễn ra","Đã qua "&amp;(TODAY()-IF(D196="",C196,D196))&amp;" ngày")))</f>
        <v/>
      </c>
      <c r="T196" s="13">
        <f>IF(AND(A196&lt;&gt;"",L196="Có",ISNUMBER(C196)),IF(IF(D196="",C196,D196)&gt;=TODAY()-35,C196+ROW()/100000,""),"")</f>
        <v/>
      </c>
    </row>
    <row r="197">
      <c r="A197" s="25" t="n"/>
      <c r="B197" s="11" t="n"/>
      <c r="C197" s="12" t="n"/>
      <c r="D197" s="12" t="n"/>
      <c r="E197" s="13" t="n"/>
      <c r="F197" s="13" t="n"/>
      <c r="G197" s="13" t="n"/>
      <c r="H197" s="13" t="n"/>
      <c r="I197" s="25" t="n"/>
      <c r="J197" s="25" t="n"/>
      <c r="K197" s="26" t="n"/>
      <c r="L197" s="26" t="n"/>
      <c r="M197" s="13">
        <f>IF(A197="","",COUNTIFS('Giao việc'!$M$5:$M$3004,A197,'Giao việc'!$I$5:$I$3004,"&lt;&gt;Bỏ qua"))</f>
        <v/>
      </c>
      <c r="N197" s="13">
        <f>IF(A197="","",COUNTIFS('Giao việc'!$M$5:$M$3004,A197,'Giao việc'!$I$5:$I$3004,"Xong"))</f>
        <v/>
      </c>
      <c r="O197" s="13">
        <f>IF(A197="","",COUNTIFS('Giao việc'!$M$5:$M$3004,A197,'Giao việc'!$L$5:$L$3004,"*QUÁ HẠN*"))</f>
        <v/>
      </c>
      <c r="P197" s="13">
        <f>IF(A197="","",COUNTIFS('Giao việc'!$M$5:$M$3004,A197,'Giao việc'!$L$5:$L$3004,"CHƯA GIAO*"))</f>
        <v/>
      </c>
      <c r="Q197" s="14">
        <f>IF(OR(A197="",N(M197)=0),"",N197/M197)</f>
        <v/>
      </c>
      <c r="R197" s="15">
        <f>IF(Q197="","",REPT("█",ROUND(Q197*10,0))&amp;REPT("░",10-ROUND(Q197*10,0)))</f>
        <v/>
      </c>
      <c r="S197" s="13">
        <f>IF(C197="","Chưa có ngày",IF(C197&gt;TODAY(),"Còn "&amp;(C197-TODAY())&amp;" ngày",IF(IF(D197="",C197,D197)&gt;=TODAY(),"Đang diễn ra","Đã qua "&amp;(TODAY()-IF(D197="",C197,D197))&amp;" ngày")))</f>
        <v/>
      </c>
      <c r="T197" s="13">
        <f>IF(AND(A197&lt;&gt;"",L197="Có",ISNUMBER(C197)),IF(IF(D197="",C197,D197)&gt;=TODAY()-35,C197+ROW()/100000,""),"")</f>
        <v/>
      </c>
    </row>
    <row r="198">
      <c r="A198" s="25" t="n"/>
      <c r="B198" s="11" t="n"/>
      <c r="C198" s="12" t="n"/>
      <c r="D198" s="12" t="n"/>
      <c r="E198" s="13" t="n"/>
      <c r="F198" s="13" t="n"/>
      <c r="G198" s="13" t="n"/>
      <c r="H198" s="13" t="n"/>
      <c r="I198" s="25" t="n"/>
      <c r="J198" s="25" t="n"/>
      <c r="K198" s="26" t="n"/>
      <c r="L198" s="26" t="n"/>
      <c r="M198" s="13">
        <f>IF(A198="","",COUNTIFS('Giao việc'!$M$5:$M$3004,A198,'Giao việc'!$I$5:$I$3004,"&lt;&gt;Bỏ qua"))</f>
        <v/>
      </c>
      <c r="N198" s="13">
        <f>IF(A198="","",COUNTIFS('Giao việc'!$M$5:$M$3004,A198,'Giao việc'!$I$5:$I$3004,"Xong"))</f>
        <v/>
      </c>
      <c r="O198" s="13">
        <f>IF(A198="","",COUNTIFS('Giao việc'!$M$5:$M$3004,A198,'Giao việc'!$L$5:$L$3004,"*QUÁ HẠN*"))</f>
        <v/>
      </c>
      <c r="P198" s="13">
        <f>IF(A198="","",COUNTIFS('Giao việc'!$M$5:$M$3004,A198,'Giao việc'!$L$5:$L$3004,"CHƯA GIAO*"))</f>
        <v/>
      </c>
      <c r="Q198" s="14">
        <f>IF(OR(A198="",N(M198)=0),"",N198/M198)</f>
        <v/>
      </c>
      <c r="R198" s="15">
        <f>IF(Q198="","",REPT("█",ROUND(Q198*10,0))&amp;REPT("░",10-ROUND(Q198*10,0)))</f>
        <v/>
      </c>
      <c r="S198" s="13">
        <f>IF(C198="","Chưa có ngày",IF(C198&gt;TODAY(),"Còn "&amp;(C198-TODAY())&amp;" ngày",IF(IF(D198="",C198,D198)&gt;=TODAY(),"Đang diễn ra","Đã qua "&amp;(TODAY()-IF(D198="",C198,D198))&amp;" ngày")))</f>
        <v/>
      </c>
      <c r="T198" s="13">
        <f>IF(AND(A198&lt;&gt;"",L198="Có",ISNUMBER(C198)),IF(IF(D198="",C198,D198)&gt;=TODAY()-35,C198+ROW()/100000,""),"")</f>
        <v/>
      </c>
    </row>
    <row r="199">
      <c r="A199" s="25" t="n"/>
      <c r="B199" s="11" t="n"/>
      <c r="C199" s="12" t="n"/>
      <c r="D199" s="12" t="n"/>
      <c r="E199" s="13" t="n"/>
      <c r="F199" s="13" t="n"/>
      <c r="G199" s="13" t="n"/>
      <c r="H199" s="13" t="n"/>
      <c r="I199" s="25" t="n"/>
      <c r="J199" s="25" t="n"/>
      <c r="K199" s="26" t="n"/>
      <c r="L199" s="26" t="n"/>
      <c r="M199" s="13">
        <f>IF(A199="","",COUNTIFS('Giao việc'!$M$5:$M$3004,A199,'Giao việc'!$I$5:$I$3004,"&lt;&gt;Bỏ qua"))</f>
        <v/>
      </c>
      <c r="N199" s="13">
        <f>IF(A199="","",COUNTIFS('Giao việc'!$M$5:$M$3004,A199,'Giao việc'!$I$5:$I$3004,"Xong"))</f>
        <v/>
      </c>
      <c r="O199" s="13">
        <f>IF(A199="","",COUNTIFS('Giao việc'!$M$5:$M$3004,A199,'Giao việc'!$L$5:$L$3004,"*QUÁ HẠN*"))</f>
        <v/>
      </c>
      <c r="P199" s="13">
        <f>IF(A199="","",COUNTIFS('Giao việc'!$M$5:$M$3004,A199,'Giao việc'!$L$5:$L$3004,"CHƯA GIAO*"))</f>
        <v/>
      </c>
      <c r="Q199" s="14">
        <f>IF(OR(A199="",N(M199)=0),"",N199/M199)</f>
        <v/>
      </c>
      <c r="R199" s="15">
        <f>IF(Q199="","",REPT("█",ROUND(Q199*10,0))&amp;REPT("░",10-ROUND(Q199*10,0)))</f>
        <v/>
      </c>
      <c r="S199" s="13">
        <f>IF(C199="","Chưa có ngày",IF(C199&gt;TODAY(),"Còn "&amp;(C199-TODAY())&amp;" ngày",IF(IF(D199="",C199,D199)&gt;=TODAY(),"Đang diễn ra","Đã qua "&amp;(TODAY()-IF(D199="",C199,D199))&amp;" ngày")))</f>
        <v/>
      </c>
      <c r="T199" s="13">
        <f>IF(AND(A199&lt;&gt;"",L199="Có",ISNUMBER(C199)),IF(IF(D199="",C199,D199)&gt;=TODAY()-35,C199+ROW()/100000,""),"")</f>
        <v/>
      </c>
    </row>
    <row r="200">
      <c r="A200" s="25" t="n"/>
      <c r="B200" s="11" t="n"/>
      <c r="C200" s="12" t="n"/>
      <c r="D200" s="12" t="n"/>
      <c r="E200" s="13" t="n"/>
      <c r="F200" s="13" t="n"/>
      <c r="G200" s="13" t="n"/>
      <c r="H200" s="13" t="n"/>
      <c r="I200" s="25" t="n"/>
      <c r="J200" s="25" t="n"/>
      <c r="K200" s="26" t="n"/>
      <c r="L200" s="26" t="n"/>
      <c r="M200" s="13">
        <f>IF(A200="","",COUNTIFS('Giao việc'!$M$5:$M$3004,A200,'Giao việc'!$I$5:$I$3004,"&lt;&gt;Bỏ qua"))</f>
        <v/>
      </c>
      <c r="N200" s="13">
        <f>IF(A200="","",COUNTIFS('Giao việc'!$M$5:$M$3004,A200,'Giao việc'!$I$5:$I$3004,"Xong"))</f>
        <v/>
      </c>
      <c r="O200" s="13">
        <f>IF(A200="","",COUNTIFS('Giao việc'!$M$5:$M$3004,A200,'Giao việc'!$L$5:$L$3004,"*QUÁ HẠN*"))</f>
        <v/>
      </c>
      <c r="P200" s="13">
        <f>IF(A200="","",COUNTIFS('Giao việc'!$M$5:$M$3004,A200,'Giao việc'!$L$5:$L$3004,"CHƯA GIAO*"))</f>
        <v/>
      </c>
      <c r="Q200" s="14">
        <f>IF(OR(A200="",N(M200)=0),"",N200/M200)</f>
        <v/>
      </c>
      <c r="R200" s="15">
        <f>IF(Q200="","",REPT("█",ROUND(Q200*10,0))&amp;REPT("░",10-ROUND(Q200*10,0)))</f>
        <v/>
      </c>
      <c r="S200" s="13">
        <f>IF(C200="","Chưa có ngày",IF(C200&gt;TODAY(),"Còn "&amp;(C200-TODAY())&amp;" ngày",IF(IF(D200="",C200,D200)&gt;=TODAY(),"Đang diễn ra","Đã qua "&amp;(TODAY()-IF(D200="",C200,D200))&amp;" ngày")))</f>
        <v/>
      </c>
      <c r="T200" s="13">
        <f>IF(AND(A200&lt;&gt;"",L200="Có",ISNUMBER(C200)),IF(IF(D200="",C200,D200)&gt;=TODAY()-35,C200+ROW()/100000,""),"")</f>
        <v/>
      </c>
    </row>
    <row r="201">
      <c r="A201" s="25" t="n"/>
      <c r="B201" s="11" t="n"/>
      <c r="C201" s="12" t="n"/>
      <c r="D201" s="12" t="n"/>
      <c r="E201" s="13" t="n"/>
      <c r="F201" s="13" t="n"/>
      <c r="G201" s="13" t="n"/>
      <c r="H201" s="13" t="n"/>
      <c r="I201" s="25" t="n"/>
      <c r="J201" s="25" t="n"/>
      <c r="K201" s="26" t="n"/>
      <c r="L201" s="26" t="n"/>
      <c r="M201" s="13">
        <f>IF(A201="","",COUNTIFS('Giao việc'!$M$5:$M$3004,A201,'Giao việc'!$I$5:$I$3004,"&lt;&gt;Bỏ qua"))</f>
        <v/>
      </c>
      <c r="N201" s="13">
        <f>IF(A201="","",COUNTIFS('Giao việc'!$M$5:$M$3004,A201,'Giao việc'!$I$5:$I$3004,"Xong"))</f>
        <v/>
      </c>
      <c r="O201" s="13">
        <f>IF(A201="","",COUNTIFS('Giao việc'!$M$5:$M$3004,A201,'Giao việc'!$L$5:$L$3004,"*QUÁ HẠN*"))</f>
        <v/>
      </c>
      <c r="P201" s="13">
        <f>IF(A201="","",COUNTIFS('Giao việc'!$M$5:$M$3004,A201,'Giao việc'!$L$5:$L$3004,"CHƯA GIAO*"))</f>
        <v/>
      </c>
      <c r="Q201" s="14">
        <f>IF(OR(A201="",N(M201)=0),"",N201/M201)</f>
        <v/>
      </c>
      <c r="R201" s="15">
        <f>IF(Q201="","",REPT("█",ROUND(Q201*10,0))&amp;REPT("░",10-ROUND(Q201*10,0)))</f>
        <v/>
      </c>
      <c r="S201" s="13">
        <f>IF(C201="","Chưa có ngày",IF(C201&gt;TODAY(),"Còn "&amp;(C201-TODAY())&amp;" ngày",IF(IF(D201="",C201,D201)&gt;=TODAY(),"Đang diễn ra","Đã qua "&amp;(TODAY()-IF(D201="",C201,D201))&amp;" ngày")))</f>
        <v/>
      </c>
      <c r="T201" s="13">
        <f>IF(AND(A201&lt;&gt;"",L201="Có",ISNUMBER(C201)),IF(IF(D201="",C201,D201)&gt;=TODAY()-35,C201+ROW()/100000,""),"")</f>
        <v/>
      </c>
    </row>
    <row r="202">
      <c r="A202" s="25" t="n"/>
      <c r="B202" s="11" t="n"/>
      <c r="C202" s="12" t="n"/>
      <c r="D202" s="12" t="n"/>
      <c r="E202" s="13" t="n"/>
      <c r="F202" s="13" t="n"/>
      <c r="G202" s="13" t="n"/>
      <c r="H202" s="13" t="n"/>
      <c r="I202" s="25" t="n"/>
      <c r="J202" s="25" t="n"/>
      <c r="K202" s="26" t="n"/>
      <c r="L202" s="26" t="n"/>
      <c r="M202" s="13">
        <f>IF(A202="","",COUNTIFS('Giao việc'!$M$5:$M$3004,A202,'Giao việc'!$I$5:$I$3004,"&lt;&gt;Bỏ qua"))</f>
        <v/>
      </c>
      <c r="N202" s="13">
        <f>IF(A202="","",COUNTIFS('Giao việc'!$M$5:$M$3004,A202,'Giao việc'!$I$5:$I$3004,"Xong"))</f>
        <v/>
      </c>
      <c r="O202" s="13">
        <f>IF(A202="","",COUNTIFS('Giao việc'!$M$5:$M$3004,A202,'Giao việc'!$L$5:$L$3004,"*QUÁ HẠN*"))</f>
        <v/>
      </c>
      <c r="P202" s="13">
        <f>IF(A202="","",COUNTIFS('Giao việc'!$M$5:$M$3004,A202,'Giao việc'!$L$5:$L$3004,"CHƯA GIAO*"))</f>
        <v/>
      </c>
      <c r="Q202" s="14">
        <f>IF(OR(A202="",N(M202)=0),"",N202/M202)</f>
        <v/>
      </c>
      <c r="R202" s="15">
        <f>IF(Q202="","",REPT("█",ROUND(Q202*10,0))&amp;REPT("░",10-ROUND(Q202*10,0)))</f>
        <v/>
      </c>
      <c r="S202" s="13">
        <f>IF(C202="","Chưa có ngày",IF(C202&gt;TODAY(),"Còn "&amp;(C202-TODAY())&amp;" ngày",IF(IF(D202="",C202,D202)&gt;=TODAY(),"Đang diễn ra","Đã qua "&amp;(TODAY()-IF(D202="",C202,D202))&amp;" ngày")))</f>
        <v/>
      </c>
      <c r="T202" s="13">
        <f>IF(AND(A202&lt;&gt;"",L202="Có",ISNUMBER(C202)),IF(IF(D202="",C202,D202)&gt;=TODAY()-35,C202+ROW()/100000,""),"")</f>
        <v/>
      </c>
    </row>
    <row r="203">
      <c r="A203" s="25" t="n"/>
      <c r="B203" s="11" t="n"/>
      <c r="C203" s="12" t="n"/>
      <c r="D203" s="12" t="n"/>
      <c r="E203" s="13" t="n"/>
      <c r="F203" s="13" t="n"/>
      <c r="G203" s="13" t="n"/>
      <c r="H203" s="13" t="n"/>
      <c r="I203" s="25" t="n"/>
      <c r="J203" s="25" t="n"/>
      <c r="K203" s="26" t="n"/>
      <c r="L203" s="26" t="n"/>
      <c r="M203" s="13">
        <f>IF(A203="","",COUNTIFS('Giao việc'!$M$5:$M$3004,A203,'Giao việc'!$I$5:$I$3004,"&lt;&gt;Bỏ qua"))</f>
        <v/>
      </c>
      <c r="N203" s="13">
        <f>IF(A203="","",COUNTIFS('Giao việc'!$M$5:$M$3004,A203,'Giao việc'!$I$5:$I$3004,"Xong"))</f>
        <v/>
      </c>
      <c r="O203" s="13">
        <f>IF(A203="","",COUNTIFS('Giao việc'!$M$5:$M$3004,A203,'Giao việc'!$L$5:$L$3004,"*QUÁ HẠN*"))</f>
        <v/>
      </c>
      <c r="P203" s="13">
        <f>IF(A203="","",COUNTIFS('Giao việc'!$M$5:$M$3004,A203,'Giao việc'!$L$5:$L$3004,"CHƯA GIAO*"))</f>
        <v/>
      </c>
      <c r="Q203" s="14">
        <f>IF(OR(A203="",N(M203)=0),"",N203/M203)</f>
        <v/>
      </c>
      <c r="R203" s="15">
        <f>IF(Q203="","",REPT("█",ROUND(Q203*10,0))&amp;REPT("░",10-ROUND(Q203*10,0)))</f>
        <v/>
      </c>
      <c r="S203" s="13">
        <f>IF(C203="","Chưa có ngày",IF(C203&gt;TODAY(),"Còn "&amp;(C203-TODAY())&amp;" ngày",IF(IF(D203="",C203,D203)&gt;=TODAY(),"Đang diễn ra","Đã qua "&amp;(TODAY()-IF(D203="",C203,D203))&amp;" ngày")))</f>
        <v/>
      </c>
      <c r="T203" s="13">
        <f>IF(AND(A203&lt;&gt;"",L203="Có",ISNUMBER(C203)),IF(IF(D203="",C203,D203)&gt;=TODAY()-35,C203+ROW()/100000,""),"")</f>
        <v/>
      </c>
    </row>
    <row r="204">
      <c r="A204" s="25" t="n"/>
      <c r="B204" s="11" t="n"/>
      <c r="C204" s="12" t="n"/>
      <c r="D204" s="12" t="n"/>
      <c r="E204" s="13" t="n"/>
      <c r="F204" s="13" t="n"/>
      <c r="G204" s="13" t="n"/>
      <c r="H204" s="13" t="n"/>
      <c r="I204" s="25" t="n"/>
      <c r="J204" s="25" t="n"/>
      <c r="K204" s="26" t="n"/>
      <c r="L204" s="26" t="n"/>
      <c r="M204" s="13">
        <f>IF(A204="","",COUNTIFS('Giao việc'!$M$5:$M$3004,A204,'Giao việc'!$I$5:$I$3004,"&lt;&gt;Bỏ qua"))</f>
        <v/>
      </c>
      <c r="N204" s="13">
        <f>IF(A204="","",COUNTIFS('Giao việc'!$M$5:$M$3004,A204,'Giao việc'!$I$5:$I$3004,"Xong"))</f>
        <v/>
      </c>
      <c r="O204" s="13">
        <f>IF(A204="","",COUNTIFS('Giao việc'!$M$5:$M$3004,A204,'Giao việc'!$L$5:$L$3004,"*QUÁ HẠN*"))</f>
        <v/>
      </c>
      <c r="P204" s="13">
        <f>IF(A204="","",COUNTIFS('Giao việc'!$M$5:$M$3004,A204,'Giao việc'!$L$5:$L$3004,"CHƯA GIAO*"))</f>
        <v/>
      </c>
      <c r="Q204" s="14">
        <f>IF(OR(A204="",N(M204)=0),"",N204/M204)</f>
        <v/>
      </c>
      <c r="R204" s="15">
        <f>IF(Q204="","",REPT("█",ROUND(Q204*10,0))&amp;REPT("░",10-ROUND(Q204*10,0)))</f>
        <v/>
      </c>
      <c r="S204" s="13">
        <f>IF(C204="","Chưa có ngày",IF(C204&gt;TODAY(),"Còn "&amp;(C204-TODAY())&amp;" ngày",IF(IF(D204="",C204,D204)&gt;=TODAY(),"Đang diễn ra","Đã qua "&amp;(TODAY()-IF(D204="",C204,D204))&amp;" ngày")))</f>
        <v/>
      </c>
      <c r="T204" s="13">
        <f>IF(AND(A204&lt;&gt;"",L204="Có",ISNUMBER(C204)),IF(IF(D204="",C204,D204)&gt;=TODAY()-35,C204+ROW()/100000,""),"")</f>
        <v/>
      </c>
    </row>
    <row r="205">
      <c r="A205" s="25" t="n"/>
      <c r="B205" s="11" t="n"/>
      <c r="C205" s="12" t="n"/>
      <c r="D205" s="12" t="n"/>
      <c r="E205" s="13" t="n"/>
      <c r="F205" s="13" t="n"/>
      <c r="G205" s="13" t="n"/>
      <c r="H205" s="13" t="n"/>
      <c r="I205" s="25" t="n"/>
      <c r="J205" s="25" t="n"/>
      <c r="K205" s="26" t="n"/>
      <c r="L205" s="26" t="n"/>
      <c r="M205" s="13">
        <f>IF(A205="","",COUNTIFS('Giao việc'!$M$5:$M$3004,A205,'Giao việc'!$I$5:$I$3004,"&lt;&gt;Bỏ qua"))</f>
        <v/>
      </c>
      <c r="N205" s="13">
        <f>IF(A205="","",COUNTIFS('Giao việc'!$M$5:$M$3004,A205,'Giao việc'!$I$5:$I$3004,"Xong"))</f>
        <v/>
      </c>
      <c r="O205" s="13">
        <f>IF(A205="","",COUNTIFS('Giao việc'!$M$5:$M$3004,A205,'Giao việc'!$L$5:$L$3004,"*QUÁ HẠN*"))</f>
        <v/>
      </c>
      <c r="P205" s="13">
        <f>IF(A205="","",COUNTIFS('Giao việc'!$M$5:$M$3004,A205,'Giao việc'!$L$5:$L$3004,"CHƯA GIAO*"))</f>
        <v/>
      </c>
      <c r="Q205" s="14">
        <f>IF(OR(A205="",N(M205)=0),"",N205/M205)</f>
        <v/>
      </c>
      <c r="R205" s="15">
        <f>IF(Q205="","",REPT("█",ROUND(Q205*10,0))&amp;REPT("░",10-ROUND(Q205*10,0)))</f>
        <v/>
      </c>
      <c r="S205" s="13">
        <f>IF(C205="","Chưa có ngày",IF(C205&gt;TODAY(),"Còn "&amp;(C205-TODAY())&amp;" ngày",IF(IF(D205="",C205,D205)&gt;=TODAY(),"Đang diễn ra","Đã qua "&amp;(TODAY()-IF(D205="",C205,D205))&amp;" ngày")))</f>
        <v/>
      </c>
      <c r="T205" s="13">
        <f>IF(AND(A205&lt;&gt;"",L205="Có",ISNUMBER(C205)),IF(IF(D205="",C205,D205)&gt;=TODAY()-35,C205+ROW()/100000,""),"")</f>
        <v/>
      </c>
    </row>
    <row r="206">
      <c r="A206" s="25" t="n"/>
      <c r="B206" s="11" t="n"/>
      <c r="C206" s="12" t="n"/>
      <c r="D206" s="12" t="n"/>
      <c r="E206" s="13" t="n"/>
      <c r="F206" s="13" t="n"/>
      <c r="G206" s="13" t="n"/>
      <c r="H206" s="13" t="n"/>
      <c r="I206" s="25" t="n"/>
      <c r="J206" s="25" t="n"/>
      <c r="K206" s="26" t="n"/>
      <c r="L206" s="26" t="n"/>
      <c r="M206" s="13">
        <f>IF(A206="","",COUNTIFS('Giao việc'!$M$5:$M$3004,A206,'Giao việc'!$I$5:$I$3004,"&lt;&gt;Bỏ qua"))</f>
        <v/>
      </c>
      <c r="N206" s="13">
        <f>IF(A206="","",COUNTIFS('Giao việc'!$M$5:$M$3004,A206,'Giao việc'!$I$5:$I$3004,"Xong"))</f>
        <v/>
      </c>
      <c r="O206" s="13">
        <f>IF(A206="","",COUNTIFS('Giao việc'!$M$5:$M$3004,A206,'Giao việc'!$L$5:$L$3004,"*QUÁ HẠN*"))</f>
        <v/>
      </c>
      <c r="P206" s="13">
        <f>IF(A206="","",COUNTIFS('Giao việc'!$M$5:$M$3004,A206,'Giao việc'!$L$5:$L$3004,"CHƯA GIAO*"))</f>
        <v/>
      </c>
      <c r="Q206" s="14">
        <f>IF(OR(A206="",N(M206)=0),"",N206/M206)</f>
        <v/>
      </c>
      <c r="R206" s="15">
        <f>IF(Q206="","",REPT("█",ROUND(Q206*10,0))&amp;REPT("░",10-ROUND(Q206*10,0)))</f>
        <v/>
      </c>
      <c r="S206" s="13">
        <f>IF(C206="","Chưa có ngày",IF(C206&gt;TODAY(),"Còn "&amp;(C206-TODAY())&amp;" ngày",IF(IF(D206="",C206,D206)&gt;=TODAY(),"Đang diễn ra","Đã qua "&amp;(TODAY()-IF(D206="",C206,D206))&amp;" ngày")))</f>
        <v/>
      </c>
      <c r="T206" s="13">
        <f>IF(AND(A206&lt;&gt;"",L206="Có",ISNUMBER(C206)),IF(IF(D206="",C206,D206)&gt;=TODAY()-35,C206+ROW()/100000,""),"")</f>
        <v/>
      </c>
    </row>
    <row r="207">
      <c r="A207" s="25" t="n"/>
      <c r="B207" s="11" t="n"/>
      <c r="C207" s="12" t="n"/>
      <c r="D207" s="12" t="n"/>
      <c r="E207" s="13" t="n"/>
      <c r="F207" s="13" t="n"/>
      <c r="G207" s="13" t="n"/>
      <c r="H207" s="13" t="n"/>
      <c r="I207" s="25" t="n"/>
      <c r="J207" s="25" t="n"/>
      <c r="K207" s="26" t="n"/>
      <c r="L207" s="26" t="n"/>
      <c r="M207" s="13">
        <f>IF(A207="","",COUNTIFS('Giao việc'!$M$5:$M$3004,A207,'Giao việc'!$I$5:$I$3004,"&lt;&gt;Bỏ qua"))</f>
        <v/>
      </c>
      <c r="N207" s="13">
        <f>IF(A207="","",COUNTIFS('Giao việc'!$M$5:$M$3004,A207,'Giao việc'!$I$5:$I$3004,"Xong"))</f>
        <v/>
      </c>
      <c r="O207" s="13">
        <f>IF(A207="","",COUNTIFS('Giao việc'!$M$5:$M$3004,A207,'Giao việc'!$L$5:$L$3004,"*QUÁ HẠN*"))</f>
        <v/>
      </c>
      <c r="P207" s="13">
        <f>IF(A207="","",COUNTIFS('Giao việc'!$M$5:$M$3004,A207,'Giao việc'!$L$5:$L$3004,"CHƯA GIAO*"))</f>
        <v/>
      </c>
      <c r="Q207" s="14">
        <f>IF(OR(A207="",N(M207)=0),"",N207/M207)</f>
        <v/>
      </c>
      <c r="R207" s="15">
        <f>IF(Q207="","",REPT("█",ROUND(Q207*10,0))&amp;REPT("░",10-ROUND(Q207*10,0)))</f>
        <v/>
      </c>
      <c r="S207" s="13">
        <f>IF(C207="","Chưa có ngày",IF(C207&gt;TODAY(),"Còn "&amp;(C207-TODAY())&amp;" ngày",IF(IF(D207="",C207,D207)&gt;=TODAY(),"Đang diễn ra","Đã qua "&amp;(TODAY()-IF(D207="",C207,D207))&amp;" ngày")))</f>
        <v/>
      </c>
      <c r="T207" s="13">
        <f>IF(AND(A207&lt;&gt;"",L207="Có",ISNUMBER(C207)),IF(IF(D207="",C207,D207)&gt;=TODAY()-35,C207+ROW()/100000,""),"")</f>
        <v/>
      </c>
    </row>
    <row r="208">
      <c r="A208" s="25" t="n"/>
      <c r="B208" s="11" t="n"/>
      <c r="C208" s="12" t="n"/>
      <c r="D208" s="12" t="n"/>
      <c r="E208" s="13" t="n"/>
      <c r="F208" s="13" t="n"/>
      <c r="G208" s="13" t="n"/>
      <c r="H208" s="13" t="n"/>
      <c r="I208" s="25" t="n"/>
      <c r="J208" s="25" t="n"/>
      <c r="K208" s="26" t="n"/>
      <c r="L208" s="26" t="n"/>
      <c r="M208" s="13">
        <f>IF(A208="","",COUNTIFS('Giao việc'!$M$5:$M$3004,A208,'Giao việc'!$I$5:$I$3004,"&lt;&gt;Bỏ qua"))</f>
        <v/>
      </c>
      <c r="N208" s="13">
        <f>IF(A208="","",COUNTIFS('Giao việc'!$M$5:$M$3004,A208,'Giao việc'!$I$5:$I$3004,"Xong"))</f>
        <v/>
      </c>
      <c r="O208" s="13">
        <f>IF(A208="","",COUNTIFS('Giao việc'!$M$5:$M$3004,A208,'Giao việc'!$L$5:$L$3004,"*QUÁ HẠN*"))</f>
        <v/>
      </c>
      <c r="P208" s="13">
        <f>IF(A208="","",COUNTIFS('Giao việc'!$M$5:$M$3004,A208,'Giao việc'!$L$5:$L$3004,"CHƯA GIAO*"))</f>
        <v/>
      </c>
      <c r="Q208" s="14">
        <f>IF(OR(A208="",N(M208)=0),"",N208/M208)</f>
        <v/>
      </c>
      <c r="R208" s="15">
        <f>IF(Q208="","",REPT("█",ROUND(Q208*10,0))&amp;REPT("░",10-ROUND(Q208*10,0)))</f>
        <v/>
      </c>
      <c r="S208" s="13">
        <f>IF(C208="","Chưa có ngày",IF(C208&gt;TODAY(),"Còn "&amp;(C208-TODAY())&amp;" ngày",IF(IF(D208="",C208,D208)&gt;=TODAY(),"Đang diễn ra","Đã qua "&amp;(TODAY()-IF(D208="",C208,D208))&amp;" ngày")))</f>
        <v/>
      </c>
      <c r="T208" s="13">
        <f>IF(AND(A208&lt;&gt;"",L208="Có",ISNUMBER(C208)),IF(IF(D208="",C208,D208)&gt;=TODAY()-35,C208+ROW()/100000,""),"")</f>
        <v/>
      </c>
    </row>
    <row r="209">
      <c r="A209" s="25" t="n"/>
      <c r="B209" s="11" t="n"/>
      <c r="C209" s="12" t="n"/>
      <c r="D209" s="12" t="n"/>
      <c r="E209" s="13" t="n"/>
      <c r="F209" s="13" t="n"/>
      <c r="G209" s="13" t="n"/>
      <c r="H209" s="13" t="n"/>
      <c r="I209" s="25" t="n"/>
      <c r="J209" s="25" t="n"/>
      <c r="K209" s="26" t="n"/>
      <c r="L209" s="26" t="n"/>
      <c r="M209" s="13">
        <f>IF(A209="","",COUNTIFS('Giao việc'!$M$5:$M$3004,A209,'Giao việc'!$I$5:$I$3004,"&lt;&gt;Bỏ qua"))</f>
        <v/>
      </c>
      <c r="N209" s="13">
        <f>IF(A209="","",COUNTIFS('Giao việc'!$M$5:$M$3004,A209,'Giao việc'!$I$5:$I$3004,"Xong"))</f>
        <v/>
      </c>
      <c r="O209" s="13">
        <f>IF(A209="","",COUNTIFS('Giao việc'!$M$5:$M$3004,A209,'Giao việc'!$L$5:$L$3004,"*QUÁ HẠN*"))</f>
        <v/>
      </c>
      <c r="P209" s="13">
        <f>IF(A209="","",COUNTIFS('Giao việc'!$M$5:$M$3004,A209,'Giao việc'!$L$5:$L$3004,"CHƯA GIAO*"))</f>
        <v/>
      </c>
      <c r="Q209" s="14">
        <f>IF(OR(A209="",N(M209)=0),"",N209/M209)</f>
        <v/>
      </c>
      <c r="R209" s="15">
        <f>IF(Q209="","",REPT("█",ROUND(Q209*10,0))&amp;REPT("░",10-ROUND(Q209*10,0)))</f>
        <v/>
      </c>
      <c r="S209" s="13">
        <f>IF(C209="","Chưa có ngày",IF(C209&gt;TODAY(),"Còn "&amp;(C209-TODAY())&amp;" ngày",IF(IF(D209="",C209,D209)&gt;=TODAY(),"Đang diễn ra","Đã qua "&amp;(TODAY()-IF(D209="",C209,D209))&amp;" ngày")))</f>
        <v/>
      </c>
      <c r="T209" s="13">
        <f>IF(AND(A209&lt;&gt;"",L209="Có",ISNUMBER(C209)),IF(IF(D209="",C209,D209)&gt;=TODAY()-35,C209+ROW()/100000,""),"")</f>
        <v/>
      </c>
    </row>
    <row r="210">
      <c r="A210" s="25" t="n"/>
      <c r="B210" s="11" t="n"/>
      <c r="C210" s="12" t="n"/>
      <c r="D210" s="12" t="n"/>
      <c r="E210" s="13" t="n"/>
      <c r="F210" s="13" t="n"/>
      <c r="G210" s="13" t="n"/>
      <c r="H210" s="13" t="n"/>
      <c r="I210" s="25" t="n"/>
      <c r="J210" s="25" t="n"/>
      <c r="K210" s="26" t="n"/>
      <c r="L210" s="26" t="n"/>
      <c r="M210" s="13">
        <f>IF(A210="","",COUNTIFS('Giao việc'!$M$5:$M$3004,A210,'Giao việc'!$I$5:$I$3004,"&lt;&gt;Bỏ qua"))</f>
        <v/>
      </c>
      <c r="N210" s="13">
        <f>IF(A210="","",COUNTIFS('Giao việc'!$M$5:$M$3004,A210,'Giao việc'!$I$5:$I$3004,"Xong"))</f>
        <v/>
      </c>
      <c r="O210" s="13">
        <f>IF(A210="","",COUNTIFS('Giao việc'!$M$5:$M$3004,A210,'Giao việc'!$L$5:$L$3004,"*QUÁ HẠN*"))</f>
        <v/>
      </c>
      <c r="P210" s="13">
        <f>IF(A210="","",COUNTIFS('Giao việc'!$M$5:$M$3004,A210,'Giao việc'!$L$5:$L$3004,"CHƯA GIAO*"))</f>
        <v/>
      </c>
      <c r="Q210" s="14">
        <f>IF(OR(A210="",N(M210)=0),"",N210/M210)</f>
        <v/>
      </c>
      <c r="R210" s="15">
        <f>IF(Q210="","",REPT("█",ROUND(Q210*10,0))&amp;REPT("░",10-ROUND(Q210*10,0)))</f>
        <v/>
      </c>
      <c r="S210" s="13">
        <f>IF(C210="","Chưa có ngày",IF(C210&gt;TODAY(),"Còn "&amp;(C210-TODAY())&amp;" ngày",IF(IF(D210="",C210,D210)&gt;=TODAY(),"Đang diễn ra","Đã qua "&amp;(TODAY()-IF(D210="",C210,D210))&amp;" ngày")))</f>
        <v/>
      </c>
      <c r="T210" s="13">
        <f>IF(AND(A210&lt;&gt;"",L210="Có",ISNUMBER(C210)),IF(IF(D210="",C210,D210)&gt;=TODAY()-35,C210+ROW()/100000,""),"")</f>
        <v/>
      </c>
    </row>
    <row r="211">
      <c r="A211" s="25" t="n"/>
      <c r="B211" s="11" t="n"/>
      <c r="C211" s="12" t="n"/>
      <c r="D211" s="12" t="n"/>
      <c r="E211" s="13" t="n"/>
      <c r="F211" s="13" t="n"/>
      <c r="G211" s="13" t="n"/>
      <c r="H211" s="13" t="n"/>
      <c r="I211" s="25" t="n"/>
      <c r="J211" s="25" t="n"/>
      <c r="K211" s="26" t="n"/>
      <c r="L211" s="26" t="n"/>
      <c r="M211" s="13">
        <f>IF(A211="","",COUNTIFS('Giao việc'!$M$5:$M$3004,A211,'Giao việc'!$I$5:$I$3004,"&lt;&gt;Bỏ qua"))</f>
        <v/>
      </c>
      <c r="N211" s="13">
        <f>IF(A211="","",COUNTIFS('Giao việc'!$M$5:$M$3004,A211,'Giao việc'!$I$5:$I$3004,"Xong"))</f>
        <v/>
      </c>
      <c r="O211" s="13">
        <f>IF(A211="","",COUNTIFS('Giao việc'!$M$5:$M$3004,A211,'Giao việc'!$L$5:$L$3004,"*QUÁ HẠN*"))</f>
        <v/>
      </c>
      <c r="P211" s="13">
        <f>IF(A211="","",COUNTIFS('Giao việc'!$M$5:$M$3004,A211,'Giao việc'!$L$5:$L$3004,"CHƯA GIAO*"))</f>
        <v/>
      </c>
      <c r="Q211" s="14">
        <f>IF(OR(A211="",N(M211)=0),"",N211/M211)</f>
        <v/>
      </c>
      <c r="R211" s="15">
        <f>IF(Q211="","",REPT("█",ROUND(Q211*10,0))&amp;REPT("░",10-ROUND(Q211*10,0)))</f>
        <v/>
      </c>
      <c r="S211" s="13">
        <f>IF(C211="","Chưa có ngày",IF(C211&gt;TODAY(),"Còn "&amp;(C211-TODAY())&amp;" ngày",IF(IF(D211="",C211,D211)&gt;=TODAY(),"Đang diễn ra","Đã qua "&amp;(TODAY()-IF(D211="",C211,D211))&amp;" ngày")))</f>
        <v/>
      </c>
      <c r="T211" s="13">
        <f>IF(AND(A211&lt;&gt;"",L211="Có",ISNUMBER(C211)),IF(IF(D211="",C211,D211)&gt;=TODAY()-35,C211+ROW()/100000,""),"")</f>
        <v/>
      </c>
    </row>
    <row r="212">
      <c r="A212" s="25" t="n"/>
      <c r="B212" s="11" t="n"/>
      <c r="C212" s="12" t="n"/>
      <c r="D212" s="12" t="n"/>
      <c r="E212" s="13" t="n"/>
      <c r="F212" s="13" t="n"/>
      <c r="G212" s="13" t="n"/>
      <c r="H212" s="13" t="n"/>
      <c r="I212" s="25" t="n"/>
      <c r="J212" s="25" t="n"/>
      <c r="K212" s="26" t="n"/>
      <c r="L212" s="26" t="n"/>
      <c r="M212" s="13">
        <f>IF(A212="","",COUNTIFS('Giao việc'!$M$5:$M$3004,A212,'Giao việc'!$I$5:$I$3004,"&lt;&gt;Bỏ qua"))</f>
        <v/>
      </c>
      <c r="N212" s="13">
        <f>IF(A212="","",COUNTIFS('Giao việc'!$M$5:$M$3004,A212,'Giao việc'!$I$5:$I$3004,"Xong"))</f>
        <v/>
      </c>
      <c r="O212" s="13">
        <f>IF(A212="","",COUNTIFS('Giao việc'!$M$5:$M$3004,A212,'Giao việc'!$L$5:$L$3004,"*QUÁ HẠN*"))</f>
        <v/>
      </c>
      <c r="P212" s="13">
        <f>IF(A212="","",COUNTIFS('Giao việc'!$M$5:$M$3004,A212,'Giao việc'!$L$5:$L$3004,"CHƯA GIAO*"))</f>
        <v/>
      </c>
      <c r="Q212" s="14">
        <f>IF(OR(A212="",N(M212)=0),"",N212/M212)</f>
        <v/>
      </c>
      <c r="R212" s="15">
        <f>IF(Q212="","",REPT("█",ROUND(Q212*10,0))&amp;REPT("░",10-ROUND(Q212*10,0)))</f>
        <v/>
      </c>
      <c r="S212" s="13">
        <f>IF(C212="","Chưa có ngày",IF(C212&gt;TODAY(),"Còn "&amp;(C212-TODAY())&amp;" ngày",IF(IF(D212="",C212,D212)&gt;=TODAY(),"Đang diễn ra","Đã qua "&amp;(TODAY()-IF(D212="",C212,D212))&amp;" ngày")))</f>
        <v/>
      </c>
      <c r="T212" s="13">
        <f>IF(AND(A212&lt;&gt;"",L212="Có",ISNUMBER(C212)),IF(IF(D212="",C212,D212)&gt;=TODAY()-35,C212+ROW()/100000,""),"")</f>
        <v/>
      </c>
    </row>
    <row r="213">
      <c r="A213" s="25" t="n"/>
      <c r="B213" s="11" t="n"/>
      <c r="C213" s="12" t="n"/>
      <c r="D213" s="12" t="n"/>
      <c r="E213" s="13" t="n"/>
      <c r="F213" s="13" t="n"/>
      <c r="G213" s="13" t="n"/>
      <c r="H213" s="13" t="n"/>
      <c r="I213" s="25" t="n"/>
      <c r="J213" s="25" t="n"/>
      <c r="K213" s="26" t="n"/>
      <c r="L213" s="26" t="n"/>
      <c r="M213" s="13">
        <f>IF(A213="","",COUNTIFS('Giao việc'!$M$5:$M$3004,A213,'Giao việc'!$I$5:$I$3004,"&lt;&gt;Bỏ qua"))</f>
        <v/>
      </c>
      <c r="N213" s="13">
        <f>IF(A213="","",COUNTIFS('Giao việc'!$M$5:$M$3004,A213,'Giao việc'!$I$5:$I$3004,"Xong"))</f>
        <v/>
      </c>
      <c r="O213" s="13">
        <f>IF(A213="","",COUNTIFS('Giao việc'!$M$5:$M$3004,A213,'Giao việc'!$L$5:$L$3004,"*QUÁ HẠN*"))</f>
        <v/>
      </c>
      <c r="P213" s="13">
        <f>IF(A213="","",COUNTIFS('Giao việc'!$M$5:$M$3004,A213,'Giao việc'!$L$5:$L$3004,"CHƯA GIAO*"))</f>
        <v/>
      </c>
      <c r="Q213" s="14">
        <f>IF(OR(A213="",N(M213)=0),"",N213/M213)</f>
        <v/>
      </c>
      <c r="R213" s="15">
        <f>IF(Q213="","",REPT("█",ROUND(Q213*10,0))&amp;REPT("░",10-ROUND(Q213*10,0)))</f>
        <v/>
      </c>
      <c r="S213" s="13">
        <f>IF(C213="","Chưa có ngày",IF(C213&gt;TODAY(),"Còn "&amp;(C213-TODAY())&amp;" ngày",IF(IF(D213="",C213,D213)&gt;=TODAY(),"Đang diễn ra","Đã qua "&amp;(TODAY()-IF(D213="",C213,D213))&amp;" ngày")))</f>
        <v/>
      </c>
      <c r="T213" s="13">
        <f>IF(AND(A213&lt;&gt;"",L213="Có",ISNUMBER(C213)),IF(IF(D213="",C213,D213)&gt;=TODAY()-35,C213+ROW()/100000,""),"")</f>
        <v/>
      </c>
    </row>
    <row r="214">
      <c r="A214" s="25" t="n"/>
      <c r="B214" s="11" t="n"/>
      <c r="C214" s="12" t="n"/>
      <c r="D214" s="12" t="n"/>
      <c r="E214" s="13" t="n"/>
      <c r="F214" s="13" t="n"/>
      <c r="G214" s="13" t="n"/>
      <c r="H214" s="13" t="n"/>
      <c r="I214" s="25" t="n"/>
      <c r="J214" s="25" t="n"/>
      <c r="K214" s="26" t="n"/>
      <c r="L214" s="26" t="n"/>
      <c r="M214" s="13">
        <f>IF(A214="","",COUNTIFS('Giao việc'!$M$5:$M$3004,A214,'Giao việc'!$I$5:$I$3004,"&lt;&gt;Bỏ qua"))</f>
        <v/>
      </c>
      <c r="N214" s="13">
        <f>IF(A214="","",COUNTIFS('Giao việc'!$M$5:$M$3004,A214,'Giao việc'!$I$5:$I$3004,"Xong"))</f>
        <v/>
      </c>
      <c r="O214" s="13">
        <f>IF(A214="","",COUNTIFS('Giao việc'!$M$5:$M$3004,A214,'Giao việc'!$L$5:$L$3004,"*QUÁ HẠN*"))</f>
        <v/>
      </c>
      <c r="P214" s="13">
        <f>IF(A214="","",COUNTIFS('Giao việc'!$M$5:$M$3004,A214,'Giao việc'!$L$5:$L$3004,"CHƯA GIAO*"))</f>
        <v/>
      </c>
      <c r="Q214" s="14">
        <f>IF(OR(A214="",N(M214)=0),"",N214/M214)</f>
        <v/>
      </c>
      <c r="R214" s="15">
        <f>IF(Q214="","",REPT("█",ROUND(Q214*10,0))&amp;REPT("░",10-ROUND(Q214*10,0)))</f>
        <v/>
      </c>
      <c r="S214" s="13">
        <f>IF(C214="","Chưa có ngày",IF(C214&gt;TODAY(),"Còn "&amp;(C214-TODAY())&amp;" ngày",IF(IF(D214="",C214,D214)&gt;=TODAY(),"Đang diễn ra","Đã qua "&amp;(TODAY()-IF(D214="",C214,D214))&amp;" ngày")))</f>
        <v/>
      </c>
      <c r="T214" s="13">
        <f>IF(AND(A214&lt;&gt;"",L214="Có",ISNUMBER(C214)),IF(IF(D214="",C214,D214)&gt;=TODAY()-35,C214+ROW()/100000,""),"")</f>
        <v/>
      </c>
    </row>
    <row r="215">
      <c r="A215" s="25" t="n"/>
      <c r="B215" s="11" t="n"/>
      <c r="C215" s="12" t="n"/>
      <c r="D215" s="12" t="n"/>
      <c r="E215" s="13" t="n"/>
      <c r="F215" s="13" t="n"/>
      <c r="G215" s="13" t="n"/>
      <c r="H215" s="13" t="n"/>
      <c r="I215" s="25" t="n"/>
      <c r="J215" s="25" t="n"/>
      <c r="K215" s="26" t="n"/>
      <c r="L215" s="26" t="n"/>
      <c r="M215" s="13">
        <f>IF(A215="","",COUNTIFS('Giao việc'!$M$5:$M$3004,A215,'Giao việc'!$I$5:$I$3004,"&lt;&gt;Bỏ qua"))</f>
        <v/>
      </c>
      <c r="N215" s="13">
        <f>IF(A215="","",COUNTIFS('Giao việc'!$M$5:$M$3004,A215,'Giao việc'!$I$5:$I$3004,"Xong"))</f>
        <v/>
      </c>
      <c r="O215" s="13">
        <f>IF(A215="","",COUNTIFS('Giao việc'!$M$5:$M$3004,A215,'Giao việc'!$L$5:$L$3004,"*QUÁ HẠN*"))</f>
        <v/>
      </c>
      <c r="P215" s="13">
        <f>IF(A215="","",COUNTIFS('Giao việc'!$M$5:$M$3004,A215,'Giao việc'!$L$5:$L$3004,"CHƯA GIAO*"))</f>
        <v/>
      </c>
      <c r="Q215" s="14">
        <f>IF(OR(A215="",N(M215)=0),"",N215/M215)</f>
        <v/>
      </c>
      <c r="R215" s="15">
        <f>IF(Q215="","",REPT("█",ROUND(Q215*10,0))&amp;REPT("░",10-ROUND(Q215*10,0)))</f>
        <v/>
      </c>
      <c r="S215" s="13">
        <f>IF(C215="","Chưa có ngày",IF(C215&gt;TODAY(),"Còn "&amp;(C215-TODAY())&amp;" ngày",IF(IF(D215="",C215,D215)&gt;=TODAY(),"Đang diễn ra","Đã qua "&amp;(TODAY()-IF(D215="",C215,D215))&amp;" ngày")))</f>
        <v/>
      </c>
      <c r="T215" s="13">
        <f>IF(AND(A215&lt;&gt;"",L215="Có",ISNUMBER(C215)),IF(IF(D215="",C215,D215)&gt;=TODAY()-35,C215+ROW()/100000,""),"")</f>
        <v/>
      </c>
    </row>
    <row r="216">
      <c r="A216" s="25" t="n"/>
      <c r="B216" s="11" t="n"/>
      <c r="C216" s="12" t="n"/>
      <c r="D216" s="12" t="n"/>
      <c r="E216" s="13" t="n"/>
      <c r="F216" s="13" t="n"/>
      <c r="G216" s="13" t="n"/>
      <c r="H216" s="13" t="n"/>
      <c r="I216" s="25" t="n"/>
      <c r="J216" s="25" t="n"/>
      <c r="K216" s="26" t="n"/>
      <c r="L216" s="26" t="n"/>
      <c r="M216" s="13">
        <f>IF(A216="","",COUNTIFS('Giao việc'!$M$5:$M$3004,A216,'Giao việc'!$I$5:$I$3004,"&lt;&gt;Bỏ qua"))</f>
        <v/>
      </c>
      <c r="N216" s="13">
        <f>IF(A216="","",COUNTIFS('Giao việc'!$M$5:$M$3004,A216,'Giao việc'!$I$5:$I$3004,"Xong"))</f>
        <v/>
      </c>
      <c r="O216" s="13">
        <f>IF(A216="","",COUNTIFS('Giao việc'!$M$5:$M$3004,A216,'Giao việc'!$L$5:$L$3004,"*QUÁ HẠN*"))</f>
        <v/>
      </c>
      <c r="P216" s="13">
        <f>IF(A216="","",COUNTIFS('Giao việc'!$M$5:$M$3004,A216,'Giao việc'!$L$5:$L$3004,"CHƯA GIAO*"))</f>
        <v/>
      </c>
      <c r="Q216" s="14">
        <f>IF(OR(A216="",N(M216)=0),"",N216/M216)</f>
        <v/>
      </c>
      <c r="R216" s="15">
        <f>IF(Q216="","",REPT("█",ROUND(Q216*10,0))&amp;REPT("░",10-ROUND(Q216*10,0)))</f>
        <v/>
      </c>
      <c r="S216" s="13">
        <f>IF(C216="","Chưa có ngày",IF(C216&gt;TODAY(),"Còn "&amp;(C216-TODAY())&amp;" ngày",IF(IF(D216="",C216,D216)&gt;=TODAY(),"Đang diễn ra","Đã qua "&amp;(TODAY()-IF(D216="",C216,D216))&amp;" ngày")))</f>
        <v/>
      </c>
      <c r="T216" s="13">
        <f>IF(AND(A216&lt;&gt;"",L216="Có",ISNUMBER(C216)),IF(IF(D216="",C216,D216)&gt;=TODAY()-35,C216+ROW()/100000,""),"")</f>
        <v/>
      </c>
    </row>
    <row r="217">
      <c r="A217" s="25" t="n"/>
      <c r="B217" s="11" t="n"/>
      <c r="C217" s="12" t="n"/>
      <c r="D217" s="12" t="n"/>
      <c r="E217" s="13" t="n"/>
      <c r="F217" s="13" t="n"/>
      <c r="G217" s="13" t="n"/>
      <c r="H217" s="13" t="n"/>
      <c r="I217" s="25" t="n"/>
      <c r="J217" s="25" t="n"/>
      <c r="K217" s="26" t="n"/>
      <c r="L217" s="26" t="n"/>
      <c r="M217" s="13">
        <f>IF(A217="","",COUNTIFS('Giao việc'!$M$5:$M$3004,A217,'Giao việc'!$I$5:$I$3004,"&lt;&gt;Bỏ qua"))</f>
        <v/>
      </c>
      <c r="N217" s="13">
        <f>IF(A217="","",COUNTIFS('Giao việc'!$M$5:$M$3004,A217,'Giao việc'!$I$5:$I$3004,"Xong"))</f>
        <v/>
      </c>
      <c r="O217" s="13">
        <f>IF(A217="","",COUNTIFS('Giao việc'!$M$5:$M$3004,A217,'Giao việc'!$L$5:$L$3004,"*QUÁ HẠN*"))</f>
        <v/>
      </c>
      <c r="P217" s="13">
        <f>IF(A217="","",COUNTIFS('Giao việc'!$M$5:$M$3004,A217,'Giao việc'!$L$5:$L$3004,"CHƯA GIAO*"))</f>
        <v/>
      </c>
      <c r="Q217" s="14">
        <f>IF(OR(A217="",N(M217)=0),"",N217/M217)</f>
        <v/>
      </c>
      <c r="R217" s="15">
        <f>IF(Q217="","",REPT("█",ROUND(Q217*10,0))&amp;REPT("░",10-ROUND(Q217*10,0)))</f>
        <v/>
      </c>
      <c r="S217" s="13">
        <f>IF(C217="","Chưa có ngày",IF(C217&gt;TODAY(),"Còn "&amp;(C217-TODAY())&amp;" ngày",IF(IF(D217="",C217,D217)&gt;=TODAY(),"Đang diễn ra","Đã qua "&amp;(TODAY()-IF(D217="",C217,D217))&amp;" ngày")))</f>
        <v/>
      </c>
      <c r="T217" s="13">
        <f>IF(AND(A217&lt;&gt;"",L217="Có",ISNUMBER(C217)),IF(IF(D217="",C217,D217)&gt;=TODAY()-35,C217+ROW()/100000,""),"")</f>
        <v/>
      </c>
    </row>
    <row r="218">
      <c r="A218" s="25" t="n"/>
      <c r="B218" s="11" t="n"/>
      <c r="C218" s="12" t="n"/>
      <c r="D218" s="12" t="n"/>
      <c r="E218" s="13" t="n"/>
      <c r="F218" s="13" t="n"/>
      <c r="G218" s="13" t="n"/>
      <c r="H218" s="13" t="n"/>
      <c r="I218" s="25" t="n"/>
      <c r="J218" s="25" t="n"/>
      <c r="K218" s="26" t="n"/>
      <c r="L218" s="26" t="n"/>
      <c r="M218" s="13">
        <f>IF(A218="","",COUNTIFS('Giao việc'!$M$5:$M$3004,A218,'Giao việc'!$I$5:$I$3004,"&lt;&gt;Bỏ qua"))</f>
        <v/>
      </c>
      <c r="N218" s="13">
        <f>IF(A218="","",COUNTIFS('Giao việc'!$M$5:$M$3004,A218,'Giao việc'!$I$5:$I$3004,"Xong"))</f>
        <v/>
      </c>
      <c r="O218" s="13">
        <f>IF(A218="","",COUNTIFS('Giao việc'!$M$5:$M$3004,A218,'Giao việc'!$L$5:$L$3004,"*QUÁ HẠN*"))</f>
        <v/>
      </c>
      <c r="P218" s="13">
        <f>IF(A218="","",COUNTIFS('Giao việc'!$M$5:$M$3004,A218,'Giao việc'!$L$5:$L$3004,"CHƯA GIAO*"))</f>
        <v/>
      </c>
      <c r="Q218" s="14">
        <f>IF(OR(A218="",N(M218)=0),"",N218/M218)</f>
        <v/>
      </c>
      <c r="R218" s="15">
        <f>IF(Q218="","",REPT("█",ROUND(Q218*10,0))&amp;REPT("░",10-ROUND(Q218*10,0)))</f>
        <v/>
      </c>
      <c r="S218" s="13">
        <f>IF(C218="","Chưa có ngày",IF(C218&gt;TODAY(),"Còn "&amp;(C218-TODAY())&amp;" ngày",IF(IF(D218="",C218,D218)&gt;=TODAY(),"Đang diễn ra","Đã qua "&amp;(TODAY()-IF(D218="",C218,D218))&amp;" ngày")))</f>
        <v/>
      </c>
      <c r="T218" s="13">
        <f>IF(AND(A218&lt;&gt;"",L218="Có",ISNUMBER(C218)),IF(IF(D218="",C218,D218)&gt;=TODAY()-35,C218+ROW()/100000,""),"")</f>
        <v/>
      </c>
    </row>
    <row r="219">
      <c r="A219" s="25" t="n"/>
      <c r="B219" s="11" t="n"/>
      <c r="C219" s="12" t="n"/>
      <c r="D219" s="12" t="n"/>
      <c r="E219" s="13" t="n"/>
      <c r="F219" s="13" t="n"/>
      <c r="G219" s="13" t="n"/>
      <c r="H219" s="13" t="n"/>
      <c r="I219" s="25" t="n"/>
      <c r="J219" s="25" t="n"/>
      <c r="K219" s="26" t="n"/>
      <c r="L219" s="26" t="n"/>
      <c r="M219" s="13">
        <f>IF(A219="","",COUNTIFS('Giao việc'!$M$5:$M$3004,A219,'Giao việc'!$I$5:$I$3004,"&lt;&gt;Bỏ qua"))</f>
        <v/>
      </c>
      <c r="N219" s="13">
        <f>IF(A219="","",COUNTIFS('Giao việc'!$M$5:$M$3004,A219,'Giao việc'!$I$5:$I$3004,"Xong"))</f>
        <v/>
      </c>
      <c r="O219" s="13">
        <f>IF(A219="","",COUNTIFS('Giao việc'!$M$5:$M$3004,A219,'Giao việc'!$L$5:$L$3004,"*QUÁ HẠN*"))</f>
        <v/>
      </c>
      <c r="P219" s="13">
        <f>IF(A219="","",COUNTIFS('Giao việc'!$M$5:$M$3004,A219,'Giao việc'!$L$5:$L$3004,"CHƯA GIAO*"))</f>
        <v/>
      </c>
      <c r="Q219" s="14">
        <f>IF(OR(A219="",N(M219)=0),"",N219/M219)</f>
        <v/>
      </c>
      <c r="R219" s="15">
        <f>IF(Q219="","",REPT("█",ROUND(Q219*10,0))&amp;REPT("░",10-ROUND(Q219*10,0)))</f>
        <v/>
      </c>
      <c r="S219" s="13">
        <f>IF(C219="","Chưa có ngày",IF(C219&gt;TODAY(),"Còn "&amp;(C219-TODAY())&amp;" ngày",IF(IF(D219="",C219,D219)&gt;=TODAY(),"Đang diễn ra","Đã qua "&amp;(TODAY()-IF(D219="",C219,D219))&amp;" ngày")))</f>
        <v/>
      </c>
      <c r="T219" s="13">
        <f>IF(AND(A219&lt;&gt;"",L219="Có",ISNUMBER(C219)),IF(IF(D219="",C219,D219)&gt;=TODAY()-35,C219+ROW()/100000,""),"")</f>
        <v/>
      </c>
    </row>
    <row r="220">
      <c r="A220" s="25" t="n"/>
      <c r="B220" s="11" t="n"/>
      <c r="C220" s="12" t="n"/>
      <c r="D220" s="12" t="n"/>
      <c r="E220" s="13" t="n"/>
      <c r="F220" s="13" t="n"/>
      <c r="G220" s="13" t="n"/>
      <c r="H220" s="13" t="n"/>
      <c r="I220" s="25" t="n"/>
      <c r="J220" s="25" t="n"/>
      <c r="K220" s="26" t="n"/>
      <c r="L220" s="26" t="n"/>
      <c r="M220" s="13">
        <f>IF(A220="","",COUNTIFS('Giao việc'!$M$5:$M$3004,A220,'Giao việc'!$I$5:$I$3004,"&lt;&gt;Bỏ qua"))</f>
        <v/>
      </c>
      <c r="N220" s="13">
        <f>IF(A220="","",COUNTIFS('Giao việc'!$M$5:$M$3004,A220,'Giao việc'!$I$5:$I$3004,"Xong"))</f>
        <v/>
      </c>
      <c r="O220" s="13">
        <f>IF(A220="","",COUNTIFS('Giao việc'!$M$5:$M$3004,A220,'Giao việc'!$L$5:$L$3004,"*QUÁ HẠN*"))</f>
        <v/>
      </c>
      <c r="P220" s="13">
        <f>IF(A220="","",COUNTIFS('Giao việc'!$M$5:$M$3004,A220,'Giao việc'!$L$5:$L$3004,"CHƯA GIAO*"))</f>
        <v/>
      </c>
      <c r="Q220" s="14">
        <f>IF(OR(A220="",N(M220)=0),"",N220/M220)</f>
        <v/>
      </c>
      <c r="R220" s="15">
        <f>IF(Q220="","",REPT("█",ROUND(Q220*10,0))&amp;REPT("░",10-ROUND(Q220*10,0)))</f>
        <v/>
      </c>
      <c r="S220" s="13">
        <f>IF(C220="","Chưa có ngày",IF(C220&gt;TODAY(),"Còn "&amp;(C220-TODAY())&amp;" ngày",IF(IF(D220="",C220,D220)&gt;=TODAY(),"Đang diễn ra","Đã qua "&amp;(TODAY()-IF(D220="",C220,D220))&amp;" ngày")))</f>
        <v/>
      </c>
      <c r="T220" s="13">
        <f>IF(AND(A220&lt;&gt;"",L220="Có",ISNUMBER(C220)),IF(IF(D220="",C220,D220)&gt;=TODAY()-35,C220+ROW()/100000,""),"")</f>
        <v/>
      </c>
    </row>
    <row r="221">
      <c r="A221" s="25" t="n"/>
      <c r="B221" s="11" t="n"/>
      <c r="C221" s="12" t="n"/>
      <c r="D221" s="12" t="n"/>
      <c r="E221" s="13" t="n"/>
      <c r="F221" s="13" t="n"/>
      <c r="G221" s="13" t="n"/>
      <c r="H221" s="13" t="n"/>
      <c r="I221" s="25" t="n"/>
      <c r="J221" s="25" t="n"/>
      <c r="K221" s="26" t="n"/>
      <c r="L221" s="26" t="n"/>
      <c r="M221" s="13">
        <f>IF(A221="","",COUNTIFS('Giao việc'!$M$5:$M$3004,A221,'Giao việc'!$I$5:$I$3004,"&lt;&gt;Bỏ qua"))</f>
        <v/>
      </c>
      <c r="N221" s="13">
        <f>IF(A221="","",COUNTIFS('Giao việc'!$M$5:$M$3004,A221,'Giao việc'!$I$5:$I$3004,"Xong"))</f>
        <v/>
      </c>
      <c r="O221" s="13">
        <f>IF(A221="","",COUNTIFS('Giao việc'!$M$5:$M$3004,A221,'Giao việc'!$L$5:$L$3004,"*QUÁ HẠN*"))</f>
        <v/>
      </c>
      <c r="P221" s="13">
        <f>IF(A221="","",COUNTIFS('Giao việc'!$M$5:$M$3004,A221,'Giao việc'!$L$5:$L$3004,"CHƯA GIAO*"))</f>
        <v/>
      </c>
      <c r="Q221" s="14">
        <f>IF(OR(A221="",N(M221)=0),"",N221/M221)</f>
        <v/>
      </c>
      <c r="R221" s="15">
        <f>IF(Q221="","",REPT("█",ROUND(Q221*10,0))&amp;REPT("░",10-ROUND(Q221*10,0)))</f>
        <v/>
      </c>
      <c r="S221" s="13">
        <f>IF(C221="","Chưa có ngày",IF(C221&gt;TODAY(),"Còn "&amp;(C221-TODAY())&amp;" ngày",IF(IF(D221="",C221,D221)&gt;=TODAY(),"Đang diễn ra","Đã qua "&amp;(TODAY()-IF(D221="",C221,D221))&amp;" ngày")))</f>
        <v/>
      </c>
      <c r="T221" s="13">
        <f>IF(AND(A221&lt;&gt;"",L221="Có",ISNUMBER(C221)),IF(IF(D221="",C221,D221)&gt;=TODAY()-35,C221+ROW()/100000,""),"")</f>
        <v/>
      </c>
    </row>
    <row r="222">
      <c r="A222" s="25" t="n"/>
      <c r="B222" s="11" t="n"/>
      <c r="C222" s="12" t="n"/>
      <c r="D222" s="12" t="n"/>
      <c r="E222" s="13" t="n"/>
      <c r="F222" s="13" t="n"/>
      <c r="G222" s="13" t="n"/>
      <c r="H222" s="13" t="n"/>
      <c r="I222" s="25" t="n"/>
      <c r="J222" s="25" t="n"/>
      <c r="K222" s="26" t="n"/>
      <c r="L222" s="26" t="n"/>
      <c r="M222" s="13">
        <f>IF(A222="","",COUNTIFS('Giao việc'!$M$5:$M$3004,A222,'Giao việc'!$I$5:$I$3004,"&lt;&gt;Bỏ qua"))</f>
        <v/>
      </c>
      <c r="N222" s="13">
        <f>IF(A222="","",COUNTIFS('Giao việc'!$M$5:$M$3004,A222,'Giao việc'!$I$5:$I$3004,"Xong"))</f>
        <v/>
      </c>
      <c r="O222" s="13">
        <f>IF(A222="","",COUNTIFS('Giao việc'!$M$5:$M$3004,A222,'Giao việc'!$L$5:$L$3004,"*QUÁ HẠN*"))</f>
        <v/>
      </c>
      <c r="P222" s="13">
        <f>IF(A222="","",COUNTIFS('Giao việc'!$M$5:$M$3004,A222,'Giao việc'!$L$5:$L$3004,"CHƯA GIAO*"))</f>
        <v/>
      </c>
      <c r="Q222" s="14">
        <f>IF(OR(A222="",N(M222)=0),"",N222/M222)</f>
        <v/>
      </c>
      <c r="R222" s="15">
        <f>IF(Q222="","",REPT("█",ROUND(Q222*10,0))&amp;REPT("░",10-ROUND(Q222*10,0)))</f>
        <v/>
      </c>
      <c r="S222" s="13">
        <f>IF(C222="","Chưa có ngày",IF(C222&gt;TODAY(),"Còn "&amp;(C222-TODAY())&amp;" ngày",IF(IF(D222="",C222,D222)&gt;=TODAY(),"Đang diễn ra","Đã qua "&amp;(TODAY()-IF(D222="",C222,D222))&amp;" ngày")))</f>
        <v/>
      </c>
      <c r="T222" s="13">
        <f>IF(AND(A222&lt;&gt;"",L222="Có",ISNUMBER(C222)),IF(IF(D222="",C222,D222)&gt;=TODAY()-35,C222+ROW()/100000,""),"")</f>
        <v/>
      </c>
    </row>
    <row r="223">
      <c r="A223" s="25" t="n"/>
      <c r="B223" s="11" t="n"/>
      <c r="C223" s="12" t="n"/>
      <c r="D223" s="12" t="n"/>
      <c r="E223" s="13" t="n"/>
      <c r="F223" s="13" t="n"/>
      <c r="G223" s="13" t="n"/>
      <c r="H223" s="13" t="n"/>
      <c r="I223" s="25" t="n"/>
      <c r="J223" s="25" t="n"/>
      <c r="K223" s="26" t="n"/>
      <c r="L223" s="26" t="n"/>
      <c r="M223" s="13">
        <f>IF(A223="","",COUNTIFS('Giao việc'!$M$5:$M$3004,A223,'Giao việc'!$I$5:$I$3004,"&lt;&gt;Bỏ qua"))</f>
        <v/>
      </c>
      <c r="N223" s="13">
        <f>IF(A223="","",COUNTIFS('Giao việc'!$M$5:$M$3004,A223,'Giao việc'!$I$5:$I$3004,"Xong"))</f>
        <v/>
      </c>
      <c r="O223" s="13">
        <f>IF(A223="","",COUNTIFS('Giao việc'!$M$5:$M$3004,A223,'Giao việc'!$L$5:$L$3004,"*QUÁ HẠN*"))</f>
        <v/>
      </c>
      <c r="P223" s="13">
        <f>IF(A223="","",COUNTIFS('Giao việc'!$M$5:$M$3004,A223,'Giao việc'!$L$5:$L$3004,"CHƯA GIAO*"))</f>
        <v/>
      </c>
      <c r="Q223" s="14">
        <f>IF(OR(A223="",N(M223)=0),"",N223/M223)</f>
        <v/>
      </c>
      <c r="R223" s="15">
        <f>IF(Q223="","",REPT("█",ROUND(Q223*10,0))&amp;REPT("░",10-ROUND(Q223*10,0)))</f>
        <v/>
      </c>
      <c r="S223" s="13">
        <f>IF(C223="","Chưa có ngày",IF(C223&gt;TODAY(),"Còn "&amp;(C223-TODAY())&amp;" ngày",IF(IF(D223="",C223,D223)&gt;=TODAY(),"Đang diễn ra","Đã qua "&amp;(TODAY()-IF(D223="",C223,D223))&amp;" ngày")))</f>
        <v/>
      </c>
      <c r="T223" s="13">
        <f>IF(AND(A223&lt;&gt;"",L223="Có",ISNUMBER(C223)),IF(IF(D223="",C223,D223)&gt;=TODAY()-35,C223+ROW()/100000,""),"")</f>
        <v/>
      </c>
    </row>
    <row r="224">
      <c r="A224" s="25" t="n"/>
      <c r="B224" s="11" t="n"/>
      <c r="C224" s="12" t="n"/>
      <c r="D224" s="12" t="n"/>
      <c r="E224" s="13" t="n"/>
      <c r="F224" s="13" t="n"/>
      <c r="G224" s="13" t="n"/>
      <c r="H224" s="13" t="n"/>
      <c r="I224" s="25" t="n"/>
      <c r="J224" s="25" t="n"/>
      <c r="K224" s="26" t="n"/>
      <c r="L224" s="26" t="n"/>
      <c r="M224" s="13">
        <f>IF(A224="","",COUNTIFS('Giao việc'!$M$5:$M$3004,A224,'Giao việc'!$I$5:$I$3004,"&lt;&gt;Bỏ qua"))</f>
        <v/>
      </c>
      <c r="N224" s="13">
        <f>IF(A224="","",COUNTIFS('Giao việc'!$M$5:$M$3004,A224,'Giao việc'!$I$5:$I$3004,"Xong"))</f>
        <v/>
      </c>
      <c r="O224" s="13">
        <f>IF(A224="","",COUNTIFS('Giao việc'!$M$5:$M$3004,A224,'Giao việc'!$L$5:$L$3004,"*QUÁ HẠN*"))</f>
        <v/>
      </c>
      <c r="P224" s="13">
        <f>IF(A224="","",COUNTIFS('Giao việc'!$M$5:$M$3004,A224,'Giao việc'!$L$5:$L$3004,"CHƯA GIAO*"))</f>
        <v/>
      </c>
      <c r="Q224" s="14">
        <f>IF(OR(A224="",N(M224)=0),"",N224/M224)</f>
        <v/>
      </c>
      <c r="R224" s="15">
        <f>IF(Q224="","",REPT("█",ROUND(Q224*10,0))&amp;REPT("░",10-ROUND(Q224*10,0)))</f>
        <v/>
      </c>
      <c r="S224" s="13">
        <f>IF(C224="","Chưa có ngày",IF(C224&gt;TODAY(),"Còn "&amp;(C224-TODAY())&amp;" ngày",IF(IF(D224="",C224,D224)&gt;=TODAY(),"Đang diễn ra","Đã qua "&amp;(TODAY()-IF(D224="",C224,D224))&amp;" ngày")))</f>
        <v/>
      </c>
      <c r="T224" s="13">
        <f>IF(AND(A224&lt;&gt;"",L224="Có",ISNUMBER(C224)),IF(IF(D224="",C224,D224)&gt;=TODAY()-35,C224+ROW()/100000,""),"")</f>
        <v/>
      </c>
    </row>
    <row r="225">
      <c r="A225" s="25" t="n"/>
      <c r="B225" s="11" t="n"/>
      <c r="C225" s="12" t="n"/>
      <c r="D225" s="12" t="n"/>
      <c r="E225" s="13" t="n"/>
      <c r="F225" s="13" t="n"/>
      <c r="G225" s="13" t="n"/>
      <c r="H225" s="13" t="n"/>
      <c r="I225" s="25" t="n"/>
      <c r="J225" s="25" t="n"/>
      <c r="K225" s="26" t="n"/>
      <c r="L225" s="26" t="n"/>
      <c r="M225" s="13">
        <f>IF(A225="","",COUNTIFS('Giao việc'!$M$5:$M$3004,A225,'Giao việc'!$I$5:$I$3004,"&lt;&gt;Bỏ qua"))</f>
        <v/>
      </c>
      <c r="N225" s="13">
        <f>IF(A225="","",COUNTIFS('Giao việc'!$M$5:$M$3004,A225,'Giao việc'!$I$5:$I$3004,"Xong"))</f>
        <v/>
      </c>
      <c r="O225" s="13">
        <f>IF(A225="","",COUNTIFS('Giao việc'!$M$5:$M$3004,A225,'Giao việc'!$L$5:$L$3004,"*QUÁ HẠN*"))</f>
        <v/>
      </c>
      <c r="P225" s="13">
        <f>IF(A225="","",COUNTIFS('Giao việc'!$M$5:$M$3004,A225,'Giao việc'!$L$5:$L$3004,"CHƯA GIAO*"))</f>
        <v/>
      </c>
      <c r="Q225" s="14">
        <f>IF(OR(A225="",N(M225)=0),"",N225/M225)</f>
        <v/>
      </c>
      <c r="R225" s="15">
        <f>IF(Q225="","",REPT("█",ROUND(Q225*10,0))&amp;REPT("░",10-ROUND(Q225*10,0)))</f>
        <v/>
      </c>
      <c r="S225" s="13">
        <f>IF(C225="","Chưa có ngày",IF(C225&gt;TODAY(),"Còn "&amp;(C225-TODAY())&amp;" ngày",IF(IF(D225="",C225,D225)&gt;=TODAY(),"Đang diễn ra","Đã qua "&amp;(TODAY()-IF(D225="",C225,D225))&amp;" ngày")))</f>
        <v/>
      </c>
      <c r="T225" s="13">
        <f>IF(AND(A225&lt;&gt;"",L225="Có",ISNUMBER(C225)),IF(IF(D225="",C225,D225)&gt;=TODAY()-35,C225+ROW()/100000,""),"")</f>
        <v/>
      </c>
    </row>
    <row r="226">
      <c r="A226" s="25" t="n"/>
      <c r="B226" s="11" t="n"/>
      <c r="C226" s="12" t="n"/>
      <c r="D226" s="12" t="n"/>
      <c r="E226" s="13" t="n"/>
      <c r="F226" s="13" t="n"/>
      <c r="G226" s="13" t="n"/>
      <c r="H226" s="13" t="n"/>
      <c r="I226" s="25" t="n"/>
      <c r="J226" s="25" t="n"/>
      <c r="K226" s="26" t="n"/>
      <c r="L226" s="26" t="n"/>
      <c r="M226" s="13">
        <f>IF(A226="","",COUNTIFS('Giao việc'!$M$5:$M$3004,A226,'Giao việc'!$I$5:$I$3004,"&lt;&gt;Bỏ qua"))</f>
        <v/>
      </c>
      <c r="N226" s="13">
        <f>IF(A226="","",COUNTIFS('Giao việc'!$M$5:$M$3004,A226,'Giao việc'!$I$5:$I$3004,"Xong"))</f>
        <v/>
      </c>
      <c r="O226" s="13">
        <f>IF(A226="","",COUNTIFS('Giao việc'!$M$5:$M$3004,A226,'Giao việc'!$L$5:$L$3004,"*QUÁ HẠN*"))</f>
        <v/>
      </c>
      <c r="P226" s="13">
        <f>IF(A226="","",COUNTIFS('Giao việc'!$M$5:$M$3004,A226,'Giao việc'!$L$5:$L$3004,"CHƯA GIAO*"))</f>
        <v/>
      </c>
      <c r="Q226" s="14">
        <f>IF(OR(A226="",N(M226)=0),"",N226/M226)</f>
        <v/>
      </c>
      <c r="R226" s="15">
        <f>IF(Q226="","",REPT("█",ROUND(Q226*10,0))&amp;REPT("░",10-ROUND(Q226*10,0)))</f>
        <v/>
      </c>
      <c r="S226" s="13">
        <f>IF(C226="","Chưa có ngày",IF(C226&gt;TODAY(),"Còn "&amp;(C226-TODAY())&amp;" ngày",IF(IF(D226="",C226,D226)&gt;=TODAY(),"Đang diễn ra","Đã qua "&amp;(TODAY()-IF(D226="",C226,D226))&amp;" ngày")))</f>
        <v/>
      </c>
      <c r="T226" s="13">
        <f>IF(AND(A226&lt;&gt;"",L226="Có",ISNUMBER(C226)),IF(IF(D226="",C226,D226)&gt;=TODAY()-35,C226+ROW()/100000,""),"")</f>
        <v/>
      </c>
    </row>
    <row r="227">
      <c r="A227" s="25" t="n"/>
      <c r="B227" s="11" t="n"/>
      <c r="C227" s="12" t="n"/>
      <c r="D227" s="12" t="n"/>
      <c r="E227" s="13" t="n"/>
      <c r="F227" s="13" t="n"/>
      <c r="G227" s="13" t="n"/>
      <c r="H227" s="13" t="n"/>
      <c r="I227" s="25" t="n"/>
      <c r="J227" s="25" t="n"/>
      <c r="K227" s="26" t="n"/>
      <c r="L227" s="26" t="n"/>
      <c r="M227" s="13">
        <f>IF(A227="","",COUNTIFS('Giao việc'!$M$5:$M$3004,A227,'Giao việc'!$I$5:$I$3004,"&lt;&gt;Bỏ qua"))</f>
        <v/>
      </c>
      <c r="N227" s="13">
        <f>IF(A227="","",COUNTIFS('Giao việc'!$M$5:$M$3004,A227,'Giao việc'!$I$5:$I$3004,"Xong"))</f>
        <v/>
      </c>
      <c r="O227" s="13">
        <f>IF(A227="","",COUNTIFS('Giao việc'!$M$5:$M$3004,A227,'Giao việc'!$L$5:$L$3004,"*QUÁ HẠN*"))</f>
        <v/>
      </c>
      <c r="P227" s="13">
        <f>IF(A227="","",COUNTIFS('Giao việc'!$M$5:$M$3004,A227,'Giao việc'!$L$5:$L$3004,"CHƯA GIAO*"))</f>
        <v/>
      </c>
      <c r="Q227" s="14">
        <f>IF(OR(A227="",N(M227)=0),"",N227/M227)</f>
        <v/>
      </c>
      <c r="R227" s="15">
        <f>IF(Q227="","",REPT("█",ROUND(Q227*10,0))&amp;REPT("░",10-ROUND(Q227*10,0)))</f>
        <v/>
      </c>
      <c r="S227" s="13">
        <f>IF(C227="","Chưa có ngày",IF(C227&gt;TODAY(),"Còn "&amp;(C227-TODAY())&amp;" ngày",IF(IF(D227="",C227,D227)&gt;=TODAY(),"Đang diễn ra","Đã qua "&amp;(TODAY()-IF(D227="",C227,D227))&amp;" ngày")))</f>
        <v/>
      </c>
      <c r="T227" s="13">
        <f>IF(AND(A227&lt;&gt;"",L227="Có",ISNUMBER(C227)),IF(IF(D227="",C227,D227)&gt;=TODAY()-35,C227+ROW()/100000,""),"")</f>
        <v/>
      </c>
    </row>
    <row r="228">
      <c r="A228" s="25" t="n"/>
      <c r="B228" s="11" t="n"/>
      <c r="C228" s="12" t="n"/>
      <c r="D228" s="12" t="n"/>
      <c r="E228" s="13" t="n"/>
      <c r="F228" s="13" t="n"/>
      <c r="G228" s="13" t="n"/>
      <c r="H228" s="13" t="n"/>
      <c r="I228" s="25" t="n"/>
      <c r="J228" s="25" t="n"/>
      <c r="K228" s="26" t="n"/>
      <c r="L228" s="26" t="n"/>
      <c r="M228" s="13">
        <f>IF(A228="","",COUNTIFS('Giao việc'!$M$5:$M$3004,A228,'Giao việc'!$I$5:$I$3004,"&lt;&gt;Bỏ qua"))</f>
        <v/>
      </c>
      <c r="N228" s="13">
        <f>IF(A228="","",COUNTIFS('Giao việc'!$M$5:$M$3004,A228,'Giao việc'!$I$5:$I$3004,"Xong"))</f>
        <v/>
      </c>
      <c r="O228" s="13">
        <f>IF(A228="","",COUNTIFS('Giao việc'!$M$5:$M$3004,A228,'Giao việc'!$L$5:$L$3004,"*QUÁ HẠN*"))</f>
        <v/>
      </c>
      <c r="P228" s="13">
        <f>IF(A228="","",COUNTIFS('Giao việc'!$M$5:$M$3004,A228,'Giao việc'!$L$5:$L$3004,"CHƯA GIAO*"))</f>
        <v/>
      </c>
      <c r="Q228" s="14">
        <f>IF(OR(A228="",N(M228)=0),"",N228/M228)</f>
        <v/>
      </c>
      <c r="R228" s="15">
        <f>IF(Q228="","",REPT("█",ROUND(Q228*10,0))&amp;REPT("░",10-ROUND(Q228*10,0)))</f>
        <v/>
      </c>
      <c r="S228" s="13">
        <f>IF(C228="","Chưa có ngày",IF(C228&gt;TODAY(),"Còn "&amp;(C228-TODAY())&amp;" ngày",IF(IF(D228="",C228,D228)&gt;=TODAY(),"Đang diễn ra","Đã qua "&amp;(TODAY()-IF(D228="",C228,D228))&amp;" ngày")))</f>
        <v/>
      </c>
      <c r="T228" s="13">
        <f>IF(AND(A228&lt;&gt;"",L228="Có",ISNUMBER(C228)),IF(IF(D228="",C228,D228)&gt;=TODAY()-35,C228+ROW()/100000,""),"")</f>
        <v/>
      </c>
    </row>
    <row r="229">
      <c r="A229" s="25" t="n"/>
      <c r="B229" s="11" t="n"/>
      <c r="C229" s="12" t="n"/>
      <c r="D229" s="12" t="n"/>
      <c r="E229" s="13" t="n"/>
      <c r="F229" s="13" t="n"/>
      <c r="G229" s="13" t="n"/>
      <c r="H229" s="13" t="n"/>
      <c r="I229" s="25" t="n"/>
      <c r="J229" s="25" t="n"/>
      <c r="K229" s="26" t="n"/>
      <c r="L229" s="26" t="n"/>
      <c r="M229" s="13">
        <f>IF(A229="","",COUNTIFS('Giao việc'!$M$5:$M$3004,A229,'Giao việc'!$I$5:$I$3004,"&lt;&gt;Bỏ qua"))</f>
        <v/>
      </c>
      <c r="N229" s="13">
        <f>IF(A229="","",COUNTIFS('Giao việc'!$M$5:$M$3004,A229,'Giao việc'!$I$5:$I$3004,"Xong"))</f>
        <v/>
      </c>
      <c r="O229" s="13">
        <f>IF(A229="","",COUNTIFS('Giao việc'!$M$5:$M$3004,A229,'Giao việc'!$L$5:$L$3004,"*QUÁ HẠN*"))</f>
        <v/>
      </c>
      <c r="P229" s="13">
        <f>IF(A229="","",COUNTIFS('Giao việc'!$M$5:$M$3004,A229,'Giao việc'!$L$5:$L$3004,"CHƯA GIAO*"))</f>
        <v/>
      </c>
      <c r="Q229" s="14">
        <f>IF(OR(A229="",N(M229)=0),"",N229/M229)</f>
        <v/>
      </c>
      <c r="R229" s="15">
        <f>IF(Q229="","",REPT("█",ROUND(Q229*10,0))&amp;REPT("░",10-ROUND(Q229*10,0)))</f>
        <v/>
      </c>
      <c r="S229" s="13">
        <f>IF(C229="","Chưa có ngày",IF(C229&gt;TODAY(),"Còn "&amp;(C229-TODAY())&amp;" ngày",IF(IF(D229="",C229,D229)&gt;=TODAY(),"Đang diễn ra","Đã qua "&amp;(TODAY()-IF(D229="",C229,D229))&amp;" ngày")))</f>
        <v/>
      </c>
      <c r="T229" s="13">
        <f>IF(AND(A229&lt;&gt;"",L229="Có",ISNUMBER(C229)),IF(IF(D229="",C229,D229)&gt;=TODAY()-35,C229+ROW()/100000,""),"")</f>
        <v/>
      </c>
    </row>
    <row r="230">
      <c r="A230" s="25" t="n"/>
      <c r="B230" s="11" t="n"/>
      <c r="C230" s="12" t="n"/>
      <c r="D230" s="12" t="n"/>
      <c r="E230" s="13" t="n"/>
      <c r="F230" s="13" t="n"/>
      <c r="G230" s="13" t="n"/>
      <c r="H230" s="13" t="n"/>
      <c r="I230" s="25" t="n"/>
      <c r="J230" s="25" t="n"/>
      <c r="K230" s="26" t="n"/>
      <c r="L230" s="26" t="n"/>
      <c r="M230" s="13">
        <f>IF(A230="","",COUNTIFS('Giao việc'!$M$5:$M$3004,A230,'Giao việc'!$I$5:$I$3004,"&lt;&gt;Bỏ qua"))</f>
        <v/>
      </c>
      <c r="N230" s="13">
        <f>IF(A230="","",COUNTIFS('Giao việc'!$M$5:$M$3004,A230,'Giao việc'!$I$5:$I$3004,"Xong"))</f>
        <v/>
      </c>
      <c r="O230" s="13">
        <f>IF(A230="","",COUNTIFS('Giao việc'!$M$5:$M$3004,A230,'Giao việc'!$L$5:$L$3004,"*QUÁ HẠN*"))</f>
        <v/>
      </c>
      <c r="P230" s="13">
        <f>IF(A230="","",COUNTIFS('Giao việc'!$M$5:$M$3004,A230,'Giao việc'!$L$5:$L$3004,"CHƯA GIAO*"))</f>
        <v/>
      </c>
      <c r="Q230" s="14">
        <f>IF(OR(A230="",N(M230)=0),"",N230/M230)</f>
        <v/>
      </c>
      <c r="R230" s="15">
        <f>IF(Q230="","",REPT("█",ROUND(Q230*10,0))&amp;REPT("░",10-ROUND(Q230*10,0)))</f>
        <v/>
      </c>
      <c r="S230" s="13">
        <f>IF(C230="","Chưa có ngày",IF(C230&gt;TODAY(),"Còn "&amp;(C230-TODAY())&amp;" ngày",IF(IF(D230="",C230,D230)&gt;=TODAY(),"Đang diễn ra","Đã qua "&amp;(TODAY()-IF(D230="",C230,D230))&amp;" ngày")))</f>
        <v/>
      </c>
      <c r="T230" s="13">
        <f>IF(AND(A230&lt;&gt;"",L230="Có",ISNUMBER(C230)),IF(IF(D230="",C230,D230)&gt;=TODAY()-35,C230+ROW()/100000,""),"")</f>
        <v/>
      </c>
    </row>
    <row r="231">
      <c r="A231" s="25" t="n"/>
      <c r="B231" s="11" t="n"/>
      <c r="C231" s="12" t="n"/>
      <c r="D231" s="12" t="n"/>
      <c r="E231" s="13" t="n"/>
      <c r="F231" s="13" t="n"/>
      <c r="G231" s="13" t="n"/>
      <c r="H231" s="13" t="n"/>
      <c r="I231" s="25" t="n"/>
      <c r="J231" s="25" t="n"/>
      <c r="K231" s="26" t="n"/>
      <c r="L231" s="26" t="n"/>
      <c r="M231" s="13">
        <f>IF(A231="","",COUNTIFS('Giao việc'!$M$5:$M$3004,A231,'Giao việc'!$I$5:$I$3004,"&lt;&gt;Bỏ qua"))</f>
        <v/>
      </c>
      <c r="N231" s="13">
        <f>IF(A231="","",COUNTIFS('Giao việc'!$M$5:$M$3004,A231,'Giao việc'!$I$5:$I$3004,"Xong"))</f>
        <v/>
      </c>
      <c r="O231" s="13">
        <f>IF(A231="","",COUNTIFS('Giao việc'!$M$5:$M$3004,A231,'Giao việc'!$L$5:$L$3004,"*QUÁ HẠN*"))</f>
        <v/>
      </c>
      <c r="P231" s="13">
        <f>IF(A231="","",COUNTIFS('Giao việc'!$M$5:$M$3004,A231,'Giao việc'!$L$5:$L$3004,"CHƯA GIAO*"))</f>
        <v/>
      </c>
      <c r="Q231" s="14">
        <f>IF(OR(A231="",N(M231)=0),"",N231/M231)</f>
        <v/>
      </c>
      <c r="R231" s="15">
        <f>IF(Q231="","",REPT("█",ROUND(Q231*10,0))&amp;REPT("░",10-ROUND(Q231*10,0)))</f>
        <v/>
      </c>
      <c r="S231" s="13">
        <f>IF(C231="","Chưa có ngày",IF(C231&gt;TODAY(),"Còn "&amp;(C231-TODAY())&amp;" ngày",IF(IF(D231="",C231,D231)&gt;=TODAY(),"Đang diễn ra","Đã qua "&amp;(TODAY()-IF(D231="",C231,D231))&amp;" ngày")))</f>
        <v/>
      </c>
      <c r="T231" s="13">
        <f>IF(AND(A231&lt;&gt;"",L231="Có",ISNUMBER(C231)),IF(IF(D231="",C231,D231)&gt;=TODAY()-35,C231+ROW()/100000,""),"")</f>
        <v/>
      </c>
    </row>
    <row r="232">
      <c r="A232" s="25" t="n"/>
      <c r="B232" s="11" t="n"/>
      <c r="C232" s="12" t="n"/>
      <c r="D232" s="12" t="n"/>
      <c r="E232" s="13" t="n"/>
      <c r="F232" s="13" t="n"/>
      <c r="G232" s="13" t="n"/>
      <c r="H232" s="13" t="n"/>
      <c r="I232" s="25" t="n"/>
      <c r="J232" s="25" t="n"/>
      <c r="K232" s="26" t="n"/>
      <c r="L232" s="26" t="n"/>
      <c r="M232" s="13">
        <f>IF(A232="","",COUNTIFS('Giao việc'!$M$5:$M$3004,A232,'Giao việc'!$I$5:$I$3004,"&lt;&gt;Bỏ qua"))</f>
        <v/>
      </c>
      <c r="N232" s="13">
        <f>IF(A232="","",COUNTIFS('Giao việc'!$M$5:$M$3004,A232,'Giao việc'!$I$5:$I$3004,"Xong"))</f>
        <v/>
      </c>
      <c r="O232" s="13">
        <f>IF(A232="","",COUNTIFS('Giao việc'!$M$5:$M$3004,A232,'Giao việc'!$L$5:$L$3004,"*QUÁ HẠN*"))</f>
        <v/>
      </c>
      <c r="P232" s="13">
        <f>IF(A232="","",COUNTIFS('Giao việc'!$M$5:$M$3004,A232,'Giao việc'!$L$5:$L$3004,"CHƯA GIAO*"))</f>
        <v/>
      </c>
      <c r="Q232" s="14">
        <f>IF(OR(A232="",N(M232)=0),"",N232/M232)</f>
        <v/>
      </c>
      <c r="R232" s="15">
        <f>IF(Q232="","",REPT("█",ROUND(Q232*10,0))&amp;REPT("░",10-ROUND(Q232*10,0)))</f>
        <v/>
      </c>
      <c r="S232" s="13">
        <f>IF(C232="","Chưa có ngày",IF(C232&gt;TODAY(),"Còn "&amp;(C232-TODAY())&amp;" ngày",IF(IF(D232="",C232,D232)&gt;=TODAY(),"Đang diễn ra","Đã qua "&amp;(TODAY()-IF(D232="",C232,D232))&amp;" ngày")))</f>
        <v/>
      </c>
      <c r="T232" s="13">
        <f>IF(AND(A232&lt;&gt;"",L232="Có",ISNUMBER(C232)),IF(IF(D232="",C232,D232)&gt;=TODAY()-35,C232+ROW()/100000,""),"")</f>
        <v/>
      </c>
    </row>
    <row r="233">
      <c r="A233" s="25" t="n"/>
      <c r="B233" s="11" t="n"/>
      <c r="C233" s="12" t="n"/>
      <c r="D233" s="12" t="n"/>
      <c r="E233" s="13" t="n"/>
      <c r="F233" s="13" t="n"/>
      <c r="G233" s="13" t="n"/>
      <c r="H233" s="13" t="n"/>
      <c r="I233" s="25" t="n"/>
      <c r="J233" s="25" t="n"/>
      <c r="K233" s="26" t="n"/>
      <c r="L233" s="26" t="n"/>
      <c r="M233" s="13">
        <f>IF(A233="","",COUNTIFS('Giao việc'!$M$5:$M$3004,A233,'Giao việc'!$I$5:$I$3004,"&lt;&gt;Bỏ qua"))</f>
        <v/>
      </c>
      <c r="N233" s="13">
        <f>IF(A233="","",COUNTIFS('Giao việc'!$M$5:$M$3004,A233,'Giao việc'!$I$5:$I$3004,"Xong"))</f>
        <v/>
      </c>
      <c r="O233" s="13">
        <f>IF(A233="","",COUNTIFS('Giao việc'!$M$5:$M$3004,A233,'Giao việc'!$L$5:$L$3004,"*QUÁ HẠN*"))</f>
        <v/>
      </c>
      <c r="P233" s="13">
        <f>IF(A233="","",COUNTIFS('Giao việc'!$M$5:$M$3004,A233,'Giao việc'!$L$5:$L$3004,"CHƯA GIAO*"))</f>
        <v/>
      </c>
      <c r="Q233" s="14">
        <f>IF(OR(A233="",N(M233)=0),"",N233/M233)</f>
        <v/>
      </c>
      <c r="R233" s="15">
        <f>IF(Q233="","",REPT("█",ROUND(Q233*10,0))&amp;REPT("░",10-ROUND(Q233*10,0)))</f>
        <v/>
      </c>
      <c r="S233" s="13">
        <f>IF(C233="","Chưa có ngày",IF(C233&gt;TODAY(),"Còn "&amp;(C233-TODAY())&amp;" ngày",IF(IF(D233="",C233,D233)&gt;=TODAY(),"Đang diễn ra","Đã qua "&amp;(TODAY()-IF(D233="",C233,D233))&amp;" ngày")))</f>
        <v/>
      </c>
      <c r="T233" s="13">
        <f>IF(AND(A233&lt;&gt;"",L233="Có",ISNUMBER(C233)),IF(IF(D233="",C233,D233)&gt;=TODAY()-35,C233+ROW()/100000,""),"")</f>
        <v/>
      </c>
    </row>
    <row r="234">
      <c r="A234" s="25" t="n"/>
      <c r="B234" s="11" t="n"/>
      <c r="C234" s="12" t="n"/>
      <c r="D234" s="12" t="n"/>
      <c r="E234" s="13" t="n"/>
      <c r="F234" s="13" t="n"/>
      <c r="G234" s="13" t="n"/>
      <c r="H234" s="13" t="n"/>
      <c r="I234" s="25" t="n"/>
      <c r="J234" s="25" t="n"/>
      <c r="K234" s="26" t="n"/>
      <c r="L234" s="26" t="n"/>
      <c r="M234" s="13">
        <f>IF(A234="","",COUNTIFS('Giao việc'!$M$5:$M$3004,A234,'Giao việc'!$I$5:$I$3004,"&lt;&gt;Bỏ qua"))</f>
        <v/>
      </c>
      <c r="N234" s="13">
        <f>IF(A234="","",COUNTIFS('Giao việc'!$M$5:$M$3004,A234,'Giao việc'!$I$5:$I$3004,"Xong"))</f>
        <v/>
      </c>
      <c r="O234" s="13">
        <f>IF(A234="","",COUNTIFS('Giao việc'!$M$5:$M$3004,A234,'Giao việc'!$L$5:$L$3004,"*QUÁ HẠN*"))</f>
        <v/>
      </c>
      <c r="P234" s="13">
        <f>IF(A234="","",COUNTIFS('Giao việc'!$M$5:$M$3004,A234,'Giao việc'!$L$5:$L$3004,"CHƯA GIAO*"))</f>
        <v/>
      </c>
      <c r="Q234" s="14">
        <f>IF(OR(A234="",N(M234)=0),"",N234/M234)</f>
        <v/>
      </c>
      <c r="R234" s="15">
        <f>IF(Q234="","",REPT("█",ROUND(Q234*10,0))&amp;REPT("░",10-ROUND(Q234*10,0)))</f>
        <v/>
      </c>
      <c r="S234" s="13">
        <f>IF(C234="","Chưa có ngày",IF(C234&gt;TODAY(),"Còn "&amp;(C234-TODAY())&amp;" ngày",IF(IF(D234="",C234,D234)&gt;=TODAY(),"Đang diễn ra","Đã qua "&amp;(TODAY()-IF(D234="",C234,D234))&amp;" ngày")))</f>
        <v/>
      </c>
      <c r="T234" s="13">
        <f>IF(AND(A234&lt;&gt;"",L234="Có",ISNUMBER(C234)),IF(IF(D234="",C234,D234)&gt;=TODAY()-35,C234+ROW()/100000,""),"")</f>
        <v/>
      </c>
    </row>
    <row r="235">
      <c r="A235" s="25" t="n"/>
      <c r="B235" s="11" t="n"/>
      <c r="C235" s="12" t="n"/>
      <c r="D235" s="12" t="n"/>
      <c r="E235" s="13" t="n"/>
      <c r="F235" s="13" t="n"/>
      <c r="G235" s="13" t="n"/>
      <c r="H235" s="13" t="n"/>
      <c r="I235" s="25" t="n"/>
      <c r="J235" s="25" t="n"/>
      <c r="K235" s="26" t="n"/>
      <c r="L235" s="26" t="n"/>
      <c r="M235" s="13">
        <f>IF(A235="","",COUNTIFS('Giao việc'!$M$5:$M$3004,A235,'Giao việc'!$I$5:$I$3004,"&lt;&gt;Bỏ qua"))</f>
        <v/>
      </c>
      <c r="N235" s="13">
        <f>IF(A235="","",COUNTIFS('Giao việc'!$M$5:$M$3004,A235,'Giao việc'!$I$5:$I$3004,"Xong"))</f>
        <v/>
      </c>
      <c r="O235" s="13">
        <f>IF(A235="","",COUNTIFS('Giao việc'!$M$5:$M$3004,A235,'Giao việc'!$L$5:$L$3004,"*QUÁ HẠN*"))</f>
        <v/>
      </c>
      <c r="P235" s="13">
        <f>IF(A235="","",COUNTIFS('Giao việc'!$M$5:$M$3004,A235,'Giao việc'!$L$5:$L$3004,"CHƯA GIAO*"))</f>
        <v/>
      </c>
      <c r="Q235" s="14">
        <f>IF(OR(A235="",N(M235)=0),"",N235/M235)</f>
        <v/>
      </c>
      <c r="R235" s="15">
        <f>IF(Q235="","",REPT("█",ROUND(Q235*10,0))&amp;REPT("░",10-ROUND(Q235*10,0)))</f>
        <v/>
      </c>
      <c r="S235" s="13">
        <f>IF(C235="","Chưa có ngày",IF(C235&gt;TODAY(),"Còn "&amp;(C235-TODAY())&amp;" ngày",IF(IF(D235="",C235,D235)&gt;=TODAY(),"Đang diễn ra","Đã qua "&amp;(TODAY()-IF(D235="",C235,D235))&amp;" ngày")))</f>
        <v/>
      </c>
      <c r="T235" s="13">
        <f>IF(AND(A235&lt;&gt;"",L235="Có",ISNUMBER(C235)),IF(IF(D235="",C235,D235)&gt;=TODAY()-35,C235+ROW()/100000,""),"")</f>
        <v/>
      </c>
    </row>
    <row r="236">
      <c r="A236" s="25" t="n"/>
      <c r="B236" s="11" t="n"/>
      <c r="C236" s="12" t="n"/>
      <c r="D236" s="12" t="n"/>
      <c r="E236" s="13" t="n"/>
      <c r="F236" s="13" t="n"/>
      <c r="G236" s="13" t="n"/>
      <c r="H236" s="13" t="n"/>
      <c r="I236" s="25" t="n"/>
      <c r="J236" s="25" t="n"/>
      <c r="K236" s="26" t="n"/>
      <c r="L236" s="26" t="n"/>
      <c r="M236" s="13">
        <f>IF(A236="","",COUNTIFS('Giao việc'!$M$5:$M$3004,A236,'Giao việc'!$I$5:$I$3004,"&lt;&gt;Bỏ qua"))</f>
        <v/>
      </c>
      <c r="N236" s="13">
        <f>IF(A236="","",COUNTIFS('Giao việc'!$M$5:$M$3004,A236,'Giao việc'!$I$5:$I$3004,"Xong"))</f>
        <v/>
      </c>
      <c r="O236" s="13">
        <f>IF(A236="","",COUNTIFS('Giao việc'!$M$5:$M$3004,A236,'Giao việc'!$L$5:$L$3004,"*QUÁ HẠN*"))</f>
        <v/>
      </c>
      <c r="P236" s="13">
        <f>IF(A236="","",COUNTIFS('Giao việc'!$M$5:$M$3004,A236,'Giao việc'!$L$5:$L$3004,"CHƯA GIAO*"))</f>
        <v/>
      </c>
      <c r="Q236" s="14">
        <f>IF(OR(A236="",N(M236)=0),"",N236/M236)</f>
        <v/>
      </c>
      <c r="R236" s="15">
        <f>IF(Q236="","",REPT("█",ROUND(Q236*10,0))&amp;REPT("░",10-ROUND(Q236*10,0)))</f>
        <v/>
      </c>
      <c r="S236" s="13">
        <f>IF(C236="","Chưa có ngày",IF(C236&gt;TODAY(),"Còn "&amp;(C236-TODAY())&amp;" ngày",IF(IF(D236="",C236,D236)&gt;=TODAY(),"Đang diễn ra","Đã qua "&amp;(TODAY()-IF(D236="",C236,D236))&amp;" ngày")))</f>
        <v/>
      </c>
      <c r="T236" s="13">
        <f>IF(AND(A236&lt;&gt;"",L236="Có",ISNUMBER(C236)),IF(IF(D236="",C236,D236)&gt;=TODAY()-35,C236+ROW()/100000,""),"")</f>
        <v/>
      </c>
    </row>
    <row r="237">
      <c r="A237" s="25" t="n"/>
      <c r="B237" s="11" t="n"/>
      <c r="C237" s="12" t="n"/>
      <c r="D237" s="12" t="n"/>
      <c r="E237" s="13" t="n"/>
      <c r="F237" s="13" t="n"/>
      <c r="G237" s="13" t="n"/>
      <c r="H237" s="13" t="n"/>
      <c r="I237" s="25" t="n"/>
      <c r="J237" s="25" t="n"/>
      <c r="K237" s="26" t="n"/>
      <c r="L237" s="26" t="n"/>
      <c r="M237" s="13">
        <f>IF(A237="","",COUNTIFS('Giao việc'!$M$5:$M$3004,A237,'Giao việc'!$I$5:$I$3004,"&lt;&gt;Bỏ qua"))</f>
        <v/>
      </c>
      <c r="N237" s="13">
        <f>IF(A237="","",COUNTIFS('Giao việc'!$M$5:$M$3004,A237,'Giao việc'!$I$5:$I$3004,"Xong"))</f>
        <v/>
      </c>
      <c r="O237" s="13">
        <f>IF(A237="","",COUNTIFS('Giao việc'!$M$5:$M$3004,A237,'Giao việc'!$L$5:$L$3004,"*QUÁ HẠN*"))</f>
        <v/>
      </c>
      <c r="P237" s="13">
        <f>IF(A237="","",COUNTIFS('Giao việc'!$M$5:$M$3004,A237,'Giao việc'!$L$5:$L$3004,"CHƯA GIAO*"))</f>
        <v/>
      </c>
      <c r="Q237" s="14">
        <f>IF(OR(A237="",N(M237)=0),"",N237/M237)</f>
        <v/>
      </c>
      <c r="R237" s="15">
        <f>IF(Q237="","",REPT("█",ROUND(Q237*10,0))&amp;REPT("░",10-ROUND(Q237*10,0)))</f>
        <v/>
      </c>
      <c r="S237" s="13">
        <f>IF(C237="","Chưa có ngày",IF(C237&gt;TODAY(),"Còn "&amp;(C237-TODAY())&amp;" ngày",IF(IF(D237="",C237,D237)&gt;=TODAY(),"Đang diễn ra","Đã qua "&amp;(TODAY()-IF(D237="",C237,D237))&amp;" ngày")))</f>
        <v/>
      </c>
      <c r="T237" s="13">
        <f>IF(AND(A237&lt;&gt;"",L237="Có",ISNUMBER(C237)),IF(IF(D237="",C237,D237)&gt;=TODAY()-35,C237+ROW()/100000,""),"")</f>
        <v/>
      </c>
    </row>
    <row r="238">
      <c r="A238" s="25" t="n"/>
      <c r="B238" s="11" t="n"/>
      <c r="C238" s="12" t="n"/>
      <c r="D238" s="12" t="n"/>
      <c r="E238" s="13" t="n"/>
      <c r="F238" s="13" t="n"/>
      <c r="G238" s="13" t="n"/>
      <c r="H238" s="13" t="n"/>
      <c r="I238" s="25" t="n"/>
      <c r="J238" s="25" t="n"/>
      <c r="K238" s="26" t="n"/>
      <c r="L238" s="26" t="n"/>
      <c r="M238" s="13">
        <f>IF(A238="","",COUNTIFS('Giao việc'!$M$5:$M$3004,A238,'Giao việc'!$I$5:$I$3004,"&lt;&gt;Bỏ qua"))</f>
        <v/>
      </c>
      <c r="N238" s="13">
        <f>IF(A238="","",COUNTIFS('Giao việc'!$M$5:$M$3004,A238,'Giao việc'!$I$5:$I$3004,"Xong"))</f>
        <v/>
      </c>
      <c r="O238" s="13">
        <f>IF(A238="","",COUNTIFS('Giao việc'!$M$5:$M$3004,A238,'Giao việc'!$L$5:$L$3004,"*QUÁ HẠN*"))</f>
        <v/>
      </c>
      <c r="P238" s="13">
        <f>IF(A238="","",COUNTIFS('Giao việc'!$M$5:$M$3004,A238,'Giao việc'!$L$5:$L$3004,"CHƯA GIAO*"))</f>
        <v/>
      </c>
      <c r="Q238" s="14">
        <f>IF(OR(A238="",N(M238)=0),"",N238/M238)</f>
        <v/>
      </c>
      <c r="R238" s="15">
        <f>IF(Q238="","",REPT("█",ROUND(Q238*10,0))&amp;REPT("░",10-ROUND(Q238*10,0)))</f>
        <v/>
      </c>
      <c r="S238" s="13">
        <f>IF(C238="","Chưa có ngày",IF(C238&gt;TODAY(),"Còn "&amp;(C238-TODAY())&amp;" ngày",IF(IF(D238="",C238,D238)&gt;=TODAY(),"Đang diễn ra","Đã qua "&amp;(TODAY()-IF(D238="",C238,D238))&amp;" ngày")))</f>
        <v/>
      </c>
      <c r="T238" s="13">
        <f>IF(AND(A238&lt;&gt;"",L238="Có",ISNUMBER(C238)),IF(IF(D238="",C238,D238)&gt;=TODAY()-35,C238+ROW()/100000,""),"")</f>
        <v/>
      </c>
    </row>
    <row r="239">
      <c r="A239" s="25" t="n"/>
      <c r="B239" s="11" t="n"/>
      <c r="C239" s="12" t="n"/>
      <c r="D239" s="12" t="n"/>
      <c r="E239" s="13" t="n"/>
      <c r="F239" s="13" t="n"/>
      <c r="G239" s="13" t="n"/>
      <c r="H239" s="13" t="n"/>
      <c r="I239" s="25" t="n"/>
      <c r="J239" s="25" t="n"/>
      <c r="K239" s="26" t="n"/>
      <c r="L239" s="26" t="n"/>
      <c r="M239" s="13">
        <f>IF(A239="","",COUNTIFS('Giao việc'!$M$5:$M$3004,A239,'Giao việc'!$I$5:$I$3004,"&lt;&gt;Bỏ qua"))</f>
        <v/>
      </c>
      <c r="N239" s="13">
        <f>IF(A239="","",COUNTIFS('Giao việc'!$M$5:$M$3004,A239,'Giao việc'!$I$5:$I$3004,"Xong"))</f>
        <v/>
      </c>
      <c r="O239" s="13">
        <f>IF(A239="","",COUNTIFS('Giao việc'!$M$5:$M$3004,A239,'Giao việc'!$L$5:$L$3004,"*QUÁ HẠN*"))</f>
        <v/>
      </c>
      <c r="P239" s="13">
        <f>IF(A239="","",COUNTIFS('Giao việc'!$M$5:$M$3004,A239,'Giao việc'!$L$5:$L$3004,"CHƯA GIAO*"))</f>
        <v/>
      </c>
      <c r="Q239" s="14">
        <f>IF(OR(A239="",N(M239)=0),"",N239/M239)</f>
        <v/>
      </c>
      <c r="R239" s="15">
        <f>IF(Q239="","",REPT("█",ROUND(Q239*10,0))&amp;REPT("░",10-ROUND(Q239*10,0)))</f>
        <v/>
      </c>
      <c r="S239" s="13">
        <f>IF(C239="","Chưa có ngày",IF(C239&gt;TODAY(),"Còn "&amp;(C239-TODAY())&amp;" ngày",IF(IF(D239="",C239,D239)&gt;=TODAY(),"Đang diễn ra","Đã qua "&amp;(TODAY()-IF(D239="",C239,D239))&amp;" ngày")))</f>
        <v/>
      </c>
      <c r="T239" s="13">
        <f>IF(AND(A239&lt;&gt;"",L239="Có",ISNUMBER(C239)),IF(IF(D239="",C239,D239)&gt;=TODAY()-35,C239+ROW()/100000,""),"")</f>
        <v/>
      </c>
    </row>
    <row r="240">
      <c r="A240" s="25" t="n"/>
      <c r="B240" s="11" t="n"/>
      <c r="C240" s="12" t="n"/>
      <c r="D240" s="12" t="n"/>
      <c r="E240" s="13" t="n"/>
      <c r="F240" s="13" t="n"/>
      <c r="G240" s="13" t="n"/>
      <c r="H240" s="13" t="n"/>
      <c r="I240" s="25" t="n"/>
      <c r="J240" s="25" t="n"/>
      <c r="K240" s="26" t="n"/>
      <c r="L240" s="26" t="n"/>
      <c r="M240" s="13">
        <f>IF(A240="","",COUNTIFS('Giao việc'!$M$5:$M$3004,A240,'Giao việc'!$I$5:$I$3004,"&lt;&gt;Bỏ qua"))</f>
        <v/>
      </c>
      <c r="N240" s="13">
        <f>IF(A240="","",COUNTIFS('Giao việc'!$M$5:$M$3004,A240,'Giao việc'!$I$5:$I$3004,"Xong"))</f>
        <v/>
      </c>
      <c r="O240" s="13">
        <f>IF(A240="","",COUNTIFS('Giao việc'!$M$5:$M$3004,A240,'Giao việc'!$L$5:$L$3004,"*QUÁ HẠN*"))</f>
        <v/>
      </c>
      <c r="P240" s="13">
        <f>IF(A240="","",COUNTIFS('Giao việc'!$M$5:$M$3004,A240,'Giao việc'!$L$5:$L$3004,"CHƯA GIAO*"))</f>
        <v/>
      </c>
      <c r="Q240" s="14">
        <f>IF(OR(A240="",N(M240)=0),"",N240/M240)</f>
        <v/>
      </c>
      <c r="R240" s="15">
        <f>IF(Q240="","",REPT("█",ROUND(Q240*10,0))&amp;REPT("░",10-ROUND(Q240*10,0)))</f>
        <v/>
      </c>
      <c r="S240" s="13">
        <f>IF(C240="","Chưa có ngày",IF(C240&gt;TODAY(),"Còn "&amp;(C240-TODAY())&amp;" ngày",IF(IF(D240="",C240,D240)&gt;=TODAY(),"Đang diễn ra","Đã qua "&amp;(TODAY()-IF(D240="",C240,D240))&amp;" ngày")))</f>
        <v/>
      </c>
      <c r="T240" s="13">
        <f>IF(AND(A240&lt;&gt;"",L240="Có",ISNUMBER(C240)),IF(IF(D240="",C240,D240)&gt;=TODAY()-35,C240+ROW()/100000,""),"")</f>
        <v/>
      </c>
    </row>
    <row r="241">
      <c r="A241" s="25" t="n"/>
      <c r="B241" s="11" t="n"/>
      <c r="C241" s="12" t="n"/>
      <c r="D241" s="12" t="n"/>
      <c r="E241" s="13" t="n"/>
      <c r="F241" s="13" t="n"/>
      <c r="G241" s="13" t="n"/>
      <c r="H241" s="13" t="n"/>
      <c r="I241" s="25" t="n"/>
      <c r="J241" s="25" t="n"/>
      <c r="K241" s="26" t="n"/>
      <c r="L241" s="26" t="n"/>
      <c r="M241" s="13">
        <f>IF(A241="","",COUNTIFS('Giao việc'!$M$5:$M$3004,A241,'Giao việc'!$I$5:$I$3004,"&lt;&gt;Bỏ qua"))</f>
        <v/>
      </c>
      <c r="N241" s="13">
        <f>IF(A241="","",COUNTIFS('Giao việc'!$M$5:$M$3004,A241,'Giao việc'!$I$5:$I$3004,"Xong"))</f>
        <v/>
      </c>
      <c r="O241" s="13">
        <f>IF(A241="","",COUNTIFS('Giao việc'!$M$5:$M$3004,A241,'Giao việc'!$L$5:$L$3004,"*QUÁ HẠN*"))</f>
        <v/>
      </c>
      <c r="P241" s="13">
        <f>IF(A241="","",COUNTIFS('Giao việc'!$M$5:$M$3004,A241,'Giao việc'!$L$5:$L$3004,"CHƯA GIAO*"))</f>
        <v/>
      </c>
      <c r="Q241" s="14">
        <f>IF(OR(A241="",N(M241)=0),"",N241/M241)</f>
        <v/>
      </c>
      <c r="R241" s="15">
        <f>IF(Q241="","",REPT("█",ROUND(Q241*10,0))&amp;REPT("░",10-ROUND(Q241*10,0)))</f>
        <v/>
      </c>
      <c r="S241" s="13">
        <f>IF(C241="","Chưa có ngày",IF(C241&gt;TODAY(),"Còn "&amp;(C241-TODAY())&amp;" ngày",IF(IF(D241="",C241,D241)&gt;=TODAY(),"Đang diễn ra","Đã qua "&amp;(TODAY()-IF(D241="",C241,D241))&amp;" ngày")))</f>
        <v/>
      </c>
      <c r="T241" s="13">
        <f>IF(AND(A241&lt;&gt;"",L241="Có",ISNUMBER(C241)),IF(IF(D241="",C241,D241)&gt;=TODAY()-35,C241+ROW()/100000,""),"")</f>
        <v/>
      </c>
    </row>
    <row r="242">
      <c r="A242" s="25" t="n"/>
      <c r="B242" s="11" t="n"/>
      <c r="C242" s="12" t="n"/>
      <c r="D242" s="12" t="n"/>
      <c r="E242" s="13" t="n"/>
      <c r="F242" s="13" t="n"/>
      <c r="G242" s="13" t="n"/>
      <c r="H242" s="13" t="n"/>
      <c r="I242" s="25" t="n"/>
      <c r="J242" s="25" t="n"/>
      <c r="K242" s="26" t="n"/>
      <c r="L242" s="26" t="n"/>
      <c r="M242" s="13">
        <f>IF(A242="","",COUNTIFS('Giao việc'!$M$5:$M$3004,A242,'Giao việc'!$I$5:$I$3004,"&lt;&gt;Bỏ qua"))</f>
        <v/>
      </c>
      <c r="N242" s="13">
        <f>IF(A242="","",COUNTIFS('Giao việc'!$M$5:$M$3004,A242,'Giao việc'!$I$5:$I$3004,"Xong"))</f>
        <v/>
      </c>
      <c r="O242" s="13">
        <f>IF(A242="","",COUNTIFS('Giao việc'!$M$5:$M$3004,A242,'Giao việc'!$L$5:$L$3004,"*QUÁ HẠN*"))</f>
        <v/>
      </c>
      <c r="P242" s="13">
        <f>IF(A242="","",COUNTIFS('Giao việc'!$M$5:$M$3004,A242,'Giao việc'!$L$5:$L$3004,"CHƯA GIAO*"))</f>
        <v/>
      </c>
      <c r="Q242" s="14">
        <f>IF(OR(A242="",N(M242)=0),"",N242/M242)</f>
        <v/>
      </c>
      <c r="R242" s="15">
        <f>IF(Q242="","",REPT("█",ROUND(Q242*10,0))&amp;REPT("░",10-ROUND(Q242*10,0)))</f>
        <v/>
      </c>
      <c r="S242" s="13">
        <f>IF(C242="","Chưa có ngày",IF(C242&gt;TODAY(),"Còn "&amp;(C242-TODAY())&amp;" ngày",IF(IF(D242="",C242,D242)&gt;=TODAY(),"Đang diễn ra","Đã qua "&amp;(TODAY()-IF(D242="",C242,D242))&amp;" ngày")))</f>
        <v/>
      </c>
      <c r="T242" s="13">
        <f>IF(AND(A242&lt;&gt;"",L242="Có",ISNUMBER(C242)),IF(IF(D242="",C242,D242)&gt;=TODAY()-35,C242+ROW()/100000,""),"")</f>
        <v/>
      </c>
    </row>
    <row r="243">
      <c r="A243" s="25" t="n"/>
      <c r="B243" s="11" t="n"/>
      <c r="C243" s="12" t="n"/>
      <c r="D243" s="12" t="n"/>
      <c r="E243" s="13" t="n"/>
      <c r="F243" s="13" t="n"/>
      <c r="G243" s="13" t="n"/>
      <c r="H243" s="13" t="n"/>
      <c r="I243" s="25" t="n"/>
      <c r="J243" s="25" t="n"/>
      <c r="K243" s="26" t="n"/>
      <c r="L243" s="26" t="n"/>
      <c r="M243" s="13">
        <f>IF(A243="","",COUNTIFS('Giao việc'!$M$5:$M$3004,A243,'Giao việc'!$I$5:$I$3004,"&lt;&gt;Bỏ qua"))</f>
        <v/>
      </c>
      <c r="N243" s="13">
        <f>IF(A243="","",COUNTIFS('Giao việc'!$M$5:$M$3004,A243,'Giao việc'!$I$5:$I$3004,"Xong"))</f>
        <v/>
      </c>
      <c r="O243" s="13">
        <f>IF(A243="","",COUNTIFS('Giao việc'!$M$5:$M$3004,A243,'Giao việc'!$L$5:$L$3004,"*QUÁ HẠN*"))</f>
        <v/>
      </c>
      <c r="P243" s="13">
        <f>IF(A243="","",COUNTIFS('Giao việc'!$M$5:$M$3004,A243,'Giao việc'!$L$5:$L$3004,"CHƯA GIAO*"))</f>
        <v/>
      </c>
      <c r="Q243" s="14">
        <f>IF(OR(A243="",N(M243)=0),"",N243/M243)</f>
        <v/>
      </c>
      <c r="R243" s="15">
        <f>IF(Q243="","",REPT("█",ROUND(Q243*10,0))&amp;REPT("░",10-ROUND(Q243*10,0)))</f>
        <v/>
      </c>
      <c r="S243" s="13">
        <f>IF(C243="","Chưa có ngày",IF(C243&gt;TODAY(),"Còn "&amp;(C243-TODAY())&amp;" ngày",IF(IF(D243="",C243,D243)&gt;=TODAY(),"Đang diễn ra","Đã qua "&amp;(TODAY()-IF(D243="",C243,D243))&amp;" ngày")))</f>
        <v/>
      </c>
      <c r="T243" s="13">
        <f>IF(AND(A243&lt;&gt;"",L243="Có",ISNUMBER(C243)),IF(IF(D243="",C243,D243)&gt;=TODAY()-35,C243+ROW()/100000,""),"")</f>
        <v/>
      </c>
    </row>
    <row r="244">
      <c r="A244" s="25" t="n"/>
      <c r="B244" s="11" t="n"/>
      <c r="C244" s="12" t="n"/>
      <c r="D244" s="12" t="n"/>
      <c r="E244" s="13" t="n"/>
      <c r="F244" s="13" t="n"/>
      <c r="G244" s="13" t="n"/>
      <c r="H244" s="13" t="n"/>
      <c r="I244" s="25" t="n"/>
      <c r="J244" s="25" t="n"/>
      <c r="K244" s="26" t="n"/>
      <c r="L244" s="26" t="n"/>
      <c r="M244" s="13">
        <f>IF(A244="","",COUNTIFS('Giao việc'!$M$5:$M$3004,A244,'Giao việc'!$I$5:$I$3004,"&lt;&gt;Bỏ qua"))</f>
        <v/>
      </c>
      <c r="N244" s="13">
        <f>IF(A244="","",COUNTIFS('Giao việc'!$M$5:$M$3004,A244,'Giao việc'!$I$5:$I$3004,"Xong"))</f>
        <v/>
      </c>
      <c r="O244" s="13">
        <f>IF(A244="","",COUNTIFS('Giao việc'!$M$5:$M$3004,A244,'Giao việc'!$L$5:$L$3004,"*QUÁ HẠN*"))</f>
        <v/>
      </c>
      <c r="P244" s="13">
        <f>IF(A244="","",COUNTIFS('Giao việc'!$M$5:$M$3004,A244,'Giao việc'!$L$5:$L$3004,"CHƯA GIAO*"))</f>
        <v/>
      </c>
      <c r="Q244" s="14">
        <f>IF(OR(A244="",N(M244)=0),"",N244/M244)</f>
        <v/>
      </c>
      <c r="R244" s="15">
        <f>IF(Q244="","",REPT("█",ROUND(Q244*10,0))&amp;REPT("░",10-ROUND(Q244*10,0)))</f>
        <v/>
      </c>
      <c r="S244" s="13">
        <f>IF(C244="","Chưa có ngày",IF(C244&gt;TODAY(),"Còn "&amp;(C244-TODAY())&amp;" ngày",IF(IF(D244="",C244,D244)&gt;=TODAY(),"Đang diễn ra","Đã qua "&amp;(TODAY()-IF(D244="",C244,D244))&amp;" ngày")))</f>
        <v/>
      </c>
      <c r="T244" s="13">
        <f>IF(AND(A244&lt;&gt;"",L244="Có",ISNUMBER(C244)),IF(IF(D244="",C244,D244)&gt;=TODAY()-35,C244+ROW()/100000,""),"")</f>
        <v/>
      </c>
    </row>
    <row r="245">
      <c r="A245" s="25" t="n"/>
      <c r="B245" s="11" t="n"/>
      <c r="C245" s="12" t="n"/>
      <c r="D245" s="12" t="n"/>
      <c r="E245" s="13" t="n"/>
      <c r="F245" s="13" t="n"/>
      <c r="G245" s="13" t="n"/>
      <c r="H245" s="13" t="n"/>
      <c r="I245" s="25" t="n"/>
      <c r="J245" s="25" t="n"/>
      <c r="K245" s="26" t="n"/>
      <c r="L245" s="26" t="n"/>
      <c r="M245" s="13">
        <f>IF(A245="","",COUNTIFS('Giao việc'!$M$5:$M$3004,A245,'Giao việc'!$I$5:$I$3004,"&lt;&gt;Bỏ qua"))</f>
        <v/>
      </c>
      <c r="N245" s="13">
        <f>IF(A245="","",COUNTIFS('Giao việc'!$M$5:$M$3004,A245,'Giao việc'!$I$5:$I$3004,"Xong"))</f>
        <v/>
      </c>
      <c r="O245" s="13">
        <f>IF(A245="","",COUNTIFS('Giao việc'!$M$5:$M$3004,A245,'Giao việc'!$L$5:$L$3004,"*QUÁ HẠN*"))</f>
        <v/>
      </c>
      <c r="P245" s="13">
        <f>IF(A245="","",COUNTIFS('Giao việc'!$M$5:$M$3004,A245,'Giao việc'!$L$5:$L$3004,"CHƯA GIAO*"))</f>
        <v/>
      </c>
      <c r="Q245" s="14">
        <f>IF(OR(A245="",N(M245)=0),"",N245/M245)</f>
        <v/>
      </c>
      <c r="R245" s="15">
        <f>IF(Q245="","",REPT("█",ROUND(Q245*10,0))&amp;REPT("░",10-ROUND(Q245*10,0)))</f>
        <v/>
      </c>
      <c r="S245" s="13">
        <f>IF(C245="","Chưa có ngày",IF(C245&gt;TODAY(),"Còn "&amp;(C245-TODAY())&amp;" ngày",IF(IF(D245="",C245,D245)&gt;=TODAY(),"Đang diễn ra","Đã qua "&amp;(TODAY()-IF(D245="",C245,D245))&amp;" ngày")))</f>
        <v/>
      </c>
      <c r="T245" s="13">
        <f>IF(AND(A245&lt;&gt;"",L245="Có",ISNUMBER(C245)),IF(IF(D245="",C245,D245)&gt;=TODAY()-35,C245+ROW()/100000,""),"")</f>
        <v/>
      </c>
    </row>
    <row r="246">
      <c r="A246" s="25" t="n"/>
      <c r="B246" s="11" t="n"/>
      <c r="C246" s="12" t="n"/>
      <c r="D246" s="12" t="n"/>
      <c r="E246" s="13" t="n"/>
      <c r="F246" s="13" t="n"/>
      <c r="G246" s="13" t="n"/>
      <c r="H246" s="13" t="n"/>
      <c r="I246" s="25" t="n"/>
      <c r="J246" s="25" t="n"/>
      <c r="K246" s="26" t="n"/>
      <c r="L246" s="26" t="n"/>
      <c r="M246" s="13">
        <f>IF(A246="","",COUNTIFS('Giao việc'!$M$5:$M$3004,A246,'Giao việc'!$I$5:$I$3004,"&lt;&gt;Bỏ qua"))</f>
        <v/>
      </c>
      <c r="N246" s="13">
        <f>IF(A246="","",COUNTIFS('Giao việc'!$M$5:$M$3004,A246,'Giao việc'!$I$5:$I$3004,"Xong"))</f>
        <v/>
      </c>
      <c r="O246" s="13">
        <f>IF(A246="","",COUNTIFS('Giao việc'!$M$5:$M$3004,A246,'Giao việc'!$L$5:$L$3004,"*QUÁ HẠN*"))</f>
        <v/>
      </c>
      <c r="P246" s="13">
        <f>IF(A246="","",COUNTIFS('Giao việc'!$M$5:$M$3004,A246,'Giao việc'!$L$5:$L$3004,"CHƯA GIAO*"))</f>
        <v/>
      </c>
      <c r="Q246" s="14">
        <f>IF(OR(A246="",N(M246)=0),"",N246/M246)</f>
        <v/>
      </c>
      <c r="R246" s="15">
        <f>IF(Q246="","",REPT("█",ROUND(Q246*10,0))&amp;REPT("░",10-ROUND(Q246*10,0)))</f>
        <v/>
      </c>
      <c r="S246" s="13">
        <f>IF(C246="","Chưa có ngày",IF(C246&gt;TODAY(),"Còn "&amp;(C246-TODAY())&amp;" ngày",IF(IF(D246="",C246,D246)&gt;=TODAY(),"Đang diễn ra","Đã qua "&amp;(TODAY()-IF(D246="",C246,D246))&amp;" ngày")))</f>
        <v/>
      </c>
      <c r="T246" s="13">
        <f>IF(AND(A246&lt;&gt;"",L246="Có",ISNUMBER(C246)),IF(IF(D246="",C246,D246)&gt;=TODAY()-35,C246+ROW()/100000,""),"")</f>
        <v/>
      </c>
    </row>
    <row r="247">
      <c r="A247" s="25" t="n"/>
      <c r="B247" s="11" t="n"/>
      <c r="C247" s="12" t="n"/>
      <c r="D247" s="12" t="n"/>
      <c r="E247" s="13" t="n"/>
      <c r="F247" s="13" t="n"/>
      <c r="G247" s="13" t="n"/>
      <c r="H247" s="13" t="n"/>
      <c r="I247" s="25" t="n"/>
      <c r="J247" s="25" t="n"/>
      <c r="K247" s="26" t="n"/>
      <c r="L247" s="26" t="n"/>
      <c r="M247" s="13">
        <f>IF(A247="","",COUNTIFS('Giao việc'!$M$5:$M$3004,A247,'Giao việc'!$I$5:$I$3004,"&lt;&gt;Bỏ qua"))</f>
        <v/>
      </c>
      <c r="N247" s="13">
        <f>IF(A247="","",COUNTIFS('Giao việc'!$M$5:$M$3004,A247,'Giao việc'!$I$5:$I$3004,"Xong"))</f>
        <v/>
      </c>
      <c r="O247" s="13">
        <f>IF(A247="","",COUNTIFS('Giao việc'!$M$5:$M$3004,A247,'Giao việc'!$L$5:$L$3004,"*QUÁ HẠN*"))</f>
        <v/>
      </c>
      <c r="P247" s="13">
        <f>IF(A247="","",COUNTIFS('Giao việc'!$M$5:$M$3004,A247,'Giao việc'!$L$5:$L$3004,"CHƯA GIAO*"))</f>
        <v/>
      </c>
      <c r="Q247" s="14">
        <f>IF(OR(A247="",N(M247)=0),"",N247/M247)</f>
        <v/>
      </c>
      <c r="R247" s="15">
        <f>IF(Q247="","",REPT("█",ROUND(Q247*10,0))&amp;REPT("░",10-ROUND(Q247*10,0)))</f>
        <v/>
      </c>
      <c r="S247" s="13">
        <f>IF(C247="","Chưa có ngày",IF(C247&gt;TODAY(),"Còn "&amp;(C247-TODAY())&amp;" ngày",IF(IF(D247="",C247,D247)&gt;=TODAY(),"Đang diễn ra","Đã qua "&amp;(TODAY()-IF(D247="",C247,D247))&amp;" ngày")))</f>
        <v/>
      </c>
      <c r="T247" s="13">
        <f>IF(AND(A247&lt;&gt;"",L247="Có",ISNUMBER(C247)),IF(IF(D247="",C247,D247)&gt;=TODAY()-35,C247+ROW()/100000,""),"")</f>
        <v/>
      </c>
    </row>
    <row r="248">
      <c r="A248" s="25" t="n"/>
      <c r="B248" s="11" t="n"/>
      <c r="C248" s="12" t="n"/>
      <c r="D248" s="12" t="n"/>
      <c r="E248" s="13" t="n"/>
      <c r="F248" s="13" t="n"/>
      <c r="G248" s="13" t="n"/>
      <c r="H248" s="13" t="n"/>
      <c r="I248" s="25" t="n"/>
      <c r="J248" s="25" t="n"/>
      <c r="K248" s="26" t="n"/>
      <c r="L248" s="26" t="n"/>
      <c r="M248" s="13">
        <f>IF(A248="","",COUNTIFS('Giao việc'!$M$5:$M$3004,A248,'Giao việc'!$I$5:$I$3004,"&lt;&gt;Bỏ qua"))</f>
        <v/>
      </c>
      <c r="N248" s="13">
        <f>IF(A248="","",COUNTIFS('Giao việc'!$M$5:$M$3004,A248,'Giao việc'!$I$5:$I$3004,"Xong"))</f>
        <v/>
      </c>
      <c r="O248" s="13">
        <f>IF(A248="","",COUNTIFS('Giao việc'!$M$5:$M$3004,A248,'Giao việc'!$L$5:$L$3004,"*QUÁ HẠN*"))</f>
        <v/>
      </c>
      <c r="P248" s="13">
        <f>IF(A248="","",COUNTIFS('Giao việc'!$M$5:$M$3004,A248,'Giao việc'!$L$5:$L$3004,"CHƯA GIAO*"))</f>
        <v/>
      </c>
      <c r="Q248" s="14">
        <f>IF(OR(A248="",N(M248)=0),"",N248/M248)</f>
        <v/>
      </c>
      <c r="R248" s="15">
        <f>IF(Q248="","",REPT("█",ROUND(Q248*10,0))&amp;REPT("░",10-ROUND(Q248*10,0)))</f>
        <v/>
      </c>
      <c r="S248" s="13">
        <f>IF(C248="","Chưa có ngày",IF(C248&gt;TODAY(),"Còn "&amp;(C248-TODAY())&amp;" ngày",IF(IF(D248="",C248,D248)&gt;=TODAY(),"Đang diễn ra","Đã qua "&amp;(TODAY()-IF(D248="",C248,D248))&amp;" ngày")))</f>
        <v/>
      </c>
      <c r="T248" s="13">
        <f>IF(AND(A248&lt;&gt;"",L248="Có",ISNUMBER(C248)),IF(IF(D248="",C248,D248)&gt;=TODAY()-35,C248+ROW()/100000,""),"")</f>
        <v/>
      </c>
    </row>
    <row r="249">
      <c r="A249" s="25" t="n"/>
      <c r="B249" s="11" t="n"/>
      <c r="C249" s="12" t="n"/>
      <c r="D249" s="12" t="n"/>
      <c r="E249" s="13" t="n"/>
      <c r="F249" s="13" t="n"/>
      <c r="G249" s="13" t="n"/>
      <c r="H249" s="13" t="n"/>
      <c r="I249" s="25" t="n"/>
      <c r="J249" s="25" t="n"/>
      <c r="K249" s="26" t="n"/>
      <c r="L249" s="26" t="n"/>
      <c r="M249" s="13">
        <f>IF(A249="","",COUNTIFS('Giao việc'!$M$5:$M$3004,A249,'Giao việc'!$I$5:$I$3004,"&lt;&gt;Bỏ qua"))</f>
        <v/>
      </c>
      <c r="N249" s="13">
        <f>IF(A249="","",COUNTIFS('Giao việc'!$M$5:$M$3004,A249,'Giao việc'!$I$5:$I$3004,"Xong"))</f>
        <v/>
      </c>
      <c r="O249" s="13">
        <f>IF(A249="","",COUNTIFS('Giao việc'!$M$5:$M$3004,A249,'Giao việc'!$L$5:$L$3004,"*QUÁ HẠN*"))</f>
        <v/>
      </c>
      <c r="P249" s="13">
        <f>IF(A249="","",COUNTIFS('Giao việc'!$M$5:$M$3004,A249,'Giao việc'!$L$5:$L$3004,"CHƯA GIAO*"))</f>
        <v/>
      </c>
      <c r="Q249" s="14">
        <f>IF(OR(A249="",N(M249)=0),"",N249/M249)</f>
        <v/>
      </c>
      <c r="R249" s="15">
        <f>IF(Q249="","",REPT("█",ROUND(Q249*10,0))&amp;REPT("░",10-ROUND(Q249*10,0)))</f>
        <v/>
      </c>
      <c r="S249" s="13">
        <f>IF(C249="","Chưa có ngày",IF(C249&gt;TODAY(),"Còn "&amp;(C249-TODAY())&amp;" ngày",IF(IF(D249="",C249,D249)&gt;=TODAY(),"Đang diễn ra","Đã qua "&amp;(TODAY()-IF(D249="",C249,D249))&amp;" ngày")))</f>
        <v/>
      </c>
      <c r="T249" s="13">
        <f>IF(AND(A249&lt;&gt;"",L249="Có",ISNUMBER(C249)),IF(IF(D249="",C249,D249)&gt;=TODAY()-35,C249+ROW()/100000,""),"")</f>
        <v/>
      </c>
    </row>
    <row r="250">
      <c r="A250" s="25" t="n"/>
      <c r="B250" s="11" t="n"/>
      <c r="C250" s="12" t="n"/>
      <c r="D250" s="12" t="n"/>
      <c r="E250" s="13" t="n"/>
      <c r="F250" s="13" t="n"/>
      <c r="G250" s="13" t="n"/>
      <c r="H250" s="13" t="n"/>
      <c r="I250" s="25" t="n"/>
      <c r="J250" s="25" t="n"/>
      <c r="K250" s="26" t="n"/>
      <c r="L250" s="26" t="n"/>
      <c r="M250" s="13">
        <f>IF(A250="","",COUNTIFS('Giao việc'!$M$5:$M$3004,A250,'Giao việc'!$I$5:$I$3004,"&lt;&gt;Bỏ qua"))</f>
        <v/>
      </c>
      <c r="N250" s="13">
        <f>IF(A250="","",COUNTIFS('Giao việc'!$M$5:$M$3004,A250,'Giao việc'!$I$5:$I$3004,"Xong"))</f>
        <v/>
      </c>
      <c r="O250" s="13">
        <f>IF(A250="","",COUNTIFS('Giao việc'!$M$5:$M$3004,A250,'Giao việc'!$L$5:$L$3004,"*QUÁ HẠN*"))</f>
        <v/>
      </c>
      <c r="P250" s="13">
        <f>IF(A250="","",COUNTIFS('Giao việc'!$M$5:$M$3004,A250,'Giao việc'!$L$5:$L$3004,"CHƯA GIAO*"))</f>
        <v/>
      </c>
      <c r="Q250" s="14">
        <f>IF(OR(A250="",N(M250)=0),"",N250/M250)</f>
        <v/>
      </c>
      <c r="R250" s="15">
        <f>IF(Q250="","",REPT("█",ROUND(Q250*10,0))&amp;REPT("░",10-ROUND(Q250*10,0)))</f>
        <v/>
      </c>
      <c r="S250" s="13">
        <f>IF(C250="","Chưa có ngày",IF(C250&gt;TODAY(),"Còn "&amp;(C250-TODAY())&amp;" ngày",IF(IF(D250="",C250,D250)&gt;=TODAY(),"Đang diễn ra","Đã qua "&amp;(TODAY()-IF(D250="",C250,D250))&amp;" ngày")))</f>
        <v/>
      </c>
      <c r="T250" s="13">
        <f>IF(AND(A250&lt;&gt;"",L250="Có",ISNUMBER(C250)),IF(IF(D250="",C250,D250)&gt;=TODAY()-35,C250+ROW()/100000,""),"")</f>
        <v/>
      </c>
    </row>
    <row r="251">
      <c r="A251" s="25" t="n"/>
      <c r="B251" s="11" t="n"/>
      <c r="C251" s="12" t="n"/>
      <c r="D251" s="12" t="n"/>
      <c r="E251" s="13" t="n"/>
      <c r="F251" s="13" t="n"/>
      <c r="G251" s="13" t="n"/>
      <c r="H251" s="13" t="n"/>
      <c r="I251" s="25" t="n"/>
      <c r="J251" s="25" t="n"/>
      <c r="K251" s="26" t="n"/>
      <c r="L251" s="26" t="n"/>
      <c r="M251" s="13">
        <f>IF(A251="","",COUNTIFS('Giao việc'!$M$5:$M$3004,A251,'Giao việc'!$I$5:$I$3004,"&lt;&gt;Bỏ qua"))</f>
        <v/>
      </c>
      <c r="N251" s="13">
        <f>IF(A251="","",COUNTIFS('Giao việc'!$M$5:$M$3004,A251,'Giao việc'!$I$5:$I$3004,"Xong"))</f>
        <v/>
      </c>
      <c r="O251" s="13">
        <f>IF(A251="","",COUNTIFS('Giao việc'!$M$5:$M$3004,A251,'Giao việc'!$L$5:$L$3004,"*QUÁ HẠN*"))</f>
        <v/>
      </c>
      <c r="P251" s="13">
        <f>IF(A251="","",COUNTIFS('Giao việc'!$M$5:$M$3004,A251,'Giao việc'!$L$5:$L$3004,"CHƯA GIAO*"))</f>
        <v/>
      </c>
      <c r="Q251" s="14">
        <f>IF(OR(A251="",N(M251)=0),"",N251/M251)</f>
        <v/>
      </c>
      <c r="R251" s="15">
        <f>IF(Q251="","",REPT("█",ROUND(Q251*10,0))&amp;REPT("░",10-ROUND(Q251*10,0)))</f>
        <v/>
      </c>
      <c r="S251" s="13">
        <f>IF(C251="","Chưa có ngày",IF(C251&gt;TODAY(),"Còn "&amp;(C251-TODAY())&amp;" ngày",IF(IF(D251="",C251,D251)&gt;=TODAY(),"Đang diễn ra","Đã qua "&amp;(TODAY()-IF(D251="",C251,D251))&amp;" ngày")))</f>
        <v/>
      </c>
      <c r="T251" s="13">
        <f>IF(AND(A251&lt;&gt;"",L251="Có",ISNUMBER(C251)),IF(IF(D251="",C251,D251)&gt;=TODAY()-35,C251+ROW()/100000,""),"")</f>
        <v/>
      </c>
    </row>
    <row r="252">
      <c r="A252" s="25" t="n"/>
      <c r="B252" s="11" t="n"/>
      <c r="C252" s="12" t="n"/>
      <c r="D252" s="12" t="n"/>
      <c r="E252" s="13" t="n"/>
      <c r="F252" s="13" t="n"/>
      <c r="G252" s="13" t="n"/>
      <c r="H252" s="13" t="n"/>
      <c r="I252" s="25" t="n"/>
      <c r="J252" s="25" t="n"/>
      <c r="K252" s="26" t="n"/>
      <c r="L252" s="26" t="n"/>
      <c r="M252" s="13">
        <f>IF(A252="","",COUNTIFS('Giao việc'!$M$5:$M$3004,A252,'Giao việc'!$I$5:$I$3004,"&lt;&gt;Bỏ qua"))</f>
        <v/>
      </c>
      <c r="N252" s="13">
        <f>IF(A252="","",COUNTIFS('Giao việc'!$M$5:$M$3004,A252,'Giao việc'!$I$5:$I$3004,"Xong"))</f>
        <v/>
      </c>
      <c r="O252" s="13">
        <f>IF(A252="","",COUNTIFS('Giao việc'!$M$5:$M$3004,A252,'Giao việc'!$L$5:$L$3004,"*QUÁ HẠN*"))</f>
        <v/>
      </c>
      <c r="P252" s="13">
        <f>IF(A252="","",COUNTIFS('Giao việc'!$M$5:$M$3004,A252,'Giao việc'!$L$5:$L$3004,"CHƯA GIAO*"))</f>
        <v/>
      </c>
      <c r="Q252" s="14">
        <f>IF(OR(A252="",N(M252)=0),"",N252/M252)</f>
        <v/>
      </c>
      <c r="R252" s="15">
        <f>IF(Q252="","",REPT("█",ROUND(Q252*10,0))&amp;REPT("░",10-ROUND(Q252*10,0)))</f>
        <v/>
      </c>
      <c r="S252" s="13">
        <f>IF(C252="","Chưa có ngày",IF(C252&gt;TODAY(),"Còn "&amp;(C252-TODAY())&amp;" ngày",IF(IF(D252="",C252,D252)&gt;=TODAY(),"Đang diễn ra","Đã qua "&amp;(TODAY()-IF(D252="",C252,D252))&amp;" ngày")))</f>
        <v/>
      </c>
      <c r="T252" s="13">
        <f>IF(AND(A252&lt;&gt;"",L252="Có",ISNUMBER(C252)),IF(IF(D252="",C252,D252)&gt;=TODAY()-35,C252+ROW()/100000,""),"")</f>
        <v/>
      </c>
    </row>
    <row r="253">
      <c r="A253" s="25" t="n"/>
      <c r="B253" s="11" t="n"/>
      <c r="C253" s="12" t="n"/>
      <c r="D253" s="12" t="n"/>
      <c r="E253" s="13" t="n"/>
      <c r="F253" s="13" t="n"/>
      <c r="G253" s="13" t="n"/>
      <c r="H253" s="13" t="n"/>
      <c r="I253" s="25" t="n"/>
      <c r="J253" s="25" t="n"/>
      <c r="K253" s="26" t="n"/>
      <c r="L253" s="26" t="n"/>
      <c r="M253" s="13">
        <f>IF(A253="","",COUNTIFS('Giao việc'!$M$5:$M$3004,A253,'Giao việc'!$I$5:$I$3004,"&lt;&gt;Bỏ qua"))</f>
        <v/>
      </c>
      <c r="N253" s="13">
        <f>IF(A253="","",COUNTIFS('Giao việc'!$M$5:$M$3004,A253,'Giao việc'!$I$5:$I$3004,"Xong"))</f>
        <v/>
      </c>
      <c r="O253" s="13">
        <f>IF(A253="","",COUNTIFS('Giao việc'!$M$5:$M$3004,A253,'Giao việc'!$L$5:$L$3004,"*QUÁ HẠN*"))</f>
        <v/>
      </c>
      <c r="P253" s="13">
        <f>IF(A253="","",COUNTIFS('Giao việc'!$M$5:$M$3004,A253,'Giao việc'!$L$5:$L$3004,"CHƯA GIAO*"))</f>
        <v/>
      </c>
      <c r="Q253" s="14">
        <f>IF(OR(A253="",N(M253)=0),"",N253/M253)</f>
        <v/>
      </c>
      <c r="R253" s="15">
        <f>IF(Q253="","",REPT("█",ROUND(Q253*10,0))&amp;REPT("░",10-ROUND(Q253*10,0)))</f>
        <v/>
      </c>
      <c r="S253" s="13">
        <f>IF(C253="","Chưa có ngày",IF(C253&gt;TODAY(),"Còn "&amp;(C253-TODAY())&amp;" ngày",IF(IF(D253="",C253,D253)&gt;=TODAY(),"Đang diễn ra","Đã qua "&amp;(TODAY()-IF(D253="",C253,D253))&amp;" ngày")))</f>
        <v/>
      </c>
      <c r="T253" s="13">
        <f>IF(AND(A253&lt;&gt;"",L253="Có",ISNUMBER(C253)),IF(IF(D253="",C253,D253)&gt;=TODAY()-35,C253+ROW()/100000,""),"")</f>
        <v/>
      </c>
    </row>
    <row r="254">
      <c r="A254" s="25" t="n"/>
      <c r="B254" s="11" t="n"/>
      <c r="C254" s="12" t="n"/>
      <c r="D254" s="12" t="n"/>
      <c r="E254" s="13" t="n"/>
      <c r="F254" s="13" t="n"/>
      <c r="G254" s="13" t="n"/>
      <c r="H254" s="13" t="n"/>
      <c r="I254" s="25" t="n"/>
      <c r="J254" s="25" t="n"/>
      <c r="K254" s="26" t="n"/>
      <c r="L254" s="26" t="n"/>
      <c r="M254" s="13">
        <f>IF(A254="","",COUNTIFS('Giao việc'!$M$5:$M$3004,A254,'Giao việc'!$I$5:$I$3004,"&lt;&gt;Bỏ qua"))</f>
        <v/>
      </c>
      <c r="N254" s="13">
        <f>IF(A254="","",COUNTIFS('Giao việc'!$M$5:$M$3004,A254,'Giao việc'!$I$5:$I$3004,"Xong"))</f>
        <v/>
      </c>
      <c r="O254" s="13">
        <f>IF(A254="","",COUNTIFS('Giao việc'!$M$5:$M$3004,A254,'Giao việc'!$L$5:$L$3004,"*QUÁ HẠN*"))</f>
        <v/>
      </c>
      <c r="P254" s="13">
        <f>IF(A254="","",COUNTIFS('Giao việc'!$M$5:$M$3004,A254,'Giao việc'!$L$5:$L$3004,"CHƯA GIAO*"))</f>
        <v/>
      </c>
      <c r="Q254" s="14">
        <f>IF(OR(A254="",N(M254)=0),"",N254/M254)</f>
        <v/>
      </c>
      <c r="R254" s="15">
        <f>IF(Q254="","",REPT("█",ROUND(Q254*10,0))&amp;REPT("░",10-ROUND(Q254*10,0)))</f>
        <v/>
      </c>
      <c r="S254" s="13">
        <f>IF(C254="","Chưa có ngày",IF(C254&gt;TODAY(),"Còn "&amp;(C254-TODAY())&amp;" ngày",IF(IF(D254="",C254,D254)&gt;=TODAY(),"Đang diễn ra","Đã qua "&amp;(TODAY()-IF(D254="",C254,D254))&amp;" ngày")))</f>
        <v/>
      </c>
      <c r="T254" s="13">
        <f>IF(AND(A254&lt;&gt;"",L254="Có",ISNUMBER(C254)),IF(IF(D254="",C254,D254)&gt;=TODAY()-35,C254+ROW()/100000,""),"")</f>
        <v/>
      </c>
    </row>
    <row r="255">
      <c r="A255" s="25" t="n"/>
      <c r="B255" s="11" t="n"/>
      <c r="C255" s="12" t="n"/>
      <c r="D255" s="12" t="n"/>
      <c r="E255" s="13" t="n"/>
      <c r="F255" s="13" t="n"/>
      <c r="G255" s="13" t="n"/>
      <c r="H255" s="13" t="n"/>
      <c r="I255" s="25" t="n"/>
      <c r="J255" s="25" t="n"/>
      <c r="K255" s="26" t="n"/>
      <c r="L255" s="26" t="n"/>
      <c r="M255" s="13">
        <f>IF(A255="","",COUNTIFS('Giao việc'!$M$5:$M$3004,A255,'Giao việc'!$I$5:$I$3004,"&lt;&gt;Bỏ qua"))</f>
        <v/>
      </c>
      <c r="N255" s="13">
        <f>IF(A255="","",COUNTIFS('Giao việc'!$M$5:$M$3004,A255,'Giao việc'!$I$5:$I$3004,"Xong"))</f>
        <v/>
      </c>
      <c r="O255" s="13">
        <f>IF(A255="","",COUNTIFS('Giao việc'!$M$5:$M$3004,A255,'Giao việc'!$L$5:$L$3004,"*QUÁ HẠN*"))</f>
        <v/>
      </c>
      <c r="P255" s="13">
        <f>IF(A255="","",COUNTIFS('Giao việc'!$M$5:$M$3004,A255,'Giao việc'!$L$5:$L$3004,"CHƯA GIAO*"))</f>
        <v/>
      </c>
      <c r="Q255" s="14">
        <f>IF(OR(A255="",N(M255)=0),"",N255/M255)</f>
        <v/>
      </c>
      <c r="R255" s="15">
        <f>IF(Q255="","",REPT("█",ROUND(Q255*10,0))&amp;REPT("░",10-ROUND(Q255*10,0)))</f>
        <v/>
      </c>
      <c r="S255" s="13">
        <f>IF(C255="","Chưa có ngày",IF(C255&gt;TODAY(),"Còn "&amp;(C255-TODAY())&amp;" ngày",IF(IF(D255="",C255,D255)&gt;=TODAY(),"Đang diễn ra","Đã qua "&amp;(TODAY()-IF(D255="",C255,D255))&amp;" ngày")))</f>
        <v/>
      </c>
      <c r="T255" s="13">
        <f>IF(AND(A255&lt;&gt;"",L255="Có",ISNUMBER(C255)),IF(IF(D255="",C255,D255)&gt;=TODAY()-35,C255+ROW()/100000,""),"")</f>
        <v/>
      </c>
    </row>
    <row r="256">
      <c r="A256" s="25" t="n"/>
      <c r="B256" s="11" t="n"/>
      <c r="C256" s="12" t="n"/>
      <c r="D256" s="12" t="n"/>
      <c r="E256" s="13" t="n"/>
      <c r="F256" s="13" t="n"/>
      <c r="G256" s="13" t="n"/>
      <c r="H256" s="13" t="n"/>
      <c r="I256" s="25" t="n"/>
      <c r="J256" s="25" t="n"/>
      <c r="K256" s="26" t="n"/>
      <c r="L256" s="26" t="n"/>
      <c r="M256" s="13">
        <f>IF(A256="","",COUNTIFS('Giao việc'!$M$5:$M$3004,A256,'Giao việc'!$I$5:$I$3004,"&lt;&gt;Bỏ qua"))</f>
        <v/>
      </c>
      <c r="N256" s="13">
        <f>IF(A256="","",COUNTIFS('Giao việc'!$M$5:$M$3004,A256,'Giao việc'!$I$5:$I$3004,"Xong"))</f>
        <v/>
      </c>
      <c r="O256" s="13">
        <f>IF(A256="","",COUNTIFS('Giao việc'!$M$5:$M$3004,A256,'Giao việc'!$L$5:$L$3004,"*QUÁ HẠN*"))</f>
        <v/>
      </c>
      <c r="P256" s="13">
        <f>IF(A256="","",COUNTIFS('Giao việc'!$M$5:$M$3004,A256,'Giao việc'!$L$5:$L$3004,"CHƯA GIAO*"))</f>
        <v/>
      </c>
      <c r="Q256" s="14">
        <f>IF(OR(A256="",N(M256)=0),"",N256/M256)</f>
        <v/>
      </c>
      <c r="R256" s="15">
        <f>IF(Q256="","",REPT("█",ROUND(Q256*10,0))&amp;REPT("░",10-ROUND(Q256*10,0)))</f>
        <v/>
      </c>
      <c r="S256" s="13">
        <f>IF(C256="","Chưa có ngày",IF(C256&gt;TODAY(),"Còn "&amp;(C256-TODAY())&amp;" ngày",IF(IF(D256="",C256,D256)&gt;=TODAY(),"Đang diễn ra","Đã qua "&amp;(TODAY()-IF(D256="",C256,D256))&amp;" ngày")))</f>
        <v/>
      </c>
      <c r="T256" s="13">
        <f>IF(AND(A256&lt;&gt;"",L256="Có",ISNUMBER(C256)),IF(IF(D256="",C256,D256)&gt;=TODAY()-35,C256+ROW()/100000,""),"")</f>
        <v/>
      </c>
    </row>
    <row r="257">
      <c r="A257" s="25" t="n"/>
      <c r="B257" s="11" t="n"/>
      <c r="C257" s="12" t="n"/>
      <c r="D257" s="12" t="n"/>
      <c r="E257" s="13" t="n"/>
      <c r="F257" s="13" t="n"/>
      <c r="G257" s="13" t="n"/>
      <c r="H257" s="13" t="n"/>
      <c r="I257" s="25" t="n"/>
      <c r="J257" s="25" t="n"/>
      <c r="K257" s="26" t="n"/>
      <c r="L257" s="26" t="n"/>
      <c r="M257" s="13">
        <f>IF(A257="","",COUNTIFS('Giao việc'!$M$5:$M$3004,A257,'Giao việc'!$I$5:$I$3004,"&lt;&gt;Bỏ qua"))</f>
        <v/>
      </c>
      <c r="N257" s="13">
        <f>IF(A257="","",COUNTIFS('Giao việc'!$M$5:$M$3004,A257,'Giao việc'!$I$5:$I$3004,"Xong"))</f>
        <v/>
      </c>
      <c r="O257" s="13">
        <f>IF(A257="","",COUNTIFS('Giao việc'!$M$5:$M$3004,A257,'Giao việc'!$L$5:$L$3004,"*QUÁ HẠN*"))</f>
        <v/>
      </c>
      <c r="P257" s="13">
        <f>IF(A257="","",COUNTIFS('Giao việc'!$M$5:$M$3004,A257,'Giao việc'!$L$5:$L$3004,"CHƯA GIAO*"))</f>
        <v/>
      </c>
      <c r="Q257" s="14">
        <f>IF(OR(A257="",N(M257)=0),"",N257/M257)</f>
        <v/>
      </c>
      <c r="R257" s="15">
        <f>IF(Q257="","",REPT("█",ROUND(Q257*10,0))&amp;REPT("░",10-ROUND(Q257*10,0)))</f>
        <v/>
      </c>
      <c r="S257" s="13">
        <f>IF(C257="","Chưa có ngày",IF(C257&gt;TODAY(),"Còn "&amp;(C257-TODAY())&amp;" ngày",IF(IF(D257="",C257,D257)&gt;=TODAY(),"Đang diễn ra","Đã qua "&amp;(TODAY()-IF(D257="",C257,D257))&amp;" ngày")))</f>
        <v/>
      </c>
      <c r="T257" s="13">
        <f>IF(AND(A257&lt;&gt;"",L257="Có",ISNUMBER(C257)),IF(IF(D257="",C257,D257)&gt;=TODAY()-35,C257+ROW()/100000,""),"")</f>
        <v/>
      </c>
    </row>
    <row r="258">
      <c r="A258" s="25" t="n"/>
      <c r="B258" s="11" t="n"/>
      <c r="C258" s="12" t="n"/>
      <c r="D258" s="12" t="n"/>
      <c r="E258" s="13" t="n"/>
      <c r="F258" s="13" t="n"/>
      <c r="G258" s="13" t="n"/>
      <c r="H258" s="13" t="n"/>
      <c r="I258" s="25" t="n"/>
      <c r="J258" s="25" t="n"/>
      <c r="K258" s="26" t="n"/>
      <c r="L258" s="26" t="n"/>
      <c r="M258" s="13">
        <f>IF(A258="","",COUNTIFS('Giao việc'!$M$5:$M$3004,A258,'Giao việc'!$I$5:$I$3004,"&lt;&gt;Bỏ qua"))</f>
        <v/>
      </c>
      <c r="N258" s="13">
        <f>IF(A258="","",COUNTIFS('Giao việc'!$M$5:$M$3004,A258,'Giao việc'!$I$5:$I$3004,"Xong"))</f>
        <v/>
      </c>
      <c r="O258" s="13">
        <f>IF(A258="","",COUNTIFS('Giao việc'!$M$5:$M$3004,A258,'Giao việc'!$L$5:$L$3004,"*QUÁ HẠN*"))</f>
        <v/>
      </c>
      <c r="P258" s="13">
        <f>IF(A258="","",COUNTIFS('Giao việc'!$M$5:$M$3004,A258,'Giao việc'!$L$5:$L$3004,"CHƯA GIAO*"))</f>
        <v/>
      </c>
      <c r="Q258" s="14">
        <f>IF(OR(A258="",N(M258)=0),"",N258/M258)</f>
        <v/>
      </c>
      <c r="R258" s="15">
        <f>IF(Q258="","",REPT("█",ROUND(Q258*10,0))&amp;REPT("░",10-ROUND(Q258*10,0)))</f>
        <v/>
      </c>
      <c r="S258" s="13">
        <f>IF(C258="","Chưa có ngày",IF(C258&gt;TODAY(),"Còn "&amp;(C258-TODAY())&amp;" ngày",IF(IF(D258="",C258,D258)&gt;=TODAY(),"Đang diễn ra","Đã qua "&amp;(TODAY()-IF(D258="",C258,D258))&amp;" ngày")))</f>
        <v/>
      </c>
      <c r="T258" s="13">
        <f>IF(AND(A258&lt;&gt;"",L258="Có",ISNUMBER(C258)),IF(IF(D258="",C258,D258)&gt;=TODAY()-35,C258+ROW()/100000,""),"")</f>
        <v/>
      </c>
    </row>
    <row r="259">
      <c r="A259" s="25" t="n"/>
      <c r="B259" s="11" t="n"/>
      <c r="C259" s="12" t="n"/>
      <c r="D259" s="12" t="n"/>
      <c r="E259" s="13" t="n"/>
      <c r="F259" s="13" t="n"/>
      <c r="G259" s="13" t="n"/>
      <c r="H259" s="13" t="n"/>
      <c r="I259" s="25" t="n"/>
      <c r="J259" s="25" t="n"/>
      <c r="K259" s="26" t="n"/>
      <c r="L259" s="26" t="n"/>
      <c r="M259" s="13">
        <f>IF(A259="","",COUNTIFS('Giao việc'!$M$5:$M$3004,A259,'Giao việc'!$I$5:$I$3004,"&lt;&gt;Bỏ qua"))</f>
        <v/>
      </c>
      <c r="N259" s="13">
        <f>IF(A259="","",COUNTIFS('Giao việc'!$M$5:$M$3004,A259,'Giao việc'!$I$5:$I$3004,"Xong"))</f>
        <v/>
      </c>
      <c r="O259" s="13">
        <f>IF(A259="","",COUNTIFS('Giao việc'!$M$5:$M$3004,A259,'Giao việc'!$L$5:$L$3004,"*QUÁ HẠN*"))</f>
        <v/>
      </c>
      <c r="P259" s="13">
        <f>IF(A259="","",COUNTIFS('Giao việc'!$M$5:$M$3004,A259,'Giao việc'!$L$5:$L$3004,"CHƯA GIAO*"))</f>
        <v/>
      </c>
      <c r="Q259" s="14">
        <f>IF(OR(A259="",N(M259)=0),"",N259/M259)</f>
        <v/>
      </c>
      <c r="R259" s="15">
        <f>IF(Q259="","",REPT("█",ROUND(Q259*10,0))&amp;REPT("░",10-ROUND(Q259*10,0)))</f>
        <v/>
      </c>
      <c r="S259" s="13">
        <f>IF(C259="","Chưa có ngày",IF(C259&gt;TODAY(),"Còn "&amp;(C259-TODAY())&amp;" ngày",IF(IF(D259="",C259,D259)&gt;=TODAY(),"Đang diễn ra","Đã qua "&amp;(TODAY()-IF(D259="",C259,D259))&amp;" ngày")))</f>
        <v/>
      </c>
      <c r="T259" s="13">
        <f>IF(AND(A259&lt;&gt;"",L259="Có",ISNUMBER(C259)),IF(IF(D259="",C259,D259)&gt;=TODAY()-35,C259+ROW()/100000,""),"")</f>
        <v/>
      </c>
    </row>
    <row r="260">
      <c r="A260" s="25" t="n"/>
      <c r="B260" s="11" t="n"/>
      <c r="C260" s="12" t="n"/>
      <c r="D260" s="12" t="n"/>
      <c r="E260" s="13" t="n"/>
      <c r="F260" s="13" t="n"/>
      <c r="G260" s="13" t="n"/>
      <c r="H260" s="13" t="n"/>
      <c r="I260" s="25" t="n"/>
      <c r="J260" s="25" t="n"/>
      <c r="K260" s="26" t="n"/>
      <c r="L260" s="26" t="n"/>
      <c r="M260" s="13">
        <f>IF(A260="","",COUNTIFS('Giao việc'!$M$5:$M$3004,A260,'Giao việc'!$I$5:$I$3004,"&lt;&gt;Bỏ qua"))</f>
        <v/>
      </c>
      <c r="N260" s="13">
        <f>IF(A260="","",COUNTIFS('Giao việc'!$M$5:$M$3004,A260,'Giao việc'!$I$5:$I$3004,"Xong"))</f>
        <v/>
      </c>
      <c r="O260" s="13">
        <f>IF(A260="","",COUNTIFS('Giao việc'!$M$5:$M$3004,A260,'Giao việc'!$L$5:$L$3004,"*QUÁ HẠN*"))</f>
        <v/>
      </c>
      <c r="P260" s="13">
        <f>IF(A260="","",COUNTIFS('Giao việc'!$M$5:$M$3004,A260,'Giao việc'!$L$5:$L$3004,"CHƯA GIAO*"))</f>
        <v/>
      </c>
      <c r="Q260" s="14">
        <f>IF(OR(A260="",N(M260)=0),"",N260/M260)</f>
        <v/>
      </c>
      <c r="R260" s="15">
        <f>IF(Q260="","",REPT("█",ROUND(Q260*10,0))&amp;REPT("░",10-ROUND(Q260*10,0)))</f>
        <v/>
      </c>
      <c r="S260" s="13">
        <f>IF(C260="","Chưa có ngày",IF(C260&gt;TODAY(),"Còn "&amp;(C260-TODAY())&amp;" ngày",IF(IF(D260="",C260,D260)&gt;=TODAY(),"Đang diễn ra","Đã qua "&amp;(TODAY()-IF(D260="",C260,D260))&amp;" ngày")))</f>
        <v/>
      </c>
      <c r="T260" s="13">
        <f>IF(AND(A260&lt;&gt;"",L260="Có",ISNUMBER(C260)),IF(IF(D260="",C260,D260)&gt;=TODAY()-35,C260+ROW()/100000,""),"")</f>
        <v/>
      </c>
    </row>
    <row r="261">
      <c r="A261" s="25" t="n"/>
      <c r="B261" s="11" t="n"/>
      <c r="C261" s="12" t="n"/>
      <c r="D261" s="12" t="n"/>
      <c r="E261" s="13" t="n"/>
      <c r="F261" s="13" t="n"/>
      <c r="G261" s="13" t="n"/>
      <c r="H261" s="13" t="n"/>
      <c r="I261" s="25" t="n"/>
      <c r="J261" s="25" t="n"/>
      <c r="K261" s="26" t="n"/>
      <c r="L261" s="26" t="n"/>
      <c r="M261" s="13">
        <f>IF(A261="","",COUNTIFS('Giao việc'!$M$5:$M$3004,A261,'Giao việc'!$I$5:$I$3004,"&lt;&gt;Bỏ qua"))</f>
        <v/>
      </c>
      <c r="N261" s="13">
        <f>IF(A261="","",COUNTIFS('Giao việc'!$M$5:$M$3004,A261,'Giao việc'!$I$5:$I$3004,"Xong"))</f>
        <v/>
      </c>
      <c r="O261" s="13">
        <f>IF(A261="","",COUNTIFS('Giao việc'!$M$5:$M$3004,A261,'Giao việc'!$L$5:$L$3004,"*QUÁ HẠN*"))</f>
        <v/>
      </c>
      <c r="P261" s="13">
        <f>IF(A261="","",COUNTIFS('Giao việc'!$M$5:$M$3004,A261,'Giao việc'!$L$5:$L$3004,"CHƯA GIAO*"))</f>
        <v/>
      </c>
      <c r="Q261" s="14">
        <f>IF(OR(A261="",N(M261)=0),"",N261/M261)</f>
        <v/>
      </c>
      <c r="R261" s="15">
        <f>IF(Q261="","",REPT("█",ROUND(Q261*10,0))&amp;REPT("░",10-ROUND(Q261*10,0)))</f>
        <v/>
      </c>
      <c r="S261" s="13">
        <f>IF(C261="","Chưa có ngày",IF(C261&gt;TODAY(),"Còn "&amp;(C261-TODAY())&amp;" ngày",IF(IF(D261="",C261,D261)&gt;=TODAY(),"Đang diễn ra","Đã qua "&amp;(TODAY()-IF(D261="",C261,D261))&amp;" ngày")))</f>
        <v/>
      </c>
      <c r="T261" s="13">
        <f>IF(AND(A261&lt;&gt;"",L261="Có",ISNUMBER(C261)),IF(IF(D261="",C261,D261)&gt;=TODAY()-35,C261+ROW()/100000,""),"")</f>
        <v/>
      </c>
    </row>
    <row r="262">
      <c r="A262" s="25" t="n"/>
      <c r="B262" s="11" t="n"/>
      <c r="C262" s="12" t="n"/>
      <c r="D262" s="12" t="n"/>
      <c r="E262" s="13" t="n"/>
      <c r="F262" s="13" t="n"/>
      <c r="G262" s="13" t="n"/>
      <c r="H262" s="13" t="n"/>
      <c r="I262" s="25" t="n"/>
      <c r="J262" s="25" t="n"/>
      <c r="K262" s="26" t="n"/>
      <c r="L262" s="26" t="n"/>
      <c r="M262" s="13">
        <f>IF(A262="","",COUNTIFS('Giao việc'!$M$5:$M$3004,A262,'Giao việc'!$I$5:$I$3004,"&lt;&gt;Bỏ qua"))</f>
        <v/>
      </c>
      <c r="N262" s="13">
        <f>IF(A262="","",COUNTIFS('Giao việc'!$M$5:$M$3004,A262,'Giao việc'!$I$5:$I$3004,"Xong"))</f>
        <v/>
      </c>
      <c r="O262" s="13">
        <f>IF(A262="","",COUNTIFS('Giao việc'!$M$5:$M$3004,A262,'Giao việc'!$L$5:$L$3004,"*QUÁ HẠN*"))</f>
        <v/>
      </c>
      <c r="P262" s="13">
        <f>IF(A262="","",COUNTIFS('Giao việc'!$M$5:$M$3004,A262,'Giao việc'!$L$5:$L$3004,"CHƯA GIAO*"))</f>
        <v/>
      </c>
      <c r="Q262" s="14">
        <f>IF(OR(A262="",N(M262)=0),"",N262/M262)</f>
        <v/>
      </c>
      <c r="R262" s="15">
        <f>IF(Q262="","",REPT("█",ROUND(Q262*10,0))&amp;REPT("░",10-ROUND(Q262*10,0)))</f>
        <v/>
      </c>
      <c r="S262" s="13">
        <f>IF(C262="","Chưa có ngày",IF(C262&gt;TODAY(),"Còn "&amp;(C262-TODAY())&amp;" ngày",IF(IF(D262="",C262,D262)&gt;=TODAY(),"Đang diễn ra","Đã qua "&amp;(TODAY()-IF(D262="",C262,D262))&amp;" ngày")))</f>
        <v/>
      </c>
      <c r="T262" s="13">
        <f>IF(AND(A262&lt;&gt;"",L262="Có",ISNUMBER(C262)),IF(IF(D262="",C262,D262)&gt;=TODAY()-35,C262+ROW()/100000,""),"")</f>
        <v/>
      </c>
    </row>
    <row r="263">
      <c r="A263" s="25" t="n"/>
      <c r="B263" s="11" t="n"/>
      <c r="C263" s="12" t="n"/>
      <c r="D263" s="12" t="n"/>
      <c r="E263" s="13" t="n"/>
      <c r="F263" s="13" t="n"/>
      <c r="G263" s="13" t="n"/>
      <c r="H263" s="13" t="n"/>
      <c r="I263" s="25" t="n"/>
      <c r="J263" s="25" t="n"/>
      <c r="K263" s="26" t="n"/>
      <c r="L263" s="26" t="n"/>
      <c r="M263" s="13">
        <f>IF(A263="","",COUNTIFS('Giao việc'!$M$5:$M$3004,A263,'Giao việc'!$I$5:$I$3004,"&lt;&gt;Bỏ qua"))</f>
        <v/>
      </c>
      <c r="N263" s="13">
        <f>IF(A263="","",COUNTIFS('Giao việc'!$M$5:$M$3004,A263,'Giao việc'!$I$5:$I$3004,"Xong"))</f>
        <v/>
      </c>
      <c r="O263" s="13">
        <f>IF(A263="","",COUNTIFS('Giao việc'!$M$5:$M$3004,A263,'Giao việc'!$L$5:$L$3004,"*QUÁ HẠN*"))</f>
        <v/>
      </c>
      <c r="P263" s="13">
        <f>IF(A263="","",COUNTIFS('Giao việc'!$M$5:$M$3004,A263,'Giao việc'!$L$5:$L$3004,"CHƯA GIAO*"))</f>
        <v/>
      </c>
      <c r="Q263" s="14">
        <f>IF(OR(A263="",N(M263)=0),"",N263/M263)</f>
        <v/>
      </c>
      <c r="R263" s="15">
        <f>IF(Q263="","",REPT("█",ROUND(Q263*10,0))&amp;REPT("░",10-ROUND(Q263*10,0)))</f>
        <v/>
      </c>
      <c r="S263" s="13">
        <f>IF(C263="","Chưa có ngày",IF(C263&gt;TODAY(),"Còn "&amp;(C263-TODAY())&amp;" ngày",IF(IF(D263="",C263,D263)&gt;=TODAY(),"Đang diễn ra","Đã qua "&amp;(TODAY()-IF(D263="",C263,D263))&amp;" ngày")))</f>
        <v/>
      </c>
      <c r="T263" s="13">
        <f>IF(AND(A263&lt;&gt;"",L263="Có",ISNUMBER(C263)),IF(IF(D263="",C263,D263)&gt;=TODAY()-35,C263+ROW()/100000,""),"")</f>
        <v/>
      </c>
    </row>
    <row r="264">
      <c r="A264" s="25" t="n"/>
      <c r="B264" s="11" t="n"/>
      <c r="C264" s="12" t="n"/>
      <c r="D264" s="12" t="n"/>
      <c r="E264" s="13" t="n"/>
      <c r="F264" s="13" t="n"/>
      <c r="G264" s="13" t="n"/>
      <c r="H264" s="13" t="n"/>
      <c r="I264" s="25" t="n"/>
      <c r="J264" s="25" t="n"/>
      <c r="K264" s="26" t="n"/>
      <c r="L264" s="26" t="n"/>
      <c r="M264" s="13">
        <f>IF(A264="","",COUNTIFS('Giao việc'!$M$5:$M$3004,A264,'Giao việc'!$I$5:$I$3004,"&lt;&gt;Bỏ qua"))</f>
        <v/>
      </c>
      <c r="N264" s="13">
        <f>IF(A264="","",COUNTIFS('Giao việc'!$M$5:$M$3004,A264,'Giao việc'!$I$5:$I$3004,"Xong"))</f>
        <v/>
      </c>
      <c r="O264" s="13">
        <f>IF(A264="","",COUNTIFS('Giao việc'!$M$5:$M$3004,A264,'Giao việc'!$L$5:$L$3004,"*QUÁ HẠN*"))</f>
        <v/>
      </c>
      <c r="P264" s="13">
        <f>IF(A264="","",COUNTIFS('Giao việc'!$M$5:$M$3004,A264,'Giao việc'!$L$5:$L$3004,"CHƯA GIAO*"))</f>
        <v/>
      </c>
      <c r="Q264" s="14">
        <f>IF(OR(A264="",N(M264)=0),"",N264/M264)</f>
        <v/>
      </c>
      <c r="R264" s="15">
        <f>IF(Q264="","",REPT("█",ROUND(Q264*10,0))&amp;REPT("░",10-ROUND(Q264*10,0)))</f>
        <v/>
      </c>
      <c r="S264" s="13">
        <f>IF(C264="","Chưa có ngày",IF(C264&gt;TODAY(),"Còn "&amp;(C264-TODAY())&amp;" ngày",IF(IF(D264="",C264,D264)&gt;=TODAY(),"Đang diễn ra","Đã qua "&amp;(TODAY()-IF(D264="",C264,D264))&amp;" ngày")))</f>
        <v/>
      </c>
      <c r="T264" s="13">
        <f>IF(AND(A264&lt;&gt;"",L264="Có",ISNUMBER(C264)),IF(IF(D264="",C264,D264)&gt;=TODAY()-35,C264+ROW()/100000,""),"")</f>
        <v/>
      </c>
    </row>
    <row r="265">
      <c r="A265" s="25" t="n"/>
      <c r="B265" s="11" t="n"/>
      <c r="C265" s="12" t="n"/>
      <c r="D265" s="12" t="n"/>
      <c r="E265" s="13" t="n"/>
      <c r="F265" s="13" t="n"/>
      <c r="G265" s="13" t="n"/>
      <c r="H265" s="13" t="n"/>
      <c r="I265" s="25" t="n"/>
      <c r="J265" s="25" t="n"/>
      <c r="K265" s="26" t="n"/>
      <c r="L265" s="26" t="n"/>
      <c r="M265" s="13">
        <f>IF(A265="","",COUNTIFS('Giao việc'!$M$5:$M$3004,A265,'Giao việc'!$I$5:$I$3004,"&lt;&gt;Bỏ qua"))</f>
        <v/>
      </c>
      <c r="N265" s="13">
        <f>IF(A265="","",COUNTIFS('Giao việc'!$M$5:$M$3004,A265,'Giao việc'!$I$5:$I$3004,"Xong"))</f>
        <v/>
      </c>
      <c r="O265" s="13">
        <f>IF(A265="","",COUNTIFS('Giao việc'!$M$5:$M$3004,A265,'Giao việc'!$L$5:$L$3004,"*QUÁ HẠN*"))</f>
        <v/>
      </c>
      <c r="P265" s="13">
        <f>IF(A265="","",COUNTIFS('Giao việc'!$M$5:$M$3004,A265,'Giao việc'!$L$5:$L$3004,"CHƯA GIAO*"))</f>
        <v/>
      </c>
      <c r="Q265" s="14">
        <f>IF(OR(A265="",N(M265)=0),"",N265/M265)</f>
        <v/>
      </c>
      <c r="R265" s="15">
        <f>IF(Q265="","",REPT("█",ROUND(Q265*10,0))&amp;REPT("░",10-ROUND(Q265*10,0)))</f>
        <v/>
      </c>
      <c r="S265" s="13">
        <f>IF(C265="","Chưa có ngày",IF(C265&gt;TODAY(),"Còn "&amp;(C265-TODAY())&amp;" ngày",IF(IF(D265="",C265,D265)&gt;=TODAY(),"Đang diễn ra","Đã qua "&amp;(TODAY()-IF(D265="",C265,D265))&amp;" ngày")))</f>
        <v/>
      </c>
      <c r="T265" s="13">
        <f>IF(AND(A265&lt;&gt;"",L265="Có",ISNUMBER(C265)),IF(IF(D265="",C265,D265)&gt;=TODAY()-35,C265+ROW()/100000,""),"")</f>
        <v/>
      </c>
    </row>
    <row r="266">
      <c r="A266" s="25" t="n"/>
      <c r="B266" s="11" t="n"/>
      <c r="C266" s="12" t="n"/>
      <c r="D266" s="12" t="n"/>
      <c r="E266" s="13" t="n"/>
      <c r="F266" s="13" t="n"/>
      <c r="G266" s="13" t="n"/>
      <c r="H266" s="13" t="n"/>
      <c r="I266" s="25" t="n"/>
      <c r="J266" s="25" t="n"/>
      <c r="K266" s="26" t="n"/>
      <c r="L266" s="26" t="n"/>
      <c r="M266" s="13">
        <f>IF(A266="","",COUNTIFS('Giao việc'!$M$5:$M$3004,A266,'Giao việc'!$I$5:$I$3004,"&lt;&gt;Bỏ qua"))</f>
        <v/>
      </c>
      <c r="N266" s="13">
        <f>IF(A266="","",COUNTIFS('Giao việc'!$M$5:$M$3004,A266,'Giao việc'!$I$5:$I$3004,"Xong"))</f>
        <v/>
      </c>
      <c r="O266" s="13">
        <f>IF(A266="","",COUNTIFS('Giao việc'!$M$5:$M$3004,A266,'Giao việc'!$L$5:$L$3004,"*QUÁ HẠN*"))</f>
        <v/>
      </c>
      <c r="P266" s="13">
        <f>IF(A266="","",COUNTIFS('Giao việc'!$M$5:$M$3004,A266,'Giao việc'!$L$5:$L$3004,"CHƯA GIAO*"))</f>
        <v/>
      </c>
      <c r="Q266" s="14">
        <f>IF(OR(A266="",N(M266)=0),"",N266/M266)</f>
        <v/>
      </c>
      <c r="R266" s="15">
        <f>IF(Q266="","",REPT("█",ROUND(Q266*10,0))&amp;REPT("░",10-ROUND(Q266*10,0)))</f>
        <v/>
      </c>
      <c r="S266" s="13">
        <f>IF(C266="","Chưa có ngày",IF(C266&gt;TODAY(),"Còn "&amp;(C266-TODAY())&amp;" ngày",IF(IF(D266="",C266,D266)&gt;=TODAY(),"Đang diễn ra","Đã qua "&amp;(TODAY()-IF(D266="",C266,D266))&amp;" ngày")))</f>
        <v/>
      </c>
      <c r="T266" s="13">
        <f>IF(AND(A266&lt;&gt;"",L266="Có",ISNUMBER(C266)),IF(IF(D266="",C266,D266)&gt;=TODAY()-35,C266+ROW()/100000,""),"")</f>
        <v/>
      </c>
    </row>
    <row r="267">
      <c r="A267" s="25" t="n"/>
      <c r="B267" s="11" t="n"/>
      <c r="C267" s="12" t="n"/>
      <c r="D267" s="12" t="n"/>
      <c r="E267" s="13" t="n"/>
      <c r="F267" s="13" t="n"/>
      <c r="G267" s="13" t="n"/>
      <c r="H267" s="13" t="n"/>
      <c r="I267" s="25" t="n"/>
      <c r="J267" s="25" t="n"/>
      <c r="K267" s="26" t="n"/>
      <c r="L267" s="26" t="n"/>
      <c r="M267" s="13">
        <f>IF(A267="","",COUNTIFS('Giao việc'!$M$5:$M$3004,A267,'Giao việc'!$I$5:$I$3004,"&lt;&gt;Bỏ qua"))</f>
        <v/>
      </c>
      <c r="N267" s="13">
        <f>IF(A267="","",COUNTIFS('Giao việc'!$M$5:$M$3004,A267,'Giao việc'!$I$5:$I$3004,"Xong"))</f>
        <v/>
      </c>
      <c r="O267" s="13">
        <f>IF(A267="","",COUNTIFS('Giao việc'!$M$5:$M$3004,A267,'Giao việc'!$L$5:$L$3004,"*QUÁ HẠN*"))</f>
        <v/>
      </c>
      <c r="P267" s="13">
        <f>IF(A267="","",COUNTIFS('Giao việc'!$M$5:$M$3004,A267,'Giao việc'!$L$5:$L$3004,"CHƯA GIAO*"))</f>
        <v/>
      </c>
      <c r="Q267" s="14">
        <f>IF(OR(A267="",N(M267)=0),"",N267/M267)</f>
        <v/>
      </c>
      <c r="R267" s="15">
        <f>IF(Q267="","",REPT("█",ROUND(Q267*10,0))&amp;REPT("░",10-ROUND(Q267*10,0)))</f>
        <v/>
      </c>
      <c r="S267" s="13">
        <f>IF(C267="","Chưa có ngày",IF(C267&gt;TODAY(),"Còn "&amp;(C267-TODAY())&amp;" ngày",IF(IF(D267="",C267,D267)&gt;=TODAY(),"Đang diễn ra","Đã qua "&amp;(TODAY()-IF(D267="",C267,D267))&amp;" ngày")))</f>
        <v/>
      </c>
      <c r="T267" s="13">
        <f>IF(AND(A267&lt;&gt;"",L267="Có",ISNUMBER(C267)),IF(IF(D267="",C267,D267)&gt;=TODAY()-35,C267+ROW()/100000,""),"")</f>
        <v/>
      </c>
    </row>
    <row r="268">
      <c r="A268" s="25" t="n"/>
      <c r="B268" s="11" t="n"/>
      <c r="C268" s="12" t="n"/>
      <c r="D268" s="12" t="n"/>
      <c r="E268" s="13" t="n"/>
      <c r="F268" s="13" t="n"/>
      <c r="G268" s="13" t="n"/>
      <c r="H268" s="13" t="n"/>
      <c r="I268" s="25" t="n"/>
      <c r="J268" s="25" t="n"/>
      <c r="K268" s="26" t="n"/>
      <c r="L268" s="26" t="n"/>
      <c r="M268" s="13">
        <f>IF(A268="","",COUNTIFS('Giao việc'!$M$5:$M$3004,A268,'Giao việc'!$I$5:$I$3004,"&lt;&gt;Bỏ qua"))</f>
        <v/>
      </c>
      <c r="N268" s="13">
        <f>IF(A268="","",COUNTIFS('Giao việc'!$M$5:$M$3004,A268,'Giao việc'!$I$5:$I$3004,"Xong"))</f>
        <v/>
      </c>
      <c r="O268" s="13">
        <f>IF(A268="","",COUNTIFS('Giao việc'!$M$5:$M$3004,A268,'Giao việc'!$L$5:$L$3004,"*QUÁ HẠN*"))</f>
        <v/>
      </c>
      <c r="P268" s="13">
        <f>IF(A268="","",COUNTIFS('Giao việc'!$M$5:$M$3004,A268,'Giao việc'!$L$5:$L$3004,"CHƯA GIAO*"))</f>
        <v/>
      </c>
      <c r="Q268" s="14">
        <f>IF(OR(A268="",N(M268)=0),"",N268/M268)</f>
        <v/>
      </c>
      <c r="R268" s="15">
        <f>IF(Q268="","",REPT("█",ROUND(Q268*10,0))&amp;REPT("░",10-ROUND(Q268*10,0)))</f>
        <v/>
      </c>
      <c r="S268" s="13">
        <f>IF(C268="","Chưa có ngày",IF(C268&gt;TODAY(),"Còn "&amp;(C268-TODAY())&amp;" ngày",IF(IF(D268="",C268,D268)&gt;=TODAY(),"Đang diễn ra","Đã qua "&amp;(TODAY()-IF(D268="",C268,D268))&amp;" ngày")))</f>
        <v/>
      </c>
      <c r="T268" s="13">
        <f>IF(AND(A268&lt;&gt;"",L268="Có",ISNUMBER(C268)),IF(IF(D268="",C268,D268)&gt;=TODAY()-35,C268+ROW()/100000,""),"")</f>
        <v/>
      </c>
    </row>
    <row r="269">
      <c r="A269" s="25" t="n"/>
      <c r="B269" s="11" t="n"/>
      <c r="C269" s="12" t="n"/>
      <c r="D269" s="12" t="n"/>
      <c r="E269" s="13" t="n"/>
      <c r="F269" s="13" t="n"/>
      <c r="G269" s="13" t="n"/>
      <c r="H269" s="13" t="n"/>
      <c r="I269" s="25" t="n"/>
      <c r="J269" s="25" t="n"/>
      <c r="K269" s="26" t="n"/>
      <c r="L269" s="26" t="n"/>
      <c r="M269" s="13">
        <f>IF(A269="","",COUNTIFS('Giao việc'!$M$5:$M$3004,A269,'Giao việc'!$I$5:$I$3004,"&lt;&gt;Bỏ qua"))</f>
        <v/>
      </c>
      <c r="N269" s="13">
        <f>IF(A269="","",COUNTIFS('Giao việc'!$M$5:$M$3004,A269,'Giao việc'!$I$5:$I$3004,"Xong"))</f>
        <v/>
      </c>
      <c r="O269" s="13">
        <f>IF(A269="","",COUNTIFS('Giao việc'!$M$5:$M$3004,A269,'Giao việc'!$L$5:$L$3004,"*QUÁ HẠN*"))</f>
        <v/>
      </c>
      <c r="P269" s="13">
        <f>IF(A269="","",COUNTIFS('Giao việc'!$M$5:$M$3004,A269,'Giao việc'!$L$5:$L$3004,"CHƯA GIAO*"))</f>
        <v/>
      </c>
      <c r="Q269" s="14">
        <f>IF(OR(A269="",N(M269)=0),"",N269/M269)</f>
        <v/>
      </c>
      <c r="R269" s="15">
        <f>IF(Q269="","",REPT("█",ROUND(Q269*10,0))&amp;REPT("░",10-ROUND(Q269*10,0)))</f>
        <v/>
      </c>
      <c r="S269" s="13">
        <f>IF(C269="","Chưa có ngày",IF(C269&gt;TODAY(),"Còn "&amp;(C269-TODAY())&amp;" ngày",IF(IF(D269="",C269,D269)&gt;=TODAY(),"Đang diễn ra","Đã qua "&amp;(TODAY()-IF(D269="",C269,D269))&amp;" ngày")))</f>
        <v/>
      </c>
      <c r="T269" s="13">
        <f>IF(AND(A269&lt;&gt;"",L269="Có",ISNUMBER(C269)),IF(IF(D269="",C269,D269)&gt;=TODAY()-35,C269+ROW()/100000,""),"")</f>
        <v/>
      </c>
    </row>
    <row r="270">
      <c r="A270" s="25" t="n"/>
      <c r="B270" s="11" t="n"/>
      <c r="C270" s="12" t="n"/>
      <c r="D270" s="12" t="n"/>
      <c r="E270" s="13" t="n"/>
      <c r="F270" s="13" t="n"/>
      <c r="G270" s="13" t="n"/>
      <c r="H270" s="13" t="n"/>
      <c r="I270" s="25" t="n"/>
      <c r="J270" s="25" t="n"/>
      <c r="K270" s="26" t="n"/>
      <c r="L270" s="26" t="n"/>
      <c r="M270" s="13">
        <f>IF(A270="","",COUNTIFS('Giao việc'!$M$5:$M$3004,A270,'Giao việc'!$I$5:$I$3004,"&lt;&gt;Bỏ qua"))</f>
        <v/>
      </c>
      <c r="N270" s="13">
        <f>IF(A270="","",COUNTIFS('Giao việc'!$M$5:$M$3004,A270,'Giao việc'!$I$5:$I$3004,"Xong"))</f>
        <v/>
      </c>
      <c r="O270" s="13">
        <f>IF(A270="","",COUNTIFS('Giao việc'!$M$5:$M$3004,A270,'Giao việc'!$L$5:$L$3004,"*QUÁ HẠN*"))</f>
        <v/>
      </c>
      <c r="P270" s="13">
        <f>IF(A270="","",COUNTIFS('Giao việc'!$M$5:$M$3004,A270,'Giao việc'!$L$5:$L$3004,"CHƯA GIAO*"))</f>
        <v/>
      </c>
      <c r="Q270" s="14">
        <f>IF(OR(A270="",N(M270)=0),"",N270/M270)</f>
        <v/>
      </c>
      <c r="R270" s="15">
        <f>IF(Q270="","",REPT("█",ROUND(Q270*10,0))&amp;REPT("░",10-ROUND(Q270*10,0)))</f>
        <v/>
      </c>
      <c r="S270" s="13">
        <f>IF(C270="","Chưa có ngày",IF(C270&gt;TODAY(),"Còn "&amp;(C270-TODAY())&amp;" ngày",IF(IF(D270="",C270,D270)&gt;=TODAY(),"Đang diễn ra","Đã qua "&amp;(TODAY()-IF(D270="",C270,D270))&amp;" ngày")))</f>
        <v/>
      </c>
      <c r="T270" s="13">
        <f>IF(AND(A270&lt;&gt;"",L270="Có",ISNUMBER(C270)),IF(IF(D270="",C270,D270)&gt;=TODAY()-35,C270+ROW()/100000,""),"")</f>
        <v/>
      </c>
    </row>
    <row r="271">
      <c r="A271" s="25" t="n"/>
      <c r="B271" s="11" t="n"/>
      <c r="C271" s="12" t="n"/>
      <c r="D271" s="12" t="n"/>
      <c r="E271" s="13" t="n"/>
      <c r="F271" s="13" t="n"/>
      <c r="G271" s="13" t="n"/>
      <c r="H271" s="13" t="n"/>
      <c r="I271" s="25" t="n"/>
      <c r="J271" s="25" t="n"/>
      <c r="K271" s="26" t="n"/>
      <c r="L271" s="26" t="n"/>
      <c r="M271" s="13">
        <f>IF(A271="","",COUNTIFS('Giao việc'!$M$5:$M$3004,A271,'Giao việc'!$I$5:$I$3004,"&lt;&gt;Bỏ qua"))</f>
        <v/>
      </c>
      <c r="N271" s="13">
        <f>IF(A271="","",COUNTIFS('Giao việc'!$M$5:$M$3004,A271,'Giao việc'!$I$5:$I$3004,"Xong"))</f>
        <v/>
      </c>
      <c r="O271" s="13">
        <f>IF(A271="","",COUNTIFS('Giao việc'!$M$5:$M$3004,A271,'Giao việc'!$L$5:$L$3004,"*QUÁ HẠN*"))</f>
        <v/>
      </c>
      <c r="P271" s="13">
        <f>IF(A271="","",COUNTIFS('Giao việc'!$M$5:$M$3004,A271,'Giao việc'!$L$5:$L$3004,"CHƯA GIAO*"))</f>
        <v/>
      </c>
      <c r="Q271" s="14">
        <f>IF(OR(A271="",N(M271)=0),"",N271/M271)</f>
        <v/>
      </c>
      <c r="R271" s="15">
        <f>IF(Q271="","",REPT("█",ROUND(Q271*10,0))&amp;REPT("░",10-ROUND(Q271*10,0)))</f>
        <v/>
      </c>
      <c r="S271" s="13">
        <f>IF(C271="","Chưa có ngày",IF(C271&gt;TODAY(),"Còn "&amp;(C271-TODAY())&amp;" ngày",IF(IF(D271="",C271,D271)&gt;=TODAY(),"Đang diễn ra","Đã qua "&amp;(TODAY()-IF(D271="",C271,D271))&amp;" ngày")))</f>
        <v/>
      </c>
      <c r="T271" s="13">
        <f>IF(AND(A271&lt;&gt;"",L271="Có",ISNUMBER(C271)),IF(IF(D271="",C271,D271)&gt;=TODAY()-35,C271+ROW()/100000,""),"")</f>
        <v/>
      </c>
    </row>
    <row r="272">
      <c r="A272" s="25" t="n"/>
      <c r="B272" s="11" t="n"/>
      <c r="C272" s="12" t="n"/>
      <c r="D272" s="12" t="n"/>
      <c r="E272" s="13" t="n"/>
      <c r="F272" s="13" t="n"/>
      <c r="G272" s="13" t="n"/>
      <c r="H272" s="13" t="n"/>
      <c r="I272" s="25" t="n"/>
      <c r="J272" s="25" t="n"/>
      <c r="K272" s="26" t="n"/>
      <c r="L272" s="26" t="n"/>
      <c r="M272" s="13">
        <f>IF(A272="","",COUNTIFS('Giao việc'!$M$5:$M$3004,A272,'Giao việc'!$I$5:$I$3004,"&lt;&gt;Bỏ qua"))</f>
        <v/>
      </c>
      <c r="N272" s="13">
        <f>IF(A272="","",COUNTIFS('Giao việc'!$M$5:$M$3004,A272,'Giao việc'!$I$5:$I$3004,"Xong"))</f>
        <v/>
      </c>
      <c r="O272" s="13">
        <f>IF(A272="","",COUNTIFS('Giao việc'!$M$5:$M$3004,A272,'Giao việc'!$L$5:$L$3004,"*QUÁ HẠN*"))</f>
        <v/>
      </c>
      <c r="P272" s="13">
        <f>IF(A272="","",COUNTIFS('Giao việc'!$M$5:$M$3004,A272,'Giao việc'!$L$5:$L$3004,"CHƯA GIAO*"))</f>
        <v/>
      </c>
      <c r="Q272" s="14">
        <f>IF(OR(A272="",N(M272)=0),"",N272/M272)</f>
        <v/>
      </c>
      <c r="R272" s="15">
        <f>IF(Q272="","",REPT("█",ROUND(Q272*10,0))&amp;REPT("░",10-ROUND(Q272*10,0)))</f>
        <v/>
      </c>
      <c r="S272" s="13">
        <f>IF(C272="","Chưa có ngày",IF(C272&gt;TODAY(),"Còn "&amp;(C272-TODAY())&amp;" ngày",IF(IF(D272="",C272,D272)&gt;=TODAY(),"Đang diễn ra","Đã qua "&amp;(TODAY()-IF(D272="",C272,D272))&amp;" ngày")))</f>
        <v/>
      </c>
      <c r="T272" s="13">
        <f>IF(AND(A272&lt;&gt;"",L272="Có",ISNUMBER(C272)),IF(IF(D272="",C272,D272)&gt;=TODAY()-35,C272+ROW()/100000,""),"")</f>
        <v/>
      </c>
    </row>
    <row r="273">
      <c r="A273" s="25" t="n"/>
      <c r="B273" s="11" t="n"/>
      <c r="C273" s="12" t="n"/>
      <c r="D273" s="12" t="n"/>
      <c r="E273" s="13" t="n"/>
      <c r="F273" s="13" t="n"/>
      <c r="G273" s="13" t="n"/>
      <c r="H273" s="13" t="n"/>
      <c r="I273" s="25" t="n"/>
      <c r="J273" s="25" t="n"/>
      <c r="K273" s="26" t="n"/>
      <c r="L273" s="26" t="n"/>
      <c r="M273" s="13">
        <f>IF(A273="","",COUNTIFS('Giao việc'!$M$5:$M$3004,A273,'Giao việc'!$I$5:$I$3004,"&lt;&gt;Bỏ qua"))</f>
        <v/>
      </c>
      <c r="N273" s="13">
        <f>IF(A273="","",COUNTIFS('Giao việc'!$M$5:$M$3004,A273,'Giao việc'!$I$5:$I$3004,"Xong"))</f>
        <v/>
      </c>
      <c r="O273" s="13">
        <f>IF(A273="","",COUNTIFS('Giao việc'!$M$5:$M$3004,A273,'Giao việc'!$L$5:$L$3004,"*QUÁ HẠN*"))</f>
        <v/>
      </c>
      <c r="P273" s="13">
        <f>IF(A273="","",COUNTIFS('Giao việc'!$M$5:$M$3004,A273,'Giao việc'!$L$5:$L$3004,"CHƯA GIAO*"))</f>
        <v/>
      </c>
      <c r="Q273" s="14">
        <f>IF(OR(A273="",N(M273)=0),"",N273/M273)</f>
        <v/>
      </c>
      <c r="R273" s="15">
        <f>IF(Q273="","",REPT("█",ROUND(Q273*10,0))&amp;REPT("░",10-ROUND(Q273*10,0)))</f>
        <v/>
      </c>
      <c r="S273" s="13">
        <f>IF(C273="","Chưa có ngày",IF(C273&gt;TODAY(),"Còn "&amp;(C273-TODAY())&amp;" ngày",IF(IF(D273="",C273,D273)&gt;=TODAY(),"Đang diễn ra","Đã qua "&amp;(TODAY()-IF(D273="",C273,D273))&amp;" ngày")))</f>
        <v/>
      </c>
      <c r="T273" s="13">
        <f>IF(AND(A273&lt;&gt;"",L273="Có",ISNUMBER(C273)),IF(IF(D273="",C273,D273)&gt;=TODAY()-35,C273+ROW()/100000,""),"")</f>
        <v/>
      </c>
    </row>
    <row r="274">
      <c r="A274" s="25" t="n"/>
      <c r="B274" s="11" t="n"/>
      <c r="C274" s="12" t="n"/>
      <c r="D274" s="12" t="n"/>
      <c r="E274" s="13" t="n"/>
      <c r="F274" s="13" t="n"/>
      <c r="G274" s="13" t="n"/>
      <c r="H274" s="13" t="n"/>
      <c r="I274" s="25" t="n"/>
      <c r="J274" s="25" t="n"/>
      <c r="K274" s="26" t="n"/>
      <c r="L274" s="26" t="n"/>
      <c r="M274" s="13">
        <f>IF(A274="","",COUNTIFS('Giao việc'!$M$5:$M$3004,A274,'Giao việc'!$I$5:$I$3004,"&lt;&gt;Bỏ qua"))</f>
        <v/>
      </c>
      <c r="N274" s="13">
        <f>IF(A274="","",COUNTIFS('Giao việc'!$M$5:$M$3004,A274,'Giao việc'!$I$5:$I$3004,"Xong"))</f>
        <v/>
      </c>
      <c r="O274" s="13">
        <f>IF(A274="","",COUNTIFS('Giao việc'!$M$5:$M$3004,A274,'Giao việc'!$L$5:$L$3004,"*QUÁ HẠN*"))</f>
        <v/>
      </c>
      <c r="P274" s="13">
        <f>IF(A274="","",COUNTIFS('Giao việc'!$M$5:$M$3004,A274,'Giao việc'!$L$5:$L$3004,"CHƯA GIAO*"))</f>
        <v/>
      </c>
      <c r="Q274" s="14">
        <f>IF(OR(A274="",N(M274)=0),"",N274/M274)</f>
        <v/>
      </c>
      <c r="R274" s="15">
        <f>IF(Q274="","",REPT("█",ROUND(Q274*10,0))&amp;REPT("░",10-ROUND(Q274*10,0)))</f>
        <v/>
      </c>
      <c r="S274" s="13">
        <f>IF(C274="","Chưa có ngày",IF(C274&gt;TODAY(),"Còn "&amp;(C274-TODAY())&amp;" ngày",IF(IF(D274="",C274,D274)&gt;=TODAY(),"Đang diễn ra","Đã qua "&amp;(TODAY()-IF(D274="",C274,D274))&amp;" ngày")))</f>
        <v/>
      </c>
      <c r="T274" s="13">
        <f>IF(AND(A274&lt;&gt;"",L274="Có",ISNUMBER(C274)),IF(IF(D274="",C274,D274)&gt;=TODAY()-35,C274+ROW()/100000,""),"")</f>
        <v/>
      </c>
    </row>
    <row r="275">
      <c r="A275" s="25" t="n"/>
      <c r="B275" s="11" t="n"/>
      <c r="C275" s="12" t="n"/>
      <c r="D275" s="12" t="n"/>
      <c r="E275" s="13" t="n"/>
      <c r="F275" s="13" t="n"/>
      <c r="G275" s="13" t="n"/>
      <c r="H275" s="13" t="n"/>
      <c r="I275" s="25" t="n"/>
      <c r="J275" s="25" t="n"/>
      <c r="K275" s="26" t="n"/>
      <c r="L275" s="26" t="n"/>
      <c r="M275" s="13">
        <f>IF(A275="","",COUNTIFS('Giao việc'!$M$5:$M$3004,A275,'Giao việc'!$I$5:$I$3004,"&lt;&gt;Bỏ qua"))</f>
        <v/>
      </c>
      <c r="N275" s="13">
        <f>IF(A275="","",COUNTIFS('Giao việc'!$M$5:$M$3004,A275,'Giao việc'!$I$5:$I$3004,"Xong"))</f>
        <v/>
      </c>
      <c r="O275" s="13">
        <f>IF(A275="","",COUNTIFS('Giao việc'!$M$5:$M$3004,A275,'Giao việc'!$L$5:$L$3004,"*QUÁ HẠN*"))</f>
        <v/>
      </c>
      <c r="P275" s="13">
        <f>IF(A275="","",COUNTIFS('Giao việc'!$M$5:$M$3004,A275,'Giao việc'!$L$5:$L$3004,"CHƯA GIAO*"))</f>
        <v/>
      </c>
      <c r="Q275" s="14">
        <f>IF(OR(A275="",N(M275)=0),"",N275/M275)</f>
        <v/>
      </c>
      <c r="R275" s="15">
        <f>IF(Q275="","",REPT("█",ROUND(Q275*10,0))&amp;REPT("░",10-ROUND(Q275*10,0)))</f>
        <v/>
      </c>
      <c r="S275" s="13">
        <f>IF(C275="","Chưa có ngày",IF(C275&gt;TODAY(),"Còn "&amp;(C275-TODAY())&amp;" ngày",IF(IF(D275="",C275,D275)&gt;=TODAY(),"Đang diễn ra","Đã qua "&amp;(TODAY()-IF(D275="",C275,D275))&amp;" ngày")))</f>
        <v/>
      </c>
      <c r="T275" s="13">
        <f>IF(AND(A275&lt;&gt;"",L275="Có",ISNUMBER(C275)),IF(IF(D275="",C275,D275)&gt;=TODAY()-35,C275+ROW()/100000,""),"")</f>
        <v/>
      </c>
    </row>
    <row r="276">
      <c r="A276" s="25" t="n"/>
      <c r="B276" s="11" t="n"/>
      <c r="C276" s="12" t="n"/>
      <c r="D276" s="12" t="n"/>
      <c r="E276" s="13" t="n"/>
      <c r="F276" s="13" t="n"/>
      <c r="G276" s="13" t="n"/>
      <c r="H276" s="13" t="n"/>
      <c r="I276" s="25" t="n"/>
      <c r="J276" s="25" t="n"/>
      <c r="K276" s="26" t="n"/>
      <c r="L276" s="26" t="n"/>
      <c r="M276" s="13">
        <f>IF(A276="","",COUNTIFS('Giao việc'!$M$5:$M$3004,A276,'Giao việc'!$I$5:$I$3004,"&lt;&gt;Bỏ qua"))</f>
        <v/>
      </c>
      <c r="N276" s="13">
        <f>IF(A276="","",COUNTIFS('Giao việc'!$M$5:$M$3004,A276,'Giao việc'!$I$5:$I$3004,"Xong"))</f>
        <v/>
      </c>
      <c r="O276" s="13">
        <f>IF(A276="","",COUNTIFS('Giao việc'!$M$5:$M$3004,A276,'Giao việc'!$L$5:$L$3004,"*QUÁ HẠN*"))</f>
        <v/>
      </c>
      <c r="P276" s="13">
        <f>IF(A276="","",COUNTIFS('Giao việc'!$M$5:$M$3004,A276,'Giao việc'!$L$5:$L$3004,"CHƯA GIAO*"))</f>
        <v/>
      </c>
      <c r="Q276" s="14">
        <f>IF(OR(A276="",N(M276)=0),"",N276/M276)</f>
        <v/>
      </c>
      <c r="R276" s="15">
        <f>IF(Q276="","",REPT("█",ROUND(Q276*10,0))&amp;REPT("░",10-ROUND(Q276*10,0)))</f>
        <v/>
      </c>
      <c r="S276" s="13">
        <f>IF(C276="","Chưa có ngày",IF(C276&gt;TODAY(),"Còn "&amp;(C276-TODAY())&amp;" ngày",IF(IF(D276="",C276,D276)&gt;=TODAY(),"Đang diễn ra","Đã qua "&amp;(TODAY()-IF(D276="",C276,D276))&amp;" ngày")))</f>
        <v/>
      </c>
      <c r="T276" s="13">
        <f>IF(AND(A276&lt;&gt;"",L276="Có",ISNUMBER(C276)),IF(IF(D276="",C276,D276)&gt;=TODAY()-35,C276+ROW()/100000,""),"")</f>
        <v/>
      </c>
    </row>
    <row r="277">
      <c r="A277" s="25" t="n"/>
      <c r="B277" s="11" t="n"/>
      <c r="C277" s="12" t="n"/>
      <c r="D277" s="12" t="n"/>
      <c r="E277" s="13" t="n"/>
      <c r="F277" s="13" t="n"/>
      <c r="G277" s="13" t="n"/>
      <c r="H277" s="13" t="n"/>
      <c r="I277" s="25" t="n"/>
      <c r="J277" s="25" t="n"/>
      <c r="K277" s="26" t="n"/>
      <c r="L277" s="26" t="n"/>
      <c r="M277" s="13">
        <f>IF(A277="","",COUNTIFS('Giao việc'!$M$5:$M$3004,A277,'Giao việc'!$I$5:$I$3004,"&lt;&gt;Bỏ qua"))</f>
        <v/>
      </c>
      <c r="N277" s="13">
        <f>IF(A277="","",COUNTIFS('Giao việc'!$M$5:$M$3004,A277,'Giao việc'!$I$5:$I$3004,"Xong"))</f>
        <v/>
      </c>
      <c r="O277" s="13">
        <f>IF(A277="","",COUNTIFS('Giao việc'!$M$5:$M$3004,A277,'Giao việc'!$L$5:$L$3004,"*QUÁ HẠN*"))</f>
        <v/>
      </c>
      <c r="P277" s="13">
        <f>IF(A277="","",COUNTIFS('Giao việc'!$M$5:$M$3004,A277,'Giao việc'!$L$5:$L$3004,"CHƯA GIAO*"))</f>
        <v/>
      </c>
      <c r="Q277" s="14">
        <f>IF(OR(A277="",N(M277)=0),"",N277/M277)</f>
        <v/>
      </c>
      <c r="R277" s="15">
        <f>IF(Q277="","",REPT("█",ROUND(Q277*10,0))&amp;REPT("░",10-ROUND(Q277*10,0)))</f>
        <v/>
      </c>
      <c r="S277" s="13">
        <f>IF(C277="","Chưa có ngày",IF(C277&gt;TODAY(),"Còn "&amp;(C277-TODAY())&amp;" ngày",IF(IF(D277="",C277,D277)&gt;=TODAY(),"Đang diễn ra","Đã qua "&amp;(TODAY()-IF(D277="",C277,D277))&amp;" ngày")))</f>
        <v/>
      </c>
      <c r="T277" s="13">
        <f>IF(AND(A277&lt;&gt;"",L277="Có",ISNUMBER(C277)),IF(IF(D277="",C277,D277)&gt;=TODAY()-35,C277+ROW()/100000,""),"")</f>
        <v/>
      </c>
    </row>
    <row r="278">
      <c r="A278" s="25" t="n"/>
      <c r="B278" s="11" t="n"/>
      <c r="C278" s="12" t="n"/>
      <c r="D278" s="12" t="n"/>
      <c r="E278" s="13" t="n"/>
      <c r="F278" s="13" t="n"/>
      <c r="G278" s="13" t="n"/>
      <c r="H278" s="13" t="n"/>
      <c r="I278" s="25" t="n"/>
      <c r="J278" s="25" t="n"/>
      <c r="K278" s="26" t="n"/>
      <c r="L278" s="26" t="n"/>
      <c r="M278" s="13">
        <f>IF(A278="","",COUNTIFS('Giao việc'!$M$5:$M$3004,A278,'Giao việc'!$I$5:$I$3004,"&lt;&gt;Bỏ qua"))</f>
        <v/>
      </c>
      <c r="N278" s="13">
        <f>IF(A278="","",COUNTIFS('Giao việc'!$M$5:$M$3004,A278,'Giao việc'!$I$5:$I$3004,"Xong"))</f>
        <v/>
      </c>
      <c r="O278" s="13">
        <f>IF(A278="","",COUNTIFS('Giao việc'!$M$5:$M$3004,A278,'Giao việc'!$L$5:$L$3004,"*QUÁ HẠN*"))</f>
        <v/>
      </c>
      <c r="P278" s="13">
        <f>IF(A278="","",COUNTIFS('Giao việc'!$M$5:$M$3004,A278,'Giao việc'!$L$5:$L$3004,"CHƯA GIAO*"))</f>
        <v/>
      </c>
      <c r="Q278" s="14">
        <f>IF(OR(A278="",N(M278)=0),"",N278/M278)</f>
        <v/>
      </c>
      <c r="R278" s="15">
        <f>IF(Q278="","",REPT("█",ROUND(Q278*10,0))&amp;REPT("░",10-ROUND(Q278*10,0)))</f>
        <v/>
      </c>
      <c r="S278" s="13">
        <f>IF(C278="","Chưa có ngày",IF(C278&gt;TODAY(),"Còn "&amp;(C278-TODAY())&amp;" ngày",IF(IF(D278="",C278,D278)&gt;=TODAY(),"Đang diễn ra","Đã qua "&amp;(TODAY()-IF(D278="",C278,D278))&amp;" ngày")))</f>
        <v/>
      </c>
      <c r="T278" s="13">
        <f>IF(AND(A278&lt;&gt;"",L278="Có",ISNUMBER(C278)),IF(IF(D278="",C278,D278)&gt;=TODAY()-35,C278+ROW()/100000,""),"")</f>
        <v/>
      </c>
    </row>
    <row r="279">
      <c r="A279" s="25" t="n"/>
      <c r="B279" s="11" t="n"/>
      <c r="C279" s="12" t="n"/>
      <c r="D279" s="12" t="n"/>
      <c r="E279" s="13" t="n"/>
      <c r="F279" s="13" t="n"/>
      <c r="G279" s="13" t="n"/>
      <c r="H279" s="13" t="n"/>
      <c r="I279" s="25" t="n"/>
      <c r="J279" s="25" t="n"/>
      <c r="K279" s="26" t="n"/>
      <c r="L279" s="26" t="n"/>
      <c r="M279" s="13">
        <f>IF(A279="","",COUNTIFS('Giao việc'!$M$5:$M$3004,A279,'Giao việc'!$I$5:$I$3004,"&lt;&gt;Bỏ qua"))</f>
        <v/>
      </c>
      <c r="N279" s="13">
        <f>IF(A279="","",COUNTIFS('Giao việc'!$M$5:$M$3004,A279,'Giao việc'!$I$5:$I$3004,"Xong"))</f>
        <v/>
      </c>
      <c r="O279" s="13">
        <f>IF(A279="","",COUNTIFS('Giao việc'!$M$5:$M$3004,A279,'Giao việc'!$L$5:$L$3004,"*QUÁ HẠN*"))</f>
        <v/>
      </c>
      <c r="P279" s="13">
        <f>IF(A279="","",COUNTIFS('Giao việc'!$M$5:$M$3004,A279,'Giao việc'!$L$5:$L$3004,"CHƯA GIAO*"))</f>
        <v/>
      </c>
      <c r="Q279" s="14">
        <f>IF(OR(A279="",N(M279)=0),"",N279/M279)</f>
        <v/>
      </c>
      <c r="R279" s="15">
        <f>IF(Q279="","",REPT("█",ROUND(Q279*10,0))&amp;REPT("░",10-ROUND(Q279*10,0)))</f>
        <v/>
      </c>
      <c r="S279" s="13">
        <f>IF(C279="","Chưa có ngày",IF(C279&gt;TODAY(),"Còn "&amp;(C279-TODAY())&amp;" ngày",IF(IF(D279="",C279,D279)&gt;=TODAY(),"Đang diễn ra","Đã qua "&amp;(TODAY()-IF(D279="",C279,D279))&amp;" ngày")))</f>
        <v/>
      </c>
      <c r="T279" s="13">
        <f>IF(AND(A279&lt;&gt;"",L279="Có",ISNUMBER(C279)),IF(IF(D279="",C279,D279)&gt;=TODAY()-35,C279+ROW()/100000,""),"")</f>
        <v/>
      </c>
    </row>
    <row r="280">
      <c r="A280" s="25" t="n"/>
      <c r="B280" s="11" t="n"/>
      <c r="C280" s="12" t="n"/>
      <c r="D280" s="12" t="n"/>
      <c r="E280" s="13" t="n"/>
      <c r="F280" s="13" t="n"/>
      <c r="G280" s="13" t="n"/>
      <c r="H280" s="13" t="n"/>
      <c r="I280" s="25" t="n"/>
      <c r="J280" s="25" t="n"/>
      <c r="K280" s="26" t="n"/>
      <c r="L280" s="26" t="n"/>
      <c r="M280" s="13">
        <f>IF(A280="","",COUNTIFS('Giao việc'!$M$5:$M$3004,A280,'Giao việc'!$I$5:$I$3004,"&lt;&gt;Bỏ qua"))</f>
        <v/>
      </c>
      <c r="N280" s="13">
        <f>IF(A280="","",COUNTIFS('Giao việc'!$M$5:$M$3004,A280,'Giao việc'!$I$5:$I$3004,"Xong"))</f>
        <v/>
      </c>
      <c r="O280" s="13">
        <f>IF(A280="","",COUNTIFS('Giao việc'!$M$5:$M$3004,A280,'Giao việc'!$L$5:$L$3004,"*QUÁ HẠN*"))</f>
        <v/>
      </c>
      <c r="P280" s="13">
        <f>IF(A280="","",COUNTIFS('Giao việc'!$M$5:$M$3004,A280,'Giao việc'!$L$5:$L$3004,"CHƯA GIAO*"))</f>
        <v/>
      </c>
      <c r="Q280" s="14">
        <f>IF(OR(A280="",N(M280)=0),"",N280/M280)</f>
        <v/>
      </c>
      <c r="R280" s="15">
        <f>IF(Q280="","",REPT("█",ROUND(Q280*10,0))&amp;REPT("░",10-ROUND(Q280*10,0)))</f>
        <v/>
      </c>
      <c r="S280" s="13">
        <f>IF(C280="","Chưa có ngày",IF(C280&gt;TODAY(),"Còn "&amp;(C280-TODAY())&amp;" ngày",IF(IF(D280="",C280,D280)&gt;=TODAY(),"Đang diễn ra","Đã qua "&amp;(TODAY()-IF(D280="",C280,D280))&amp;" ngày")))</f>
        <v/>
      </c>
      <c r="T280" s="13">
        <f>IF(AND(A280&lt;&gt;"",L280="Có",ISNUMBER(C280)),IF(IF(D280="",C280,D280)&gt;=TODAY()-35,C280+ROW()/100000,""),"")</f>
        <v/>
      </c>
    </row>
    <row r="281">
      <c r="A281" s="25" t="n"/>
      <c r="B281" s="11" t="n"/>
      <c r="C281" s="12" t="n"/>
      <c r="D281" s="12" t="n"/>
      <c r="E281" s="13" t="n"/>
      <c r="F281" s="13" t="n"/>
      <c r="G281" s="13" t="n"/>
      <c r="H281" s="13" t="n"/>
      <c r="I281" s="25" t="n"/>
      <c r="J281" s="25" t="n"/>
      <c r="K281" s="26" t="n"/>
      <c r="L281" s="26" t="n"/>
      <c r="M281" s="13">
        <f>IF(A281="","",COUNTIFS('Giao việc'!$M$5:$M$3004,A281,'Giao việc'!$I$5:$I$3004,"&lt;&gt;Bỏ qua"))</f>
        <v/>
      </c>
      <c r="N281" s="13">
        <f>IF(A281="","",COUNTIFS('Giao việc'!$M$5:$M$3004,A281,'Giao việc'!$I$5:$I$3004,"Xong"))</f>
        <v/>
      </c>
      <c r="O281" s="13">
        <f>IF(A281="","",COUNTIFS('Giao việc'!$M$5:$M$3004,A281,'Giao việc'!$L$5:$L$3004,"*QUÁ HẠN*"))</f>
        <v/>
      </c>
      <c r="P281" s="13">
        <f>IF(A281="","",COUNTIFS('Giao việc'!$M$5:$M$3004,A281,'Giao việc'!$L$5:$L$3004,"CHƯA GIAO*"))</f>
        <v/>
      </c>
      <c r="Q281" s="14">
        <f>IF(OR(A281="",N(M281)=0),"",N281/M281)</f>
        <v/>
      </c>
      <c r="R281" s="15">
        <f>IF(Q281="","",REPT("█",ROUND(Q281*10,0))&amp;REPT("░",10-ROUND(Q281*10,0)))</f>
        <v/>
      </c>
      <c r="S281" s="13">
        <f>IF(C281="","Chưa có ngày",IF(C281&gt;TODAY(),"Còn "&amp;(C281-TODAY())&amp;" ngày",IF(IF(D281="",C281,D281)&gt;=TODAY(),"Đang diễn ra","Đã qua "&amp;(TODAY()-IF(D281="",C281,D281))&amp;" ngày")))</f>
        <v/>
      </c>
      <c r="T281" s="13">
        <f>IF(AND(A281&lt;&gt;"",L281="Có",ISNUMBER(C281)),IF(IF(D281="",C281,D281)&gt;=TODAY()-35,C281+ROW()/100000,""),"")</f>
        <v/>
      </c>
    </row>
    <row r="282">
      <c r="A282" s="25" t="n"/>
      <c r="B282" s="11" t="n"/>
      <c r="C282" s="12" t="n"/>
      <c r="D282" s="12" t="n"/>
      <c r="E282" s="13" t="n"/>
      <c r="F282" s="13" t="n"/>
      <c r="G282" s="13" t="n"/>
      <c r="H282" s="13" t="n"/>
      <c r="I282" s="25" t="n"/>
      <c r="J282" s="25" t="n"/>
      <c r="K282" s="26" t="n"/>
      <c r="L282" s="26" t="n"/>
      <c r="M282" s="13">
        <f>IF(A282="","",COUNTIFS('Giao việc'!$M$5:$M$3004,A282,'Giao việc'!$I$5:$I$3004,"&lt;&gt;Bỏ qua"))</f>
        <v/>
      </c>
      <c r="N282" s="13">
        <f>IF(A282="","",COUNTIFS('Giao việc'!$M$5:$M$3004,A282,'Giao việc'!$I$5:$I$3004,"Xong"))</f>
        <v/>
      </c>
      <c r="O282" s="13">
        <f>IF(A282="","",COUNTIFS('Giao việc'!$M$5:$M$3004,A282,'Giao việc'!$L$5:$L$3004,"*QUÁ HẠN*"))</f>
        <v/>
      </c>
      <c r="P282" s="13">
        <f>IF(A282="","",COUNTIFS('Giao việc'!$M$5:$M$3004,A282,'Giao việc'!$L$5:$L$3004,"CHƯA GIAO*"))</f>
        <v/>
      </c>
      <c r="Q282" s="14">
        <f>IF(OR(A282="",N(M282)=0),"",N282/M282)</f>
        <v/>
      </c>
      <c r="R282" s="15">
        <f>IF(Q282="","",REPT("█",ROUND(Q282*10,0))&amp;REPT("░",10-ROUND(Q282*10,0)))</f>
        <v/>
      </c>
      <c r="S282" s="13">
        <f>IF(C282="","Chưa có ngày",IF(C282&gt;TODAY(),"Còn "&amp;(C282-TODAY())&amp;" ngày",IF(IF(D282="",C282,D282)&gt;=TODAY(),"Đang diễn ra","Đã qua "&amp;(TODAY()-IF(D282="",C282,D282))&amp;" ngày")))</f>
        <v/>
      </c>
      <c r="T282" s="13">
        <f>IF(AND(A282&lt;&gt;"",L282="Có",ISNUMBER(C282)),IF(IF(D282="",C282,D282)&gt;=TODAY()-35,C282+ROW()/100000,""),"")</f>
        <v/>
      </c>
    </row>
    <row r="283">
      <c r="A283" s="25" t="n"/>
      <c r="B283" s="11" t="n"/>
      <c r="C283" s="12" t="n"/>
      <c r="D283" s="12" t="n"/>
      <c r="E283" s="13" t="n"/>
      <c r="F283" s="13" t="n"/>
      <c r="G283" s="13" t="n"/>
      <c r="H283" s="13" t="n"/>
      <c r="I283" s="25" t="n"/>
      <c r="J283" s="25" t="n"/>
      <c r="K283" s="26" t="n"/>
      <c r="L283" s="26" t="n"/>
      <c r="M283" s="13">
        <f>IF(A283="","",COUNTIFS('Giao việc'!$M$5:$M$3004,A283,'Giao việc'!$I$5:$I$3004,"&lt;&gt;Bỏ qua"))</f>
        <v/>
      </c>
      <c r="N283" s="13">
        <f>IF(A283="","",COUNTIFS('Giao việc'!$M$5:$M$3004,A283,'Giao việc'!$I$5:$I$3004,"Xong"))</f>
        <v/>
      </c>
      <c r="O283" s="13">
        <f>IF(A283="","",COUNTIFS('Giao việc'!$M$5:$M$3004,A283,'Giao việc'!$L$5:$L$3004,"*QUÁ HẠN*"))</f>
        <v/>
      </c>
      <c r="P283" s="13">
        <f>IF(A283="","",COUNTIFS('Giao việc'!$M$5:$M$3004,A283,'Giao việc'!$L$5:$L$3004,"CHƯA GIAO*"))</f>
        <v/>
      </c>
      <c r="Q283" s="14">
        <f>IF(OR(A283="",N(M283)=0),"",N283/M283)</f>
        <v/>
      </c>
      <c r="R283" s="15">
        <f>IF(Q283="","",REPT("█",ROUND(Q283*10,0))&amp;REPT("░",10-ROUND(Q283*10,0)))</f>
        <v/>
      </c>
      <c r="S283" s="13">
        <f>IF(C283="","Chưa có ngày",IF(C283&gt;TODAY(),"Còn "&amp;(C283-TODAY())&amp;" ngày",IF(IF(D283="",C283,D283)&gt;=TODAY(),"Đang diễn ra","Đã qua "&amp;(TODAY()-IF(D283="",C283,D283))&amp;" ngày")))</f>
        <v/>
      </c>
      <c r="T283" s="13">
        <f>IF(AND(A283&lt;&gt;"",L283="Có",ISNUMBER(C283)),IF(IF(D283="",C283,D283)&gt;=TODAY()-35,C283+ROW()/100000,""),"")</f>
        <v/>
      </c>
    </row>
    <row r="284">
      <c r="A284" s="25" t="n"/>
      <c r="B284" s="11" t="n"/>
      <c r="C284" s="12" t="n"/>
      <c r="D284" s="12" t="n"/>
      <c r="E284" s="13" t="n"/>
      <c r="F284" s="13" t="n"/>
      <c r="G284" s="13" t="n"/>
      <c r="H284" s="13" t="n"/>
      <c r="I284" s="25" t="n"/>
      <c r="J284" s="25" t="n"/>
      <c r="K284" s="26" t="n"/>
      <c r="L284" s="26" t="n"/>
      <c r="M284" s="13">
        <f>IF(A284="","",COUNTIFS('Giao việc'!$M$5:$M$3004,A284,'Giao việc'!$I$5:$I$3004,"&lt;&gt;Bỏ qua"))</f>
        <v/>
      </c>
      <c r="N284" s="13">
        <f>IF(A284="","",COUNTIFS('Giao việc'!$M$5:$M$3004,A284,'Giao việc'!$I$5:$I$3004,"Xong"))</f>
        <v/>
      </c>
      <c r="O284" s="13">
        <f>IF(A284="","",COUNTIFS('Giao việc'!$M$5:$M$3004,A284,'Giao việc'!$L$5:$L$3004,"*QUÁ HẠN*"))</f>
        <v/>
      </c>
      <c r="P284" s="13">
        <f>IF(A284="","",COUNTIFS('Giao việc'!$M$5:$M$3004,A284,'Giao việc'!$L$5:$L$3004,"CHƯA GIAO*"))</f>
        <v/>
      </c>
      <c r="Q284" s="14">
        <f>IF(OR(A284="",N(M284)=0),"",N284/M284)</f>
        <v/>
      </c>
      <c r="R284" s="15">
        <f>IF(Q284="","",REPT("█",ROUND(Q284*10,0))&amp;REPT("░",10-ROUND(Q284*10,0)))</f>
        <v/>
      </c>
      <c r="S284" s="13">
        <f>IF(C284="","Chưa có ngày",IF(C284&gt;TODAY(),"Còn "&amp;(C284-TODAY())&amp;" ngày",IF(IF(D284="",C284,D284)&gt;=TODAY(),"Đang diễn ra","Đã qua "&amp;(TODAY()-IF(D284="",C284,D284))&amp;" ngày")))</f>
        <v/>
      </c>
      <c r="T284" s="13">
        <f>IF(AND(A284&lt;&gt;"",L284="Có",ISNUMBER(C284)),IF(IF(D284="",C284,D284)&gt;=TODAY()-35,C284+ROW()/100000,""),"")</f>
        <v/>
      </c>
    </row>
    <row r="285">
      <c r="A285" s="25" t="n"/>
      <c r="B285" s="11" t="n"/>
      <c r="C285" s="12" t="n"/>
      <c r="D285" s="12" t="n"/>
      <c r="E285" s="13" t="n"/>
      <c r="F285" s="13" t="n"/>
      <c r="G285" s="13" t="n"/>
      <c r="H285" s="13" t="n"/>
      <c r="I285" s="25" t="n"/>
      <c r="J285" s="25" t="n"/>
      <c r="K285" s="26" t="n"/>
      <c r="L285" s="26" t="n"/>
      <c r="M285" s="13">
        <f>IF(A285="","",COUNTIFS('Giao việc'!$M$5:$M$3004,A285,'Giao việc'!$I$5:$I$3004,"&lt;&gt;Bỏ qua"))</f>
        <v/>
      </c>
      <c r="N285" s="13">
        <f>IF(A285="","",COUNTIFS('Giao việc'!$M$5:$M$3004,A285,'Giao việc'!$I$5:$I$3004,"Xong"))</f>
        <v/>
      </c>
      <c r="O285" s="13">
        <f>IF(A285="","",COUNTIFS('Giao việc'!$M$5:$M$3004,A285,'Giao việc'!$L$5:$L$3004,"*QUÁ HẠN*"))</f>
        <v/>
      </c>
      <c r="P285" s="13">
        <f>IF(A285="","",COUNTIFS('Giao việc'!$M$5:$M$3004,A285,'Giao việc'!$L$5:$L$3004,"CHƯA GIAO*"))</f>
        <v/>
      </c>
      <c r="Q285" s="14">
        <f>IF(OR(A285="",N(M285)=0),"",N285/M285)</f>
        <v/>
      </c>
      <c r="R285" s="15">
        <f>IF(Q285="","",REPT("█",ROUND(Q285*10,0))&amp;REPT("░",10-ROUND(Q285*10,0)))</f>
        <v/>
      </c>
      <c r="S285" s="13">
        <f>IF(C285="","Chưa có ngày",IF(C285&gt;TODAY(),"Còn "&amp;(C285-TODAY())&amp;" ngày",IF(IF(D285="",C285,D285)&gt;=TODAY(),"Đang diễn ra","Đã qua "&amp;(TODAY()-IF(D285="",C285,D285))&amp;" ngày")))</f>
        <v/>
      </c>
      <c r="T285" s="13">
        <f>IF(AND(A285&lt;&gt;"",L285="Có",ISNUMBER(C285)),IF(IF(D285="",C285,D285)&gt;=TODAY()-35,C285+ROW()/100000,""),"")</f>
        <v/>
      </c>
    </row>
    <row r="286">
      <c r="A286" s="25" t="n"/>
      <c r="B286" s="11" t="n"/>
      <c r="C286" s="12" t="n"/>
      <c r="D286" s="12" t="n"/>
      <c r="E286" s="13" t="n"/>
      <c r="F286" s="13" t="n"/>
      <c r="G286" s="13" t="n"/>
      <c r="H286" s="13" t="n"/>
      <c r="I286" s="25" t="n"/>
      <c r="J286" s="25" t="n"/>
      <c r="K286" s="26" t="n"/>
      <c r="L286" s="26" t="n"/>
      <c r="M286" s="13">
        <f>IF(A286="","",COUNTIFS('Giao việc'!$M$5:$M$3004,A286,'Giao việc'!$I$5:$I$3004,"&lt;&gt;Bỏ qua"))</f>
        <v/>
      </c>
      <c r="N286" s="13">
        <f>IF(A286="","",COUNTIFS('Giao việc'!$M$5:$M$3004,A286,'Giao việc'!$I$5:$I$3004,"Xong"))</f>
        <v/>
      </c>
      <c r="O286" s="13">
        <f>IF(A286="","",COUNTIFS('Giao việc'!$M$5:$M$3004,A286,'Giao việc'!$L$5:$L$3004,"*QUÁ HẠN*"))</f>
        <v/>
      </c>
      <c r="P286" s="13">
        <f>IF(A286="","",COUNTIFS('Giao việc'!$M$5:$M$3004,A286,'Giao việc'!$L$5:$L$3004,"CHƯA GIAO*"))</f>
        <v/>
      </c>
      <c r="Q286" s="14">
        <f>IF(OR(A286="",N(M286)=0),"",N286/M286)</f>
        <v/>
      </c>
      <c r="R286" s="15">
        <f>IF(Q286="","",REPT("█",ROUND(Q286*10,0))&amp;REPT("░",10-ROUND(Q286*10,0)))</f>
        <v/>
      </c>
      <c r="S286" s="13">
        <f>IF(C286="","Chưa có ngày",IF(C286&gt;TODAY(),"Còn "&amp;(C286-TODAY())&amp;" ngày",IF(IF(D286="",C286,D286)&gt;=TODAY(),"Đang diễn ra","Đã qua "&amp;(TODAY()-IF(D286="",C286,D286))&amp;" ngày")))</f>
        <v/>
      </c>
      <c r="T286" s="13">
        <f>IF(AND(A286&lt;&gt;"",L286="Có",ISNUMBER(C286)),IF(IF(D286="",C286,D286)&gt;=TODAY()-35,C286+ROW()/100000,""),"")</f>
        <v/>
      </c>
    </row>
    <row r="287">
      <c r="A287" s="25" t="n"/>
      <c r="B287" s="11" t="n"/>
      <c r="C287" s="12" t="n"/>
      <c r="D287" s="12" t="n"/>
      <c r="E287" s="13" t="n"/>
      <c r="F287" s="13" t="n"/>
      <c r="G287" s="13" t="n"/>
      <c r="H287" s="13" t="n"/>
      <c r="I287" s="25" t="n"/>
      <c r="J287" s="25" t="n"/>
      <c r="K287" s="26" t="n"/>
      <c r="L287" s="26" t="n"/>
      <c r="M287" s="13">
        <f>IF(A287="","",COUNTIFS('Giao việc'!$M$5:$M$3004,A287,'Giao việc'!$I$5:$I$3004,"&lt;&gt;Bỏ qua"))</f>
        <v/>
      </c>
      <c r="N287" s="13">
        <f>IF(A287="","",COUNTIFS('Giao việc'!$M$5:$M$3004,A287,'Giao việc'!$I$5:$I$3004,"Xong"))</f>
        <v/>
      </c>
      <c r="O287" s="13">
        <f>IF(A287="","",COUNTIFS('Giao việc'!$M$5:$M$3004,A287,'Giao việc'!$L$5:$L$3004,"*QUÁ HẠN*"))</f>
        <v/>
      </c>
      <c r="P287" s="13">
        <f>IF(A287="","",COUNTIFS('Giao việc'!$M$5:$M$3004,A287,'Giao việc'!$L$5:$L$3004,"CHƯA GIAO*"))</f>
        <v/>
      </c>
      <c r="Q287" s="14">
        <f>IF(OR(A287="",N(M287)=0),"",N287/M287)</f>
        <v/>
      </c>
      <c r="R287" s="15">
        <f>IF(Q287="","",REPT("█",ROUND(Q287*10,0))&amp;REPT("░",10-ROUND(Q287*10,0)))</f>
        <v/>
      </c>
      <c r="S287" s="13">
        <f>IF(C287="","Chưa có ngày",IF(C287&gt;TODAY(),"Còn "&amp;(C287-TODAY())&amp;" ngày",IF(IF(D287="",C287,D287)&gt;=TODAY(),"Đang diễn ra","Đã qua "&amp;(TODAY()-IF(D287="",C287,D287))&amp;" ngày")))</f>
        <v/>
      </c>
      <c r="T287" s="13">
        <f>IF(AND(A287&lt;&gt;"",L287="Có",ISNUMBER(C287)),IF(IF(D287="",C287,D287)&gt;=TODAY()-35,C287+ROW()/100000,""),"")</f>
        <v/>
      </c>
    </row>
    <row r="288">
      <c r="A288" s="25" t="n"/>
      <c r="B288" s="11" t="n"/>
      <c r="C288" s="12" t="n"/>
      <c r="D288" s="12" t="n"/>
      <c r="E288" s="13" t="n"/>
      <c r="F288" s="13" t="n"/>
      <c r="G288" s="13" t="n"/>
      <c r="H288" s="13" t="n"/>
      <c r="I288" s="25" t="n"/>
      <c r="J288" s="25" t="n"/>
      <c r="K288" s="26" t="n"/>
      <c r="L288" s="26" t="n"/>
      <c r="M288" s="13">
        <f>IF(A288="","",COUNTIFS('Giao việc'!$M$5:$M$3004,A288,'Giao việc'!$I$5:$I$3004,"&lt;&gt;Bỏ qua"))</f>
        <v/>
      </c>
      <c r="N288" s="13">
        <f>IF(A288="","",COUNTIFS('Giao việc'!$M$5:$M$3004,A288,'Giao việc'!$I$5:$I$3004,"Xong"))</f>
        <v/>
      </c>
      <c r="O288" s="13">
        <f>IF(A288="","",COUNTIFS('Giao việc'!$M$5:$M$3004,A288,'Giao việc'!$L$5:$L$3004,"*QUÁ HẠN*"))</f>
        <v/>
      </c>
      <c r="P288" s="13">
        <f>IF(A288="","",COUNTIFS('Giao việc'!$M$5:$M$3004,A288,'Giao việc'!$L$5:$L$3004,"CHƯA GIAO*"))</f>
        <v/>
      </c>
      <c r="Q288" s="14">
        <f>IF(OR(A288="",N(M288)=0),"",N288/M288)</f>
        <v/>
      </c>
      <c r="R288" s="15">
        <f>IF(Q288="","",REPT("█",ROUND(Q288*10,0))&amp;REPT("░",10-ROUND(Q288*10,0)))</f>
        <v/>
      </c>
      <c r="S288" s="13">
        <f>IF(C288="","Chưa có ngày",IF(C288&gt;TODAY(),"Còn "&amp;(C288-TODAY())&amp;" ngày",IF(IF(D288="",C288,D288)&gt;=TODAY(),"Đang diễn ra","Đã qua "&amp;(TODAY()-IF(D288="",C288,D288))&amp;" ngày")))</f>
        <v/>
      </c>
      <c r="T288" s="13">
        <f>IF(AND(A288&lt;&gt;"",L288="Có",ISNUMBER(C288)),IF(IF(D288="",C288,D288)&gt;=TODAY()-35,C288+ROW()/100000,""),"")</f>
        <v/>
      </c>
    </row>
    <row r="289">
      <c r="A289" s="25" t="n"/>
      <c r="B289" s="11" t="n"/>
      <c r="C289" s="12" t="n"/>
      <c r="D289" s="12" t="n"/>
      <c r="E289" s="13" t="n"/>
      <c r="F289" s="13" t="n"/>
      <c r="G289" s="13" t="n"/>
      <c r="H289" s="13" t="n"/>
      <c r="I289" s="25" t="n"/>
      <c r="J289" s="25" t="n"/>
      <c r="K289" s="26" t="n"/>
      <c r="L289" s="26" t="n"/>
      <c r="M289" s="13">
        <f>IF(A289="","",COUNTIFS('Giao việc'!$M$5:$M$3004,A289,'Giao việc'!$I$5:$I$3004,"&lt;&gt;Bỏ qua"))</f>
        <v/>
      </c>
      <c r="N289" s="13">
        <f>IF(A289="","",COUNTIFS('Giao việc'!$M$5:$M$3004,A289,'Giao việc'!$I$5:$I$3004,"Xong"))</f>
        <v/>
      </c>
      <c r="O289" s="13">
        <f>IF(A289="","",COUNTIFS('Giao việc'!$M$5:$M$3004,A289,'Giao việc'!$L$5:$L$3004,"*QUÁ HẠN*"))</f>
        <v/>
      </c>
      <c r="P289" s="13">
        <f>IF(A289="","",COUNTIFS('Giao việc'!$M$5:$M$3004,A289,'Giao việc'!$L$5:$L$3004,"CHƯA GIAO*"))</f>
        <v/>
      </c>
      <c r="Q289" s="14">
        <f>IF(OR(A289="",N(M289)=0),"",N289/M289)</f>
        <v/>
      </c>
      <c r="R289" s="15">
        <f>IF(Q289="","",REPT("█",ROUND(Q289*10,0))&amp;REPT("░",10-ROUND(Q289*10,0)))</f>
        <v/>
      </c>
      <c r="S289" s="13">
        <f>IF(C289="","Chưa có ngày",IF(C289&gt;TODAY(),"Còn "&amp;(C289-TODAY())&amp;" ngày",IF(IF(D289="",C289,D289)&gt;=TODAY(),"Đang diễn ra","Đã qua "&amp;(TODAY()-IF(D289="",C289,D289))&amp;" ngày")))</f>
        <v/>
      </c>
      <c r="T289" s="13">
        <f>IF(AND(A289&lt;&gt;"",L289="Có",ISNUMBER(C289)),IF(IF(D289="",C289,D289)&gt;=TODAY()-35,C289+ROW()/100000,""),"")</f>
        <v/>
      </c>
    </row>
    <row r="290">
      <c r="A290" s="25" t="n"/>
      <c r="B290" s="11" t="n"/>
      <c r="C290" s="12" t="n"/>
      <c r="D290" s="12" t="n"/>
      <c r="E290" s="13" t="n"/>
      <c r="F290" s="13" t="n"/>
      <c r="G290" s="13" t="n"/>
      <c r="H290" s="13" t="n"/>
      <c r="I290" s="25" t="n"/>
      <c r="J290" s="25" t="n"/>
      <c r="K290" s="26" t="n"/>
      <c r="L290" s="26" t="n"/>
      <c r="M290" s="13">
        <f>IF(A290="","",COUNTIFS('Giao việc'!$M$5:$M$3004,A290,'Giao việc'!$I$5:$I$3004,"&lt;&gt;Bỏ qua"))</f>
        <v/>
      </c>
      <c r="N290" s="13">
        <f>IF(A290="","",COUNTIFS('Giao việc'!$M$5:$M$3004,A290,'Giao việc'!$I$5:$I$3004,"Xong"))</f>
        <v/>
      </c>
      <c r="O290" s="13">
        <f>IF(A290="","",COUNTIFS('Giao việc'!$M$5:$M$3004,A290,'Giao việc'!$L$5:$L$3004,"*QUÁ HẠN*"))</f>
        <v/>
      </c>
      <c r="P290" s="13">
        <f>IF(A290="","",COUNTIFS('Giao việc'!$M$5:$M$3004,A290,'Giao việc'!$L$5:$L$3004,"CHƯA GIAO*"))</f>
        <v/>
      </c>
      <c r="Q290" s="14">
        <f>IF(OR(A290="",N(M290)=0),"",N290/M290)</f>
        <v/>
      </c>
      <c r="R290" s="15">
        <f>IF(Q290="","",REPT("█",ROUND(Q290*10,0))&amp;REPT("░",10-ROUND(Q290*10,0)))</f>
        <v/>
      </c>
      <c r="S290" s="13">
        <f>IF(C290="","Chưa có ngày",IF(C290&gt;TODAY(),"Còn "&amp;(C290-TODAY())&amp;" ngày",IF(IF(D290="",C290,D290)&gt;=TODAY(),"Đang diễn ra","Đã qua "&amp;(TODAY()-IF(D290="",C290,D290))&amp;" ngày")))</f>
        <v/>
      </c>
      <c r="T290" s="13">
        <f>IF(AND(A290&lt;&gt;"",L290="Có",ISNUMBER(C290)),IF(IF(D290="",C290,D290)&gt;=TODAY()-35,C290+ROW()/100000,""),"")</f>
        <v/>
      </c>
    </row>
    <row r="291">
      <c r="A291" s="25" t="n"/>
      <c r="B291" s="11" t="n"/>
      <c r="C291" s="12" t="n"/>
      <c r="D291" s="12" t="n"/>
      <c r="E291" s="13" t="n"/>
      <c r="F291" s="13" t="n"/>
      <c r="G291" s="13" t="n"/>
      <c r="H291" s="13" t="n"/>
      <c r="I291" s="25" t="n"/>
      <c r="J291" s="25" t="n"/>
      <c r="K291" s="26" t="n"/>
      <c r="L291" s="26" t="n"/>
      <c r="M291" s="13">
        <f>IF(A291="","",COUNTIFS('Giao việc'!$M$5:$M$3004,A291,'Giao việc'!$I$5:$I$3004,"&lt;&gt;Bỏ qua"))</f>
        <v/>
      </c>
      <c r="N291" s="13">
        <f>IF(A291="","",COUNTIFS('Giao việc'!$M$5:$M$3004,A291,'Giao việc'!$I$5:$I$3004,"Xong"))</f>
        <v/>
      </c>
      <c r="O291" s="13">
        <f>IF(A291="","",COUNTIFS('Giao việc'!$M$5:$M$3004,A291,'Giao việc'!$L$5:$L$3004,"*QUÁ HẠN*"))</f>
        <v/>
      </c>
      <c r="P291" s="13">
        <f>IF(A291="","",COUNTIFS('Giao việc'!$M$5:$M$3004,A291,'Giao việc'!$L$5:$L$3004,"CHƯA GIAO*"))</f>
        <v/>
      </c>
      <c r="Q291" s="14">
        <f>IF(OR(A291="",N(M291)=0),"",N291/M291)</f>
        <v/>
      </c>
      <c r="R291" s="15">
        <f>IF(Q291="","",REPT("█",ROUND(Q291*10,0))&amp;REPT("░",10-ROUND(Q291*10,0)))</f>
        <v/>
      </c>
      <c r="S291" s="13">
        <f>IF(C291="","Chưa có ngày",IF(C291&gt;TODAY(),"Còn "&amp;(C291-TODAY())&amp;" ngày",IF(IF(D291="",C291,D291)&gt;=TODAY(),"Đang diễn ra","Đã qua "&amp;(TODAY()-IF(D291="",C291,D291))&amp;" ngày")))</f>
        <v/>
      </c>
      <c r="T291" s="13">
        <f>IF(AND(A291&lt;&gt;"",L291="Có",ISNUMBER(C291)),IF(IF(D291="",C291,D291)&gt;=TODAY()-35,C291+ROW()/100000,""),"")</f>
        <v/>
      </c>
    </row>
    <row r="292">
      <c r="A292" s="25" t="n"/>
      <c r="B292" s="11" t="n"/>
      <c r="C292" s="12" t="n"/>
      <c r="D292" s="12" t="n"/>
      <c r="E292" s="13" t="n"/>
      <c r="F292" s="13" t="n"/>
      <c r="G292" s="13" t="n"/>
      <c r="H292" s="13" t="n"/>
      <c r="I292" s="25" t="n"/>
      <c r="J292" s="25" t="n"/>
      <c r="K292" s="26" t="n"/>
      <c r="L292" s="26" t="n"/>
      <c r="M292" s="13">
        <f>IF(A292="","",COUNTIFS('Giao việc'!$M$5:$M$3004,A292,'Giao việc'!$I$5:$I$3004,"&lt;&gt;Bỏ qua"))</f>
        <v/>
      </c>
      <c r="N292" s="13">
        <f>IF(A292="","",COUNTIFS('Giao việc'!$M$5:$M$3004,A292,'Giao việc'!$I$5:$I$3004,"Xong"))</f>
        <v/>
      </c>
      <c r="O292" s="13">
        <f>IF(A292="","",COUNTIFS('Giao việc'!$M$5:$M$3004,A292,'Giao việc'!$L$5:$L$3004,"*QUÁ HẠN*"))</f>
        <v/>
      </c>
      <c r="P292" s="13">
        <f>IF(A292="","",COUNTIFS('Giao việc'!$M$5:$M$3004,A292,'Giao việc'!$L$5:$L$3004,"CHƯA GIAO*"))</f>
        <v/>
      </c>
      <c r="Q292" s="14">
        <f>IF(OR(A292="",N(M292)=0),"",N292/M292)</f>
        <v/>
      </c>
      <c r="R292" s="15">
        <f>IF(Q292="","",REPT("█",ROUND(Q292*10,0))&amp;REPT("░",10-ROUND(Q292*10,0)))</f>
        <v/>
      </c>
      <c r="S292" s="13">
        <f>IF(C292="","Chưa có ngày",IF(C292&gt;TODAY(),"Còn "&amp;(C292-TODAY())&amp;" ngày",IF(IF(D292="",C292,D292)&gt;=TODAY(),"Đang diễn ra","Đã qua "&amp;(TODAY()-IF(D292="",C292,D292))&amp;" ngày")))</f>
        <v/>
      </c>
      <c r="T292" s="13">
        <f>IF(AND(A292&lt;&gt;"",L292="Có",ISNUMBER(C292)),IF(IF(D292="",C292,D292)&gt;=TODAY()-35,C292+ROW()/100000,""),"")</f>
        <v/>
      </c>
    </row>
    <row r="293">
      <c r="A293" s="25" t="n"/>
      <c r="B293" s="11" t="n"/>
      <c r="C293" s="12" t="n"/>
      <c r="D293" s="12" t="n"/>
      <c r="E293" s="13" t="n"/>
      <c r="F293" s="13" t="n"/>
      <c r="G293" s="13" t="n"/>
      <c r="H293" s="13" t="n"/>
      <c r="I293" s="25" t="n"/>
      <c r="J293" s="25" t="n"/>
      <c r="K293" s="26" t="n"/>
      <c r="L293" s="26" t="n"/>
      <c r="M293" s="13">
        <f>IF(A293="","",COUNTIFS('Giao việc'!$M$5:$M$3004,A293,'Giao việc'!$I$5:$I$3004,"&lt;&gt;Bỏ qua"))</f>
        <v/>
      </c>
      <c r="N293" s="13">
        <f>IF(A293="","",COUNTIFS('Giao việc'!$M$5:$M$3004,A293,'Giao việc'!$I$5:$I$3004,"Xong"))</f>
        <v/>
      </c>
      <c r="O293" s="13">
        <f>IF(A293="","",COUNTIFS('Giao việc'!$M$5:$M$3004,A293,'Giao việc'!$L$5:$L$3004,"*QUÁ HẠN*"))</f>
        <v/>
      </c>
      <c r="P293" s="13">
        <f>IF(A293="","",COUNTIFS('Giao việc'!$M$5:$M$3004,A293,'Giao việc'!$L$5:$L$3004,"CHƯA GIAO*"))</f>
        <v/>
      </c>
      <c r="Q293" s="14">
        <f>IF(OR(A293="",N(M293)=0),"",N293/M293)</f>
        <v/>
      </c>
      <c r="R293" s="15">
        <f>IF(Q293="","",REPT("█",ROUND(Q293*10,0))&amp;REPT("░",10-ROUND(Q293*10,0)))</f>
        <v/>
      </c>
      <c r="S293" s="13">
        <f>IF(C293="","Chưa có ngày",IF(C293&gt;TODAY(),"Còn "&amp;(C293-TODAY())&amp;" ngày",IF(IF(D293="",C293,D293)&gt;=TODAY(),"Đang diễn ra","Đã qua "&amp;(TODAY()-IF(D293="",C293,D293))&amp;" ngày")))</f>
        <v/>
      </c>
      <c r="T293" s="13">
        <f>IF(AND(A293&lt;&gt;"",L293="Có",ISNUMBER(C293)),IF(IF(D293="",C293,D293)&gt;=TODAY()-35,C293+ROW()/100000,""),"")</f>
        <v/>
      </c>
    </row>
    <row r="294">
      <c r="A294" s="25" t="n"/>
      <c r="B294" s="11" t="n"/>
      <c r="C294" s="12" t="n"/>
      <c r="D294" s="12" t="n"/>
      <c r="E294" s="13" t="n"/>
      <c r="F294" s="13" t="n"/>
      <c r="G294" s="13" t="n"/>
      <c r="H294" s="13" t="n"/>
      <c r="I294" s="25" t="n"/>
      <c r="J294" s="25" t="n"/>
      <c r="K294" s="26" t="n"/>
      <c r="L294" s="26" t="n"/>
      <c r="M294" s="13">
        <f>IF(A294="","",COUNTIFS('Giao việc'!$M$5:$M$3004,A294,'Giao việc'!$I$5:$I$3004,"&lt;&gt;Bỏ qua"))</f>
        <v/>
      </c>
      <c r="N294" s="13">
        <f>IF(A294="","",COUNTIFS('Giao việc'!$M$5:$M$3004,A294,'Giao việc'!$I$5:$I$3004,"Xong"))</f>
        <v/>
      </c>
      <c r="O294" s="13">
        <f>IF(A294="","",COUNTIFS('Giao việc'!$M$5:$M$3004,A294,'Giao việc'!$L$5:$L$3004,"*QUÁ HẠN*"))</f>
        <v/>
      </c>
      <c r="P294" s="13">
        <f>IF(A294="","",COUNTIFS('Giao việc'!$M$5:$M$3004,A294,'Giao việc'!$L$5:$L$3004,"CHƯA GIAO*"))</f>
        <v/>
      </c>
      <c r="Q294" s="14">
        <f>IF(OR(A294="",N(M294)=0),"",N294/M294)</f>
        <v/>
      </c>
      <c r="R294" s="15">
        <f>IF(Q294="","",REPT("█",ROUND(Q294*10,0))&amp;REPT("░",10-ROUND(Q294*10,0)))</f>
        <v/>
      </c>
      <c r="S294" s="13">
        <f>IF(C294="","Chưa có ngày",IF(C294&gt;TODAY(),"Còn "&amp;(C294-TODAY())&amp;" ngày",IF(IF(D294="",C294,D294)&gt;=TODAY(),"Đang diễn ra","Đã qua "&amp;(TODAY()-IF(D294="",C294,D294))&amp;" ngày")))</f>
        <v/>
      </c>
      <c r="T294" s="13">
        <f>IF(AND(A294&lt;&gt;"",L294="Có",ISNUMBER(C294)),IF(IF(D294="",C294,D294)&gt;=TODAY()-35,C294+ROW()/100000,""),"")</f>
        <v/>
      </c>
    </row>
    <row r="295">
      <c r="A295" s="25" t="n"/>
      <c r="B295" s="11" t="n"/>
      <c r="C295" s="12" t="n"/>
      <c r="D295" s="12" t="n"/>
      <c r="E295" s="13" t="n"/>
      <c r="F295" s="13" t="n"/>
      <c r="G295" s="13" t="n"/>
      <c r="H295" s="13" t="n"/>
      <c r="I295" s="25" t="n"/>
      <c r="J295" s="25" t="n"/>
      <c r="K295" s="26" t="n"/>
      <c r="L295" s="26" t="n"/>
      <c r="M295" s="13">
        <f>IF(A295="","",COUNTIFS('Giao việc'!$M$5:$M$3004,A295,'Giao việc'!$I$5:$I$3004,"&lt;&gt;Bỏ qua"))</f>
        <v/>
      </c>
      <c r="N295" s="13">
        <f>IF(A295="","",COUNTIFS('Giao việc'!$M$5:$M$3004,A295,'Giao việc'!$I$5:$I$3004,"Xong"))</f>
        <v/>
      </c>
      <c r="O295" s="13">
        <f>IF(A295="","",COUNTIFS('Giao việc'!$M$5:$M$3004,A295,'Giao việc'!$L$5:$L$3004,"*QUÁ HẠN*"))</f>
        <v/>
      </c>
      <c r="P295" s="13">
        <f>IF(A295="","",COUNTIFS('Giao việc'!$M$5:$M$3004,A295,'Giao việc'!$L$5:$L$3004,"CHƯA GIAO*"))</f>
        <v/>
      </c>
      <c r="Q295" s="14">
        <f>IF(OR(A295="",N(M295)=0),"",N295/M295)</f>
        <v/>
      </c>
      <c r="R295" s="15">
        <f>IF(Q295="","",REPT("█",ROUND(Q295*10,0))&amp;REPT("░",10-ROUND(Q295*10,0)))</f>
        <v/>
      </c>
      <c r="S295" s="13">
        <f>IF(C295="","Chưa có ngày",IF(C295&gt;TODAY(),"Còn "&amp;(C295-TODAY())&amp;" ngày",IF(IF(D295="",C295,D295)&gt;=TODAY(),"Đang diễn ra","Đã qua "&amp;(TODAY()-IF(D295="",C295,D295))&amp;" ngày")))</f>
        <v/>
      </c>
      <c r="T295" s="13">
        <f>IF(AND(A295&lt;&gt;"",L295="Có",ISNUMBER(C295)),IF(IF(D295="",C295,D295)&gt;=TODAY()-35,C295+ROW()/100000,""),"")</f>
        <v/>
      </c>
    </row>
    <row r="296">
      <c r="A296" s="25" t="n"/>
      <c r="B296" s="11" t="n"/>
      <c r="C296" s="12" t="n"/>
      <c r="D296" s="12" t="n"/>
      <c r="E296" s="13" t="n"/>
      <c r="F296" s="13" t="n"/>
      <c r="G296" s="13" t="n"/>
      <c r="H296" s="13" t="n"/>
      <c r="I296" s="25" t="n"/>
      <c r="J296" s="25" t="n"/>
      <c r="K296" s="26" t="n"/>
      <c r="L296" s="26" t="n"/>
      <c r="M296" s="13">
        <f>IF(A296="","",COUNTIFS('Giao việc'!$M$5:$M$3004,A296,'Giao việc'!$I$5:$I$3004,"&lt;&gt;Bỏ qua"))</f>
        <v/>
      </c>
      <c r="N296" s="13">
        <f>IF(A296="","",COUNTIFS('Giao việc'!$M$5:$M$3004,A296,'Giao việc'!$I$5:$I$3004,"Xong"))</f>
        <v/>
      </c>
      <c r="O296" s="13">
        <f>IF(A296="","",COUNTIFS('Giao việc'!$M$5:$M$3004,A296,'Giao việc'!$L$5:$L$3004,"*QUÁ HẠN*"))</f>
        <v/>
      </c>
      <c r="P296" s="13">
        <f>IF(A296="","",COUNTIFS('Giao việc'!$M$5:$M$3004,A296,'Giao việc'!$L$5:$L$3004,"CHƯA GIAO*"))</f>
        <v/>
      </c>
      <c r="Q296" s="14">
        <f>IF(OR(A296="",N(M296)=0),"",N296/M296)</f>
        <v/>
      </c>
      <c r="R296" s="15">
        <f>IF(Q296="","",REPT("█",ROUND(Q296*10,0))&amp;REPT("░",10-ROUND(Q296*10,0)))</f>
        <v/>
      </c>
      <c r="S296" s="13">
        <f>IF(C296="","Chưa có ngày",IF(C296&gt;TODAY(),"Còn "&amp;(C296-TODAY())&amp;" ngày",IF(IF(D296="",C296,D296)&gt;=TODAY(),"Đang diễn ra","Đã qua "&amp;(TODAY()-IF(D296="",C296,D296))&amp;" ngày")))</f>
        <v/>
      </c>
      <c r="T296" s="13">
        <f>IF(AND(A296&lt;&gt;"",L296="Có",ISNUMBER(C296)),IF(IF(D296="",C296,D296)&gt;=TODAY()-35,C296+ROW()/100000,""),"")</f>
        <v/>
      </c>
    </row>
    <row r="297">
      <c r="A297" s="25" t="n"/>
      <c r="B297" s="11" t="n"/>
      <c r="C297" s="12" t="n"/>
      <c r="D297" s="12" t="n"/>
      <c r="E297" s="13" t="n"/>
      <c r="F297" s="13" t="n"/>
      <c r="G297" s="13" t="n"/>
      <c r="H297" s="13" t="n"/>
      <c r="I297" s="25" t="n"/>
      <c r="J297" s="25" t="n"/>
      <c r="K297" s="26" t="n"/>
      <c r="L297" s="26" t="n"/>
      <c r="M297" s="13">
        <f>IF(A297="","",COUNTIFS('Giao việc'!$M$5:$M$3004,A297,'Giao việc'!$I$5:$I$3004,"&lt;&gt;Bỏ qua"))</f>
        <v/>
      </c>
      <c r="N297" s="13">
        <f>IF(A297="","",COUNTIFS('Giao việc'!$M$5:$M$3004,A297,'Giao việc'!$I$5:$I$3004,"Xong"))</f>
        <v/>
      </c>
      <c r="O297" s="13">
        <f>IF(A297="","",COUNTIFS('Giao việc'!$M$5:$M$3004,A297,'Giao việc'!$L$5:$L$3004,"*QUÁ HẠN*"))</f>
        <v/>
      </c>
      <c r="P297" s="13">
        <f>IF(A297="","",COUNTIFS('Giao việc'!$M$5:$M$3004,A297,'Giao việc'!$L$5:$L$3004,"CHƯA GIAO*"))</f>
        <v/>
      </c>
      <c r="Q297" s="14">
        <f>IF(OR(A297="",N(M297)=0),"",N297/M297)</f>
        <v/>
      </c>
      <c r="R297" s="15">
        <f>IF(Q297="","",REPT("█",ROUND(Q297*10,0))&amp;REPT("░",10-ROUND(Q297*10,0)))</f>
        <v/>
      </c>
      <c r="S297" s="13">
        <f>IF(C297="","Chưa có ngày",IF(C297&gt;TODAY(),"Còn "&amp;(C297-TODAY())&amp;" ngày",IF(IF(D297="",C297,D297)&gt;=TODAY(),"Đang diễn ra","Đã qua "&amp;(TODAY()-IF(D297="",C297,D297))&amp;" ngày")))</f>
        <v/>
      </c>
      <c r="T297" s="13">
        <f>IF(AND(A297&lt;&gt;"",L297="Có",ISNUMBER(C297)),IF(IF(D297="",C297,D297)&gt;=TODAY()-35,C297+ROW()/100000,""),"")</f>
        <v/>
      </c>
    </row>
    <row r="298">
      <c r="A298" s="25" t="n"/>
      <c r="B298" s="11" t="n"/>
      <c r="C298" s="12" t="n"/>
      <c r="D298" s="12" t="n"/>
      <c r="E298" s="13" t="n"/>
      <c r="F298" s="13" t="n"/>
      <c r="G298" s="13" t="n"/>
      <c r="H298" s="13" t="n"/>
      <c r="I298" s="25" t="n"/>
      <c r="J298" s="25" t="n"/>
      <c r="K298" s="26" t="n"/>
      <c r="L298" s="26" t="n"/>
      <c r="M298" s="13">
        <f>IF(A298="","",COUNTIFS('Giao việc'!$M$5:$M$3004,A298,'Giao việc'!$I$5:$I$3004,"&lt;&gt;Bỏ qua"))</f>
        <v/>
      </c>
      <c r="N298" s="13">
        <f>IF(A298="","",COUNTIFS('Giao việc'!$M$5:$M$3004,A298,'Giao việc'!$I$5:$I$3004,"Xong"))</f>
        <v/>
      </c>
      <c r="O298" s="13">
        <f>IF(A298="","",COUNTIFS('Giao việc'!$M$5:$M$3004,A298,'Giao việc'!$L$5:$L$3004,"*QUÁ HẠN*"))</f>
        <v/>
      </c>
      <c r="P298" s="13">
        <f>IF(A298="","",COUNTIFS('Giao việc'!$M$5:$M$3004,A298,'Giao việc'!$L$5:$L$3004,"CHƯA GIAO*"))</f>
        <v/>
      </c>
      <c r="Q298" s="14">
        <f>IF(OR(A298="",N(M298)=0),"",N298/M298)</f>
        <v/>
      </c>
      <c r="R298" s="15">
        <f>IF(Q298="","",REPT("█",ROUND(Q298*10,0))&amp;REPT("░",10-ROUND(Q298*10,0)))</f>
        <v/>
      </c>
      <c r="S298" s="13">
        <f>IF(C298="","Chưa có ngày",IF(C298&gt;TODAY(),"Còn "&amp;(C298-TODAY())&amp;" ngày",IF(IF(D298="",C298,D298)&gt;=TODAY(),"Đang diễn ra","Đã qua "&amp;(TODAY()-IF(D298="",C298,D298))&amp;" ngày")))</f>
        <v/>
      </c>
      <c r="T298" s="13">
        <f>IF(AND(A298&lt;&gt;"",L298="Có",ISNUMBER(C298)),IF(IF(D298="",C298,D298)&gt;=TODAY()-35,C298+ROW()/100000,""),"")</f>
        <v/>
      </c>
    </row>
    <row r="299">
      <c r="A299" s="25" t="n"/>
      <c r="B299" s="11" t="n"/>
      <c r="C299" s="12" t="n"/>
      <c r="D299" s="12" t="n"/>
      <c r="E299" s="13" t="n"/>
      <c r="F299" s="13" t="n"/>
      <c r="G299" s="13" t="n"/>
      <c r="H299" s="13" t="n"/>
      <c r="I299" s="25" t="n"/>
      <c r="J299" s="25" t="n"/>
      <c r="K299" s="26" t="n"/>
      <c r="L299" s="26" t="n"/>
      <c r="M299" s="13">
        <f>IF(A299="","",COUNTIFS('Giao việc'!$M$5:$M$3004,A299,'Giao việc'!$I$5:$I$3004,"&lt;&gt;Bỏ qua"))</f>
        <v/>
      </c>
      <c r="N299" s="13">
        <f>IF(A299="","",COUNTIFS('Giao việc'!$M$5:$M$3004,A299,'Giao việc'!$I$5:$I$3004,"Xong"))</f>
        <v/>
      </c>
      <c r="O299" s="13">
        <f>IF(A299="","",COUNTIFS('Giao việc'!$M$5:$M$3004,A299,'Giao việc'!$L$5:$L$3004,"*QUÁ HẠN*"))</f>
        <v/>
      </c>
      <c r="P299" s="13">
        <f>IF(A299="","",COUNTIFS('Giao việc'!$M$5:$M$3004,A299,'Giao việc'!$L$5:$L$3004,"CHƯA GIAO*"))</f>
        <v/>
      </c>
      <c r="Q299" s="14">
        <f>IF(OR(A299="",N(M299)=0),"",N299/M299)</f>
        <v/>
      </c>
      <c r="R299" s="15">
        <f>IF(Q299="","",REPT("█",ROUND(Q299*10,0))&amp;REPT("░",10-ROUND(Q299*10,0)))</f>
        <v/>
      </c>
      <c r="S299" s="13">
        <f>IF(C299="","Chưa có ngày",IF(C299&gt;TODAY(),"Còn "&amp;(C299-TODAY())&amp;" ngày",IF(IF(D299="",C299,D299)&gt;=TODAY(),"Đang diễn ra","Đã qua "&amp;(TODAY()-IF(D299="",C299,D299))&amp;" ngày")))</f>
        <v/>
      </c>
      <c r="T299" s="13">
        <f>IF(AND(A299&lt;&gt;"",L299="Có",ISNUMBER(C299)),IF(IF(D299="",C299,D299)&gt;=TODAY()-35,C299+ROW()/100000,""),"")</f>
        <v/>
      </c>
    </row>
    <row r="300">
      <c r="A300" s="25" t="n"/>
      <c r="B300" s="11" t="n"/>
      <c r="C300" s="12" t="n"/>
      <c r="D300" s="12" t="n"/>
      <c r="E300" s="13" t="n"/>
      <c r="F300" s="13" t="n"/>
      <c r="G300" s="13" t="n"/>
      <c r="H300" s="13" t="n"/>
      <c r="I300" s="25" t="n"/>
      <c r="J300" s="25" t="n"/>
      <c r="K300" s="26" t="n"/>
      <c r="L300" s="26" t="n"/>
      <c r="M300" s="13">
        <f>IF(A300="","",COUNTIFS('Giao việc'!$M$5:$M$3004,A300,'Giao việc'!$I$5:$I$3004,"&lt;&gt;Bỏ qua"))</f>
        <v/>
      </c>
      <c r="N300" s="13">
        <f>IF(A300="","",COUNTIFS('Giao việc'!$M$5:$M$3004,A300,'Giao việc'!$I$5:$I$3004,"Xong"))</f>
        <v/>
      </c>
      <c r="O300" s="13">
        <f>IF(A300="","",COUNTIFS('Giao việc'!$M$5:$M$3004,A300,'Giao việc'!$L$5:$L$3004,"*QUÁ HẠN*"))</f>
        <v/>
      </c>
      <c r="P300" s="13">
        <f>IF(A300="","",COUNTIFS('Giao việc'!$M$5:$M$3004,A300,'Giao việc'!$L$5:$L$3004,"CHƯA GIAO*"))</f>
        <v/>
      </c>
      <c r="Q300" s="14">
        <f>IF(OR(A300="",N(M300)=0),"",N300/M300)</f>
        <v/>
      </c>
      <c r="R300" s="15">
        <f>IF(Q300="","",REPT("█",ROUND(Q300*10,0))&amp;REPT("░",10-ROUND(Q300*10,0)))</f>
        <v/>
      </c>
      <c r="S300" s="13">
        <f>IF(C300="","Chưa có ngày",IF(C300&gt;TODAY(),"Còn "&amp;(C300-TODAY())&amp;" ngày",IF(IF(D300="",C300,D300)&gt;=TODAY(),"Đang diễn ra","Đã qua "&amp;(TODAY()-IF(D300="",C300,D300))&amp;" ngày")))</f>
        <v/>
      </c>
      <c r="T300" s="13">
        <f>IF(AND(A300&lt;&gt;"",L300="Có",ISNUMBER(C300)),IF(IF(D300="",C300,D300)&gt;=TODAY()-35,C300+ROW()/100000,""),"")</f>
        <v/>
      </c>
    </row>
    <row r="301">
      <c r="A301" s="25" t="n"/>
      <c r="B301" s="11" t="n"/>
      <c r="C301" s="12" t="n"/>
      <c r="D301" s="12" t="n"/>
      <c r="E301" s="13" t="n"/>
      <c r="F301" s="13" t="n"/>
      <c r="G301" s="13" t="n"/>
      <c r="H301" s="13" t="n"/>
      <c r="I301" s="25" t="n"/>
      <c r="J301" s="25" t="n"/>
      <c r="K301" s="26" t="n"/>
      <c r="L301" s="26" t="n"/>
      <c r="M301" s="13">
        <f>IF(A301="","",COUNTIFS('Giao việc'!$M$5:$M$3004,A301,'Giao việc'!$I$5:$I$3004,"&lt;&gt;Bỏ qua"))</f>
        <v/>
      </c>
      <c r="N301" s="13">
        <f>IF(A301="","",COUNTIFS('Giao việc'!$M$5:$M$3004,A301,'Giao việc'!$I$5:$I$3004,"Xong"))</f>
        <v/>
      </c>
      <c r="O301" s="13">
        <f>IF(A301="","",COUNTIFS('Giao việc'!$M$5:$M$3004,A301,'Giao việc'!$L$5:$L$3004,"*QUÁ HẠN*"))</f>
        <v/>
      </c>
      <c r="P301" s="13">
        <f>IF(A301="","",COUNTIFS('Giao việc'!$M$5:$M$3004,A301,'Giao việc'!$L$5:$L$3004,"CHƯA GIAO*"))</f>
        <v/>
      </c>
      <c r="Q301" s="14">
        <f>IF(OR(A301="",N(M301)=0),"",N301/M301)</f>
        <v/>
      </c>
      <c r="R301" s="15">
        <f>IF(Q301="","",REPT("█",ROUND(Q301*10,0))&amp;REPT("░",10-ROUND(Q301*10,0)))</f>
        <v/>
      </c>
      <c r="S301" s="13">
        <f>IF(C301="","Chưa có ngày",IF(C301&gt;TODAY(),"Còn "&amp;(C301-TODAY())&amp;" ngày",IF(IF(D301="",C301,D301)&gt;=TODAY(),"Đang diễn ra","Đã qua "&amp;(TODAY()-IF(D301="",C301,D301))&amp;" ngày")))</f>
        <v/>
      </c>
      <c r="T301" s="13">
        <f>IF(AND(A301&lt;&gt;"",L301="Có",ISNUMBER(C301)),IF(IF(D301="",C301,D301)&gt;=TODAY()-35,C301+ROW()/100000,""),"")</f>
        <v/>
      </c>
    </row>
    <row r="302">
      <c r="A302" s="25" t="n"/>
      <c r="B302" s="11" t="n"/>
      <c r="C302" s="12" t="n"/>
      <c r="D302" s="12" t="n"/>
      <c r="E302" s="13" t="n"/>
      <c r="F302" s="13" t="n"/>
      <c r="G302" s="13" t="n"/>
      <c r="H302" s="13" t="n"/>
      <c r="I302" s="25" t="n"/>
      <c r="J302" s="25" t="n"/>
      <c r="K302" s="26" t="n"/>
      <c r="L302" s="26" t="n"/>
      <c r="M302" s="13">
        <f>IF(A302="","",COUNTIFS('Giao việc'!$M$5:$M$3004,A302,'Giao việc'!$I$5:$I$3004,"&lt;&gt;Bỏ qua"))</f>
        <v/>
      </c>
      <c r="N302" s="13">
        <f>IF(A302="","",COUNTIFS('Giao việc'!$M$5:$M$3004,A302,'Giao việc'!$I$5:$I$3004,"Xong"))</f>
        <v/>
      </c>
      <c r="O302" s="13">
        <f>IF(A302="","",COUNTIFS('Giao việc'!$M$5:$M$3004,A302,'Giao việc'!$L$5:$L$3004,"*QUÁ HẠN*"))</f>
        <v/>
      </c>
      <c r="P302" s="13">
        <f>IF(A302="","",COUNTIFS('Giao việc'!$M$5:$M$3004,A302,'Giao việc'!$L$5:$L$3004,"CHƯA GIAO*"))</f>
        <v/>
      </c>
      <c r="Q302" s="14">
        <f>IF(OR(A302="",N(M302)=0),"",N302/M302)</f>
        <v/>
      </c>
      <c r="R302" s="15">
        <f>IF(Q302="","",REPT("█",ROUND(Q302*10,0))&amp;REPT("░",10-ROUND(Q302*10,0)))</f>
        <v/>
      </c>
      <c r="S302" s="13">
        <f>IF(C302="","Chưa có ngày",IF(C302&gt;TODAY(),"Còn "&amp;(C302-TODAY())&amp;" ngày",IF(IF(D302="",C302,D302)&gt;=TODAY(),"Đang diễn ra","Đã qua "&amp;(TODAY()-IF(D302="",C302,D302))&amp;" ngày")))</f>
        <v/>
      </c>
      <c r="T302" s="13">
        <f>IF(AND(A302&lt;&gt;"",L302="Có",ISNUMBER(C302)),IF(IF(D302="",C302,D302)&gt;=TODAY()-35,C302+ROW()/100000,""),"")</f>
        <v/>
      </c>
    </row>
    <row r="303">
      <c r="A303" s="25" t="n"/>
      <c r="B303" s="11" t="n"/>
      <c r="C303" s="12" t="n"/>
      <c r="D303" s="12" t="n"/>
      <c r="E303" s="13" t="n"/>
      <c r="F303" s="13" t="n"/>
      <c r="G303" s="13" t="n"/>
      <c r="H303" s="13" t="n"/>
      <c r="I303" s="25" t="n"/>
      <c r="J303" s="25" t="n"/>
      <c r="K303" s="26" t="n"/>
      <c r="L303" s="26" t="n"/>
      <c r="M303" s="13">
        <f>IF(A303="","",COUNTIFS('Giao việc'!$M$5:$M$3004,A303,'Giao việc'!$I$5:$I$3004,"&lt;&gt;Bỏ qua"))</f>
        <v/>
      </c>
      <c r="N303" s="13">
        <f>IF(A303="","",COUNTIFS('Giao việc'!$M$5:$M$3004,A303,'Giao việc'!$I$5:$I$3004,"Xong"))</f>
        <v/>
      </c>
      <c r="O303" s="13">
        <f>IF(A303="","",COUNTIFS('Giao việc'!$M$5:$M$3004,A303,'Giao việc'!$L$5:$L$3004,"*QUÁ HẠN*"))</f>
        <v/>
      </c>
      <c r="P303" s="13">
        <f>IF(A303="","",COUNTIFS('Giao việc'!$M$5:$M$3004,A303,'Giao việc'!$L$5:$L$3004,"CHƯA GIAO*"))</f>
        <v/>
      </c>
      <c r="Q303" s="14">
        <f>IF(OR(A303="",N(M303)=0),"",N303/M303)</f>
        <v/>
      </c>
      <c r="R303" s="15">
        <f>IF(Q303="","",REPT("█",ROUND(Q303*10,0))&amp;REPT("░",10-ROUND(Q303*10,0)))</f>
        <v/>
      </c>
      <c r="S303" s="13">
        <f>IF(C303="","Chưa có ngày",IF(C303&gt;TODAY(),"Còn "&amp;(C303-TODAY())&amp;" ngày",IF(IF(D303="",C303,D303)&gt;=TODAY(),"Đang diễn ra","Đã qua "&amp;(TODAY()-IF(D303="",C303,D303))&amp;" ngày")))</f>
        <v/>
      </c>
      <c r="T303" s="13">
        <f>IF(AND(A303&lt;&gt;"",L303="Có",ISNUMBER(C303)),IF(IF(D303="",C303,D303)&gt;=TODAY()-35,C303+ROW()/100000,""),"")</f>
        <v/>
      </c>
    </row>
    <row r="304">
      <c r="A304" s="25" t="n"/>
      <c r="B304" s="11" t="n"/>
      <c r="C304" s="12" t="n"/>
      <c r="D304" s="12" t="n"/>
      <c r="E304" s="13" t="n"/>
      <c r="F304" s="13" t="n"/>
      <c r="G304" s="13" t="n"/>
      <c r="H304" s="13" t="n"/>
      <c r="I304" s="25" t="n"/>
      <c r="J304" s="25" t="n"/>
      <c r="K304" s="26" t="n"/>
      <c r="L304" s="26" t="n"/>
      <c r="M304" s="13">
        <f>IF(A304="","",COUNTIFS('Giao việc'!$M$5:$M$3004,A304,'Giao việc'!$I$5:$I$3004,"&lt;&gt;Bỏ qua"))</f>
        <v/>
      </c>
      <c r="N304" s="13">
        <f>IF(A304="","",COUNTIFS('Giao việc'!$M$5:$M$3004,A304,'Giao việc'!$I$5:$I$3004,"Xong"))</f>
        <v/>
      </c>
      <c r="O304" s="13">
        <f>IF(A304="","",COUNTIFS('Giao việc'!$M$5:$M$3004,A304,'Giao việc'!$L$5:$L$3004,"*QUÁ HẠN*"))</f>
        <v/>
      </c>
      <c r="P304" s="13">
        <f>IF(A304="","",COUNTIFS('Giao việc'!$M$5:$M$3004,A304,'Giao việc'!$L$5:$L$3004,"CHƯA GIAO*"))</f>
        <v/>
      </c>
      <c r="Q304" s="14">
        <f>IF(OR(A304="",N(M304)=0),"",N304/M304)</f>
        <v/>
      </c>
      <c r="R304" s="15">
        <f>IF(Q304="","",REPT("█",ROUND(Q304*10,0))&amp;REPT("░",10-ROUND(Q304*10,0)))</f>
        <v/>
      </c>
      <c r="S304" s="13">
        <f>IF(C304="","Chưa có ngày",IF(C304&gt;TODAY(),"Còn "&amp;(C304-TODAY())&amp;" ngày",IF(IF(D304="",C304,D304)&gt;=TODAY(),"Đang diễn ra","Đã qua "&amp;(TODAY()-IF(D304="",C304,D304))&amp;" ngày")))</f>
        <v/>
      </c>
      <c r="T304" s="13">
        <f>IF(AND(A304&lt;&gt;"",L304="Có",ISNUMBER(C304)),IF(IF(D304="",C304,D304)&gt;=TODAY()-35,C304+ROW()/100000,""),"")</f>
        <v/>
      </c>
    </row>
  </sheetData>
  <autoFilter ref="A4:S304"/>
  <conditionalFormatting sqref="A5:S304">
    <cfRule type="expression" priority="1" dxfId="6">
      <formula>$L5="Không"</formula>
    </cfRule>
  </conditionalFormatting>
  <conditionalFormatting sqref="O5:O304">
    <cfRule type="expression" priority="2" dxfId="0">
      <formula>N(O5)&gt;0</formula>
    </cfRule>
  </conditionalFormatting>
  <conditionalFormatting sqref="P5:P304">
    <cfRule type="expression" priority="3" dxfId="1">
      <formula>N(P5)&gt;0</formula>
    </cfRule>
  </conditionalFormatting>
  <dataValidations count="2">
    <dataValidation sqref="K5:K304" showDropDown="0" showInputMessage="0" showErrorMessage="0" allowBlank="1" type="list">
      <formula1>PEOPLE</formula1>
    </dataValidation>
    <dataValidation sqref="L5:L304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6B7B"/>
    <outlinePr summaryBelow="1" summaryRight="1"/>
    <pageSetUpPr/>
  </sheetPr>
  <dimension ref="A1:H8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64" customWidth="1" min="3" max="3"/>
    <col width="14" customWidth="1" min="4" max="4"/>
    <col width="16" customWidth="1" min="5" max="5"/>
    <col width="9" customWidth="1" min="6" max="6"/>
    <col width="10" customWidth="1" min="7" max="7"/>
    <col width="11" customWidth="1" min="8" max="8"/>
  </cols>
  <sheetData>
    <row r="1" ht="26" customHeight="1">
      <c r="A1" s="1" t="inlineStr">
        <is>
          <t>MẪU VIỆC CHO 1 SỰ KIỆN</t>
        </is>
      </c>
    </row>
    <row r="2">
      <c r="A2" s="2" t="inlineStr">
        <is>
          <t>Theo SOP MMHSOP_0XX. Sự kiện mới được tạo việc theo bảng này (sửa / thêm / xoá dòng tuỳ ý — chỉ áp cho sự kiện tạo SAU khi sửa). D − n = ngày lịch, D + n = ngày làm việc.</t>
        </is>
      </c>
    </row>
    <row r="4" ht="32" customHeight="1">
      <c r="A4" s="23" t="inlineStr">
        <is>
          <t>Mã</t>
        </is>
      </c>
      <c r="B4" s="23" t="inlineStr">
        <is>
          <t>Hạng mục</t>
        </is>
      </c>
      <c r="C4" s="23" t="inlineStr">
        <is>
          <t>Việc</t>
        </is>
      </c>
      <c r="D4" s="23" t="inlineStr">
        <is>
          <t>Vai trò mặc định</t>
        </is>
      </c>
      <c r="E4" s="23" t="inlineStr">
        <is>
          <t>Phối hợp</t>
        </is>
      </c>
      <c r="F4" s="23" t="inlineStr">
        <is>
          <t>Số ngày so với D</t>
        </is>
      </c>
      <c r="G4" s="23" t="inlineStr">
        <is>
          <t>Tính theo</t>
        </is>
      </c>
      <c r="H4" s="23" t="inlineStr">
        <is>
          <t>Áp dụng cho</t>
        </is>
      </c>
    </row>
    <row r="5">
      <c r="A5" s="28" t="inlineStr">
        <is>
          <t>K01</t>
        </is>
      </c>
      <c r="B5" s="28" t="inlineStr">
        <is>
          <t>1. Kế hoạch</t>
        </is>
      </c>
      <c r="C5" s="11" t="inlineStr">
        <is>
          <t>Lập kế hoạch tổng quan (KOL, số khách, mục đích, KPI bán hàng, khuyến mại, khảo sát) + xin Giám đốc duyệt ngân sách</t>
        </is>
      </c>
      <c r="D5" s="28" t="inlineStr">
        <is>
          <t>MKT Leader</t>
        </is>
      </c>
      <c r="E5" s="28" t="inlineStr">
        <is>
          <t>Sales, NPP</t>
        </is>
      </c>
      <c r="F5" s="28" t="n">
        <v>-30</v>
      </c>
      <c r="G5" s="28" t="inlineStr">
        <is>
          <t>Lịch</t>
        </is>
      </c>
      <c r="H5" s="28" t="inlineStr">
        <is>
          <t>Tất cả</t>
        </is>
      </c>
    </row>
    <row r="6">
      <c r="A6" s="28" t="inlineStr">
        <is>
          <t>K02</t>
        </is>
      </c>
      <c r="B6" s="28" t="inlineStr">
        <is>
          <t>1. Kế hoạch</t>
        </is>
      </c>
      <c r="C6" s="11" t="inlineStr">
        <is>
          <t>Chia việc với NPP, Trường / Viện (tuyển sinh, đồ thực hành, MC, số bàn trưng bày)</t>
        </is>
      </c>
      <c r="D6" s="28" t="inlineStr">
        <is>
          <t>MKT Leader</t>
        </is>
      </c>
      <c r="E6" s="28" t="inlineStr">
        <is>
          <t>NPP, Viện</t>
        </is>
      </c>
      <c r="F6" s="28" t="n">
        <v>-30</v>
      </c>
      <c r="G6" s="28" t="inlineStr">
        <is>
          <t>Lịch</t>
        </is>
      </c>
      <c r="H6" s="28" t="inlineStr">
        <is>
          <t>Tất cả</t>
        </is>
      </c>
    </row>
    <row r="7">
      <c r="A7" s="28" t="inlineStr">
        <is>
          <t>K03</t>
        </is>
      </c>
      <c r="B7" s="28" t="inlineStr">
        <is>
          <t>2. KOL &amp; đối tác</t>
        </is>
      </c>
      <c r="C7" s="11" t="inlineStr">
        <is>
          <t>Chốt KOL: hợp đồng, lịch di chuyển, xem trước bài giảng, người chăm sóc KOL</t>
        </is>
      </c>
      <c r="D7" s="28" t="inlineStr">
        <is>
          <t>MKT Leader</t>
        </is>
      </c>
      <c r="E7" s="28" t="inlineStr">
        <is>
          <t>KOL</t>
        </is>
      </c>
      <c r="F7" s="28" t="n">
        <v>-30</v>
      </c>
      <c r="G7" s="28" t="inlineStr">
        <is>
          <t>Lịch</t>
        </is>
      </c>
      <c r="H7" s="28" t="inlineStr">
        <is>
          <t>Tất cả</t>
        </is>
      </c>
    </row>
    <row r="8">
      <c r="A8" s="28" t="inlineStr">
        <is>
          <t>K04</t>
        </is>
      </c>
      <c r="B8" s="28" t="inlineStr">
        <is>
          <t>3. Tuyển sinh</t>
        </is>
      </c>
      <c r="C8" s="11" t="inlineStr">
        <is>
          <t>Mở tuyển sinh: form đăng ký (khảo sát trước, đồng ý dữ liệu, nguồn đăng ký) + nhóm Zalo khách</t>
        </is>
      </c>
      <c r="D8" s="28" t="inlineStr">
        <is>
          <t>Digital MKT</t>
        </is>
      </c>
      <c r="E8" s="28" t="inlineStr">
        <is>
          <t>Sales, NPP</t>
        </is>
      </c>
      <c r="F8" s="28" t="n">
        <v>-30</v>
      </c>
      <c r="G8" s="28" t="inlineStr">
        <is>
          <t>Lịch</t>
        </is>
      </c>
      <c r="H8" s="28" t="inlineStr">
        <is>
          <t>Tất cả</t>
        </is>
      </c>
    </row>
    <row r="9">
      <c r="A9" s="28" t="inlineStr">
        <is>
          <t>K05</t>
        </is>
      </c>
      <c r="B9" s="28" t="inlineStr">
        <is>
          <t>3. Tuyển sinh</t>
        </is>
      </c>
      <c r="C9" s="11" t="inlineStr">
        <is>
          <t>Báo cáo số đăng ký theo nguồn cho team (thứ Hai hằng tuần, đến D-1)</t>
        </is>
      </c>
      <c r="D9" s="28" t="inlineStr">
        <is>
          <t>MKT Leader</t>
        </is>
      </c>
      <c r="E9" s="28" t="inlineStr">
        <is>
          <t>Sales, NPP</t>
        </is>
      </c>
      <c r="F9" s="28" t="n">
        <v>-1</v>
      </c>
      <c r="G9" s="28" t="inlineStr">
        <is>
          <t>Lịch</t>
        </is>
      </c>
      <c r="H9" s="28" t="inlineStr">
        <is>
          <t>Tất cả</t>
        </is>
      </c>
    </row>
    <row r="10">
      <c r="A10" s="28" t="inlineStr">
        <is>
          <t>K06</t>
        </is>
      </c>
      <c r="B10" s="28" t="inlineStr">
        <is>
          <t>3. Tuyển sinh</t>
        </is>
      </c>
      <c r="C10" s="11" t="inlineStr">
        <is>
          <t>Checkpoint D-14: đăng ký &lt; 60% target ⇒ báo Giám đốc phương án</t>
        </is>
      </c>
      <c r="D10" s="28" t="inlineStr">
        <is>
          <t>MKT Leader</t>
        </is>
      </c>
      <c r="E10" s="28" t="inlineStr">
        <is>
          <t>Giám đốc</t>
        </is>
      </c>
      <c r="F10" s="28" t="n">
        <v>-14</v>
      </c>
      <c r="G10" s="28" t="inlineStr">
        <is>
          <t>Lịch</t>
        </is>
      </c>
      <c r="H10" s="28" t="inlineStr">
        <is>
          <t>Tất cả</t>
        </is>
      </c>
    </row>
    <row r="11">
      <c r="A11" s="28" t="inlineStr">
        <is>
          <t>K07</t>
        </is>
      </c>
      <c r="B11" s="28" t="inlineStr">
        <is>
          <t>3. Tuyển sinh</t>
        </is>
      </c>
      <c r="C11" s="11" t="inlineStr">
        <is>
          <t>Sales / NPP gửi đủ thông tin khách đăng ký hộ (Họ tên · SĐT · Nơi công tác)</t>
        </is>
      </c>
      <c r="D11" s="28" t="inlineStr">
        <is>
          <t>Sales</t>
        </is>
      </c>
      <c r="E11" s="28" t="inlineStr">
        <is>
          <t>NPP</t>
        </is>
      </c>
      <c r="F11" s="28" t="n">
        <v>-5</v>
      </c>
      <c r="G11" s="28" t="inlineStr">
        <is>
          <t>Lịch</t>
        </is>
      </c>
      <c r="H11" s="28" t="inlineStr">
        <is>
          <t>Tất cả</t>
        </is>
      </c>
    </row>
    <row r="12">
      <c r="A12" s="28" t="inlineStr">
        <is>
          <t>K08</t>
        </is>
      </c>
      <c r="B12" s="28" t="inlineStr">
        <is>
          <t>4. Truyền thông</t>
        </is>
      </c>
      <c r="C12" s="11" t="inlineStr">
        <is>
          <t>Đăng chuỗi bài truyền thông sự kiện</t>
        </is>
      </c>
      <c r="D12" s="28" t="inlineStr">
        <is>
          <t>Digital MKT</t>
        </is>
      </c>
      <c r="E12" s="28" t="inlineStr">
        <is>
          <t>Sales, NPP chia sẻ</t>
        </is>
      </c>
      <c r="F12" s="28" t="n">
        <v>-14</v>
      </c>
      <c r="G12" s="28" t="inlineStr">
        <is>
          <t>Lịch</t>
        </is>
      </c>
      <c r="H12" s="28" t="inlineStr">
        <is>
          <t>Tất cả</t>
        </is>
      </c>
    </row>
    <row r="13">
      <c r="A13" s="28" t="inlineStr">
        <is>
          <t>K09</t>
        </is>
      </c>
      <c r="B13" s="28" t="inlineStr">
        <is>
          <t>5. Địa điểm &amp; hậu cần</t>
        </is>
      </c>
      <c r="C13" s="11" t="inlineStr">
        <is>
          <t>Đặt địa điểm (ngày, phòng, sức chứa, báo giá)</t>
        </is>
      </c>
      <c r="D13" s="28" t="inlineStr">
        <is>
          <t>Trade MKT</t>
        </is>
      </c>
      <c r="E13" s="28" t="inlineStr">
        <is>
          <t>Địa điểm</t>
        </is>
      </c>
      <c r="F13" s="28" t="n">
        <v>-30</v>
      </c>
      <c r="G13" s="28" t="inlineStr">
        <is>
          <t>Lịch</t>
        </is>
      </c>
      <c r="H13" s="28" t="inlineStr">
        <is>
          <t>Trực tiếp</t>
        </is>
      </c>
    </row>
    <row r="14">
      <c r="A14" s="28" t="inlineStr">
        <is>
          <t>K10</t>
        </is>
      </c>
      <c r="B14" s="28" t="inlineStr">
        <is>
          <t>5. Địa điểm &amp; hậu cần</t>
        </is>
      </c>
      <c r="C14" s="11" t="inlineStr">
        <is>
          <t>Chốt setup với địa điểm: sơ đồ, tea break / ăn trưa, kỹ thuật, sự kiện khác cùng giờ</t>
        </is>
      </c>
      <c r="D14" s="28" t="inlineStr">
        <is>
          <t>Trade MKT</t>
        </is>
      </c>
      <c r="E14" s="28" t="inlineStr">
        <is>
          <t>Địa điểm</t>
        </is>
      </c>
      <c r="F14" s="28" t="n">
        <v>-14</v>
      </c>
      <c r="G14" s="28" t="inlineStr">
        <is>
          <t>Lịch</t>
        </is>
      </c>
      <c r="H14" s="28" t="inlineStr">
        <is>
          <t>Trực tiếp</t>
        </is>
      </c>
    </row>
    <row r="15">
      <c r="A15" s="28" t="inlineStr">
        <is>
          <t>K11</t>
        </is>
      </c>
      <c r="B15" s="28" t="inlineStr">
        <is>
          <t>5. Địa điểm &amp; hậu cần</t>
        </is>
      </c>
      <c r="C15" s="11" t="inlineStr">
        <is>
          <t>Webinar: tạo phòng Zoom (đăng ký, ghi hình, báo cáo người tham dự)</t>
        </is>
      </c>
      <c r="D15" s="28" t="inlineStr">
        <is>
          <t>Digital MKT</t>
        </is>
      </c>
      <c r="E15" s="28" t="inlineStr">
        <is>
          <t>KOL</t>
        </is>
      </c>
      <c r="F15" s="28" t="n">
        <v>-30</v>
      </c>
      <c r="G15" s="28" t="inlineStr">
        <is>
          <t>Lịch</t>
        </is>
      </c>
      <c r="H15" s="28" t="inlineStr">
        <is>
          <t>Webinar</t>
        </is>
      </c>
    </row>
    <row r="16">
      <c r="A16" s="28" t="inlineStr">
        <is>
          <t>K12</t>
        </is>
      </c>
      <c r="B16" s="28" t="inlineStr">
        <is>
          <t>6. Nội dung</t>
        </is>
      </c>
      <c r="C16" s="11" t="inlineStr">
        <is>
          <t>Timeline chi tiết ngày D</t>
        </is>
      </c>
      <c r="D16" s="28" t="inlineStr">
        <is>
          <t>MKT Leader</t>
        </is>
      </c>
      <c r="E16" s="28" t="inlineStr">
        <is>
          <t>KOL, Viện</t>
        </is>
      </c>
      <c r="F16" s="28" t="n">
        <v>-7</v>
      </c>
      <c r="G16" s="28" t="inlineStr">
        <is>
          <t>Lịch</t>
        </is>
      </c>
      <c r="H16" s="28" t="inlineStr">
        <is>
          <t>Tất cả</t>
        </is>
      </c>
    </row>
    <row r="17">
      <c r="A17" s="28" t="inlineStr">
        <is>
          <t>K13</t>
        </is>
      </c>
      <c r="B17" s="28" t="inlineStr">
        <is>
          <t>6. Nội dung</t>
        </is>
      </c>
      <c r="C17" s="11" t="inlineStr">
        <is>
          <t>Kịch bản MC, kịch bản phát biểu, video trình chiếu</t>
        </is>
      </c>
      <c r="D17" s="28" t="inlineStr">
        <is>
          <t>Digital MKT</t>
        </is>
      </c>
      <c r="E17" s="28" t="inlineStr">
        <is>
          <t>KOL, Viện</t>
        </is>
      </c>
      <c r="F17" s="28" t="n">
        <v>-7</v>
      </c>
      <c r="G17" s="28" t="inlineStr">
        <is>
          <t>Lịch</t>
        </is>
      </c>
      <c r="H17" s="28" t="inlineStr">
        <is>
          <t>Tất cả</t>
        </is>
      </c>
    </row>
    <row r="18">
      <c r="A18" s="28" t="inlineStr">
        <is>
          <t>K14</t>
        </is>
      </c>
      <c r="B18" s="28" t="inlineStr">
        <is>
          <t>7. Ấn phẩm &amp; đồ</t>
        </is>
      </c>
      <c r="C18" s="11" t="inlineStr">
        <is>
          <t>Thiết kế &amp; in: backdrop, standee, thẻ đeo, bảng tên, folder, QR khảo sát, biểu mẫu check-in ký tay</t>
        </is>
      </c>
      <c r="D18" s="28" t="inlineStr">
        <is>
          <t>Digital MKT</t>
        </is>
      </c>
      <c r="E18" s="28" t="inlineStr">
        <is>
          <t>Trade MKT</t>
        </is>
      </c>
      <c r="F18" s="28" t="n">
        <v>-7</v>
      </c>
      <c r="G18" s="28" t="inlineStr">
        <is>
          <t>Lịch</t>
        </is>
      </c>
      <c r="H18" s="28" t="inlineStr">
        <is>
          <t>Trực tiếp</t>
        </is>
      </c>
    </row>
    <row r="19">
      <c r="A19" s="28" t="inlineStr">
        <is>
          <t>K15</t>
        </is>
      </c>
      <c r="B19" s="28" t="inlineStr">
        <is>
          <t>7. Ấn phẩm &amp; đồ</t>
        </is>
      </c>
      <c r="C19" s="11" t="inlineStr">
        <is>
          <t>Đồ marketing + đồ thực hành theo phiên (nguồn, báo giá, đồ mượn)</t>
        </is>
      </c>
      <c r="D19" s="28" t="inlineStr">
        <is>
          <t>Trade MKT</t>
        </is>
      </c>
      <c r="E19" s="28" t="inlineStr">
        <is>
          <t>KOL, NPP</t>
        </is>
      </c>
      <c r="F19" s="28" t="n">
        <v>-10</v>
      </c>
      <c r="G19" s="28" t="inlineStr">
        <is>
          <t>Lịch</t>
        </is>
      </c>
      <c r="H19" s="28" t="inlineStr">
        <is>
          <t>Trực tiếp</t>
        </is>
      </c>
    </row>
    <row r="20">
      <c r="A20" s="28" t="inlineStr">
        <is>
          <t>K16</t>
        </is>
      </c>
      <c r="B20" s="28" t="inlineStr">
        <is>
          <t>7. Ấn phẩm &amp; đồ</t>
        </is>
      </c>
      <c r="C20" s="11" t="inlineStr">
        <is>
          <t>VIP / đại biểu (nếu có Viện): danh sách, hoa, bảng tên mica, quà, lời giới thiệu</t>
        </is>
      </c>
      <c r="D20" s="28" t="inlineStr">
        <is>
          <t>Trade MKT</t>
        </is>
      </c>
      <c r="E20" s="28" t="inlineStr">
        <is>
          <t>Viện</t>
        </is>
      </c>
      <c r="F20" s="28" t="n">
        <v>-7</v>
      </c>
      <c r="G20" s="28" t="inlineStr">
        <is>
          <t>Lịch</t>
        </is>
      </c>
      <c r="H20" s="28" t="inlineStr">
        <is>
          <t>Trực tiếp</t>
        </is>
      </c>
    </row>
    <row r="21">
      <c r="A21" s="28" t="inlineStr">
        <is>
          <t>K17</t>
        </is>
      </c>
      <c r="B21" s="28" t="inlineStr">
        <is>
          <t>7. Ấn phẩm &amp; đồ</t>
        </is>
      </c>
      <c r="C21" s="11" t="inlineStr">
        <is>
          <t>Gửi đồ đi tỉnh + xác nhận địa điểm nhận đủ</t>
        </is>
      </c>
      <c r="D21" s="28" t="inlineStr">
        <is>
          <t>Trade MKT</t>
        </is>
      </c>
      <c r="E21" s="28" t="inlineStr">
        <is>
          <t>Địa điểm</t>
        </is>
      </c>
      <c r="F21" s="28" t="n">
        <v>-7</v>
      </c>
      <c r="G21" s="28" t="inlineStr">
        <is>
          <t>Lịch</t>
        </is>
      </c>
      <c r="H21" s="28" t="inlineStr">
        <is>
          <t>Ngoài Hà Nội</t>
        </is>
      </c>
    </row>
    <row r="22">
      <c r="A22" s="28" t="inlineStr">
        <is>
          <t>K18</t>
        </is>
      </c>
      <c r="B22" s="28" t="inlineStr">
        <is>
          <t>8. Chốt trước D</t>
        </is>
      </c>
      <c r="C22" s="11" t="inlineStr">
        <is>
          <t>Họp với NPP: agenda, nhân sự, bán hàng, sản phẩm</t>
        </is>
      </c>
      <c r="D22" s="28" t="inlineStr">
        <is>
          <t>MKT Leader</t>
        </is>
      </c>
      <c r="E22" s="28" t="inlineStr">
        <is>
          <t>NPP, Sales</t>
        </is>
      </c>
      <c r="F22" s="28" t="n">
        <v>-3</v>
      </c>
      <c r="G22" s="28" t="inlineStr">
        <is>
          <t>Lịch</t>
        </is>
      </c>
      <c r="H22" s="28" t="inlineStr">
        <is>
          <t>Tất cả</t>
        </is>
      </c>
    </row>
    <row r="23">
      <c r="A23" s="28" t="inlineStr">
        <is>
          <t>K19</t>
        </is>
      </c>
      <c r="B23" s="28" t="inlineStr">
        <is>
          <t>8. Chốt trước D</t>
        </is>
      </c>
      <c r="C23" s="11" t="inlineStr">
        <is>
          <t>Rà soát dữ liệu khách (thiếu thông tin / chưa đồng ý dữ liệu)</t>
        </is>
      </c>
      <c r="D23" s="28" t="inlineStr">
        <is>
          <t>Digital MKT</t>
        </is>
      </c>
      <c r="E23" s="28" t="inlineStr">
        <is>
          <t>Sales, NPP</t>
        </is>
      </c>
      <c r="F23" s="28" t="n">
        <v>-3</v>
      </c>
      <c r="G23" s="28" t="inlineStr">
        <is>
          <t>Lịch</t>
        </is>
      </c>
      <c r="H23" s="28" t="inlineStr">
        <is>
          <t>Tất cả</t>
        </is>
      </c>
    </row>
    <row r="24">
      <c r="A24" s="28" t="inlineStr">
        <is>
          <t>K20</t>
        </is>
      </c>
      <c r="B24" s="28" t="inlineStr">
        <is>
          <t>8. Chốt trước D</t>
        </is>
      </c>
      <c r="C24" s="11" t="inlineStr">
        <is>
          <t>Phân công nhân sự trước / trong / sau, giờ có mặt</t>
        </is>
      </c>
      <c r="D24" s="28" t="inlineStr">
        <is>
          <t>MKT Leader</t>
        </is>
      </c>
      <c r="E24" s="28" t="inlineStr">
        <is>
          <t>Sales, NPP</t>
        </is>
      </c>
      <c r="F24" s="28" t="n">
        <v>-3</v>
      </c>
      <c r="G24" s="28" t="inlineStr">
        <is>
          <t>Lịch</t>
        </is>
      </c>
      <c r="H24" s="28" t="inlineStr">
        <is>
          <t>Tất cả</t>
        </is>
      </c>
    </row>
    <row r="25">
      <c r="A25" s="28" t="inlineStr">
        <is>
          <t>K21</t>
        </is>
      </c>
      <c r="B25" s="28" t="inlineStr">
        <is>
          <t>8. Chốt trước D</t>
        </is>
      </c>
      <c r="C25" s="11" t="inlineStr">
        <is>
          <t>Họp review D-1 + gọi nhắc khách + set up địa điểm / chạy thử Zoom</t>
        </is>
      </c>
      <c r="D25" s="28" t="inlineStr">
        <is>
          <t>MKT Leader</t>
        </is>
      </c>
      <c r="E25" s="28" t="inlineStr">
        <is>
          <t>Toàn team</t>
        </is>
      </c>
      <c r="F25" s="28" t="n">
        <v>-1</v>
      </c>
      <c r="G25" s="28" t="inlineStr">
        <is>
          <t>Lịch</t>
        </is>
      </c>
      <c r="H25" s="28" t="inlineStr">
        <is>
          <t>Tất cả</t>
        </is>
      </c>
    </row>
    <row r="26">
      <c r="A26" s="28" t="inlineStr">
        <is>
          <t>K22</t>
        </is>
      </c>
      <c r="B26" s="28" t="inlineStr">
        <is>
          <t>9. Ngày D</t>
        </is>
      </c>
      <c r="C26" s="11" t="inlineStr">
        <is>
          <t>Check-in có chữ ký + đồng ý dữ liệu (webinar: xuất báo cáo Zoom ngay sau buổi)</t>
        </is>
      </c>
      <c r="D26" s="28" t="inlineStr">
        <is>
          <t>Digital MKT</t>
        </is>
      </c>
      <c r="E26" s="28" t="inlineStr">
        <is>
          <t>Trade, NPP</t>
        </is>
      </c>
      <c r="F26" s="28" t="n">
        <v>0</v>
      </c>
      <c r="G26" s="28" t="inlineStr">
        <is>
          <t>Lịch</t>
        </is>
      </c>
      <c r="H26" s="28" t="inlineStr">
        <is>
          <t>Tất cả</t>
        </is>
      </c>
    </row>
    <row r="27">
      <c r="A27" s="28" t="inlineStr">
        <is>
          <t>K23</t>
        </is>
      </c>
      <c r="B27" s="28" t="inlineStr">
        <is>
          <t>9. Ngày D</t>
        </is>
      </c>
      <c r="C27" s="11" t="inlineStr">
        <is>
          <t>Điều phối chương trình, khảo sát QR trước bế mạc, ảnh / video</t>
        </is>
      </c>
      <c r="D27" s="28" t="inlineStr">
        <is>
          <t>MKT Leader</t>
        </is>
      </c>
      <c r="E27" s="28" t="inlineStr">
        <is>
          <t>Digital MKT</t>
        </is>
      </c>
      <c r="F27" s="28" t="n">
        <v>0</v>
      </c>
      <c r="G27" s="28" t="inlineStr">
        <is>
          <t>Lịch</t>
        </is>
      </c>
      <c r="H27" s="28" t="inlineStr">
        <is>
          <t>Tất cả</t>
        </is>
      </c>
    </row>
    <row r="28">
      <c r="A28" s="28" t="inlineStr">
        <is>
          <t>K24</t>
        </is>
      </c>
      <c r="B28" s="28" t="inlineStr">
        <is>
          <t>9. Ngày D</t>
        </is>
      </c>
      <c r="C28" s="11" t="inlineStr">
        <is>
          <t>Bán hàng tại bàn trưng bày + ghi khách quan tâm</t>
        </is>
      </c>
      <c r="D28" s="28" t="inlineStr">
        <is>
          <t>Sales</t>
        </is>
      </c>
      <c r="E28" s="28" t="inlineStr">
        <is>
          <t>NPP</t>
        </is>
      </c>
      <c r="F28" s="28" t="n">
        <v>0</v>
      </c>
      <c r="G28" s="28" t="inlineStr">
        <is>
          <t>Lịch</t>
        </is>
      </c>
      <c r="H28" s="28" t="inlineStr">
        <is>
          <t>Trực tiếp</t>
        </is>
      </c>
    </row>
    <row r="29">
      <c r="A29" s="28" t="inlineStr">
        <is>
          <t>K25</t>
        </is>
      </c>
      <c r="B29" s="28" t="inlineStr">
        <is>
          <t>9. Ngày D</t>
        </is>
      </c>
      <c r="C29" s="11" t="inlineStr">
        <is>
          <t>Thu dọn, kiểm đếm, ghi POSM hỏng</t>
        </is>
      </c>
      <c r="D29" s="28" t="inlineStr">
        <is>
          <t>Trade MKT</t>
        </is>
      </c>
      <c r="E29" s="28" t="inlineStr">
        <is>
          <t>NPP</t>
        </is>
      </c>
      <c r="F29" s="28" t="n">
        <v>0</v>
      </c>
      <c r="G29" s="28" t="inlineStr">
        <is>
          <t>Lịch</t>
        </is>
      </c>
      <c r="H29" s="28" t="inlineStr">
        <is>
          <t>Trực tiếp</t>
        </is>
      </c>
    </row>
    <row r="30">
      <c r="A30" s="28" t="inlineStr">
        <is>
          <t>K26</t>
        </is>
      </c>
      <c r="B30" s="28" t="inlineStr">
        <is>
          <t>10. Sau sự kiện</t>
        </is>
      </c>
      <c r="C30" s="11" t="inlineStr">
        <is>
          <t>Bài cảm ơn + ảnh recap; video recap (nếu có)</t>
        </is>
      </c>
      <c r="D30" s="28" t="inlineStr">
        <is>
          <t>Digital MKT</t>
        </is>
      </c>
      <c r="E30" s="28" t="inlineStr"/>
      <c r="F30" s="28" t="n">
        <v>2</v>
      </c>
      <c r="G30" s="28" t="inlineStr">
        <is>
          <t>Làm việc</t>
        </is>
      </c>
      <c r="H30" s="28" t="inlineStr">
        <is>
          <t>Tất cả</t>
        </is>
      </c>
    </row>
    <row r="31">
      <c r="A31" s="28" t="inlineStr">
        <is>
          <t>K27</t>
        </is>
      </c>
      <c r="B31" s="28" t="inlineStr">
        <is>
          <t>10. Sau sự kiện</t>
        </is>
      </c>
      <c r="C31" s="11" t="inlineStr">
        <is>
          <t>Scan biểu mẫu ký tay + upload ảnh / video lên folder sự kiện</t>
        </is>
      </c>
      <c r="D31" s="28" t="inlineStr">
        <is>
          <t>Trade MKT</t>
        </is>
      </c>
      <c r="E31" s="28" t="inlineStr">
        <is>
          <t>Digital MKT</t>
        </is>
      </c>
      <c r="F31" s="28" t="n">
        <v>2</v>
      </c>
      <c r="G31" s="28" t="inlineStr">
        <is>
          <t>Làm việc</t>
        </is>
      </c>
      <c r="H31" s="28" t="inlineStr">
        <is>
          <t>Trực tiếp</t>
        </is>
      </c>
    </row>
    <row r="32">
      <c r="A32" s="28" t="inlineStr">
        <is>
          <t>K28</t>
        </is>
      </c>
      <c r="B32" s="28" t="inlineStr">
        <is>
          <t>10. Sau sự kiện</t>
        </is>
      </c>
      <c r="C32" s="11" t="inlineStr">
        <is>
          <t>Đối chiếu dữ liệu khách (loại trùng, đủ trường) ⇒ CUSTOMER LIST; tổng hợp khảo sát</t>
        </is>
      </c>
      <c r="D32" s="28" t="inlineStr">
        <is>
          <t>Digital MKT</t>
        </is>
      </c>
      <c r="E32" s="28" t="inlineStr">
        <is>
          <t>Sales, NPP</t>
        </is>
      </c>
      <c r="F32" s="28" t="n">
        <v>3</v>
      </c>
      <c r="G32" s="28" t="inlineStr">
        <is>
          <t>Làm việc</t>
        </is>
      </c>
      <c r="H32" s="28" t="inlineStr">
        <is>
          <t>Tất cả</t>
        </is>
      </c>
    </row>
    <row r="33">
      <c r="A33" s="28" t="inlineStr">
        <is>
          <t>K29</t>
        </is>
      </c>
      <c r="B33" s="28" t="inlineStr">
        <is>
          <t>10. Sau sự kiện</t>
        </is>
      </c>
      <c r="C33" s="11" t="inlineStr">
        <is>
          <t>Sales + NPP gửi số liệu bán hàng tại sự kiện</t>
        </is>
      </c>
      <c r="D33" s="28" t="inlineStr">
        <is>
          <t>Sales</t>
        </is>
      </c>
      <c r="E33" s="28" t="inlineStr">
        <is>
          <t>NPP</t>
        </is>
      </c>
      <c r="F33" s="28" t="n">
        <v>3</v>
      </c>
      <c r="G33" s="28" t="inlineStr">
        <is>
          <t>Làm việc</t>
        </is>
      </c>
      <c r="H33" s="28" t="inlineStr">
        <is>
          <t>Tất cả</t>
        </is>
      </c>
    </row>
    <row r="34">
      <c r="A34" s="28" t="inlineStr">
        <is>
          <t>K30</t>
        </is>
      </c>
      <c r="B34" s="28" t="inlineStr">
        <is>
          <t>10. Sau sự kiện</t>
        </is>
      </c>
      <c r="C34" s="11" t="inlineStr">
        <is>
          <t>Bàn giao danh sách khách cần follow-up cho Sales</t>
        </is>
      </c>
      <c r="D34" s="28" t="inlineStr">
        <is>
          <t>Digital MKT</t>
        </is>
      </c>
      <c r="E34" s="28" t="inlineStr">
        <is>
          <t>Sales</t>
        </is>
      </c>
      <c r="F34" s="28" t="n">
        <v>3</v>
      </c>
      <c r="G34" s="28" t="inlineStr">
        <is>
          <t>Làm việc</t>
        </is>
      </c>
      <c r="H34" s="28" t="inlineStr">
        <is>
          <t>Tất cả</t>
        </is>
      </c>
    </row>
    <row r="35">
      <c r="A35" s="28" t="inlineStr">
        <is>
          <t>K31</t>
        </is>
      </c>
      <c r="B35" s="28" t="inlineStr">
        <is>
          <t>10. Sau sự kiện</t>
        </is>
      </c>
      <c r="C35" s="11" t="inlineStr">
        <is>
          <t>Báo cáo sự kiện + chứng từ KOL, hoá đơn địa điểm</t>
        </is>
      </c>
      <c r="D35" s="28" t="inlineStr">
        <is>
          <t>MKT Leader</t>
        </is>
      </c>
      <c r="E35" s="28" t="inlineStr">
        <is>
          <t>Trade MKT</t>
        </is>
      </c>
      <c r="F35" s="28" t="n">
        <v>5</v>
      </c>
      <c r="G35" s="28" t="inlineStr">
        <is>
          <t>Làm việc</t>
        </is>
      </c>
      <c r="H35" s="28" t="inlineStr">
        <is>
          <t>Tất cả</t>
        </is>
      </c>
    </row>
    <row r="36">
      <c r="A36" s="28" t="inlineStr">
        <is>
          <t>K32</t>
        </is>
      </c>
      <c r="B36" s="28" t="inlineStr">
        <is>
          <t>10. Sau sự kiện</t>
        </is>
      </c>
      <c r="C36" s="11" t="inlineStr">
        <is>
          <t>Email báo cáo toàn MMH (4 file đính kèm) + hoàn tất lưu hồ sơ</t>
        </is>
      </c>
      <c r="D36" s="28" t="inlineStr">
        <is>
          <t>MKT Leader</t>
        </is>
      </c>
      <c r="E36" s="28" t="inlineStr"/>
      <c r="F36" s="28" t="n">
        <v>7</v>
      </c>
      <c r="G36" s="28" t="inlineStr">
        <is>
          <t>Làm việc</t>
        </is>
      </c>
      <c r="H36" s="28" t="inlineStr">
        <is>
          <t>Tất cả</t>
        </is>
      </c>
    </row>
    <row r="37">
      <c r="A37" s="28" t="inlineStr">
        <is>
          <t>K33</t>
        </is>
      </c>
      <c r="B37" s="28" t="inlineStr">
        <is>
          <t>11. Follow-up</t>
        </is>
      </c>
      <c r="C37" s="11" t="inlineStr">
        <is>
          <t>Sales liên hệ lần đầu khách cần follow-up</t>
        </is>
      </c>
      <c r="D37" s="28" t="inlineStr">
        <is>
          <t>Sales</t>
        </is>
      </c>
      <c r="E37" s="28" t="inlineStr">
        <is>
          <t>NPP</t>
        </is>
      </c>
      <c r="F37" s="28" t="n">
        <v>5</v>
      </c>
      <c r="G37" s="28" t="inlineStr">
        <is>
          <t>Làm việc</t>
        </is>
      </c>
      <c r="H37" s="28" t="inlineStr">
        <is>
          <t>Tất cả</t>
        </is>
      </c>
    </row>
    <row r="38">
      <c r="A38" s="28" t="inlineStr">
        <is>
          <t>K34</t>
        </is>
      </c>
      <c r="B38" s="28" t="inlineStr">
        <is>
          <t>11. Follow-up</t>
        </is>
      </c>
      <c r="C38" s="11" t="inlineStr">
        <is>
          <t>Sales báo kết quả chuyển đổi đơn hàng</t>
        </is>
      </c>
      <c r="D38" s="28" t="inlineStr">
        <is>
          <t>Sales</t>
        </is>
      </c>
      <c r="E38" s="28" t="inlineStr">
        <is>
          <t>NPP</t>
        </is>
      </c>
      <c r="F38" s="28" t="n">
        <v>20</v>
      </c>
      <c r="G38" s="28" t="inlineStr">
        <is>
          <t>Làm việc</t>
        </is>
      </c>
      <c r="H38" s="28" t="inlineStr">
        <is>
          <t>Tất cả</t>
        </is>
      </c>
    </row>
    <row r="39">
      <c r="A39" s="28" t="n"/>
      <c r="B39" s="28" t="n"/>
      <c r="C39" s="11" t="n"/>
      <c r="D39" s="28" t="n"/>
      <c r="E39" s="28" t="n"/>
      <c r="F39" s="28" t="n"/>
      <c r="G39" s="28" t="n"/>
      <c r="H39" s="28" t="n"/>
    </row>
    <row r="40">
      <c r="A40" s="28" t="n"/>
      <c r="B40" s="28" t="n"/>
      <c r="C40" s="11" t="n"/>
      <c r="D40" s="28" t="n"/>
      <c r="E40" s="28" t="n"/>
      <c r="F40" s="28" t="n"/>
      <c r="G40" s="28" t="n"/>
      <c r="H40" s="28" t="n"/>
    </row>
    <row r="41">
      <c r="A41" s="28" t="n"/>
      <c r="B41" s="28" t="n"/>
      <c r="C41" s="11" t="n"/>
      <c r="D41" s="28" t="n"/>
      <c r="E41" s="28" t="n"/>
      <c r="F41" s="28" t="n"/>
      <c r="G41" s="28" t="n"/>
      <c r="H41" s="28" t="n"/>
    </row>
    <row r="42">
      <c r="A42" s="28" t="n"/>
      <c r="B42" s="28" t="n"/>
      <c r="C42" s="11" t="n"/>
      <c r="D42" s="28" t="n"/>
      <c r="E42" s="28" t="n"/>
      <c r="F42" s="28" t="n"/>
      <c r="G42" s="28" t="n"/>
      <c r="H42" s="28" t="n"/>
    </row>
    <row r="43">
      <c r="A43" s="28" t="n"/>
      <c r="B43" s="28" t="n"/>
      <c r="C43" s="11" t="n"/>
      <c r="D43" s="28" t="n"/>
      <c r="E43" s="28" t="n"/>
      <c r="F43" s="28" t="n"/>
      <c r="G43" s="28" t="n"/>
      <c r="H43" s="28" t="n"/>
    </row>
    <row r="44">
      <c r="A44" s="28" t="n"/>
      <c r="B44" s="28" t="n"/>
      <c r="C44" s="11" t="n"/>
      <c r="D44" s="28" t="n"/>
      <c r="E44" s="28" t="n"/>
      <c r="F44" s="28" t="n"/>
      <c r="G44" s="28" t="n"/>
      <c r="H44" s="28" t="n"/>
    </row>
    <row r="45">
      <c r="A45" s="28" t="n"/>
      <c r="B45" s="28" t="n"/>
      <c r="C45" s="11" t="n"/>
      <c r="D45" s="28" t="n"/>
      <c r="E45" s="28" t="n"/>
      <c r="F45" s="28" t="n"/>
      <c r="G45" s="28" t="n"/>
      <c r="H45" s="28" t="n"/>
    </row>
    <row r="46">
      <c r="A46" s="28" t="n"/>
      <c r="B46" s="28" t="n"/>
      <c r="C46" s="11" t="n"/>
      <c r="D46" s="28" t="n"/>
      <c r="E46" s="28" t="n"/>
      <c r="F46" s="28" t="n"/>
      <c r="G46" s="28" t="n"/>
      <c r="H46" s="28" t="n"/>
    </row>
    <row r="47">
      <c r="A47" s="28" t="n"/>
      <c r="B47" s="28" t="n"/>
      <c r="C47" s="11" t="n"/>
      <c r="D47" s="28" t="n"/>
      <c r="E47" s="28" t="n"/>
      <c r="F47" s="28" t="n"/>
      <c r="G47" s="28" t="n"/>
      <c r="H47" s="28" t="n"/>
    </row>
    <row r="48">
      <c r="A48" s="28" t="n"/>
      <c r="B48" s="28" t="n"/>
      <c r="C48" s="11" t="n"/>
      <c r="D48" s="28" t="n"/>
      <c r="E48" s="28" t="n"/>
      <c r="F48" s="28" t="n"/>
      <c r="G48" s="28" t="n"/>
      <c r="H48" s="28" t="n"/>
    </row>
    <row r="49">
      <c r="A49" s="28" t="n"/>
      <c r="B49" s="28" t="n"/>
      <c r="C49" s="11" t="n"/>
      <c r="D49" s="28" t="n"/>
      <c r="E49" s="28" t="n"/>
      <c r="F49" s="28" t="n"/>
      <c r="G49" s="28" t="n"/>
      <c r="H49" s="28" t="n"/>
    </row>
    <row r="50">
      <c r="A50" s="28" t="n"/>
      <c r="B50" s="28" t="n"/>
      <c r="C50" s="11" t="n"/>
      <c r="D50" s="28" t="n"/>
      <c r="E50" s="28" t="n"/>
      <c r="F50" s="28" t="n"/>
      <c r="G50" s="28" t="n"/>
      <c r="H50" s="28" t="n"/>
    </row>
    <row r="51">
      <c r="A51" s="28" t="n"/>
      <c r="B51" s="28" t="n"/>
      <c r="C51" s="11" t="n"/>
      <c r="D51" s="28" t="n"/>
      <c r="E51" s="28" t="n"/>
      <c r="F51" s="28" t="n"/>
      <c r="G51" s="28" t="n"/>
      <c r="H51" s="28" t="n"/>
    </row>
    <row r="52">
      <c r="A52" s="28" t="n"/>
      <c r="B52" s="28" t="n"/>
      <c r="C52" s="11" t="n"/>
      <c r="D52" s="28" t="n"/>
      <c r="E52" s="28" t="n"/>
      <c r="F52" s="28" t="n"/>
      <c r="G52" s="28" t="n"/>
      <c r="H52" s="28" t="n"/>
    </row>
    <row r="53">
      <c r="A53" s="28" t="n"/>
      <c r="B53" s="28" t="n"/>
      <c r="C53" s="11" t="n"/>
      <c r="D53" s="28" t="n"/>
      <c r="E53" s="28" t="n"/>
      <c r="F53" s="28" t="n"/>
      <c r="G53" s="28" t="n"/>
      <c r="H53" s="28" t="n"/>
    </row>
    <row r="54">
      <c r="A54" s="28" t="n"/>
      <c r="B54" s="28" t="n"/>
      <c r="C54" s="11" t="n"/>
      <c r="D54" s="28" t="n"/>
      <c r="E54" s="28" t="n"/>
      <c r="F54" s="28" t="n"/>
      <c r="G54" s="28" t="n"/>
      <c r="H54" s="28" t="n"/>
    </row>
    <row r="55">
      <c r="A55" s="28" t="n"/>
      <c r="B55" s="28" t="n"/>
      <c r="C55" s="11" t="n"/>
      <c r="D55" s="28" t="n"/>
      <c r="E55" s="28" t="n"/>
      <c r="F55" s="28" t="n"/>
      <c r="G55" s="28" t="n"/>
      <c r="H55" s="28" t="n"/>
    </row>
    <row r="56">
      <c r="A56" s="28" t="n"/>
      <c r="B56" s="28" t="n"/>
      <c r="C56" s="11" t="n"/>
      <c r="D56" s="28" t="n"/>
      <c r="E56" s="28" t="n"/>
      <c r="F56" s="28" t="n"/>
      <c r="G56" s="28" t="n"/>
      <c r="H56" s="28" t="n"/>
    </row>
    <row r="57">
      <c r="A57" s="28" t="n"/>
      <c r="B57" s="28" t="n"/>
      <c r="C57" s="11" t="n"/>
      <c r="D57" s="28" t="n"/>
      <c r="E57" s="28" t="n"/>
      <c r="F57" s="28" t="n"/>
      <c r="G57" s="28" t="n"/>
      <c r="H57" s="28" t="n"/>
    </row>
    <row r="58">
      <c r="A58" s="28" t="n"/>
      <c r="B58" s="28" t="n"/>
      <c r="C58" s="11" t="n"/>
      <c r="D58" s="28" t="n"/>
      <c r="E58" s="28" t="n"/>
      <c r="F58" s="28" t="n"/>
      <c r="G58" s="28" t="n"/>
      <c r="H58" s="28" t="n"/>
    </row>
    <row r="59">
      <c r="A59" s="28" t="n"/>
      <c r="B59" s="28" t="n"/>
      <c r="C59" s="11" t="n"/>
      <c r="D59" s="28" t="n"/>
      <c r="E59" s="28" t="n"/>
      <c r="F59" s="28" t="n"/>
      <c r="G59" s="28" t="n"/>
      <c r="H59" s="28" t="n"/>
    </row>
    <row r="60">
      <c r="A60" s="28" t="n"/>
      <c r="B60" s="28" t="n"/>
      <c r="C60" s="11" t="n"/>
      <c r="D60" s="28" t="n"/>
      <c r="E60" s="28" t="n"/>
      <c r="F60" s="28" t="n"/>
      <c r="G60" s="28" t="n"/>
      <c r="H60" s="28" t="n"/>
    </row>
    <row r="61">
      <c r="A61" s="28" t="n"/>
      <c r="B61" s="28" t="n"/>
      <c r="C61" s="11" t="n"/>
      <c r="D61" s="28" t="n"/>
      <c r="E61" s="28" t="n"/>
      <c r="F61" s="28" t="n"/>
      <c r="G61" s="28" t="n"/>
      <c r="H61" s="28" t="n"/>
    </row>
    <row r="62">
      <c r="A62" s="28" t="n"/>
      <c r="B62" s="28" t="n"/>
      <c r="C62" s="11" t="n"/>
      <c r="D62" s="28" t="n"/>
      <c r="E62" s="28" t="n"/>
      <c r="F62" s="28" t="n"/>
      <c r="G62" s="28" t="n"/>
      <c r="H62" s="28" t="n"/>
    </row>
    <row r="63">
      <c r="A63" s="28" t="n"/>
      <c r="B63" s="28" t="n"/>
      <c r="C63" s="11" t="n"/>
      <c r="D63" s="28" t="n"/>
      <c r="E63" s="28" t="n"/>
      <c r="F63" s="28" t="n"/>
      <c r="G63" s="28" t="n"/>
      <c r="H63" s="28" t="n"/>
    </row>
    <row r="64">
      <c r="A64" s="28" t="n"/>
      <c r="B64" s="28" t="n"/>
      <c r="C64" s="11" t="n"/>
      <c r="D64" s="28" t="n"/>
      <c r="E64" s="28" t="n"/>
      <c r="F64" s="28" t="n"/>
      <c r="G64" s="28" t="n"/>
      <c r="H64" s="28" t="n"/>
    </row>
    <row r="65">
      <c r="A65" s="28" t="n"/>
      <c r="B65" s="28" t="n"/>
      <c r="C65" s="11" t="n"/>
      <c r="D65" s="28" t="n"/>
      <c r="E65" s="28" t="n"/>
      <c r="F65" s="28" t="n"/>
      <c r="G65" s="28" t="n"/>
      <c r="H65" s="28" t="n"/>
    </row>
    <row r="66">
      <c r="A66" s="28" t="n"/>
      <c r="B66" s="28" t="n"/>
      <c r="C66" s="11" t="n"/>
      <c r="D66" s="28" t="n"/>
      <c r="E66" s="28" t="n"/>
      <c r="F66" s="28" t="n"/>
      <c r="G66" s="28" t="n"/>
      <c r="H66" s="28" t="n"/>
    </row>
    <row r="67">
      <c r="A67" s="28" t="n"/>
      <c r="B67" s="28" t="n"/>
      <c r="C67" s="11" t="n"/>
      <c r="D67" s="28" t="n"/>
      <c r="E67" s="28" t="n"/>
      <c r="F67" s="28" t="n"/>
      <c r="G67" s="28" t="n"/>
      <c r="H67" s="28" t="n"/>
    </row>
    <row r="68">
      <c r="A68" s="28" t="n"/>
      <c r="B68" s="28" t="n"/>
      <c r="C68" s="11" t="n"/>
      <c r="D68" s="28" t="n"/>
      <c r="E68" s="28" t="n"/>
      <c r="F68" s="28" t="n"/>
      <c r="G68" s="28" t="n"/>
      <c r="H68" s="28" t="n"/>
    </row>
    <row r="69">
      <c r="A69" s="28" t="n"/>
      <c r="B69" s="28" t="n"/>
      <c r="C69" s="11" t="n"/>
      <c r="D69" s="28" t="n"/>
      <c r="E69" s="28" t="n"/>
      <c r="F69" s="28" t="n"/>
      <c r="G69" s="28" t="n"/>
      <c r="H69" s="28" t="n"/>
    </row>
    <row r="70">
      <c r="A70" s="28" t="n"/>
      <c r="B70" s="28" t="n"/>
      <c r="C70" s="11" t="n"/>
      <c r="D70" s="28" t="n"/>
      <c r="E70" s="28" t="n"/>
      <c r="F70" s="28" t="n"/>
      <c r="G70" s="28" t="n"/>
      <c r="H70" s="28" t="n"/>
    </row>
    <row r="71">
      <c r="A71" s="28" t="n"/>
      <c r="B71" s="28" t="n"/>
      <c r="C71" s="11" t="n"/>
      <c r="D71" s="28" t="n"/>
      <c r="E71" s="28" t="n"/>
      <c r="F71" s="28" t="n"/>
      <c r="G71" s="28" t="n"/>
      <c r="H71" s="28" t="n"/>
    </row>
    <row r="72">
      <c r="A72" s="28" t="n"/>
      <c r="B72" s="28" t="n"/>
      <c r="C72" s="11" t="n"/>
      <c r="D72" s="28" t="n"/>
      <c r="E72" s="28" t="n"/>
      <c r="F72" s="28" t="n"/>
      <c r="G72" s="28" t="n"/>
      <c r="H72" s="28" t="n"/>
    </row>
    <row r="73">
      <c r="A73" s="28" t="n"/>
      <c r="B73" s="28" t="n"/>
      <c r="C73" s="11" t="n"/>
      <c r="D73" s="28" t="n"/>
      <c r="E73" s="28" t="n"/>
      <c r="F73" s="28" t="n"/>
      <c r="G73" s="28" t="n"/>
      <c r="H73" s="28" t="n"/>
    </row>
    <row r="74">
      <c r="A74" s="28" t="n"/>
      <c r="B74" s="28" t="n"/>
      <c r="C74" s="11" t="n"/>
      <c r="D74" s="28" t="n"/>
      <c r="E74" s="28" t="n"/>
      <c r="F74" s="28" t="n"/>
      <c r="G74" s="28" t="n"/>
      <c r="H74" s="28" t="n"/>
    </row>
    <row r="75">
      <c r="A75" s="28" t="n"/>
      <c r="B75" s="28" t="n"/>
      <c r="C75" s="11" t="n"/>
      <c r="D75" s="28" t="n"/>
      <c r="E75" s="28" t="n"/>
      <c r="F75" s="28" t="n"/>
      <c r="G75" s="28" t="n"/>
      <c r="H75" s="28" t="n"/>
    </row>
    <row r="76">
      <c r="A76" s="28" t="n"/>
      <c r="B76" s="28" t="n"/>
      <c r="C76" s="11" t="n"/>
      <c r="D76" s="28" t="n"/>
      <c r="E76" s="28" t="n"/>
      <c r="F76" s="28" t="n"/>
      <c r="G76" s="28" t="n"/>
      <c r="H76" s="28" t="n"/>
    </row>
    <row r="77">
      <c r="A77" s="28" t="n"/>
      <c r="B77" s="28" t="n"/>
      <c r="C77" s="11" t="n"/>
      <c r="D77" s="28" t="n"/>
      <c r="E77" s="28" t="n"/>
      <c r="F77" s="28" t="n"/>
      <c r="G77" s="28" t="n"/>
      <c r="H77" s="28" t="n"/>
    </row>
    <row r="78">
      <c r="A78" s="28" t="n"/>
      <c r="B78" s="28" t="n"/>
      <c r="C78" s="11" t="n"/>
      <c r="D78" s="28" t="n"/>
      <c r="E78" s="28" t="n"/>
      <c r="F78" s="28" t="n"/>
      <c r="G78" s="28" t="n"/>
      <c r="H78" s="28" t="n"/>
    </row>
    <row r="79">
      <c r="A79" s="28" t="n"/>
      <c r="B79" s="28" t="n"/>
      <c r="C79" s="11" t="n"/>
      <c r="D79" s="28" t="n"/>
      <c r="E79" s="28" t="n"/>
      <c r="F79" s="28" t="n"/>
      <c r="G79" s="28" t="n"/>
      <c r="H79" s="28" t="n"/>
    </row>
    <row r="80">
      <c r="A80" s="28" t="n"/>
      <c r="B80" s="28" t="n"/>
      <c r="C80" s="11" t="n"/>
      <c r="D80" s="28" t="n"/>
      <c r="E80" s="28" t="n"/>
      <c r="F80" s="28" t="n"/>
      <c r="G80" s="28" t="n"/>
      <c r="H80" s="28" t="n"/>
    </row>
    <row r="81">
      <c r="A81" s="28" t="n"/>
      <c r="B81" s="28" t="n"/>
      <c r="C81" s="11" t="n"/>
      <c r="D81" s="28" t="n"/>
      <c r="E81" s="28" t="n"/>
      <c r="F81" s="28" t="n"/>
      <c r="G81" s="28" t="n"/>
      <c r="H81" s="28" t="n"/>
    </row>
    <row r="82">
      <c r="A82" s="28" t="n"/>
      <c r="B82" s="28" t="n"/>
      <c r="C82" s="11" t="n"/>
      <c r="D82" s="28" t="n"/>
      <c r="E82" s="28" t="n"/>
      <c r="F82" s="28" t="n"/>
      <c r="G82" s="28" t="n"/>
      <c r="H82" s="28" t="n"/>
    </row>
    <row r="83">
      <c r="A83" s="28" t="n"/>
      <c r="B83" s="28" t="n"/>
      <c r="C83" s="11" t="n"/>
      <c r="D83" s="28" t="n"/>
      <c r="E83" s="28" t="n"/>
      <c r="F83" s="28" t="n"/>
      <c r="G83" s="28" t="n"/>
      <c r="H83" s="28" t="n"/>
    </row>
    <row r="84">
      <c r="A84" s="28" t="n"/>
      <c r="B84" s="28" t="n"/>
      <c r="C84" s="11" t="n"/>
      <c r="D84" s="28" t="n"/>
      <c r="E84" s="28" t="n"/>
      <c r="F84" s="28" t="n"/>
      <c r="G84" s="28" t="n"/>
      <c r="H84" s="28" t="n"/>
    </row>
  </sheetData>
  <dataValidations count="3">
    <dataValidation sqref="D5:D84" showDropDown="0" showInputMessage="0" showErrorMessage="0" allowBlank="1" type="list">
      <formula1>"MKT Leader,Digital MKT,Trade MKT,Sales,NPP / đối tác,Giám đốc"</formula1>
    </dataValidation>
    <dataValidation sqref="G5:G84" showDropDown="0" showInputMessage="0" showErrorMessage="0" allowBlank="1" type="list">
      <formula1>"Lịch,Làm việc"</formula1>
    </dataValidation>
    <dataValidation sqref="H5:H84" showDropDown="0" showInputMessage="0" showErrorMessage="0" allowBlank="1" type="list">
      <formula1>"Tất cả,Trực tiếp,Webinar,Ngoài Hà Nội"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0B8C2"/>
    <outlinePr summaryBelow="1" summaryRight="1"/>
    <pageSetUpPr/>
  </sheetPr>
  <dimension ref="A1:H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" customWidth="1" min="3" max="3"/>
    <col width="24" customWidth="1" min="4" max="4"/>
    <col width="12" customWidth="1" min="5" max="5"/>
    <col width="28" customWidth="1" min="6" max="6"/>
    <col width="3" customWidth="1" min="7" max="7"/>
    <col width="18" customWidth="1" min="8" max="8"/>
  </cols>
  <sheetData>
    <row r="1" ht="26" customHeight="1">
      <c r="A1" s="1" t="inlineStr">
        <is>
          <t>CÀI ĐẶT</t>
        </is>
      </c>
    </row>
    <row r="2">
      <c r="A2" s="2" t="inlineStr">
        <is>
          <t>Danh sách người (để chọn ở cột Người phụ trách) · người mặc định theo vai trò (dùng khi tạo việc cho sự kiện mới) · ngày nghỉ lễ.</t>
        </is>
      </c>
    </row>
    <row r="4" ht="32" customHeight="1">
      <c r="A4" s="10" t="inlineStr">
        <is>
          <t>Vai trò</t>
        </is>
      </c>
      <c r="B4" s="23" t="inlineStr">
        <is>
          <t>Người mặc định</t>
        </is>
      </c>
      <c r="D4" s="23" t="inlineStr">
        <is>
          <t>Danh sách người</t>
        </is>
      </c>
      <c r="E4" s="23" t="inlineStr">
        <is>
          <t>Bộ phận</t>
        </is>
      </c>
      <c r="F4" s="23" t="inlineStr">
        <is>
          <t>Email (để nhắc việc sau này)</t>
        </is>
      </c>
      <c r="H4" s="23" t="inlineStr">
        <is>
          <t>Ngày nghỉ lễ (T2–T6)</t>
        </is>
      </c>
    </row>
    <row r="5">
      <c r="A5" s="29" t="inlineStr">
        <is>
          <t>MKT Leader</t>
        </is>
      </c>
      <c r="B5" s="30" t="inlineStr">
        <is>
          <t>Leader MKT (ví dụ)</t>
        </is>
      </c>
      <c r="D5" s="30" t="inlineStr">
        <is>
          <t>Leader MKT (ví dụ)</t>
        </is>
      </c>
      <c r="E5" s="30" t="inlineStr">
        <is>
          <t>Marketing</t>
        </is>
      </c>
      <c r="F5" s="30" t="n"/>
      <c r="H5" s="31" t="n">
        <v>46023</v>
      </c>
    </row>
    <row r="6">
      <c r="A6" s="29" t="inlineStr">
        <is>
          <t>Digital MKT</t>
        </is>
      </c>
      <c r="B6" s="30" t="inlineStr">
        <is>
          <t>Digital (ví dụ)</t>
        </is>
      </c>
      <c r="D6" s="30" t="inlineStr">
        <is>
          <t>Digital (ví dụ)</t>
        </is>
      </c>
      <c r="E6" s="30" t="inlineStr">
        <is>
          <t>Marketing</t>
        </is>
      </c>
      <c r="F6" s="30" t="n"/>
      <c r="H6" s="31" t="n">
        <v>46069</v>
      </c>
    </row>
    <row r="7">
      <c r="A7" s="29" t="inlineStr">
        <is>
          <t>Trade MKT</t>
        </is>
      </c>
      <c r="B7" s="30" t="inlineStr">
        <is>
          <t>Trade (ví dụ)</t>
        </is>
      </c>
      <c r="D7" s="30" t="inlineStr">
        <is>
          <t>Trade (ví dụ)</t>
        </is>
      </c>
      <c r="E7" s="30" t="inlineStr">
        <is>
          <t>Marketing</t>
        </is>
      </c>
      <c r="F7" s="30" t="n"/>
      <c r="H7" s="31" t="n">
        <v>46070</v>
      </c>
    </row>
    <row r="8">
      <c r="A8" s="29" t="inlineStr">
        <is>
          <t>Sales</t>
        </is>
      </c>
      <c r="B8" s="30" t="inlineStr">
        <is>
          <t>Sales Dental (ví dụ)</t>
        </is>
      </c>
      <c r="D8" s="30" t="inlineStr">
        <is>
          <t>Sales Dental (ví dụ)</t>
        </is>
      </c>
      <c r="E8" s="30" t="inlineStr">
        <is>
          <t>Sales</t>
        </is>
      </c>
      <c r="F8" s="30" t="n"/>
      <c r="H8" s="31" t="n">
        <v>46071</v>
      </c>
    </row>
    <row r="9">
      <c r="A9" s="29" t="inlineStr">
        <is>
          <t>NPP / đối tác</t>
        </is>
      </c>
      <c r="B9" s="30" t="inlineStr">
        <is>
          <t>NPP (ví dụ)</t>
        </is>
      </c>
      <c r="D9" s="30" t="inlineStr">
        <is>
          <t>Sales Surgical (ví dụ)</t>
        </is>
      </c>
      <c r="E9" s="30" t="inlineStr">
        <is>
          <t>Sales</t>
        </is>
      </c>
      <c r="F9" s="30" t="n"/>
      <c r="H9" s="31" t="n">
        <v>46072</v>
      </c>
    </row>
    <row r="10">
      <c r="A10" s="29" t="inlineStr">
        <is>
          <t>Giám đốc</t>
        </is>
      </c>
      <c r="B10" s="30" t="inlineStr">
        <is>
          <t>Giám đốc (ví dụ)</t>
        </is>
      </c>
      <c r="D10" s="30" t="inlineStr">
        <is>
          <t>NPP (ví dụ)</t>
        </is>
      </c>
      <c r="E10" s="30" t="inlineStr">
        <is>
          <t>Đối tác</t>
        </is>
      </c>
      <c r="F10" s="30" t="n"/>
      <c r="H10" s="31" t="n">
        <v>46073</v>
      </c>
    </row>
    <row r="11">
      <c r="D11" s="30" t="inlineStr">
        <is>
          <t>Giám đốc (ví dụ)</t>
        </is>
      </c>
      <c r="E11" s="30" t="inlineStr">
        <is>
          <t>BGĐ</t>
        </is>
      </c>
      <c r="F11" s="30" t="n"/>
      <c r="H11" s="31" t="n">
        <v>46139</v>
      </c>
    </row>
    <row r="12">
      <c r="D12" s="30" t="n"/>
      <c r="E12" s="30" t="n"/>
      <c r="F12" s="30" t="n"/>
      <c r="H12" s="31" t="n">
        <v>46142</v>
      </c>
    </row>
    <row r="13">
      <c r="D13" s="30" t="n"/>
      <c r="E13" s="30" t="n"/>
      <c r="F13" s="30" t="n"/>
      <c r="H13" s="31" t="n">
        <v>46143</v>
      </c>
    </row>
    <row r="14">
      <c r="D14" s="30" t="n"/>
      <c r="E14" s="30" t="n"/>
      <c r="F14" s="30" t="n"/>
      <c r="H14" s="31" t="n">
        <v>46267</v>
      </c>
    </row>
    <row r="15">
      <c r="D15" s="30" t="n"/>
      <c r="E15" s="30" t="n"/>
      <c r="F15" s="30" t="n"/>
      <c r="H15" s="31" t="n">
        <v>46268</v>
      </c>
    </row>
    <row r="16">
      <c r="D16" s="30" t="n"/>
      <c r="E16" s="30" t="n"/>
      <c r="F16" s="30" t="n"/>
      <c r="H16" s="31" t="n">
        <v>46269</v>
      </c>
    </row>
    <row r="17">
      <c r="D17" s="30" t="n"/>
      <c r="E17" s="30" t="n"/>
      <c r="F17" s="30" t="n"/>
      <c r="H17" s="31" t="n">
        <v>46388</v>
      </c>
    </row>
    <row r="18">
      <c r="D18" s="30" t="n"/>
      <c r="E18" s="30" t="n"/>
      <c r="F18" s="30" t="n"/>
      <c r="H18" s="31" t="n">
        <v>46507</v>
      </c>
    </row>
    <row r="19">
      <c r="D19" s="30" t="n"/>
      <c r="E19" s="30" t="n"/>
      <c r="F19" s="30" t="n"/>
      <c r="H19" s="31" t="n">
        <v>46632</v>
      </c>
    </row>
    <row r="20">
      <c r="D20" s="30" t="n"/>
      <c r="E20" s="30" t="n"/>
      <c r="F20" s="30" t="n"/>
      <c r="H20" s="31" t="n"/>
    </row>
    <row r="21">
      <c r="D21" s="30" t="n"/>
      <c r="E21" s="30" t="n"/>
      <c r="F21" s="30" t="n"/>
      <c r="H21" s="31" t="n"/>
    </row>
    <row r="22">
      <c r="D22" s="30" t="n"/>
      <c r="E22" s="30" t="n"/>
      <c r="F22" s="30" t="n"/>
      <c r="H22" s="31" t="n"/>
    </row>
    <row r="23">
      <c r="D23" s="30" t="n"/>
      <c r="E23" s="30" t="n"/>
      <c r="F23" s="30" t="n"/>
      <c r="H23" s="31" t="n"/>
    </row>
    <row r="24">
      <c r="D24" s="30" t="n"/>
      <c r="E24" s="30" t="n"/>
      <c r="F24" s="30" t="n"/>
      <c r="H24" s="31" t="n"/>
    </row>
    <row r="25">
      <c r="D25" s="30" t="n"/>
      <c r="E25" s="30" t="n"/>
      <c r="F25" s="30" t="n"/>
      <c r="H25" s="31" t="n"/>
    </row>
    <row r="26">
      <c r="D26" s="30" t="n"/>
      <c r="E26" s="30" t="n"/>
      <c r="F26" s="30" t="n"/>
      <c r="H26" s="31" t="n"/>
    </row>
    <row r="27">
      <c r="D27" s="30" t="n"/>
      <c r="E27" s="30" t="n"/>
      <c r="F27" s="30" t="n"/>
      <c r="H27" s="31" t="n"/>
    </row>
    <row r="28">
      <c r="D28" s="30" t="n"/>
      <c r="E28" s="30" t="n"/>
      <c r="F28" s="30" t="n"/>
      <c r="H28" s="31" t="n"/>
    </row>
    <row r="29">
      <c r="D29" s="30" t="n"/>
      <c r="E29" s="30" t="n"/>
      <c r="F29" s="30" t="n"/>
      <c r="H29" s="31" t="n"/>
    </row>
    <row r="30">
      <c r="D30" s="30" t="n"/>
      <c r="E30" s="30" t="n"/>
      <c r="F30" s="30" t="n"/>
      <c r="H30" s="31" t="n"/>
    </row>
    <row r="31">
      <c r="D31" s="30" t="n"/>
      <c r="E31" s="30" t="n"/>
      <c r="F31" s="30" t="n"/>
      <c r="H31" s="31" t="n"/>
    </row>
    <row r="32">
      <c r="D32" s="30" t="n"/>
      <c r="E32" s="30" t="n"/>
      <c r="F32" s="30" t="n"/>
      <c r="H32" s="31" t="n"/>
    </row>
    <row r="33">
      <c r="D33" s="30" t="n"/>
      <c r="E33" s="30" t="n"/>
      <c r="F33" s="30" t="n"/>
      <c r="H33" s="31" t="n"/>
    </row>
    <row r="34">
      <c r="D34" s="30" t="n"/>
      <c r="E34" s="30" t="n"/>
      <c r="F34" s="30" t="n"/>
      <c r="H34" s="31" t="n"/>
    </row>
    <row r="35">
      <c r="D35" s="30" t="n"/>
      <c r="E35" s="30" t="n"/>
      <c r="F35" s="30" t="n"/>
      <c r="H35" s="31" t="n"/>
    </row>
    <row r="36">
      <c r="D36" s="30" t="n"/>
      <c r="E36" s="30" t="n"/>
      <c r="F36" s="30" t="n"/>
      <c r="H36" s="31" t="n"/>
    </row>
    <row r="37">
      <c r="D37" s="30" t="n"/>
      <c r="E37" s="30" t="n"/>
      <c r="F37" s="30" t="n"/>
      <c r="H37" s="31" t="n"/>
    </row>
    <row r="38">
      <c r="D38" s="30" t="n"/>
      <c r="E38" s="30" t="n"/>
      <c r="F38" s="30" t="n"/>
      <c r="H38" s="31" t="n"/>
    </row>
    <row r="39">
      <c r="D39" s="30" t="n"/>
      <c r="E39" s="30" t="n"/>
      <c r="F39" s="30" t="n"/>
      <c r="H39" s="31" t="n"/>
    </row>
    <row r="40">
      <c r="D40" s="30" t="n"/>
      <c r="E40" s="30" t="n"/>
      <c r="F40" s="30" t="n"/>
      <c r="H40" s="31" t="n"/>
    </row>
    <row r="41">
      <c r="D41" s="30" t="n"/>
      <c r="E41" s="30" t="n"/>
      <c r="F41" s="30" t="n"/>
      <c r="H41" s="31" t="n"/>
    </row>
    <row r="42">
      <c r="D42" s="30" t="n"/>
      <c r="E42" s="30" t="n"/>
      <c r="F42" s="30" t="n"/>
      <c r="H42" s="31" t="n"/>
    </row>
    <row r="43">
      <c r="D43" s="30" t="n"/>
      <c r="E43" s="30" t="n"/>
      <c r="F43" s="30" t="n"/>
      <c r="H43" s="31" t="n"/>
    </row>
    <row r="44">
      <c r="D44" s="30" t="n"/>
      <c r="E44" s="30" t="n"/>
      <c r="F44" s="30" t="n"/>
      <c r="H44" s="31" t="n"/>
    </row>
    <row r="45">
      <c r="H45" s="31" t="n"/>
    </row>
    <row r="46">
      <c r="H46" s="31" t="n"/>
    </row>
    <row r="47">
      <c r="H47" s="31" t="n"/>
    </row>
    <row r="48">
      <c r="H48" s="31" t="n"/>
    </row>
    <row r="49">
      <c r="H49" s="31" t="n"/>
    </row>
    <row r="50">
      <c r="H50" s="31" t="n"/>
    </row>
    <row r="51">
      <c r="H51" s="31" t="n"/>
    </row>
    <row r="52">
      <c r="H52" s="31" t="n"/>
    </row>
    <row r="53">
      <c r="H53" s="31" t="n"/>
    </row>
    <row r="54">
      <c r="H54" s="31" t="n"/>
    </row>
    <row r="55">
      <c r="H55" s="31" t="n"/>
    </row>
    <row r="56">
      <c r="H56" s="31" t="n"/>
    </row>
    <row r="57">
      <c r="H57" s="31" t="n"/>
    </row>
    <row r="58">
      <c r="H58" s="31" t="n"/>
    </row>
    <row r="59">
      <c r="H59" s="31" t="n"/>
    </row>
    <row r="60">
      <c r="H60" s="31" t="n"/>
    </row>
    <row r="61">
      <c r="H61" s="31" t="n"/>
    </row>
    <row r="62">
      <c r="H62" s="31" t="n"/>
    </row>
    <row r="63">
      <c r="H63" s="31" t="n"/>
    </row>
    <row r="64">
      <c r="H64" s="31" t="n"/>
    </row>
    <row r="66">
      <c r="H66" s="32" t="inlineStr">
        <is>
          <t>2027: thêm Tết, Giỗ Tổ, nghỉ bù khi có lịch MMH.</t>
        </is>
      </c>
    </row>
  </sheetData>
  <dataValidations count="1">
    <dataValidation sqref="B5:B10" showDropDown="0" showInputMessage="0" showErrorMessage="0" allowBlank="1" type="list">
      <formula1>'Cài đặt'!$D$5:$D$44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0B8C2"/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96" customWidth="1" min="3" max="3"/>
  </cols>
  <sheetData>
    <row r="1" ht="26" customHeight="1">
      <c r="A1" s="1" t="inlineStr">
        <is>
          <t>CÁCH DÙNG</t>
        </is>
      </c>
    </row>
    <row r="2">
      <c r="A2" s="2" t="inlineStr">
        <is>
          <t>File chung cho MỌI sự kiện của MMH — đi kèm SOP MMHSOP_0XX Quy trình tổ chức sự kiện.</t>
        </is>
      </c>
    </row>
    <row r="4" ht="42" customHeight="1">
      <c r="B4" s="33" t="inlineStr">
        <is>
          <t>Sự kiện tự vào file</t>
        </is>
      </c>
      <c r="C4" s="34" t="inlineStr">
        <is>
          <t>Mỗi 10 phút hệ thống đọc PLAN_EVENT + REPORT_EVENT của file "2. Vietnam - Marketing Offline FY68" ⇒ tab Sự kiện. Sự kiện mới có ngày cụ thể ⇒ tự tạo bộ việc ở tab Giao việc theo tab Mẫu việc, giao sẵn cho người mặc định của từng vai trò (tab Cài đặt).</t>
        </is>
      </c>
    </row>
    <row r="5" ht="42" customHeight="1">
      <c r="B5" s="33" t="inlineStr">
        <is>
          <t>Owner giao việc</t>
        </is>
      </c>
      <c r="C5" s="34" t="inlineStr">
        <is>
          <t>Tab Giao việc: chọn Người phụ trách (cột F, ô cam = chưa có người), đổi Hạn nếu cần (gõ ngày đè lên). Việc không cần ⇒ Trạng thái "Bỏ qua". Thêm việc riêng cho 1 sự kiện: sao chép NGUYÊN DÒNG một việc của sự kiện đó, dán vào dòng mới rồi sửa nội dung. Không theo dõi một sự kiện ⇒ tab Sự kiện ▸ Theo dõi = Không.</t>
        </is>
      </c>
    </row>
    <row r="6" ht="42" customHeight="1">
      <c r="B6" s="33" t="inlineStr">
        <is>
          <t>Người phụ trách</t>
        </is>
      </c>
      <c r="C6" s="34" t="inlineStr">
        <is>
          <t>Lọc cột F theo tên mình ⇒ cập nhật Trạng thái, Ngày xong, Ghi chú / link ngay khi làm xong (trong ngày, trước 17:00).</t>
        </is>
      </c>
    </row>
    <row r="7" ht="42" customHeight="1">
      <c r="B7" s="33" t="inlineStr">
        <is>
          <t>Đọc Dashboard</t>
        </is>
      </c>
      <c r="C7" s="34" t="inlineStr">
        <is>
          <t>Đỏ = quá hạn · vàng = đến hạn trong 3 ngày · cam = chưa giao người. Bảng 1: từng sự kiện · Bảng 2: từng người · Bảng 3: 15 việc cần xử lý gần nhất.</t>
        </is>
      </c>
    </row>
    <row r="8" ht="42" customHeight="1">
      <c r="B8" s="33" t="inlineStr">
        <is>
          <t>Đổi ngày sự kiện</t>
        </is>
      </c>
      <c r="C8" s="34" t="inlineStr">
        <is>
          <t>Sửa ở file Offline ⇒ ngày D và mọi hạn tự tính lại (trừ hạn Owner đã gõ tay).</t>
        </is>
      </c>
    </row>
    <row r="9" ht="58" customHeight="1">
      <c r="B9" s="33" t="inlineStr">
        <is>
          <t>Quy tắc thông tin</t>
        </is>
      </c>
      <c r="C9" s="34" t="inlineStr">
        <is>
          <t>① File này là nơi DUY NHẤT ghi trạng thái; Zalo nhóm sự kiện chỉ để báo nhanh. ② Vướng mắc / nguy cơ trễ ⇒ ghi ở Ghi chú + báo Owner ngay, không đợi quá hạn. ③ Quá hạn ≥ 2 ngày làm việc hoặc ảnh hưởng ngày D ⇒ Owner báo Giám đốc trong ngày. ④ Thay đổi ngày / địa điểm / KOL / ngân sách ⇒ sửa file Offline + email mọi bên trong 24 giờ. ⑤ Không gửi danh sách khách qua Zalo / email cá nhân — chỉ gửi link Sheet.</t>
        </is>
      </c>
    </row>
    <row r="10" ht="42" customHeight="1">
      <c r="B10" s="33" t="inlineStr">
        <is>
          <t>Ngày tính hạn</t>
        </is>
      </c>
      <c r="C10" s="34" t="inlineStr">
        <is>
          <t>D − n = ngày lịch; D + n = ngày làm việc T2–T6 trừ ngày nghỉ ở tab Cài đặt. Sự kiện nhiều ngày: D + n tính từ ngày kết thúc.</t>
        </is>
      </c>
    </row>
    <row r="11" ht="42" customHeight="1">
      <c r="B11" s="33" t="inlineStr">
        <is>
          <t>Dữ liệu ví dụ</t>
        </is>
      </c>
      <c r="C11" s="34" t="inlineStr">
        <is>
          <t>Các sự kiện "(ví dụ)" (mã VD-…) và người "(ví dụ)" chỉ để xem trước — tự xoá ở lần đồng bộ đầu tiên; điền tên thật ở tab Cài đặt.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2026-10-30T10:33:59Z</dcterms:created>
  <dcterms:modified xmlns:dcterms="http://purl.org/dc/terms/" xmlns:xsi="http://www.w3.org/2001/XMLSchema-instance" xsi:type="dcterms:W3CDTF">2026-10-30T10:34:01Z</dcterms:modified>
</cp:coreProperties>
</file>